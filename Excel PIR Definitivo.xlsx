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D88EA2C7-653B-4EBF-9CBB-387219A8A2AC}" xr6:coauthVersionLast="45" xr6:coauthVersionMax="45" xr10:uidLastSave="{00000000-0000-0000-0000-000000000000}"/>
  <bookViews>
    <workbookView xWindow="-120" yWindow="-120" windowWidth="20730" windowHeight="11310" tabRatio="953" firstSheet="7" activeTab="1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331" i="21" l="1"/>
  <c r="D332" i="21"/>
  <c r="E331" i="21"/>
  <c r="E332" i="21"/>
  <c r="F331" i="21"/>
  <c r="F332" i="21"/>
  <c r="G331" i="21"/>
  <c r="G332" i="21"/>
  <c r="D328" i="21"/>
  <c r="E328" i="21"/>
  <c r="F328" i="21"/>
  <c r="G328" i="21"/>
  <c r="D327" i="21"/>
  <c r="E327" i="21"/>
  <c r="F327" i="21"/>
  <c r="G327" i="21"/>
  <c r="D319" i="21"/>
  <c r="D320" i="21"/>
  <c r="D321" i="21"/>
  <c r="E319" i="21"/>
  <c r="E320" i="21"/>
  <c r="E321" i="21"/>
  <c r="F319" i="21"/>
  <c r="F320" i="21"/>
  <c r="F321" i="21"/>
  <c r="G319" i="21"/>
  <c r="G320" i="21"/>
  <c r="G321" i="21"/>
  <c r="D312" i="21"/>
  <c r="E312" i="21"/>
  <c r="F312" i="21"/>
  <c r="G312" i="21"/>
  <c r="D308" i="21"/>
  <c r="D309" i="21"/>
  <c r="D310" i="21"/>
  <c r="D311" i="21"/>
  <c r="E308" i="21"/>
  <c r="E309" i="21"/>
  <c r="E310" i="21"/>
  <c r="E311" i="21"/>
  <c r="F308" i="21"/>
  <c r="F309" i="21"/>
  <c r="F310" i="21"/>
  <c r="F311" i="21"/>
  <c r="G308" i="21"/>
  <c r="G309" i="21"/>
  <c r="G310" i="21"/>
  <c r="G311" i="21"/>
  <c r="D286" i="21"/>
  <c r="E286" i="21"/>
  <c r="F286" i="21"/>
  <c r="G286" i="21"/>
  <c r="D274" i="21"/>
  <c r="E274" i="21"/>
  <c r="F274" i="21"/>
  <c r="G274" i="21"/>
  <c r="D273" i="21"/>
  <c r="E273" i="21"/>
  <c r="F273" i="21"/>
  <c r="G273" i="21"/>
  <c r="D302" i="21"/>
  <c r="D303" i="21"/>
  <c r="D304" i="21"/>
  <c r="D305" i="21"/>
  <c r="D306" i="21"/>
  <c r="D307" i="21"/>
  <c r="E302" i="21"/>
  <c r="E303" i="21"/>
  <c r="E304" i="21"/>
  <c r="E305" i="21"/>
  <c r="E306" i="21"/>
  <c r="E307" i="21"/>
  <c r="F302" i="21"/>
  <c r="F303" i="21"/>
  <c r="F304" i="21"/>
  <c r="F305" i="21"/>
  <c r="F306" i="21"/>
  <c r="F307" i="21"/>
  <c r="G302" i="21"/>
  <c r="G303" i="21"/>
  <c r="G304" i="21"/>
  <c r="G305" i="21"/>
  <c r="G306" i="21"/>
  <c r="G307" i="21"/>
  <c r="D266" i="21"/>
  <c r="E266" i="21"/>
  <c r="F266" i="21"/>
  <c r="G266" i="21"/>
  <c r="D261" i="21"/>
  <c r="D262" i="21"/>
  <c r="D263" i="21"/>
  <c r="E261" i="21"/>
  <c r="E262" i="21"/>
  <c r="E263" i="21"/>
  <c r="F261" i="21"/>
  <c r="F262" i="21"/>
  <c r="F263" i="21"/>
  <c r="G261" i="21"/>
  <c r="G262" i="21"/>
  <c r="G263" i="21"/>
  <c r="D240" i="21"/>
  <c r="E240" i="21"/>
  <c r="F240" i="21"/>
  <c r="G240" i="21"/>
  <c r="D231" i="21"/>
  <c r="D232" i="21"/>
  <c r="E231" i="21"/>
  <c r="E232" i="21"/>
  <c r="F231" i="21"/>
  <c r="F232" i="21"/>
  <c r="G231" i="21"/>
  <c r="G232" i="21"/>
  <c r="D229" i="21"/>
  <c r="E229" i="21"/>
  <c r="F229" i="21"/>
  <c r="G229" i="21"/>
  <c r="D223" i="21"/>
  <c r="D224" i="21"/>
  <c r="D225" i="21"/>
  <c r="E223" i="21"/>
  <c r="E224" i="21"/>
  <c r="E225" i="21"/>
  <c r="F223" i="21"/>
  <c r="F224" i="21"/>
  <c r="F225" i="21"/>
  <c r="G223" i="21"/>
  <c r="G224" i="21"/>
  <c r="G225" i="21"/>
  <c r="D206" i="21"/>
  <c r="E206" i="21"/>
  <c r="F206" i="21"/>
  <c r="G206" i="21"/>
  <c r="D196" i="21"/>
  <c r="D197" i="21"/>
  <c r="D198" i="21"/>
  <c r="E196" i="21"/>
  <c r="E197" i="21"/>
  <c r="E198" i="21"/>
  <c r="F196" i="21"/>
  <c r="F197" i="21"/>
  <c r="F198" i="21"/>
  <c r="G196" i="21"/>
  <c r="G197" i="21"/>
  <c r="G198" i="21"/>
  <c r="D178" i="21"/>
  <c r="D179" i="21"/>
  <c r="D180" i="21"/>
  <c r="D181" i="21"/>
  <c r="D182" i="21"/>
  <c r="E178" i="21"/>
  <c r="E179" i="21"/>
  <c r="E180" i="21"/>
  <c r="E181" i="21"/>
  <c r="E182" i="21"/>
  <c r="F178" i="21"/>
  <c r="F179" i="21"/>
  <c r="F180" i="21"/>
  <c r="F181" i="21"/>
  <c r="F182" i="21"/>
  <c r="G178" i="21"/>
  <c r="G179" i="21"/>
  <c r="G180" i="21"/>
  <c r="G181" i="21"/>
  <c r="G182" i="21"/>
  <c r="D176" i="21"/>
  <c r="E176" i="21"/>
  <c r="F176" i="21"/>
  <c r="G176" i="21"/>
  <c r="D175" i="21"/>
  <c r="E175" i="21"/>
  <c r="F175" i="21"/>
  <c r="G175" i="21"/>
  <c r="D160" i="21"/>
  <c r="E160" i="21"/>
  <c r="F160" i="21"/>
  <c r="G160" i="21"/>
  <c r="D159" i="21"/>
  <c r="E159" i="21"/>
  <c r="F159" i="21"/>
  <c r="G159" i="21"/>
  <c r="D158" i="21"/>
  <c r="E158" i="21"/>
  <c r="F158" i="21"/>
  <c r="G158" i="21"/>
  <c r="D145" i="21"/>
  <c r="E145" i="21"/>
  <c r="F145" i="21"/>
  <c r="G145" i="21"/>
  <c r="D142" i="21"/>
  <c r="E142" i="21"/>
  <c r="F142" i="21"/>
  <c r="G142" i="21"/>
  <c r="D139" i="21"/>
  <c r="E139" i="21"/>
  <c r="F139" i="21"/>
  <c r="G139" i="21"/>
  <c r="D129" i="21"/>
  <c r="E129" i="21"/>
  <c r="F129" i="21"/>
  <c r="G129" i="21"/>
  <c r="D128" i="21"/>
  <c r="E128" i="21"/>
  <c r="F128" i="21"/>
  <c r="G128" i="21"/>
  <c r="D127" i="21"/>
  <c r="E127" i="21"/>
  <c r="F127" i="21"/>
  <c r="G127" i="21"/>
  <c r="D124" i="21"/>
  <c r="E124" i="21"/>
  <c r="F124" i="21"/>
  <c r="G124" i="21"/>
  <c r="D122" i="21"/>
  <c r="E122" i="21"/>
  <c r="F122" i="21"/>
  <c r="G122" i="21"/>
  <c r="D116" i="21"/>
  <c r="D117" i="21"/>
  <c r="E116" i="21"/>
  <c r="E117" i="21"/>
  <c r="F116" i="21"/>
  <c r="F117" i="21"/>
  <c r="G116" i="21"/>
  <c r="G117" i="21"/>
  <c r="D107" i="21"/>
  <c r="E107" i="21"/>
  <c r="F107" i="21"/>
  <c r="G107" i="21"/>
  <c r="D69" i="21"/>
  <c r="D70" i="21"/>
  <c r="D71" i="21"/>
  <c r="D72" i="21"/>
  <c r="D73" i="21"/>
  <c r="D74" i="21"/>
  <c r="D75" i="21"/>
  <c r="D76" i="21"/>
  <c r="D77" i="21"/>
  <c r="D78" i="21"/>
  <c r="D79" i="21"/>
  <c r="D80" i="21"/>
  <c r="E69" i="21"/>
  <c r="E70" i="21"/>
  <c r="E71" i="21"/>
  <c r="E72" i="21"/>
  <c r="E73" i="21"/>
  <c r="E74" i="21"/>
  <c r="E75" i="21"/>
  <c r="E76" i="21"/>
  <c r="E77" i="21"/>
  <c r="E78" i="21"/>
  <c r="E79" i="21"/>
  <c r="E80" i="21"/>
  <c r="F69" i="21"/>
  <c r="F70" i="21"/>
  <c r="F71" i="21"/>
  <c r="F72" i="21"/>
  <c r="F73" i="21"/>
  <c r="F74" i="21"/>
  <c r="F75" i="21"/>
  <c r="F76" i="21"/>
  <c r="F77" i="21"/>
  <c r="F78" i="21"/>
  <c r="F79" i="21"/>
  <c r="F80" i="21"/>
  <c r="G69" i="21"/>
  <c r="G70" i="21"/>
  <c r="G71" i="21"/>
  <c r="G72" i="21"/>
  <c r="G73" i="21"/>
  <c r="G74" i="21"/>
  <c r="G75" i="21"/>
  <c r="G76" i="21"/>
  <c r="G77" i="21"/>
  <c r="G78" i="21"/>
  <c r="G79" i="21"/>
  <c r="G80" i="21"/>
  <c r="D26" i="21"/>
  <c r="D27" i="21"/>
  <c r="D28" i="21"/>
  <c r="D29" i="21"/>
  <c r="E26" i="21"/>
  <c r="E27" i="21"/>
  <c r="E28" i="21"/>
  <c r="E29" i="21"/>
  <c r="F26" i="21"/>
  <c r="F27" i="21"/>
  <c r="F28" i="21"/>
  <c r="F29" i="21"/>
  <c r="G26" i="21"/>
  <c r="G27" i="21"/>
  <c r="G28" i="21"/>
  <c r="G29" i="21"/>
  <c r="D15" i="21"/>
  <c r="E15" i="21"/>
  <c r="F15" i="21"/>
  <c r="G15" i="21"/>
  <c r="D10" i="21"/>
  <c r="E10" i="21"/>
  <c r="F10" i="21"/>
  <c r="G10" i="21"/>
  <c r="D7" i="21"/>
  <c r="E7" i="21"/>
  <c r="F7" i="21"/>
  <c r="G7" i="21"/>
  <c r="D6" i="21"/>
  <c r="E6" i="21"/>
  <c r="F6" i="21"/>
  <c r="G6" i="21"/>
  <c r="X56" i="14" l="1"/>
  <c r="W56" i="14"/>
  <c r="U56" i="14"/>
  <c r="Q56" i="14"/>
  <c r="M56" i="14"/>
  <c r="J56" i="14"/>
  <c r="X26" i="14"/>
  <c r="W26" i="14"/>
  <c r="U26" i="14"/>
  <c r="Q26" i="14"/>
  <c r="M26" i="14"/>
  <c r="J26" i="14"/>
  <c r="X23" i="14"/>
  <c r="W23" i="14"/>
  <c r="U23" i="14"/>
  <c r="Q23" i="14"/>
  <c r="M23" i="14"/>
  <c r="J23" i="14"/>
  <c r="X11" i="14"/>
  <c r="W11" i="14"/>
  <c r="U11" i="14"/>
  <c r="Q11" i="14"/>
  <c r="M11" i="14"/>
  <c r="J11" i="14"/>
  <c r="S661" i="5"/>
  <c r="S660" i="5"/>
  <c r="S659" i="5"/>
  <c r="S658" i="5"/>
  <c r="S657" i="5"/>
  <c r="S656" i="5"/>
  <c r="S655" i="5"/>
  <c r="S654" i="5"/>
  <c r="S653" i="5"/>
  <c r="S652" i="5"/>
  <c r="S651" i="5"/>
  <c r="S650" i="5"/>
  <c r="Q661" i="5"/>
  <c r="Q660" i="5"/>
  <c r="Q659" i="5"/>
  <c r="Q658" i="5"/>
  <c r="Q657" i="5"/>
  <c r="Q656" i="5"/>
  <c r="Q655" i="5"/>
  <c r="Q654" i="5"/>
  <c r="Q653" i="5"/>
  <c r="Q652" i="5"/>
  <c r="Q651" i="5"/>
  <c r="Q650" i="5"/>
  <c r="O661" i="5"/>
  <c r="O660" i="5"/>
  <c r="O659" i="5"/>
  <c r="O658" i="5"/>
  <c r="O657" i="5"/>
  <c r="O656" i="5"/>
  <c r="O655" i="5"/>
  <c r="O654" i="5"/>
  <c r="O653" i="5"/>
  <c r="O652" i="5"/>
  <c r="O651" i="5"/>
  <c r="O650" i="5"/>
  <c r="M650" i="5"/>
  <c r="M651" i="5" s="1"/>
  <c r="M652" i="5" s="1"/>
  <c r="M653" i="5" s="1"/>
  <c r="M654" i="5" s="1"/>
  <c r="M655" i="5" s="1"/>
  <c r="M656" i="5" s="1"/>
  <c r="M657" i="5" s="1"/>
  <c r="M658" i="5" s="1"/>
  <c r="M659" i="5" s="1"/>
  <c r="M660" i="5" s="1"/>
  <c r="M661" i="5" s="1"/>
  <c r="L650" i="5"/>
  <c r="I661" i="5"/>
  <c r="F661" i="5"/>
  <c r="H661" i="5" s="1"/>
  <c r="I660" i="5"/>
  <c r="F660" i="5"/>
  <c r="I659" i="5"/>
  <c r="F659" i="5"/>
  <c r="I658" i="5"/>
  <c r="F658" i="5"/>
  <c r="I657" i="5"/>
  <c r="F657" i="5"/>
  <c r="H657" i="5" s="1"/>
  <c r="I656" i="5"/>
  <c r="F656" i="5"/>
  <c r="I655" i="5"/>
  <c r="F655" i="5"/>
  <c r="I654" i="5"/>
  <c r="F654" i="5"/>
  <c r="I653" i="5"/>
  <c r="F653" i="5"/>
  <c r="H653" i="5" s="1"/>
  <c r="I652" i="5"/>
  <c r="F652" i="5"/>
  <c r="I651" i="5"/>
  <c r="F651" i="5"/>
  <c r="H651" i="5" s="1"/>
  <c r="I650" i="5"/>
  <c r="F650" i="5"/>
  <c r="D661" i="5"/>
  <c r="D660" i="5"/>
  <c r="D659" i="5"/>
  <c r="D658" i="5"/>
  <c r="D657" i="5"/>
  <c r="D656" i="5"/>
  <c r="D655" i="5"/>
  <c r="D654" i="5"/>
  <c r="D653" i="5"/>
  <c r="D652" i="5"/>
  <c r="D651" i="5"/>
  <c r="D650" i="5"/>
  <c r="M590" i="5"/>
  <c r="M591" i="5" s="1"/>
  <c r="M592" i="5" s="1"/>
  <c r="M593" i="5" s="1"/>
  <c r="M594" i="5" s="1"/>
  <c r="M595" i="5" s="1"/>
  <c r="M596" i="5" s="1"/>
  <c r="M597" i="5" s="1"/>
  <c r="M598" i="5" s="1"/>
  <c r="M599" i="5" s="1"/>
  <c r="M600" i="5" s="1"/>
  <c r="M601" i="5" s="1"/>
  <c r="L590" i="5"/>
  <c r="I601" i="5"/>
  <c r="I600" i="5"/>
  <c r="I599" i="5"/>
  <c r="I598" i="5"/>
  <c r="I597" i="5"/>
  <c r="I596" i="5"/>
  <c r="I595" i="5"/>
  <c r="I594" i="5"/>
  <c r="I593" i="5"/>
  <c r="I592" i="5"/>
  <c r="I591" i="5"/>
  <c r="I590" i="5"/>
  <c r="F601" i="5"/>
  <c r="F600" i="5"/>
  <c r="F599" i="5"/>
  <c r="F598" i="5"/>
  <c r="F597" i="5"/>
  <c r="F596" i="5"/>
  <c r="F595" i="5"/>
  <c r="F594" i="5"/>
  <c r="F593" i="5"/>
  <c r="F592" i="5"/>
  <c r="F591" i="5"/>
  <c r="F590" i="5"/>
  <c r="D601" i="5"/>
  <c r="D600" i="5"/>
  <c r="D599" i="5"/>
  <c r="D598" i="5"/>
  <c r="D597" i="5"/>
  <c r="D596" i="5"/>
  <c r="D595" i="5"/>
  <c r="D594" i="5"/>
  <c r="D593" i="5"/>
  <c r="D592" i="5"/>
  <c r="D591" i="5"/>
  <c r="D590" i="5"/>
  <c r="H590" i="5" s="1"/>
  <c r="M290" i="5"/>
  <c r="M291" i="5" s="1"/>
  <c r="M292" i="5" s="1"/>
  <c r="M293" i="5" s="1"/>
  <c r="M294" i="5" s="1"/>
  <c r="M295" i="5" s="1"/>
  <c r="M296" i="5" s="1"/>
  <c r="M297" i="5" s="1"/>
  <c r="M298" i="5" s="1"/>
  <c r="M299" i="5" s="1"/>
  <c r="M300" i="5" s="1"/>
  <c r="M301" i="5" s="1"/>
  <c r="L290" i="5"/>
  <c r="I301" i="5"/>
  <c r="I300" i="5"/>
  <c r="I299" i="5"/>
  <c r="I298" i="5"/>
  <c r="I297" i="5"/>
  <c r="I296" i="5"/>
  <c r="I295" i="5"/>
  <c r="I294" i="5"/>
  <c r="I293" i="5"/>
  <c r="I292" i="5"/>
  <c r="I291" i="5"/>
  <c r="I290" i="5"/>
  <c r="F301" i="5"/>
  <c r="F300" i="5"/>
  <c r="F299" i="5"/>
  <c r="F298" i="5"/>
  <c r="F297" i="5"/>
  <c r="F296" i="5"/>
  <c r="F295" i="5"/>
  <c r="F294" i="5"/>
  <c r="F293" i="5"/>
  <c r="F292" i="5"/>
  <c r="F291" i="5"/>
  <c r="F290" i="5"/>
  <c r="D301" i="5"/>
  <c r="D300" i="5"/>
  <c r="D299" i="5"/>
  <c r="D298" i="5"/>
  <c r="D297" i="5"/>
  <c r="D296" i="5"/>
  <c r="D295" i="5"/>
  <c r="G295" i="5" s="1"/>
  <c r="D294" i="5"/>
  <c r="D293" i="5"/>
  <c r="D292" i="5"/>
  <c r="D291" i="5"/>
  <c r="D290" i="5"/>
  <c r="G290" i="5" s="1"/>
  <c r="M254" i="5"/>
  <c r="M255" i="5" s="1"/>
  <c r="M256" i="5" s="1"/>
  <c r="M257" i="5" s="1"/>
  <c r="M258" i="5" s="1"/>
  <c r="M259" i="5" s="1"/>
  <c r="M260" i="5" s="1"/>
  <c r="M261" i="5" s="1"/>
  <c r="M262" i="5" s="1"/>
  <c r="M263" i="5" s="1"/>
  <c r="M264" i="5" s="1"/>
  <c r="M265" i="5" s="1"/>
  <c r="L254" i="5"/>
  <c r="L110" i="5"/>
  <c r="M110" i="5"/>
  <c r="M111" i="5" s="1"/>
  <c r="M112" i="5" s="1"/>
  <c r="M113" i="5" s="1"/>
  <c r="M114" i="5" s="1"/>
  <c r="M115" i="5" s="1"/>
  <c r="M116" i="5" s="1"/>
  <c r="M117" i="5" s="1"/>
  <c r="M118" i="5" s="1"/>
  <c r="M119" i="5" s="1"/>
  <c r="M120" i="5" s="1"/>
  <c r="M121" i="5" s="1"/>
  <c r="I265" i="5"/>
  <c r="I264" i="5"/>
  <c r="I263" i="5"/>
  <c r="I262" i="5"/>
  <c r="I261" i="5"/>
  <c r="I260" i="5"/>
  <c r="I259" i="5"/>
  <c r="I258" i="5"/>
  <c r="I257" i="5"/>
  <c r="I256" i="5"/>
  <c r="I255" i="5"/>
  <c r="H255" i="5"/>
  <c r="I254" i="5"/>
  <c r="G256" i="5"/>
  <c r="F265" i="5"/>
  <c r="D254" i="5"/>
  <c r="H254" i="5" s="1"/>
  <c r="D255" i="5"/>
  <c r="D256" i="5"/>
  <c r="H256" i="5" s="1"/>
  <c r="D257" i="5"/>
  <c r="D258" i="5"/>
  <c r="H258" i="5" s="1"/>
  <c r="D259" i="5"/>
  <c r="D260" i="5"/>
  <c r="D261" i="5"/>
  <c r="D262" i="5"/>
  <c r="D263" i="5"/>
  <c r="D264" i="5"/>
  <c r="D265" i="5"/>
  <c r="F258" i="5"/>
  <c r="G258" i="5" s="1"/>
  <c r="F256" i="5"/>
  <c r="F255" i="5"/>
  <c r="G255" i="5" s="1"/>
  <c r="F254" i="5"/>
  <c r="G254" i="5" s="1"/>
  <c r="F121" i="5"/>
  <c r="G121" i="5" s="1"/>
  <c r="F120" i="5"/>
  <c r="F119" i="5"/>
  <c r="F118" i="5"/>
  <c r="F117" i="5"/>
  <c r="H117" i="5" s="1"/>
  <c r="F116" i="5"/>
  <c r="F115" i="5"/>
  <c r="G115" i="5" s="1"/>
  <c r="F114" i="5"/>
  <c r="H114" i="5" s="1"/>
  <c r="F113" i="5"/>
  <c r="G113" i="5" s="1"/>
  <c r="F112" i="5"/>
  <c r="F111" i="5"/>
  <c r="G111" i="5" s="1"/>
  <c r="F110" i="5"/>
  <c r="F109" i="5"/>
  <c r="H110" i="5"/>
  <c r="I121" i="5"/>
  <c r="I120" i="5"/>
  <c r="I119" i="5"/>
  <c r="G119" i="5"/>
  <c r="I118" i="5"/>
  <c r="H118" i="5"/>
  <c r="I117" i="5"/>
  <c r="I116" i="5"/>
  <c r="I115" i="5"/>
  <c r="I114" i="5"/>
  <c r="I113" i="5"/>
  <c r="H113" i="5"/>
  <c r="I112" i="5"/>
  <c r="I111" i="5"/>
  <c r="H111" i="5"/>
  <c r="I110" i="5"/>
  <c r="D121" i="5"/>
  <c r="H121" i="5" s="1"/>
  <c r="D120" i="5"/>
  <c r="H120" i="5" s="1"/>
  <c r="D119" i="5"/>
  <c r="H119" i="5" s="1"/>
  <c r="D118" i="5"/>
  <c r="D117" i="5"/>
  <c r="D116" i="5"/>
  <c r="H116" i="5" s="1"/>
  <c r="D115" i="5"/>
  <c r="H115" i="5" s="1"/>
  <c r="D114" i="5"/>
  <c r="D113" i="5"/>
  <c r="D112" i="5"/>
  <c r="D111" i="5"/>
  <c r="D110" i="5"/>
  <c r="H298" i="5" l="1"/>
  <c r="H591" i="5"/>
  <c r="H599" i="5"/>
  <c r="H290" i="5"/>
  <c r="G117" i="5"/>
  <c r="H291" i="5"/>
  <c r="H295" i="5"/>
  <c r="H299" i="5"/>
  <c r="H592" i="5"/>
  <c r="H600" i="5"/>
  <c r="G265" i="5"/>
  <c r="H112" i="5"/>
  <c r="H658" i="5"/>
  <c r="H660" i="5"/>
  <c r="H655" i="5"/>
  <c r="H659" i="5"/>
  <c r="H656" i="5"/>
  <c r="H650" i="5"/>
  <c r="H654" i="5"/>
  <c r="H652" i="5"/>
  <c r="L651" i="5"/>
  <c r="L652" i="5" s="1"/>
  <c r="L653" i="5" s="1"/>
  <c r="L654" i="5" s="1"/>
  <c r="L655" i="5" s="1"/>
  <c r="L656" i="5" s="1"/>
  <c r="L657" i="5" s="1"/>
  <c r="L658" i="5" s="1"/>
  <c r="L659" i="5" s="1"/>
  <c r="L660" i="5" s="1"/>
  <c r="L661" i="5" s="1"/>
  <c r="G650" i="5"/>
  <c r="G652" i="5"/>
  <c r="G654" i="5"/>
  <c r="G656" i="5"/>
  <c r="G658" i="5"/>
  <c r="G660" i="5"/>
  <c r="G651" i="5"/>
  <c r="G653" i="5"/>
  <c r="G655" i="5"/>
  <c r="G657" i="5"/>
  <c r="G659" i="5"/>
  <c r="G661" i="5"/>
  <c r="H595" i="5"/>
  <c r="H597" i="5"/>
  <c r="G596" i="5"/>
  <c r="H598" i="5"/>
  <c r="G591" i="5"/>
  <c r="G599" i="5"/>
  <c r="G592" i="5"/>
  <c r="G600" i="5"/>
  <c r="G593" i="5"/>
  <c r="G601" i="5"/>
  <c r="H594" i="5"/>
  <c r="G597" i="5"/>
  <c r="G590" i="5"/>
  <c r="G598" i="5"/>
  <c r="H596" i="5"/>
  <c r="G595" i="5"/>
  <c r="H593" i="5"/>
  <c r="H601" i="5"/>
  <c r="G594" i="5"/>
  <c r="L591" i="5"/>
  <c r="L592" i="5"/>
  <c r="L593" i="5" s="1"/>
  <c r="L594" i="5" s="1"/>
  <c r="L595" i="5" s="1"/>
  <c r="L596" i="5" s="1"/>
  <c r="L597" i="5" s="1"/>
  <c r="L598" i="5" s="1"/>
  <c r="L599" i="5" s="1"/>
  <c r="L600" i="5" s="1"/>
  <c r="L601" i="5" s="1"/>
  <c r="H297" i="5"/>
  <c r="G298" i="5"/>
  <c r="G296" i="5"/>
  <c r="G292" i="5"/>
  <c r="H301" i="5"/>
  <c r="G300" i="5"/>
  <c r="H293" i="5"/>
  <c r="H294" i="5"/>
  <c r="G291" i="5"/>
  <c r="G299" i="5"/>
  <c r="G297" i="5"/>
  <c r="G301" i="5"/>
  <c r="H292" i="5"/>
  <c r="H296" i="5"/>
  <c r="H300" i="5"/>
  <c r="G294" i="5"/>
  <c r="G293" i="5"/>
  <c r="L291" i="5"/>
  <c r="L292" i="5" s="1"/>
  <c r="L293" i="5" s="1"/>
  <c r="L294" i="5" s="1"/>
  <c r="L295" i="5" s="1"/>
  <c r="L296" i="5" s="1"/>
  <c r="L297" i="5" s="1"/>
  <c r="L298" i="5" s="1"/>
  <c r="L299" i="5" s="1"/>
  <c r="L300" i="5" s="1"/>
  <c r="L301" i="5" s="1"/>
  <c r="L255" i="5"/>
  <c r="L256" i="5" s="1"/>
  <c r="L257" i="5" s="1"/>
  <c r="L258" i="5" s="1"/>
  <c r="L259" i="5" s="1"/>
  <c r="L260" i="5" s="1"/>
  <c r="L261" i="5" s="1"/>
  <c r="L262" i="5" s="1"/>
  <c r="L263" i="5" s="1"/>
  <c r="L264" i="5" s="1"/>
  <c r="L265" i="5" s="1"/>
  <c r="H265" i="5"/>
  <c r="L111" i="5"/>
  <c r="L112" i="5" s="1"/>
  <c r="L113" i="5" s="1"/>
  <c r="L114" i="5" s="1"/>
  <c r="L115" i="5" s="1"/>
  <c r="L116" i="5" s="1"/>
  <c r="L117" i="5" s="1"/>
  <c r="L118" i="5" s="1"/>
  <c r="L119" i="5" s="1"/>
  <c r="L120" i="5" s="1"/>
  <c r="L121" i="5" s="1"/>
  <c r="F260" i="5"/>
  <c r="F261" i="5"/>
  <c r="F259" i="5"/>
  <c r="F263" i="5"/>
  <c r="F264" i="5"/>
  <c r="F262" i="5"/>
  <c r="F257" i="5"/>
  <c r="G257" i="5" s="1"/>
  <c r="G120" i="5"/>
  <c r="G110" i="5"/>
  <c r="G112" i="5"/>
  <c r="G114" i="5"/>
  <c r="G116" i="5"/>
  <c r="G118" i="5"/>
  <c r="S110" i="5"/>
  <c r="S111" i="5"/>
  <c r="S112" i="5"/>
  <c r="S113" i="5"/>
  <c r="S114" i="5"/>
  <c r="S115" i="5"/>
  <c r="S116" i="5"/>
  <c r="S117" i="5"/>
  <c r="S118" i="5"/>
  <c r="S119" i="5"/>
  <c r="S120" i="5"/>
  <c r="S121" i="5"/>
  <c r="S122" i="5"/>
  <c r="Q110" i="5"/>
  <c r="Q111" i="5"/>
  <c r="Q112" i="5"/>
  <c r="Q113" i="5"/>
  <c r="Q114" i="5"/>
  <c r="Q115" i="5"/>
  <c r="Q116" i="5"/>
  <c r="Q117" i="5"/>
  <c r="Q118" i="5"/>
  <c r="Q119" i="5"/>
  <c r="Q120" i="5"/>
  <c r="Q121" i="5"/>
  <c r="O110" i="5"/>
  <c r="O111" i="5"/>
  <c r="O112" i="5"/>
  <c r="O113" i="5"/>
  <c r="O114" i="5"/>
  <c r="O115" i="5"/>
  <c r="O116" i="5"/>
  <c r="O117" i="5"/>
  <c r="O118" i="5"/>
  <c r="O119" i="5"/>
  <c r="O120" i="5"/>
  <c r="O121" i="5"/>
  <c r="S254" i="5"/>
  <c r="S255" i="5"/>
  <c r="S256" i="5"/>
  <c r="S257" i="5"/>
  <c r="S258" i="5"/>
  <c r="S259" i="5"/>
  <c r="S260" i="5"/>
  <c r="S261" i="5"/>
  <c r="S262" i="5"/>
  <c r="S263" i="5"/>
  <c r="S264" i="5"/>
  <c r="S265" i="5"/>
  <c r="Q254" i="5"/>
  <c r="Q255" i="5"/>
  <c r="Q256" i="5"/>
  <c r="Q257" i="5"/>
  <c r="Q258" i="5"/>
  <c r="Q259" i="5"/>
  <c r="Q260" i="5"/>
  <c r="Q261" i="5"/>
  <c r="Q262" i="5"/>
  <c r="Q263" i="5"/>
  <c r="Q264" i="5"/>
  <c r="O254" i="5"/>
  <c r="O255" i="5"/>
  <c r="O256" i="5"/>
  <c r="O257" i="5"/>
  <c r="O258" i="5"/>
  <c r="O259" i="5"/>
  <c r="O260" i="5"/>
  <c r="O261" i="5"/>
  <c r="O262" i="5"/>
  <c r="O263" i="5"/>
  <c r="O264" i="5"/>
  <c r="O265" i="5"/>
  <c r="S290" i="5"/>
  <c r="S291" i="5"/>
  <c r="S292" i="5"/>
  <c r="S293" i="5"/>
  <c r="S294" i="5"/>
  <c r="S295" i="5"/>
  <c r="S296" i="5"/>
  <c r="S297" i="5"/>
  <c r="S298" i="5"/>
  <c r="S299" i="5"/>
  <c r="S300" i="5"/>
  <c r="S301" i="5"/>
  <c r="Q290" i="5"/>
  <c r="Q291" i="5"/>
  <c r="Q292" i="5"/>
  <c r="Q293" i="5"/>
  <c r="Q294" i="5"/>
  <c r="Q295" i="5"/>
  <c r="Q296" i="5"/>
  <c r="Q297" i="5"/>
  <c r="Q298" i="5"/>
  <c r="Q299" i="5"/>
  <c r="Q300" i="5"/>
  <c r="Q301" i="5"/>
  <c r="O290" i="5"/>
  <c r="O291" i="5"/>
  <c r="O292" i="5"/>
  <c r="O293" i="5"/>
  <c r="O294" i="5"/>
  <c r="O295" i="5"/>
  <c r="O296" i="5"/>
  <c r="O297" i="5"/>
  <c r="O298" i="5"/>
  <c r="O299" i="5"/>
  <c r="O300" i="5"/>
  <c r="O301" i="5"/>
  <c r="O331" i="5"/>
  <c r="S590" i="5"/>
  <c r="S591" i="5"/>
  <c r="S592" i="5"/>
  <c r="S593" i="5"/>
  <c r="S594" i="5"/>
  <c r="S595" i="5"/>
  <c r="S596" i="5"/>
  <c r="S597" i="5"/>
  <c r="S598" i="5"/>
  <c r="S599" i="5"/>
  <c r="S600" i="5"/>
  <c r="S601" i="5"/>
  <c r="Q590" i="5"/>
  <c r="Q591" i="5"/>
  <c r="Q592" i="5"/>
  <c r="Q593" i="5"/>
  <c r="Q594" i="5"/>
  <c r="Q595" i="5"/>
  <c r="Q596" i="5"/>
  <c r="Q597" i="5"/>
  <c r="Q598" i="5"/>
  <c r="Q599" i="5"/>
  <c r="Q600" i="5"/>
  <c r="Q601" i="5"/>
  <c r="O590" i="5"/>
  <c r="O591" i="5"/>
  <c r="O592" i="5"/>
  <c r="O593" i="5"/>
  <c r="O594" i="5"/>
  <c r="O595" i="5"/>
  <c r="O596" i="5"/>
  <c r="O597" i="5"/>
  <c r="O598" i="5"/>
  <c r="O599" i="5"/>
  <c r="O600" i="5"/>
  <c r="O601" i="5"/>
  <c r="O329" i="5"/>
  <c r="H257" i="5" l="1"/>
  <c r="G259" i="5"/>
  <c r="H259" i="5"/>
  <c r="H260" i="5"/>
  <c r="G260" i="5"/>
  <c r="G262" i="5"/>
  <c r="H262" i="5"/>
  <c r="G261" i="5"/>
  <c r="H261" i="5"/>
  <c r="H264" i="5"/>
  <c r="G264" i="5"/>
  <c r="G263" i="5"/>
  <c r="H263" i="5"/>
  <c r="T650" i="12"/>
  <c r="T651" i="12"/>
  <c r="T652" i="12"/>
  <c r="T653" i="12"/>
  <c r="T654" i="12"/>
  <c r="T655" i="12"/>
  <c r="T656" i="12"/>
  <c r="T657" i="12"/>
  <c r="T658" i="12"/>
  <c r="T659" i="12"/>
  <c r="T660" i="12"/>
  <c r="T661" i="12"/>
  <c r="T590" i="12"/>
  <c r="T591" i="12"/>
  <c r="T592" i="12"/>
  <c r="T593" i="12"/>
  <c r="T594" i="12"/>
  <c r="T595" i="12"/>
  <c r="T596" i="12"/>
  <c r="T597" i="12"/>
  <c r="T598" i="12"/>
  <c r="T599" i="12"/>
  <c r="T600" i="12"/>
  <c r="T601" i="12"/>
  <c r="T290" i="12"/>
  <c r="T291" i="12"/>
  <c r="T292" i="12"/>
  <c r="T293" i="12"/>
  <c r="T294" i="12"/>
  <c r="T295" i="12"/>
  <c r="T296" i="12"/>
  <c r="T297" i="12"/>
  <c r="T298" i="12"/>
  <c r="T299" i="12"/>
  <c r="T300" i="12"/>
  <c r="T301" i="12"/>
  <c r="T254" i="12"/>
  <c r="T255" i="12"/>
  <c r="T256" i="12"/>
  <c r="T257" i="12"/>
  <c r="T258" i="12"/>
  <c r="T259" i="12"/>
  <c r="T260" i="12"/>
  <c r="T261" i="12"/>
  <c r="T262" i="12"/>
  <c r="T263" i="12"/>
  <c r="T264" i="12"/>
  <c r="T265" i="12"/>
  <c r="T110" i="12"/>
  <c r="T111" i="12"/>
  <c r="T112" i="12"/>
  <c r="T113" i="12"/>
  <c r="T114" i="12"/>
  <c r="T115" i="12"/>
  <c r="T116" i="12"/>
  <c r="T117" i="12"/>
  <c r="T118" i="12"/>
  <c r="T119" i="12"/>
  <c r="T120" i="12"/>
  <c r="T121" i="12"/>
  <c r="L4" i="12"/>
  <c r="L43" i="12"/>
  <c r="L619" i="12"/>
  <c r="L704" i="12"/>
  <c r="L570" i="12"/>
  <c r="L571" i="12"/>
  <c r="L572" i="12"/>
  <c r="L499" i="12"/>
  <c r="L487" i="12"/>
  <c r="L475" i="12"/>
  <c r="L476" i="12"/>
  <c r="L415" i="12"/>
  <c r="L367" i="12"/>
  <c r="L331" i="12"/>
  <c r="L318" i="12"/>
  <c r="L317" i="12"/>
  <c r="L283" i="12"/>
  <c r="L280" i="12"/>
  <c r="L271" i="12"/>
  <c r="L223" i="12"/>
  <c r="L211" i="12"/>
  <c r="L199" i="12"/>
  <c r="L200" i="12"/>
  <c r="L201" i="12"/>
  <c r="L163" i="12"/>
  <c r="L151" i="12"/>
  <c r="L102" i="12"/>
  <c r="L103" i="12"/>
  <c r="L104" i="12"/>
  <c r="L91" i="12"/>
  <c r="L19" i="12"/>
  <c r="L64" i="12"/>
  <c r="L65" i="12"/>
  <c r="L66" i="12"/>
  <c r="L67" i="12"/>
  <c r="L68" i="12"/>
  <c r="L69" i="12"/>
  <c r="L650" i="12"/>
  <c r="L651" i="12"/>
  <c r="L652" i="12"/>
  <c r="L653" i="12"/>
  <c r="L654" i="12"/>
  <c r="L655" i="12"/>
  <c r="L656" i="12"/>
  <c r="L657" i="12"/>
  <c r="L658" i="12"/>
  <c r="L659" i="12"/>
  <c r="M659" i="12" s="1"/>
  <c r="L660" i="12"/>
  <c r="M661" i="12" s="1"/>
  <c r="L661" i="12"/>
  <c r="L590" i="12"/>
  <c r="L591" i="12"/>
  <c r="L592" i="12"/>
  <c r="L593" i="12"/>
  <c r="L594" i="12"/>
  <c r="L595" i="12"/>
  <c r="L596" i="12"/>
  <c r="L597" i="12"/>
  <c r="L598" i="12"/>
  <c r="L599" i="12"/>
  <c r="M599" i="12" s="1"/>
  <c r="L600" i="12"/>
  <c r="M601" i="12" s="1"/>
  <c r="L601" i="12"/>
  <c r="L290" i="12"/>
  <c r="L291" i="12"/>
  <c r="L292" i="12"/>
  <c r="L293" i="12"/>
  <c r="L294" i="12"/>
  <c r="L295" i="12"/>
  <c r="L296" i="12"/>
  <c r="L297" i="12"/>
  <c r="L298" i="12"/>
  <c r="L299" i="12"/>
  <c r="L300" i="12"/>
  <c r="L301" i="12"/>
  <c r="L254" i="12"/>
  <c r="L255" i="12"/>
  <c r="L256" i="12"/>
  <c r="L257" i="12"/>
  <c r="L258" i="12"/>
  <c r="L259" i="12"/>
  <c r="L260" i="12"/>
  <c r="L261" i="12"/>
  <c r="L262" i="12"/>
  <c r="M265" i="12" s="1"/>
  <c r="L263" i="12"/>
  <c r="L264" i="12"/>
  <c r="L265" i="12"/>
  <c r="L110" i="12"/>
  <c r="L111" i="12"/>
  <c r="L112" i="12"/>
  <c r="L113" i="12"/>
  <c r="L114" i="12"/>
  <c r="L115" i="12"/>
  <c r="L116" i="12"/>
  <c r="L117" i="12"/>
  <c r="L118" i="12"/>
  <c r="L119" i="12"/>
  <c r="M119" i="12" s="1"/>
  <c r="L120" i="12"/>
  <c r="M120" i="12" s="1"/>
  <c r="L121" i="12"/>
  <c r="L2" i="12"/>
  <c r="L3" i="12"/>
  <c r="M3" i="12" s="1"/>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8" i="12"/>
  <c r="L39" i="12"/>
  <c r="L40" i="12"/>
  <c r="L41" i="12"/>
  <c r="L42" i="12"/>
  <c r="L44" i="12"/>
  <c r="L50" i="12"/>
  <c r="L51" i="12"/>
  <c r="L52" i="12"/>
  <c r="L53" i="12"/>
  <c r="L54" i="12"/>
  <c r="L55" i="12"/>
  <c r="L56" i="12"/>
  <c r="L62" i="12"/>
  <c r="L63" i="12"/>
  <c r="L74" i="12"/>
  <c r="L75" i="12"/>
  <c r="L76" i="12"/>
  <c r="L77" i="12"/>
  <c r="L78" i="12"/>
  <c r="L79" i="12"/>
  <c r="L80" i="12"/>
  <c r="L86" i="12"/>
  <c r="L87" i="12"/>
  <c r="L88" i="12"/>
  <c r="L89" i="12"/>
  <c r="L90" i="12"/>
  <c r="L92" i="12"/>
  <c r="L98" i="12"/>
  <c r="L99" i="12"/>
  <c r="L100" i="12"/>
  <c r="L101" i="12"/>
  <c r="L122" i="12"/>
  <c r="L123" i="12"/>
  <c r="L124" i="12"/>
  <c r="L125" i="12"/>
  <c r="L126" i="12"/>
  <c r="L127" i="12"/>
  <c r="L128" i="12"/>
  <c r="L146" i="12"/>
  <c r="L147" i="12"/>
  <c r="L148" i="12"/>
  <c r="L149" i="12"/>
  <c r="L150" i="12"/>
  <c r="L152" i="12"/>
  <c r="L158" i="12"/>
  <c r="L159" i="12"/>
  <c r="L160" i="12"/>
  <c r="L161" i="12"/>
  <c r="L162" i="12"/>
  <c r="L164" i="12"/>
  <c r="L170" i="12"/>
  <c r="L171" i="12"/>
  <c r="L172" i="12"/>
  <c r="L173" i="12"/>
  <c r="L174" i="12"/>
  <c r="L175" i="12"/>
  <c r="L176" i="12"/>
  <c r="L182" i="12"/>
  <c r="L183" i="12"/>
  <c r="L184" i="12"/>
  <c r="L185" i="12"/>
  <c r="L186" i="12"/>
  <c r="L187" i="12"/>
  <c r="L188" i="12"/>
  <c r="L194" i="12"/>
  <c r="L195" i="12"/>
  <c r="L196" i="12"/>
  <c r="L197" i="12"/>
  <c r="L198" i="12"/>
  <c r="L206" i="12"/>
  <c r="L207" i="12"/>
  <c r="L208" i="12"/>
  <c r="L209" i="12"/>
  <c r="L210" i="12"/>
  <c r="L212" i="12"/>
  <c r="M15" i="12"/>
  <c r="F661" i="12"/>
  <c r="F660" i="12"/>
  <c r="F659" i="12"/>
  <c r="F658" i="12"/>
  <c r="F657" i="12"/>
  <c r="F656" i="12"/>
  <c r="F655" i="12"/>
  <c r="F654" i="12"/>
  <c r="F653" i="12"/>
  <c r="F652" i="12"/>
  <c r="F651" i="12"/>
  <c r="F650" i="12"/>
  <c r="F601" i="12"/>
  <c r="F600" i="12"/>
  <c r="F599" i="12"/>
  <c r="F598" i="12"/>
  <c r="F597" i="12"/>
  <c r="F596" i="12"/>
  <c r="F595" i="12"/>
  <c r="F594" i="12"/>
  <c r="F593" i="12"/>
  <c r="F592" i="12"/>
  <c r="F591" i="12"/>
  <c r="F590" i="12"/>
  <c r="F301" i="12"/>
  <c r="F300" i="12"/>
  <c r="F299" i="12"/>
  <c r="F298" i="12"/>
  <c r="F297" i="12"/>
  <c r="F296" i="12"/>
  <c r="F295" i="12"/>
  <c r="F294" i="12"/>
  <c r="F293" i="12"/>
  <c r="F292" i="12"/>
  <c r="F291" i="12"/>
  <c r="F290" i="12"/>
  <c r="F265" i="12"/>
  <c r="F264" i="12"/>
  <c r="F263" i="12"/>
  <c r="F262" i="12"/>
  <c r="F261" i="12"/>
  <c r="F260" i="12"/>
  <c r="F259" i="12"/>
  <c r="F258" i="12"/>
  <c r="F257" i="12"/>
  <c r="F256" i="12"/>
  <c r="F255" i="12"/>
  <c r="F254" i="12"/>
  <c r="F121" i="12"/>
  <c r="F120" i="12"/>
  <c r="F119" i="12"/>
  <c r="F118" i="12"/>
  <c r="F117" i="12"/>
  <c r="F116" i="12"/>
  <c r="F115" i="12"/>
  <c r="F114" i="12"/>
  <c r="F113" i="12"/>
  <c r="F112" i="12"/>
  <c r="F111" i="12"/>
  <c r="F110" i="12"/>
  <c r="M264" i="12" l="1"/>
  <c r="M263" i="12"/>
  <c r="M262" i="12"/>
  <c r="M660" i="12"/>
  <c r="BD12" i="8" s="1"/>
  <c r="M600" i="12"/>
  <c r="M121" i="12"/>
  <c r="K13" i="8" s="1"/>
  <c r="K3" i="13"/>
  <c r="K4" i="13"/>
  <c r="K5" i="13"/>
  <c r="K6" i="13"/>
  <c r="K7" i="13"/>
  <c r="K8" i="13"/>
  <c r="K9" i="13"/>
  <c r="K10" i="13"/>
  <c r="K11" i="13"/>
  <c r="K12" i="13"/>
  <c r="K13" i="13"/>
  <c r="K2" i="13"/>
  <c r="W3" i="13"/>
  <c r="W4" i="13"/>
  <c r="W5" i="13"/>
  <c r="W6" i="13"/>
  <c r="W7" i="13"/>
  <c r="W8" i="13"/>
  <c r="W9" i="13"/>
  <c r="W10" i="13"/>
  <c r="W11" i="13"/>
  <c r="W12" i="13"/>
  <c r="W13" i="13"/>
  <c r="W2" i="13"/>
  <c r="Z3" i="13"/>
  <c r="Z4" i="13"/>
  <c r="Z5" i="13"/>
  <c r="Z6" i="13"/>
  <c r="Z7" i="13"/>
  <c r="Z8" i="13"/>
  <c r="Z9" i="13"/>
  <c r="Z10" i="13"/>
  <c r="Z11" i="13"/>
  <c r="Z12" i="13"/>
  <c r="Z13" i="13"/>
  <c r="Z2" i="13"/>
  <c r="AY3" i="13"/>
  <c r="AY4" i="13"/>
  <c r="AY5" i="13"/>
  <c r="AY6" i="13"/>
  <c r="AY7" i="13"/>
  <c r="AY8" i="13"/>
  <c r="AY9" i="13"/>
  <c r="AY10" i="13"/>
  <c r="AY11" i="13"/>
  <c r="AY12" i="13"/>
  <c r="AY13" i="13"/>
  <c r="AY2" i="13"/>
  <c r="BD3" i="13"/>
  <c r="BD4" i="13"/>
  <c r="BD5" i="13"/>
  <c r="BD6" i="13"/>
  <c r="BD7" i="13"/>
  <c r="BD8" i="13"/>
  <c r="BD9" i="13"/>
  <c r="BD10" i="13"/>
  <c r="BD11" i="13"/>
  <c r="BD12" i="13"/>
  <c r="BD13" i="13"/>
  <c r="BD2" i="13"/>
  <c r="K11" i="8"/>
  <c r="K12" i="8"/>
  <c r="W10" i="8"/>
  <c r="W11" i="8"/>
  <c r="W12" i="8"/>
  <c r="W13" i="8"/>
  <c r="Z3" i="8"/>
  <c r="Z4" i="8"/>
  <c r="Z5" i="8"/>
  <c r="Z6" i="8"/>
  <c r="Z7" i="8"/>
  <c r="Z8" i="8"/>
  <c r="Z9" i="8"/>
  <c r="Z10" i="8"/>
  <c r="Z11" i="8"/>
  <c r="Z12" i="8"/>
  <c r="Z13" i="8"/>
  <c r="Z2" i="8"/>
  <c r="AY11" i="8"/>
  <c r="AY12" i="8"/>
  <c r="AY13" i="8"/>
  <c r="BD11" i="8"/>
  <c r="BD13" i="8"/>
  <c r="BD3" i="18"/>
  <c r="BD4" i="18"/>
  <c r="BD5" i="18"/>
  <c r="BD6" i="18"/>
  <c r="BD7" i="18"/>
  <c r="BD8" i="18"/>
  <c r="BD9" i="18"/>
  <c r="BD10" i="18"/>
  <c r="BD11" i="18"/>
  <c r="BD12" i="18"/>
  <c r="BD13" i="18"/>
  <c r="BD2" i="18"/>
  <c r="AY3" i="18"/>
  <c r="AY4" i="18"/>
  <c r="AY5" i="18"/>
  <c r="AY6" i="18"/>
  <c r="AY7" i="18"/>
  <c r="AY8" i="18"/>
  <c r="AY9" i="18"/>
  <c r="AY10" i="18"/>
  <c r="AY11" i="18"/>
  <c r="AY12" i="18"/>
  <c r="AY13" i="18"/>
  <c r="AY2" i="18"/>
  <c r="Z3" i="18"/>
  <c r="Z4" i="18"/>
  <c r="Z5" i="18"/>
  <c r="Z6" i="18"/>
  <c r="Z7" i="18"/>
  <c r="Z8" i="18"/>
  <c r="Z9" i="18"/>
  <c r="Z10" i="18"/>
  <c r="Z11" i="18"/>
  <c r="Z12" i="18"/>
  <c r="Z13" i="18"/>
  <c r="Z2" i="18"/>
  <c r="W4" i="18"/>
  <c r="W5" i="18"/>
  <c r="W6" i="18"/>
  <c r="W7" i="18"/>
  <c r="W8" i="18"/>
  <c r="W9" i="18"/>
  <c r="W10" i="18"/>
  <c r="W11" i="18"/>
  <c r="W12" i="18"/>
  <c r="W13" i="18"/>
  <c r="W3" i="18"/>
  <c r="W2" i="18"/>
  <c r="K4" i="18"/>
  <c r="K5" i="18"/>
  <c r="K6" i="18"/>
  <c r="K7" i="18"/>
  <c r="K8" i="18"/>
  <c r="K9" i="18"/>
  <c r="K10" i="18"/>
  <c r="K11" i="18"/>
  <c r="K12" i="18"/>
  <c r="K13" i="18"/>
  <c r="K3" i="18"/>
  <c r="K2" i="18"/>
  <c r="B650" i="12"/>
  <c r="B651" i="12"/>
  <c r="B652" i="12"/>
  <c r="B653" i="12"/>
  <c r="B654" i="12"/>
  <c r="B655" i="12"/>
  <c r="B656" i="12"/>
  <c r="B657" i="12"/>
  <c r="B658" i="12"/>
  <c r="B659" i="12"/>
  <c r="B660" i="12"/>
  <c r="B661" i="12"/>
  <c r="B590" i="12"/>
  <c r="B591" i="12"/>
  <c r="B592" i="12"/>
  <c r="B593" i="12"/>
  <c r="B594" i="12"/>
  <c r="B595" i="12"/>
  <c r="B596" i="12"/>
  <c r="B597" i="12"/>
  <c r="B598" i="12"/>
  <c r="B599" i="12"/>
  <c r="B600" i="12"/>
  <c r="B601" i="12"/>
  <c r="B290" i="12"/>
  <c r="B291" i="12"/>
  <c r="B292" i="12"/>
  <c r="B293" i="12"/>
  <c r="B294" i="12"/>
  <c r="B295" i="12"/>
  <c r="B296" i="12"/>
  <c r="B297" i="12"/>
  <c r="B298" i="12"/>
  <c r="B299" i="12"/>
  <c r="B300" i="12"/>
  <c r="B301" i="12"/>
  <c r="B254" i="12"/>
  <c r="B255" i="12"/>
  <c r="B256" i="12"/>
  <c r="B257" i="12"/>
  <c r="B258" i="12"/>
  <c r="B259" i="12"/>
  <c r="B260" i="12"/>
  <c r="B261" i="12"/>
  <c r="B262" i="12"/>
  <c r="B263" i="12"/>
  <c r="B264" i="12"/>
  <c r="B265" i="12"/>
  <c r="B110" i="12"/>
  <c r="B111" i="12"/>
  <c r="B112" i="12"/>
  <c r="B113" i="12"/>
  <c r="B114" i="12"/>
  <c r="B115" i="12"/>
  <c r="B116" i="12"/>
  <c r="B117" i="12"/>
  <c r="B118" i="12"/>
  <c r="B119" i="12"/>
  <c r="B120" i="12"/>
  <c r="B121" i="12"/>
  <c r="B122" i="12"/>
  <c r="O18" i="5" l="1"/>
  <c r="Q282" i="5"/>
  <c r="O43" i="5"/>
  <c r="D333" i="21" l="1"/>
  <c r="E333" i="21"/>
  <c r="F333" i="21"/>
  <c r="G333" i="21"/>
  <c r="D326" i="21"/>
  <c r="E326" i="21"/>
  <c r="F326" i="21"/>
  <c r="G326" i="21"/>
  <c r="D316" i="21"/>
  <c r="E316" i="21"/>
  <c r="F316" i="21"/>
  <c r="G316" i="21"/>
  <c r="D317" i="21"/>
  <c r="E317" i="21"/>
  <c r="F317" i="21"/>
  <c r="G317" i="21"/>
  <c r="D314" i="21"/>
  <c r="E314" i="21"/>
  <c r="F314" i="21"/>
  <c r="G314" i="21"/>
  <c r="D301" i="21"/>
  <c r="E301" i="21"/>
  <c r="F301" i="21"/>
  <c r="G301" i="21"/>
  <c r="D297" i="21"/>
  <c r="E297" i="21"/>
  <c r="F297" i="21"/>
  <c r="G297" i="21"/>
  <c r="D298" i="21"/>
  <c r="E298" i="21"/>
  <c r="F298" i="21"/>
  <c r="G298" i="21"/>
  <c r="D299" i="21"/>
  <c r="E299" i="21"/>
  <c r="F299" i="21"/>
  <c r="G299" i="21"/>
  <c r="D300" i="21"/>
  <c r="E300" i="21"/>
  <c r="F300" i="21"/>
  <c r="G300" i="21"/>
  <c r="D282" i="21"/>
  <c r="E282" i="21"/>
  <c r="F282" i="21"/>
  <c r="G282" i="21"/>
  <c r="D276" i="21"/>
  <c r="E276" i="21"/>
  <c r="F276" i="21"/>
  <c r="G276" i="21"/>
  <c r="D259" i="21"/>
  <c r="E259" i="21"/>
  <c r="F259" i="21"/>
  <c r="G259" i="21"/>
  <c r="D260" i="21"/>
  <c r="E260" i="21"/>
  <c r="F260" i="21"/>
  <c r="G260" i="21"/>
  <c r="D251" i="21"/>
  <c r="E251" i="21"/>
  <c r="F251" i="21"/>
  <c r="G251" i="21"/>
  <c r="D250" i="21"/>
  <c r="E250" i="21"/>
  <c r="F250" i="21"/>
  <c r="G250" i="21"/>
  <c r="D248" i="21"/>
  <c r="E248" i="21"/>
  <c r="F248" i="21"/>
  <c r="G248" i="21"/>
  <c r="D246" i="21"/>
  <c r="E246" i="21"/>
  <c r="F246" i="21"/>
  <c r="G246" i="21"/>
  <c r="D227" i="21"/>
  <c r="E227" i="21"/>
  <c r="F227" i="21"/>
  <c r="G227" i="21"/>
  <c r="D228" i="21"/>
  <c r="E228" i="21"/>
  <c r="F228" i="21"/>
  <c r="G228" i="21"/>
  <c r="D221" i="21"/>
  <c r="E221" i="21"/>
  <c r="F221" i="21"/>
  <c r="G221" i="21"/>
  <c r="D222" i="21"/>
  <c r="E222" i="21"/>
  <c r="F222" i="21"/>
  <c r="G222" i="21"/>
  <c r="D209" i="21"/>
  <c r="E209" i="21"/>
  <c r="F209" i="21"/>
  <c r="G209" i="21"/>
  <c r="D205" i="21"/>
  <c r="E205" i="21"/>
  <c r="F205" i="21"/>
  <c r="G205" i="21"/>
  <c r="D192" i="21"/>
  <c r="E192" i="21"/>
  <c r="F192" i="21"/>
  <c r="G192" i="21"/>
  <c r="D193" i="21"/>
  <c r="E193" i="21"/>
  <c r="F193" i="21"/>
  <c r="G193" i="21"/>
  <c r="D194" i="21"/>
  <c r="E194" i="21"/>
  <c r="F194" i="21"/>
  <c r="G194" i="21"/>
  <c r="D195" i="21"/>
  <c r="E195" i="21"/>
  <c r="F195" i="21"/>
  <c r="G195" i="21"/>
  <c r="D183" i="21"/>
  <c r="E183" i="21"/>
  <c r="F183" i="21"/>
  <c r="G183" i="21"/>
  <c r="D166" i="21"/>
  <c r="E166" i="21"/>
  <c r="F166" i="21"/>
  <c r="G166" i="21"/>
  <c r="D167" i="21"/>
  <c r="E167" i="21"/>
  <c r="F167" i="21"/>
  <c r="G167" i="21"/>
  <c r="D164" i="21"/>
  <c r="E164" i="21"/>
  <c r="F164" i="21"/>
  <c r="G164" i="21"/>
  <c r="D163" i="21"/>
  <c r="E163" i="21"/>
  <c r="F163" i="21"/>
  <c r="G163" i="21"/>
  <c r="D165" i="21"/>
  <c r="E165" i="21"/>
  <c r="F165" i="21"/>
  <c r="G165" i="21"/>
  <c r="D152" i="21"/>
  <c r="E152" i="21"/>
  <c r="F152" i="21"/>
  <c r="G152" i="21"/>
  <c r="D150" i="21"/>
  <c r="E150" i="21"/>
  <c r="F150" i="21"/>
  <c r="G150" i="21"/>
  <c r="D151" i="21"/>
  <c r="E151" i="21"/>
  <c r="F151" i="21"/>
  <c r="G151" i="21"/>
  <c r="D136" i="21"/>
  <c r="E136" i="21"/>
  <c r="F136" i="21"/>
  <c r="G136" i="21"/>
  <c r="D140" i="21"/>
  <c r="E140" i="21"/>
  <c r="F140" i="21"/>
  <c r="G140" i="21"/>
  <c r="D132" i="21"/>
  <c r="E132" i="21"/>
  <c r="F132" i="21"/>
  <c r="G132" i="21"/>
  <c r="D133" i="21"/>
  <c r="E133" i="21"/>
  <c r="F133" i="21"/>
  <c r="G133" i="21"/>
  <c r="D118" i="21"/>
  <c r="E118" i="21"/>
  <c r="F118" i="21"/>
  <c r="G118" i="21"/>
  <c r="D119" i="21"/>
  <c r="E119" i="21"/>
  <c r="F119" i="21"/>
  <c r="G119" i="21"/>
  <c r="D112" i="21"/>
  <c r="E112" i="21"/>
  <c r="F112" i="21"/>
  <c r="G112" i="21"/>
  <c r="D111" i="21"/>
  <c r="E111" i="21"/>
  <c r="F111" i="21"/>
  <c r="G111" i="21"/>
  <c r="D110" i="21"/>
  <c r="E110" i="21"/>
  <c r="F110" i="21"/>
  <c r="G110" i="21"/>
  <c r="D105" i="21"/>
  <c r="E105" i="21"/>
  <c r="F105" i="21"/>
  <c r="G105" i="21"/>
  <c r="D102" i="21"/>
  <c r="E102" i="21"/>
  <c r="F102" i="21"/>
  <c r="G102" i="21"/>
  <c r="D89" i="21"/>
  <c r="E89" i="21"/>
  <c r="F89" i="21"/>
  <c r="G89" i="21"/>
  <c r="D90" i="21"/>
  <c r="E90" i="21"/>
  <c r="F90" i="21"/>
  <c r="G90" i="21"/>
  <c r="D91" i="21"/>
  <c r="E91" i="21"/>
  <c r="F91" i="21"/>
  <c r="G91" i="21"/>
  <c r="D92" i="21"/>
  <c r="E92" i="21"/>
  <c r="F92" i="21"/>
  <c r="G92" i="21"/>
  <c r="D93" i="21"/>
  <c r="E93" i="21"/>
  <c r="F93" i="21"/>
  <c r="G93" i="21"/>
  <c r="D94" i="21"/>
  <c r="E94" i="21"/>
  <c r="F94" i="21"/>
  <c r="G94" i="21"/>
  <c r="D95" i="21"/>
  <c r="E95" i="21"/>
  <c r="F95" i="21"/>
  <c r="G95" i="21"/>
  <c r="D60" i="21"/>
  <c r="E60" i="21"/>
  <c r="F60" i="21"/>
  <c r="G60" i="21"/>
  <c r="D61" i="21"/>
  <c r="E61" i="21"/>
  <c r="F61" i="21"/>
  <c r="G61" i="21"/>
  <c r="D62" i="21"/>
  <c r="E62" i="21"/>
  <c r="F62" i="21"/>
  <c r="G62" i="21"/>
  <c r="D63" i="21"/>
  <c r="E63" i="21"/>
  <c r="F63" i="21"/>
  <c r="G63" i="21"/>
  <c r="D64" i="21"/>
  <c r="E64" i="21"/>
  <c r="F64" i="21"/>
  <c r="G64" i="21"/>
  <c r="D65" i="21"/>
  <c r="E65" i="21"/>
  <c r="F65" i="21"/>
  <c r="G65" i="21"/>
  <c r="D66" i="21"/>
  <c r="E66" i="21"/>
  <c r="F66" i="21"/>
  <c r="G66" i="21"/>
  <c r="D67" i="21"/>
  <c r="E67" i="21"/>
  <c r="F67" i="21"/>
  <c r="G67" i="21"/>
  <c r="D55" i="21"/>
  <c r="E55" i="21"/>
  <c r="F55" i="21"/>
  <c r="G55" i="21"/>
  <c r="D54" i="21"/>
  <c r="E54" i="21"/>
  <c r="F54" i="21"/>
  <c r="G54" i="21"/>
  <c r="D53" i="21"/>
  <c r="E53" i="21"/>
  <c r="F53" i="21"/>
  <c r="G53" i="21"/>
  <c r="D52" i="21"/>
  <c r="E52" i="21"/>
  <c r="F52" i="21"/>
  <c r="G52" i="21"/>
  <c r="D50" i="21"/>
  <c r="E50" i="21"/>
  <c r="F50" i="21"/>
  <c r="G50" i="21"/>
  <c r="D49" i="21"/>
  <c r="E49" i="21"/>
  <c r="F49" i="21"/>
  <c r="G49" i="21"/>
  <c r="D48" i="21"/>
  <c r="E48" i="21"/>
  <c r="F48" i="21"/>
  <c r="G48" i="21"/>
  <c r="G47" i="21"/>
  <c r="F47" i="21"/>
  <c r="E47" i="21"/>
  <c r="D47" i="21"/>
  <c r="G46" i="21"/>
  <c r="F46" i="21"/>
  <c r="E46" i="21"/>
  <c r="D46" i="21"/>
  <c r="G44" i="21"/>
  <c r="F44" i="21"/>
  <c r="E44" i="21"/>
  <c r="D44" i="21"/>
  <c r="D39" i="21"/>
  <c r="E39" i="21"/>
  <c r="F39" i="21"/>
  <c r="G39" i="21"/>
  <c r="D23" i="21"/>
  <c r="E23" i="21"/>
  <c r="F23" i="21"/>
  <c r="G23" i="21"/>
  <c r="D9" i="21"/>
  <c r="E9" i="21"/>
  <c r="F9" i="21"/>
  <c r="G9"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2" i="12"/>
  <c r="L33" i="12" l="1"/>
  <c r="L34" i="12"/>
  <c r="L35" i="12"/>
  <c r="L36" i="12"/>
  <c r="L37" i="12"/>
  <c r="L45" i="12"/>
  <c r="L46" i="12"/>
  <c r="L47" i="12"/>
  <c r="L48" i="12"/>
  <c r="L49" i="12"/>
  <c r="L57" i="12"/>
  <c r="L58" i="12"/>
  <c r="L59" i="12"/>
  <c r="L60" i="12"/>
  <c r="L61" i="12"/>
  <c r="L70" i="12"/>
  <c r="L71" i="12"/>
  <c r="L72" i="12"/>
  <c r="L73" i="12"/>
  <c r="L81" i="12"/>
  <c r="L82" i="12"/>
  <c r="L83" i="12"/>
  <c r="L84" i="12"/>
  <c r="L85" i="12"/>
  <c r="L93" i="12"/>
  <c r="L94" i="12"/>
  <c r="L95" i="12"/>
  <c r="L96" i="12"/>
  <c r="L97" i="12"/>
  <c r="L105" i="12"/>
  <c r="L106" i="12"/>
  <c r="L107" i="12"/>
  <c r="L108" i="12"/>
  <c r="L109" i="12"/>
  <c r="L129" i="12"/>
  <c r="L130" i="12"/>
  <c r="L131" i="12"/>
  <c r="L132" i="12"/>
  <c r="L133" i="12"/>
  <c r="L134" i="12"/>
  <c r="L135" i="12"/>
  <c r="L136" i="12"/>
  <c r="L137" i="12"/>
  <c r="L138" i="12"/>
  <c r="L139" i="12"/>
  <c r="L140" i="12"/>
  <c r="L141" i="12"/>
  <c r="L142" i="12"/>
  <c r="L143" i="12"/>
  <c r="L144" i="12"/>
  <c r="L145" i="12"/>
  <c r="L153" i="12"/>
  <c r="L154" i="12"/>
  <c r="L155" i="12"/>
  <c r="L156" i="12"/>
  <c r="L157" i="12"/>
  <c r="L165" i="12"/>
  <c r="L166" i="12"/>
  <c r="L167" i="12"/>
  <c r="L168" i="12"/>
  <c r="L169" i="12"/>
  <c r="L177" i="12"/>
  <c r="L178" i="12"/>
  <c r="L179" i="12"/>
  <c r="L180" i="12"/>
  <c r="L181" i="12"/>
  <c r="L189" i="12"/>
  <c r="L190" i="12"/>
  <c r="L191" i="12"/>
  <c r="L192" i="12"/>
  <c r="L193" i="12"/>
  <c r="L202" i="12"/>
  <c r="L203" i="12"/>
  <c r="L204" i="12"/>
  <c r="L205" i="12"/>
  <c r="L213" i="12"/>
  <c r="L214" i="12"/>
  <c r="L215" i="12"/>
  <c r="L216" i="12"/>
  <c r="L217" i="12"/>
  <c r="L218" i="12"/>
  <c r="L219" i="12"/>
  <c r="L220" i="12"/>
  <c r="L221" i="12"/>
  <c r="L222"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66" i="12"/>
  <c r="L267" i="12"/>
  <c r="L268" i="12"/>
  <c r="L269" i="12"/>
  <c r="L270" i="12"/>
  <c r="L272" i="12"/>
  <c r="L273" i="12"/>
  <c r="L274" i="12"/>
  <c r="L275" i="12"/>
  <c r="L276" i="12"/>
  <c r="L277" i="12"/>
  <c r="L278" i="12"/>
  <c r="L279" i="12"/>
  <c r="L281" i="12"/>
  <c r="L282" i="12"/>
  <c r="L284" i="12"/>
  <c r="L285" i="12"/>
  <c r="L286" i="12"/>
  <c r="L287" i="12"/>
  <c r="L288" i="12"/>
  <c r="L289" i="12"/>
  <c r="L302" i="12"/>
  <c r="L303" i="12"/>
  <c r="L304" i="12"/>
  <c r="L305" i="12"/>
  <c r="L306" i="12"/>
  <c r="L307" i="12"/>
  <c r="L308" i="12"/>
  <c r="L309" i="12"/>
  <c r="L310" i="12"/>
  <c r="L311" i="12"/>
  <c r="L312" i="12"/>
  <c r="L313" i="12"/>
  <c r="L314" i="12"/>
  <c r="L315" i="12"/>
  <c r="L316"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7" i="12"/>
  <c r="L478" i="12"/>
  <c r="L479" i="12"/>
  <c r="L480" i="12"/>
  <c r="L481" i="12"/>
  <c r="L482" i="12"/>
  <c r="L483" i="12"/>
  <c r="L484" i="12"/>
  <c r="L485" i="12"/>
  <c r="L486" i="12"/>
  <c r="L488" i="12"/>
  <c r="L489" i="12"/>
  <c r="L490" i="12"/>
  <c r="L491" i="12"/>
  <c r="L492" i="12"/>
  <c r="L493" i="12"/>
  <c r="L494" i="12"/>
  <c r="L495" i="12"/>
  <c r="L496" i="12"/>
  <c r="L497" i="12"/>
  <c r="L498"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3" i="12"/>
  <c r="L574" i="12"/>
  <c r="L575" i="12"/>
  <c r="L576" i="12"/>
  <c r="L577" i="12"/>
  <c r="L578" i="12"/>
  <c r="L579" i="12"/>
  <c r="L580" i="12"/>
  <c r="L581" i="12"/>
  <c r="L582" i="12"/>
  <c r="L583" i="12"/>
  <c r="L584" i="12"/>
  <c r="L585" i="12"/>
  <c r="L586" i="12"/>
  <c r="L587" i="12"/>
  <c r="L588" i="12"/>
  <c r="L589" i="12"/>
  <c r="L602" i="12"/>
  <c r="L603" i="12"/>
  <c r="L604" i="12"/>
  <c r="L605" i="12"/>
  <c r="L606" i="12"/>
  <c r="L607" i="12"/>
  <c r="L608" i="12"/>
  <c r="L609" i="12"/>
  <c r="L610" i="12"/>
  <c r="L611" i="12"/>
  <c r="L612" i="12"/>
  <c r="L613" i="12"/>
  <c r="L614" i="12"/>
  <c r="L615" i="12"/>
  <c r="L616" i="12"/>
  <c r="L617" i="12"/>
  <c r="L618"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L688" i="12"/>
  <c r="L689" i="12"/>
  <c r="L690" i="12"/>
  <c r="L691" i="12"/>
  <c r="L692" i="12"/>
  <c r="L693" i="12"/>
  <c r="L694" i="12"/>
  <c r="L695" i="12"/>
  <c r="L696" i="12"/>
  <c r="L697" i="12"/>
  <c r="L698" i="12"/>
  <c r="L699" i="12"/>
  <c r="L700" i="12"/>
  <c r="L701" i="12"/>
  <c r="L702" i="12"/>
  <c r="L703" i="12"/>
  <c r="L705" i="12"/>
  <c r="L706" i="12"/>
  <c r="L707" i="12"/>
  <c r="L708" i="12"/>
  <c r="L709" i="12"/>
  <c r="Q17" i="14"/>
  <c r="U19" i="14"/>
  <c r="U2" i="14"/>
  <c r="U3" i="14"/>
  <c r="U4" i="14"/>
  <c r="U5" i="14"/>
  <c r="U6" i="14"/>
  <c r="U7" i="14"/>
  <c r="U8" i="14"/>
  <c r="U9" i="14"/>
  <c r="U10" i="14"/>
  <c r="U12" i="14"/>
  <c r="U13" i="14"/>
  <c r="U14" i="14"/>
  <c r="U15" i="14"/>
  <c r="U16" i="14"/>
  <c r="U17" i="14"/>
  <c r="U18" i="14"/>
  <c r="U20" i="14"/>
  <c r="U21" i="14"/>
  <c r="U22" i="14"/>
  <c r="U24" i="14"/>
  <c r="U25"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7" i="14"/>
  <c r="U58" i="14"/>
  <c r="U59" i="14"/>
  <c r="U60" i="14"/>
  <c r="M257" i="12" l="1"/>
  <c r="W5" i="8" s="1"/>
  <c r="M261" i="12"/>
  <c r="W9" i="8" s="1"/>
  <c r="M254" i="12"/>
  <c r="W2" i="8" s="1"/>
  <c r="M258" i="12"/>
  <c r="W6" i="8" s="1"/>
  <c r="M255" i="12"/>
  <c r="W3" i="8" s="1"/>
  <c r="M259" i="12"/>
  <c r="W7" i="8" s="1"/>
  <c r="M256" i="12"/>
  <c r="W4" i="8" s="1"/>
  <c r="M260" i="12"/>
  <c r="W8" i="8" s="1"/>
  <c r="M110" i="12"/>
  <c r="K2" i="8" s="1"/>
  <c r="M111" i="12"/>
  <c r="K3" i="8" s="1"/>
  <c r="M112" i="12"/>
  <c r="K4" i="8" s="1"/>
  <c r="M115" i="12"/>
  <c r="K7" i="8" s="1"/>
  <c r="M117" i="12"/>
  <c r="K9" i="8" s="1"/>
  <c r="M114" i="12"/>
  <c r="K6" i="8" s="1"/>
  <c r="M116" i="12"/>
  <c r="K8" i="8" s="1"/>
  <c r="M118" i="12"/>
  <c r="K10" i="8" s="1"/>
  <c r="M113" i="12"/>
  <c r="K5" i="8" s="1"/>
  <c r="M590" i="12"/>
  <c r="AY2" i="8" s="1"/>
  <c r="M594" i="12"/>
  <c r="AY6" i="8" s="1"/>
  <c r="M598" i="12"/>
  <c r="AY10" i="8" s="1"/>
  <c r="M591" i="12"/>
  <c r="AY3" i="8" s="1"/>
  <c r="M595" i="12"/>
  <c r="AY7" i="8" s="1"/>
  <c r="M592" i="12"/>
  <c r="AY4" i="8" s="1"/>
  <c r="M596" i="12"/>
  <c r="AY8" i="8" s="1"/>
  <c r="M593" i="12"/>
  <c r="AY5" i="8" s="1"/>
  <c r="M597" i="12"/>
  <c r="AY9" i="8" s="1"/>
  <c r="M650" i="12"/>
  <c r="BD2" i="8" s="1"/>
  <c r="M654" i="12"/>
  <c r="BD6" i="8" s="1"/>
  <c r="M658" i="12"/>
  <c r="BD10" i="8" s="1"/>
  <c r="M651" i="12"/>
  <c r="BD3" i="8" s="1"/>
  <c r="M655" i="12"/>
  <c r="BD7" i="8" s="1"/>
  <c r="M652" i="12"/>
  <c r="BD4" i="8" s="1"/>
  <c r="M656" i="12"/>
  <c r="BD8" i="8" s="1"/>
  <c r="M657" i="12"/>
  <c r="BD9" i="8" s="1"/>
  <c r="M653" i="12"/>
  <c r="BD5" i="8" s="1"/>
  <c r="F3" i="5"/>
  <c r="F6" i="5"/>
  <c r="D313" i="21"/>
  <c r="E313" i="21"/>
  <c r="F313" i="21"/>
  <c r="G313" i="21"/>
  <c r="D294" i="21"/>
  <c r="E294" i="21"/>
  <c r="F294" i="21"/>
  <c r="G294" i="21"/>
  <c r="D295" i="21"/>
  <c r="E295" i="21"/>
  <c r="F295" i="21"/>
  <c r="G295" i="21"/>
  <c r="D296" i="21"/>
  <c r="E296" i="21"/>
  <c r="F296" i="21"/>
  <c r="G296" i="21"/>
  <c r="D265" i="21"/>
  <c r="E265" i="21"/>
  <c r="F265" i="21"/>
  <c r="G265" i="21"/>
  <c r="D243" i="21"/>
  <c r="E243" i="21"/>
  <c r="F243" i="21"/>
  <c r="G243" i="21"/>
  <c r="D244" i="21"/>
  <c r="E244" i="21"/>
  <c r="F244" i="21"/>
  <c r="G244" i="21"/>
  <c r="D241" i="21"/>
  <c r="E241" i="21"/>
  <c r="F241" i="21"/>
  <c r="G241" i="21"/>
  <c r="D220" i="21"/>
  <c r="E220" i="21"/>
  <c r="F220" i="21"/>
  <c r="G220" i="21"/>
  <c r="D201" i="21"/>
  <c r="E201" i="21"/>
  <c r="F201" i="21"/>
  <c r="G201" i="21"/>
  <c r="D203" i="21"/>
  <c r="E203" i="21"/>
  <c r="F203" i="21"/>
  <c r="G203" i="21"/>
  <c r="D200" i="21"/>
  <c r="E200" i="21"/>
  <c r="F200" i="21"/>
  <c r="G200" i="21"/>
  <c r="D202" i="21"/>
  <c r="E202" i="21"/>
  <c r="F202" i="21"/>
  <c r="G202" i="21"/>
  <c r="D204" i="21"/>
  <c r="E204" i="21"/>
  <c r="F204" i="21"/>
  <c r="G204" i="21"/>
  <c r="D191" i="21"/>
  <c r="E191" i="21"/>
  <c r="F191" i="21"/>
  <c r="G191" i="21"/>
  <c r="D168" i="21"/>
  <c r="E168" i="21"/>
  <c r="F168" i="21"/>
  <c r="G168" i="21"/>
  <c r="D169" i="21"/>
  <c r="E169" i="21"/>
  <c r="F169" i="21"/>
  <c r="G169" i="21"/>
  <c r="D170" i="21"/>
  <c r="E170" i="21"/>
  <c r="F170" i="21"/>
  <c r="G170" i="21"/>
  <c r="D171" i="21"/>
  <c r="E171" i="21"/>
  <c r="F171" i="21"/>
  <c r="G171" i="21"/>
  <c r="D172" i="21"/>
  <c r="E172" i="21"/>
  <c r="F172" i="21"/>
  <c r="G172" i="21"/>
  <c r="D173" i="21"/>
  <c r="E173" i="21"/>
  <c r="F173" i="21"/>
  <c r="G173" i="21"/>
  <c r="D174" i="21"/>
  <c r="E174" i="21"/>
  <c r="F174" i="21"/>
  <c r="G174" i="21"/>
  <c r="D162" i="21"/>
  <c r="E162" i="21"/>
  <c r="F162" i="21"/>
  <c r="G162" i="21"/>
  <c r="D147" i="21"/>
  <c r="E147" i="21"/>
  <c r="F147" i="21"/>
  <c r="G147" i="21"/>
  <c r="D134" i="21"/>
  <c r="E134" i="21"/>
  <c r="F134" i="21"/>
  <c r="G134" i="21"/>
  <c r="D131" i="21"/>
  <c r="E131" i="21"/>
  <c r="F131" i="21"/>
  <c r="G131" i="21"/>
  <c r="D114" i="21"/>
  <c r="E114" i="21"/>
  <c r="F114" i="21"/>
  <c r="G114" i="21"/>
  <c r="D115" i="21"/>
  <c r="E115" i="21"/>
  <c r="F115" i="21"/>
  <c r="G115" i="21"/>
  <c r="D109" i="21"/>
  <c r="E109" i="21"/>
  <c r="F109" i="21"/>
  <c r="G109" i="21"/>
  <c r="D14" i="5"/>
  <c r="F14" i="5"/>
  <c r="G14" i="5" s="1"/>
  <c r="I14" i="5"/>
  <c r="L14" i="5"/>
  <c r="L15" i="5" s="1"/>
  <c r="M14" i="5"/>
  <c r="M15" i="5" s="1"/>
  <c r="M16" i="5" s="1"/>
  <c r="M17" i="5" s="1"/>
  <c r="M18" i="5" s="1"/>
  <c r="M19" i="5" s="1"/>
  <c r="M20" i="5" s="1"/>
  <c r="M21" i="5" s="1"/>
  <c r="M22" i="5" s="1"/>
  <c r="M23" i="5" s="1"/>
  <c r="M24" i="5" s="1"/>
  <c r="M25" i="5" s="1"/>
  <c r="D15" i="5"/>
  <c r="F15" i="5"/>
  <c r="I15" i="5"/>
  <c r="D16" i="5"/>
  <c r="F16" i="5"/>
  <c r="G16" i="5" s="1"/>
  <c r="I16" i="5"/>
  <c r="D17" i="5"/>
  <c r="F17" i="5"/>
  <c r="I17" i="5"/>
  <c r="D18" i="5"/>
  <c r="F18" i="5"/>
  <c r="I18" i="5"/>
  <c r="D19" i="5"/>
  <c r="F19" i="5"/>
  <c r="I19" i="5"/>
  <c r="D20" i="5"/>
  <c r="F20" i="5"/>
  <c r="G20" i="5" s="1"/>
  <c r="I20" i="5"/>
  <c r="D21" i="5"/>
  <c r="F21" i="5"/>
  <c r="I21" i="5"/>
  <c r="D22" i="5"/>
  <c r="F22" i="5"/>
  <c r="I22" i="5"/>
  <c r="D23" i="5"/>
  <c r="F23" i="5"/>
  <c r="I23" i="5"/>
  <c r="D24" i="5"/>
  <c r="F24" i="5"/>
  <c r="I24" i="5"/>
  <c r="D25" i="5"/>
  <c r="F25" i="5"/>
  <c r="I25" i="5"/>
  <c r="G22" i="5" l="1"/>
  <c r="G18" i="5"/>
  <c r="G25" i="5"/>
  <c r="G17" i="5"/>
  <c r="L16" i="5"/>
  <c r="L17" i="5" s="1"/>
  <c r="L18" i="5" s="1"/>
  <c r="L19" i="5" s="1"/>
  <c r="L20" i="5" s="1"/>
  <c r="L21" i="5" s="1"/>
  <c r="L22" i="5" s="1"/>
  <c r="L23" i="5" s="1"/>
  <c r="L24" i="5" s="1"/>
  <c r="L25" i="5" s="1"/>
  <c r="H25" i="5"/>
  <c r="H22" i="5"/>
  <c r="H14" i="5"/>
  <c r="H20" i="5"/>
  <c r="H18" i="5"/>
  <c r="H17" i="5"/>
  <c r="H24" i="5"/>
  <c r="H21" i="5"/>
  <c r="H19" i="5"/>
  <c r="H15" i="5"/>
  <c r="H23" i="5"/>
  <c r="H16" i="5"/>
  <c r="L2" i="5"/>
  <c r="J3" i="14"/>
  <c r="G19" i="5"/>
  <c r="G15" i="5"/>
  <c r="G23" i="5"/>
  <c r="G21" i="5"/>
  <c r="G24" i="5"/>
  <c r="F13" i="5" l="1"/>
  <c r="M2" i="14"/>
  <c r="M3" i="14"/>
  <c r="M4" i="14"/>
  <c r="M5" i="14"/>
  <c r="M6" i="14"/>
  <c r="M7" i="14"/>
  <c r="M8" i="14"/>
  <c r="M9" i="14"/>
  <c r="M10" i="14"/>
  <c r="M12" i="14"/>
  <c r="M13" i="14"/>
  <c r="M14" i="14"/>
  <c r="M15" i="14"/>
  <c r="M16" i="14"/>
  <c r="M17" i="14"/>
  <c r="M18" i="14"/>
  <c r="M19" i="14"/>
  <c r="M20" i="14"/>
  <c r="M21" i="14"/>
  <c r="M22" i="14"/>
  <c r="M24" i="14"/>
  <c r="M25"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7" i="14"/>
  <c r="M58" i="14"/>
  <c r="M59" i="14"/>
  <c r="M60" i="14"/>
  <c r="J2" i="14"/>
  <c r="J4" i="14"/>
  <c r="J5" i="14"/>
  <c r="J6" i="14"/>
  <c r="J7" i="14"/>
  <c r="J8" i="14"/>
  <c r="J9" i="14"/>
  <c r="J10" i="14"/>
  <c r="J12" i="14"/>
  <c r="J13" i="14"/>
  <c r="J14" i="14"/>
  <c r="J15" i="14"/>
  <c r="J16" i="14"/>
  <c r="J17" i="14"/>
  <c r="J18" i="14"/>
  <c r="J19" i="14"/>
  <c r="J20" i="14"/>
  <c r="J21" i="14"/>
  <c r="J22" i="14"/>
  <c r="J24" i="14"/>
  <c r="J25"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7" i="14"/>
  <c r="J58" i="14"/>
  <c r="J59" i="14"/>
  <c r="J60" i="14"/>
  <c r="W2" i="14"/>
  <c r="X2" i="14" s="1"/>
  <c r="W3" i="14"/>
  <c r="X3" i="14" s="1"/>
  <c r="W4" i="14"/>
  <c r="X4" i="14" s="1"/>
  <c r="W5" i="14"/>
  <c r="X5" i="14" s="1"/>
  <c r="W6" i="14"/>
  <c r="X6" i="14" s="1"/>
  <c r="W7" i="14"/>
  <c r="X7" i="14" s="1"/>
  <c r="W8" i="14"/>
  <c r="X8" i="14" s="1"/>
  <c r="W9" i="14"/>
  <c r="X9" i="14" s="1"/>
  <c r="W10" i="14"/>
  <c r="X10"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4" i="14"/>
  <c r="X24" i="14" s="1"/>
  <c r="W25" i="14"/>
  <c r="X25" i="14" s="1"/>
  <c r="W27" i="14"/>
  <c r="X27"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39" i="14"/>
  <c r="X39" i="14" s="1"/>
  <c r="W40" i="14"/>
  <c r="X40" i="14" s="1"/>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7" i="14"/>
  <c r="X57" i="14" s="1"/>
  <c r="W58" i="14"/>
  <c r="X58" i="14" s="1"/>
  <c r="W59" i="14"/>
  <c r="X59" i="14" s="1"/>
  <c r="W60" i="14"/>
  <c r="X60" i="14" s="1"/>
  <c r="Q2" i="14"/>
  <c r="Q3" i="14"/>
  <c r="Q4" i="14"/>
  <c r="Q5" i="14"/>
  <c r="Q6" i="14"/>
  <c r="Q7" i="14"/>
  <c r="Q8" i="14"/>
  <c r="Q9" i="14"/>
  <c r="Q10" i="14"/>
  <c r="Q12" i="14"/>
  <c r="Q13" i="14"/>
  <c r="Q14" i="14"/>
  <c r="Q15" i="14"/>
  <c r="Q16" i="14"/>
  <c r="Q18" i="14"/>
  <c r="Q19" i="14"/>
  <c r="Q20" i="14"/>
  <c r="Q21" i="14"/>
  <c r="Q22" i="14"/>
  <c r="Q24" i="14"/>
  <c r="Q25"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7" i="14"/>
  <c r="Q58" i="14"/>
  <c r="Q59" i="14"/>
  <c r="Q60"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66" i="5"/>
  <c r="S267" i="5"/>
  <c r="S268" i="5"/>
  <c r="S269" i="5"/>
  <c r="S270" i="5"/>
  <c r="S271" i="5"/>
  <c r="S272" i="5"/>
  <c r="S273" i="5"/>
  <c r="S274" i="5"/>
  <c r="S275" i="5"/>
  <c r="S276" i="5"/>
  <c r="S277" i="5"/>
  <c r="S278" i="5"/>
  <c r="S279" i="5"/>
  <c r="S280" i="5"/>
  <c r="S281" i="5"/>
  <c r="S282" i="5"/>
  <c r="S283" i="5"/>
  <c r="S284" i="5"/>
  <c r="S285" i="5"/>
  <c r="S286" i="5"/>
  <c r="S287" i="5"/>
  <c r="S288" i="5"/>
  <c r="S289"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66" i="5"/>
  <c r="Q267" i="5"/>
  <c r="Q268" i="5"/>
  <c r="Q269" i="5"/>
  <c r="Q270" i="5"/>
  <c r="Q271" i="5"/>
  <c r="Q272" i="5"/>
  <c r="Q273" i="5"/>
  <c r="Q274" i="5"/>
  <c r="Q275" i="5"/>
  <c r="Q276" i="5"/>
  <c r="Q277" i="5"/>
  <c r="Q278" i="5"/>
  <c r="Q279" i="5"/>
  <c r="Q280" i="5"/>
  <c r="Q281" i="5"/>
  <c r="Q283" i="5"/>
  <c r="Q284" i="5"/>
  <c r="Q285" i="5"/>
  <c r="Q286" i="5"/>
  <c r="Q287" i="5"/>
  <c r="Q288" i="5"/>
  <c r="Q289"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66" i="5"/>
  <c r="O267" i="5"/>
  <c r="O268" i="5"/>
  <c r="O269" i="5"/>
  <c r="O270" i="5"/>
  <c r="O271" i="5"/>
  <c r="O272" i="5"/>
  <c r="O273" i="5"/>
  <c r="O274" i="5"/>
  <c r="O275" i="5"/>
  <c r="O276" i="5"/>
  <c r="O277" i="5"/>
  <c r="O278" i="5"/>
  <c r="O279" i="5"/>
  <c r="O280" i="5"/>
  <c r="O281" i="5"/>
  <c r="O282" i="5"/>
  <c r="O283" i="5"/>
  <c r="O284" i="5"/>
  <c r="O285" i="5"/>
  <c r="O286" i="5"/>
  <c r="O287" i="5"/>
  <c r="O288" i="5"/>
  <c r="O289"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30"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2" i="5"/>
  <c r="O698" i="27" l="1"/>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22" i="27"/>
  <c r="O123" i="27" s="1"/>
  <c r="O124" i="27" s="1"/>
  <c r="O125" i="27" s="1"/>
  <c r="O126" i="27" s="1"/>
  <c r="O127" i="27" s="1"/>
  <c r="O128" i="27" s="1"/>
  <c r="O129" i="27" s="1"/>
  <c r="O130" i="27" s="1"/>
  <c r="O131" i="27" s="1"/>
  <c r="O132" i="27" s="1"/>
  <c r="O133" i="27" s="1"/>
  <c r="N122" i="27"/>
  <c r="N123" i="27" s="1"/>
  <c r="N124" i="27" s="1"/>
  <c r="N125" i="27" s="1"/>
  <c r="N126" i="27" s="1"/>
  <c r="N127" i="27" s="1"/>
  <c r="N128" i="27" s="1"/>
  <c r="N129" i="27" s="1"/>
  <c r="N130" i="27" s="1"/>
  <c r="N131" i="27" s="1"/>
  <c r="N132" i="27" s="1"/>
  <c r="N133"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98" i="5" l="1"/>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98" i="5"/>
  <c r="M99" i="5" s="1"/>
  <c r="M100" i="5" s="1"/>
  <c r="M101" i="5" s="1"/>
  <c r="M102" i="5" s="1"/>
  <c r="M103" i="5" s="1"/>
  <c r="M104" i="5" s="1"/>
  <c r="M105" i="5" s="1"/>
  <c r="M106" i="5" s="1"/>
  <c r="M107" i="5" s="1"/>
  <c r="M108" i="5" s="1"/>
  <c r="M109" i="5" s="1"/>
  <c r="L698" i="5"/>
  <c r="L686" i="5"/>
  <c r="L674" i="5"/>
  <c r="L662" i="5"/>
  <c r="L663" i="5" s="1"/>
  <c r="L638" i="5"/>
  <c r="L626" i="5"/>
  <c r="L614" i="5"/>
  <c r="L615" i="5" s="1"/>
  <c r="L602" i="5"/>
  <c r="L578" i="5"/>
  <c r="L566" i="5"/>
  <c r="L554" i="5"/>
  <c r="L555" i="5" s="1"/>
  <c r="L542" i="5"/>
  <c r="L543" i="5" s="1"/>
  <c r="L530" i="5"/>
  <c r="L518" i="5"/>
  <c r="L506" i="5"/>
  <c r="L494" i="5"/>
  <c r="L482" i="5"/>
  <c r="L470" i="5"/>
  <c r="L458" i="5"/>
  <c r="L446" i="5"/>
  <c r="L434" i="5"/>
  <c r="L422" i="5"/>
  <c r="L423" i="5" s="1"/>
  <c r="L410" i="5"/>
  <c r="L398" i="5"/>
  <c r="L386" i="5"/>
  <c r="L374" i="5"/>
  <c r="L362" i="5"/>
  <c r="L350" i="5"/>
  <c r="L351" i="5" s="1"/>
  <c r="L338" i="5"/>
  <c r="L326" i="5"/>
  <c r="L314" i="5"/>
  <c r="L302" i="5"/>
  <c r="L278" i="5"/>
  <c r="L266" i="5"/>
  <c r="L242" i="5"/>
  <c r="L230" i="5"/>
  <c r="L218" i="5"/>
  <c r="L219" i="5" s="1"/>
  <c r="L206" i="5"/>
  <c r="L207" i="5" s="1"/>
  <c r="L194" i="5"/>
  <c r="L182" i="5"/>
  <c r="L170" i="5"/>
  <c r="L158" i="5"/>
  <c r="L146" i="5"/>
  <c r="L134" i="5"/>
  <c r="L122"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99" i="5"/>
  <c r="L700" i="5" s="1"/>
  <c r="L701" i="5" s="1"/>
  <c r="L702" i="5" s="1"/>
  <c r="L703" i="5" s="1"/>
  <c r="L704" i="5" s="1"/>
  <c r="L705" i="5" s="1"/>
  <c r="L706" i="5" s="1"/>
  <c r="L707" i="5" s="1"/>
  <c r="L708" i="5" s="1"/>
  <c r="L709" i="5" s="1"/>
  <c r="L687" i="5"/>
  <c r="L688" i="5" s="1"/>
  <c r="L689" i="5" s="1"/>
  <c r="L690" i="5" s="1"/>
  <c r="L691" i="5" s="1"/>
  <c r="L692" i="5" s="1"/>
  <c r="L693" i="5" s="1"/>
  <c r="L694" i="5" s="1"/>
  <c r="L695" i="5" s="1"/>
  <c r="L696" i="5" s="1"/>
  <c r="L697" i="5" s="1"/>
  <c r="L675" i="5"/>
  <c r="L676" i="5" s="1"/>
  <c r="L677" i="5" s="1"/>
  <c r="L678" i="5" s="1"/>
  <c r="L679" i="5" s="1"/>
  <c r="L680" i="5" s="1"/>
  <c r="L681" i="5" s="1"/>
  <c r="L682" i="5" s="1"/>
  <c r="L683" i="5" s="1"/>
  <c r="L684" i="5" s="1"/>
  <c r="L685" i="5" s="1"/>
  <c r="L664" i="5"/>
  <c r="L665" i="5" s="1"/>
  <c r="L666" i="5" s="1"/>
  <c r="L667" i="5" s="1"/>
  <c r="L668" i="5" s="1"/>
  <c r="L669" i="5" s="1"/>
  <c r="L670" i="5" s="1"/>
  <c r="L671" i="5" s="1"/>
  <c r="L672" i="5" s="1"/>
  <c r="L67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6" i="5"/>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79" i="5"/>
  <c r="L580" i="5" s="1"/>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6" i="5"/>
  <c r="L557" i="5" s="1"/>
  <c r="L558" i="5" s="1"/>
  <c r="L559" i="5" s="1"/>
  <c r="L560" i="5" s="1"/>
  <c r="L561" i="5" s="1"/>
  <c r="L562" i="5" s="1"/>
  <c r="L563" i="5" s="1"/>
  <c r="L564" i="5" s="1"/>
  <c r="L565" i="5" s="1"/>
  <c r="L544" i="5"/>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4" i="5"/>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2" i="5"/>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20" i="5"/>
  <c r="L221" i="5" s="1"/>
  <c r="L222" i="5" s="1"/>
  <c r="L223" i="5" s="1"/>
  <c r="L224" i="5" s="1"/>
  <c r="L225" i="5" s="1"/>
  <c r="L226" i="5" s="1"/>
  <c r="L227" i="5" s="1"/>
  <c r="L228" i="5" s="1"/>
  <c r="L229" i="5" s="1"/>
  <c r="L208" i="5"/>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66" i="3"/>
  <c r="C267" i="3"/>
  <c r="C268" i="3"/>
  <c r="C269" i="3"/>
  <c r="C270" i="3"/>
  <c r="C271" i="3"/>
  <c r="C272" i="3"/>
  <c r="C273" i="3"/>
  <c r="C274" i="3"/>
  <c r="C275" i="3"/>
  <c r="C276" i="3"/>
  <c r="C277" i="3"/>
  <c r="C278" i="3"/>
  <c r="C279" i="3"/>
  <c r="C280" i="3"/>
  <c r="C281" i="3"/>
  <c r="C282" i="3"/>
  <c r="C283" i="3"/>
  <c r="C284" i="3"/>
  <c r="C285" i="3"/>
  <c r="C286" i="3"/>
  <c r="C287" i="3"/>
  <c r="C288" i="3"/>
  <c r="C289"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66" i="5"/>
  <c r="I267" i="5"/>
  <c r="I268" i="5"/>
  <c r="I269" i="5"/>
  <c r="I270" i="5"/>
  <c r="I271" i="5"/>
  <c r="I272" i="5"/>
  <c r="I273" i="5"/>
  <c r="I274" i="5"/>
  <c r="I275" i="5"/>
  <c r="I276" i="5"/>
  <c r="I277" i="5"/>
  <c r="I278" i="5"/>
  <c r="I279" i="5"/>
  <c r="I280" i="5"/>
  <c r="I281" i="5"/>
  <c r="I282" i="5"/>
  <c r="I283" i="5"/>
  <c r="I284" i="5"/>
  <c r="I285" i="5"/>
  <c r="I286" i="5"/>
  <c r="I287" i="5"/>
  <c r="I288" i="5"/>
  <c r="I289"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2" i="5"/>
  <c r="G334" i="21" l="1"/>
  <c r="F334" i="21"/>
  <c r="E334" i="21"/>
  <c r="D334" i="21"/>
  <c r="G330" i="21"/>
  <c r="F330" i="21"/>
  <c r="E330" i="21"/>
  <c r="D330" i="21"/>
  <c r="G329" i="21"/>
  <c r="F329" i="21"/>
  <c r="E329" i="21"/>
  <c r="D329" i="21"/>
  <c r="G325" i="21"/>
  <c r="F325" i="21"/>
  <c r="E325" i="21"/>
  <c r="D325" i="21"/>
  <c r="G324" i="21"/>
  <c r="F324" i="21"/>
  <c r="E324" i="21"/>
  <c r="D324" i="21"/>
  <c r="G323" i="21"/>
  <c r="F323" i="21"/>
  <c r="E323" i="21"/>
  <c r="D323" i="21"/>
  <c r="G322" i="21"/>
  <c r="F322" i="21"/>
  <c r="E322" i="21"/>
  <c r="D322" i="21"/>
  <c r="G318" i="21"/>
  <c r="F318" i="21"/>
  <c r="E318" i="21"/>
  <c r="D318" i="21"/>
  <c r="G315" i="21"/>
  <c r="F315" i="21"/>
  <c r="E315" i="21"/>
  <c r="D315"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5" i="21"/>
  <c r="F285" i="21"/>
  <c r="E285" i="21"/>
  <c r="D285" i="21"/>
  <c r="G284" i="21"/>
  <c r="F284" i="21"/>
  <c r="E284" i="21"/>
  <c r="D284" i="21"/>
  <c r="G283" i="21"/>
  <c r="F283" i="21"/>
  <c r="E283" i="21"/>
  <c r="D283" i="21"/>
  <c r="G281" i="21"/>
  <c r="F281" i="21"/>
  <c r="E281" i="21"/>
  <c r="D281" i="21"/>
  <c r="G280" i="21"/>
  <c r="F280" i="21"/>
  <c r="E280" i="21"/>
  <c r="D280" i="21"/>
  <c r="G279" i="21"/>
  <c r="F279" i="21"/>
  <c r="E279" i="21"/>
  <c r="D279" i="21"/>
  <c r="G278" i="21"/>
  <c r="F278" i="21"/>
  <c r="E278" i="21"/>
  <c r="D278" i="21"/>
  <c r="G277" i="21"/>
  <c r="F277" i="21"/>
  <c r="E277" i="21"/>
  <c r="D277" i="21"/>
  <c r="G275" i="21"/>
  <c r="F275" i="21"/>
  <c r="E275" i="21"/>
  <c r="D275"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4" i="21"/>
  <c r="F264" i="21"/>
  <c r="E264" i="21"/>
  <c r="D264"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49" i="21"/>
  <c r="F249" i="21"/>
  <c r="E249" i="21"/>
  <c r="D249" i="21"/>
  <c r="G247" i="21"/>
  <c r="F247" i="21"/>
  <c r="E247" i="21"/>
  <c r="D247" i="21"/>
  <c r="G245" i="21"/>
  <c r="F245" i="21"/>
  <c r="E245" i="21"/>
  <c r="D245" i="21"/>
  <c r="G242" i="21"/>
  <c r="F242" i="21"/>
  <c r="E242" i="21"/>
  <c r="D242"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0" i="21"/>
  <c r="F230" i="21"/>
  <c r="E230" i="21"/>
  <c r="D230" i="21"/>
  <c r="G226" i="21"/>
  <c r="F226" i="21"/>
  <c r="E226" i="21"/>
  <c r="D226"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8" i="21"/>
  <c r="F208" i="21"/>
  <c r="E208" i="21"/>
  <c r="D208" i="21"/>
  <c r="G207" i="21"/>
  <c r="F207" i="21"/>
  <c r="E207" i="21"/>
  <c r="D207" i="21"/>
  <c r="G199" i="21"/>
  <c r="F199" i="21"/>
  <c r="E199" i="21"/>
  <c r="D199"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77" i="21"/>
  <c r="F177" i="21"/>
  <c r="E177" i="21"/>
  <c r="D177" i="21"/>
  <c r="G161" i="21"/>
  <c r="F161" i="21"/>
  <c r="E161" i="21"/>
  <c r="D161" i="21"/>
  <c r="G157" i="21"/>
  <c r="F157" i="21"/>
  <c r="E157" i="21"/>
  <c r="D157" i="21"/>
  <c r="G156" i="21"/>
  <c r="F156" i="21"/>
  <c r="E156" i="21"/>
  <c r="D156" i="21"/>
  <c r="G155" i="21"/>
  <c r="F155" i="21"/>
  <c r="E155" i="21"/>
  <c r="D155" i="21"/>
  <c r="G154" i="21"/>
  <c r="F154" i="21"/>
  <c r="E154" i="21"/>
  <c r="D154" i="21"/>
  <c r="G153" i="21"/>
  <c r="F153" i="21"/>
  <c r="E153" i="21"/>
  <c r="D153" i="21"/>
  <c r="G149" i="21"/>
  <c r="F149" i="21"/>
  <c r="E149" i="21"/>
  <c r="D149" i="21"/>
  <c r="G148" i="21"/>
  <c r="F148" i="21"/>
  <c r="E148" i="21"/>
  <c r="D148" i="21"/>
  <c r="G146" i="21"/>
  <c r="F146" i="21"/>
  <c r="E146" i="21"/>
  <c r="D146" i="21"/>
  <c r="G144" i="21"/>
  <c r="F144" i="21"/>
  <c r="E144" i="21"/>
  <c r="D144" i="21"/>
  <c r="G143" i="21"/>
  <c r="F143" i="21"/>
  <c r="E143" i="21"/>
  <c r="D143" i="21"/>
  <c r="G141" i="21"/>
  <c r="F141" i="21"/>
  <c r="E141" i="21"/>
  <c r="D141" i="21"/>
  <c r="G138" i="21"/>
  <c r="F138" i="21"/>
  <c r="E138" i="21"/>
  <c r="D138" i="21"/>
  <c r="G137" i="21"/>
  <c r="F137" i="21"/>
  <c r="E137" i="21"/>
  <c r="D137" i="21"/>
  <c r="G135" i="21"/>
  <c r="F135" i="21"/>
  <c r="E135" i="21"/>
  <c r="D135" i="21"/>
  <c r="G130" i="21"/>
  <c r="F130" i="21"/>
  <c r="E130" i="21"/>
  <c r="D130" i="21"/>
  <c r="G126" i="21"/>
  <c r="F126" i="21"/>
  <c r="E126" i="21"/>
  <c r="D126" i="21"/>
  <c r="G125" i="21"/>
  <c r="F125" i="21"/>
  <c r="E125" i="21"/>
  <c r="D125" i="21"/>
  <c r="G123" i="21"/>
  <c r="F123" i="21"/>
  <c r="E123" i="21"/>
  <c r="D123" i="21"/>
  <c r="G121" i="21"/>
  <c r="F121" i="21"/>
  <c r="E121" i="21"/>
  <c r="D121" i="21"/>
  <c r="G120" i="21"/>
  <c r="F120" i="21"/>
  <c r="E120" i="21"/>
  <c r="D120" i="21"/>
  <c r="G113" i="21"/>
  <c r="F113" i="21"/>
  <c r="E113" i="21"/>
  <c r="D113" i="21"/>
  <c r="G108" i="21"/>
  <c r="F108" i="21"/>
  <c r="E108" i="21"/>
  <c r="D108" i="21"/>
  <c r="G106" i="21"/>
  <c r="F106" i="21"/>
  <c r="E106" i="21"/>
  <c r="D106" i="21"/>
  <c r="G104" i="21"/>
  <c r="F104" i="21"/>
  <c r="E104" i="21"/>
  <c r="D104" i="21"/>
  <c r="G103" i="21"/>
  <c r="F103" i="21"/>
  <c r="E103" i="21"/>
  <c r="D103"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68" i="21"/>
  <c r="F68" i="21"/>
  <c r="E68" i="21"/>
  <c r="D68" i="21"/>
  <c r="G59" i="21"/>
  <c r="F59" i="21"/>
  <c r="E59" i="21"/>
  <c r="D59" i="21"/>
  <c r="G58" i="21"/>
  <c r="F58" i="21"/>
  <c r="E58" i="21"/>
  <c r="D58" i="21"/>
  <c r="G57" i="21"/>
  <c r="F57" i="21"/>
  <c r="E57" i="21"/>
  <c r="D57" i="21"/>
  <c r="G56" i="21"/>
  <c r="F56" i="21"/>
  <c r="E56" i="21"/>
  <c r="D56" i="21"/>
  <c r="G51" i="21"/>
  <c r="F51" i="21"/>
  <c r="E51" i="21"/>
  <c r="D51" i="21"/>
  <c r="G45" i="21"/>
  <c r="F45" i="21"/>
  <c r="E45" i="21"/>
  <c r="D45" i="21"/>
  <c r="G43" i="21"/>
  <c r="F43" i="21"/>
  <c r="E43" i="21"/>
  <c r="D43" i="21"/>
  <c r="G42" i="21"/>
  <c r="F42" i="21"/>
  <c r="E42" i="21"/>
  <c r="D42" i="21"/>
  <c r="G41" i="21"/>
  <c r="F41" i="21"/>
  <c r="E41" i="21"/>
  <c r="D41" i="21"/>
  <c r="G40" i="21"/>
  <c r="F40" i="21"/>
  <c r="E40" i="21"/>
  <c r="D40"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5" i="21"/>
  <c r="F25" i="21"/>
  <c r="E25" i="21"/>
  <c r="D25" i="21"/>
  <c r="G24" i="21"/>
  <c r="F24" i="21"/>
  <c r="E24" i="21"/>
  <c r="D24"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335" i="21" l="1"/>
  <c r="J2" i="21" s="1"/>
  <c r="G335" i="21"/>
  <c r="J5" i="21" s="1"/>
  <c r="F335" i="21"/>
  <c r="J4" i="21" s="1"/>
  <c r="E335" i="21"/>
  <c r="J3" i="21" s="1"/>
  <c r="M26" i="12"/>
  <c r="M25" i="12"/>
  <c r="D2" i="8" l="1"/>
  <c r="C13" i="8"/>
  <c r="T709" i="12" l="1"/>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09" i="12"/>
  <c r="T108" i="12"/>
  <c r="T107" i="12"/>
  <c r="T106" i="12"/>
  <c r="T105" i="12"/>
  <c r="T104" i="12"/>
  <c r="T103" i="12"/>
  <c r="T102" i="12"/>
  <c r="T101" i="12"/>
  <c r="T100" i="12"/>
  <c r="T99" i="12"/>
  <c r="T98" i="12"/>
  <c r="J2" i="18" s="1"/>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49" i="12"/>
  <c r="M648" i="12"/>
  <c r="M647" i="12"/>
  <c r="M646" i="12"/>
  <c r="M645" i="12"/>
  <c r="BC9" i="8" s="1"/>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4" i="12"/>
  <c r="M13" i="12"/>
  <c r="M12" i="12"/>
  <c r="M11" i="12"/>
  <c r="M10" i="12"/>
  <c r="M9" i="12"/>
  <c r="M8" i="12"/>
  <c r="M7" i="12"/>
  <c r="M6" i="12"/>
  <c r="M5" i="12"/>
  <c r="M4" i="12"/>
  <c r="M2" i="12"/>
  <c r="B8" i="8" l="1"/>
  <c r="C4" i="8"/>
  <c r="D10" i="8"/>
  <c r="E10" i="8"/>
  <c r="F2" i="8"/>
  <c r="G6" i="8"/>
  <c r="H6" i="8"/>
  <c r="I10" i="8"/>
  <c r="J10" i="8"/>
  <c r="L10" i="8"/>
  <c r="M2" i="8"/>
  <c r="N10" i="8"/>
  <c r="O6" i="8"/>
  <c r="P10" i="8"/>
  <c r="Q6" i="8"/>
  <c r="R6" i="8"/>
  <c r="S2" i="8"/>
  <c r="T6" i="8"/>
  <c r="U6" i="8"/>
  <c r="V10" i="8"/>
  <c r="X10" i="8"/>
  <c r="Y6" i="8"/>
  <c r="AA6" i="8"/>
  <c r="AB2" i="8"/>
  <c r="AC10" i="8"/>
  <c r="AD10" i="8"/>
  <c r="AE2" i="8"/>
  <c r="AF10" i="8"/>
  <c r="AG10" i="8"/>
  <c r="AH2" i="8"/>
  <c r="AI10" i="8"/>
  <c r="AJ10" i="8"/>
  <c r="AK10" i="8"/>
  <c r="AL10" i="8"/>
  <c r="AM10" i="8"/>
  <c r="AN10" i="8"/>
  <c r="AO2" i="8"/>
  <c r="AP10" i="8"/>
  <c r="AQ10" i="8"/>
  <c r="AR2" i="8"/>
  <c r="AS6" i="8"/>
  <c r="AT6" i="8"/>
  <c r="AU6" i="8"/>
  <c r="AV6" i="8"/>
  <c r="AW6" i="8"/>
  <c r="AX10" i="8"/>
  <c r="AZ10" i="8"/>
  <c r="BA10" i="8"/>
  <c r="BB6" i="8"/>
  <c r="BC6" i="8"/>
  <c r="BE10" i="8"/>
  <c r="BF6" i="8"/>
  <c r="BG6" i="8"/>
  <c r="BH10" i="8"/>
  <c r="B6" i="18"/>
  <c r="C2" i="18"/>
  <c r="D2" i="18"/>
  <c r="D10" i="18"/>
  <c r="E10" i="18"/>
  <c r="F10" i="18"/>
  <c r="G6" i="18"/>
  <c r="H6" i="18"/>
  <c r="L2" i="18"/>
  <c r="M2" i="18"/>
  <c r="N2" i="18"/>
  <c r="N10" i="18"/>
  <c r="O10" i="18"/>
  <c r="P10" i="18"/>
  <c r="Q10" i="18"/>
  <c r="R10" i="18"/>
  <c r="S6" i="18"/>
  <c r="T6" i="18"/>
  <c r="U6" i="18"/>
  <c r="V6" i="18"/>
  <c r="V10" i="18"/>
  <c r="X10" i="18"/>
  <c r="Y10" i="18"/>
  <c r="AA6" i="18"/>
  <c r="AB6" i="18"/>
  <c r="AC2" i="18"/>
  <c r="AD2" i="18"/>
  <c r="AE2" i="18"/>
  <c r="AE10" i="18"/>
  <c r="AF10" i="18"/>
  <c r="AG10" i="18"/>
  <c r="AH10" i="18"/>
  <c r="AI6" i="18"/>
  <c r="AJ2" i="18"/>
  <c r="AK2" i="18"/>
  <c r="AL2" i="18"/>
  <c r="AL10" i="18"/>
  <c r="AM10" i="18"/>
  <c r="AN6" i="18"/>
  <c r="AO2" i="18"/>
  <c r="AO10" i="18"/>
  <c r="AP6" i="18"/>
  <c r="AQ2" i="18"/>
  <c r="AQ10" i="18"/>
  <c r="AR6" i="18"/>
  <c r="AS2" i="18"/>
  <c r="AV2" i="18"/>
  <c r="B2" i="8"/>
  <c r="B6" i="8"/>
  <c r="C2" i="8"/>
  <c r="C10" i="8"/>
  <c r="D8" i="8"/>
  <c r="D12" i="8"/>
  <c r="E8" i="8"/>
  <c r="F4" i="8"/>
  <c r="F8" i="8"/>
  <c r="G4" i="8"/>
  <c r="G12" i="8"/>
  <c r="H4" i="8"/>
  <c r="H12" i="8"/>
  <c r="I8" i="8"/>
  <c r="I12" i="8"/>
  <c r="J8" i="8"/>
  <c r="L4" i="8"/>
  <c r="L8" i="8"/>
  <c r="M4" i="8"/>
  <c r="M8" i="8"/>
  <c r="N4" i="8"/>
  <c r="N8" i="8"/>
  <c r="O4" i="8"/>
  <c r="O8" i="8"/>
  <c r="P4" i="8"/>
  <c r="P12" i="8"/>
  <c r="Q4" i="8"/>
  <c r="Q8" i="8"/>
  <c r="R4" i="8"/>
  <c r="R8" i="8"/>
  <c r="S4" i="8"/>
  <c r="S8" i="8"/>
  <c r="T4" i="8"/>
  <c r="T8" i="8"/>
  <c r="U4" i="8"/>
  <c r="U8" i="8"/>
  <c r="V4" i="8"/>
  <c r="V8" i="8"/>
  <c r="X4" i="8"/>
  <c r="X8" i="8"/>
  <c r="Y4" i="8"/>
  <c r="Y8" i="8"/>
  <c r="AA4" i="8"/>
  <c r="AA12" i="8"/>
  <c r="AB4" i="8"/>
  <c r="AB12" i="8"/>
  <c r="AC4" i="8"/>
  <c r="AC12" i="8"/>
  <c r="AD8" i="8"/>
  <c r="AD12" i="8"/>
  <c r="AE8" i="8"/>
  <c r="AF4" i="8"/>
  <c r="AF12" i="8"/>
  <c r="AG4" i="8"/>
  <c r="AG12" i="8"/>
  <c r="AH4" i="8"/>
  <c r="AH12" i="8"/>
  <c r="AI4" i="8"/>
  <c r="AI8" i="8"/>
  <c r="AJ4" i="8"/>
  <c r="AJ8" i="8"/>
  <c r="AK4" i="8"/>
  <c r="AK8" i="8"/>
  <c r="AL4" i="8"/>
  <c r="AL8" i="8"/>
  <c r="AM4" i="8"/>
  <c r="AM12" i="8"/>
  <c r="AO8" i="8"/>
  <c r="B3" i="8"/>
  <c r="B7" i="8"/>
  <c r="B11" i="8"/>
  <c r="C3" i="8"/>
  <c r="C7" i="8"/>
  <c r="C11" i="8"/>
  <c r="D5" i="8"/>
  <c r="D9" i="8"/>
  <c r="D13" i="8"/>
  <c r="E5" i="8"/>
  <c r="E9" i="8"/>
  <c r="E13" i="8"/>
  <c r="F5" i="8"/>
  <c r="F9" i="8"/>
  <c r="F13" i="8"/>
  <c r="G5" i="8"/>
  <c r="G9" i="8"/>
  <c r="G13" i="8"/>
  <c r="H5" i="8"/>
  <c r="H9" i="8"/>
  <c r="H13" i="8"/>
  <c r="I5" i="8"/>
  <c r="I9" i="8"/>
  <c r="I13" i="8"/>
  <c r="J5" i="8"/>
  <c r="J9" i="8"/>
  <c r="J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X5" i="8"/>
  <c r="X9" i="8"/>
  <c r="X13" i="8"/>
  <c r="Y5" i="8"/>
  <c r="Y9" i="8"/>
  <c r="Y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Z5" i="8"/>
  <c r="AZ9" i="8"/>
  <c r="AZ13" i="8"/>
  <c r="BA5" i="8"/>
  <c r="BA9" i="8"/>
  <c r="BA13" i="8"/>
  <c r="BB5" i="8"/>
  <c r="BB9" i="8"/>
  <c r="BB13" i="8"/>
  <c r="BC5" i="8"/>
  <c r="BC13" i="8"/>
  <c r="BE5" i="8"/>
  <c r="BE9" i="8"/>
  <c r="BE13" i="8"/>
  <c r="BF5" i="8"/>
  <c r="BF9" i="8"/>
  <c r="BF13" i="8"/>
  <c r="BG5" i="8"/>
  <c r="BG9" i="8"/>
  <c r="BG13" i="8"/>
  <c r="BH5" i="8"/>
  <c r="BH9" i="8"/>
  <c r="BH13" i="8"/>
  <c r="B5" i="18"/>
  <c r="B9" i="18"/>
  <c r="B13" i="18"/>
  <c r="C5" i="18"/>
  <c r="C9" i="18"/>
  <c r="C13" i="18"/>
  <c r="D5" i="18"/>
  <c r="D9" i="18"/>
  <c r="D13" i="18"/>
  <c r="E5" i="18"/>
  <c r="E9" i="18"/>
  <c r="E13" i="18"/>
  <c r="F5" i="18"/>
  <c r="F9" i="18"/>
  <c r="F13" i="18"/>
  <c r="G5" i="18"/>
  <c r="G9" i="18"/>
  <c r="G13" i="18"/>
  <c r="H5" i="18"/>
  <c r="H9" i="18"/>
  <c r="H13" i="18"/>
  <c r="J5" i="18"/>
  <c r="J9" i="18"/>
  <c r="J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X5" i="18"/>
  <c r="X9" i="18"/>
  <c r="X13" i="18"/>
  <c r="Y5" i="18"/>
  <c r="Y9" i="18"/>
  <c r="Y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Z5" i="18"/>
  <c r="AZ9" i="18"/>
  <c r="AZ13" i="18"/>
  <c r="BA5" i="18"/>
  <c r="BA9" i="18"/>
  <c r="BA13" i="18"/>
  <c r="BB5" i="18"/>
  <c r="BB9" i="18"/>
  <c r="BB13" i="18"/>
  <c r="BC5" i="18"/>
  <c r="BC9" i="18"/>
  <c r="BC13" i="18"/>
  <c r="BE5" i="18"/>
  <c r="BE9" i="18"/>
  <c r="BE13" i="18"/>
  <c r="BF5" i="18"/>
  <c r="BF9" i="18"/>
  <c r="BF13" i="18"/>
  <c r="BG5" i="18"/>
  <c r="BG9" i="18"/>
  <c r="BG13" i="18"/>
  <c r="BH5" i="18"/>
  <c r="BH9" i="18"/>
  <c r="BH13" i="18"/>
  <c r="B4" i="8"/>
  <c r="C8" i="8"/>
  <c r="D6" i="8"/>
  <c r="E2" i="8"/>
  <c r="F6" i="8"/>
  <c r="G10" i="8"/>
  <c r="H10" i="8"/>
  <c r="I6" i="8"/>
  <c r="J6" i="8"/>
  <c r="L6" i="8"/>
  <c r="M10" i="8"/>
  <c r="N2" i="8"/>
  <c r="O10" i="8"/>
  <c r="P6" i="8"/>
  <c r="Q10" i="8"/>
  <c r="R10" i="8"/>
  <c r="S10" i="8"/>
  <c r="T2" i="8"/>
  <c r="U10" i="8"/>
  <c r="V6" i="8"/>
  <c r="X6" i="8"/>
  <c r="Y10" i="8"/>
  <c r="AA2" i="8"/>
  <c r="AB6" i="8"/>
  <c r="AC6" i="8"/>
  <c r="AD6" i="8"/>
  <c r="AE10" i="8"/>
  <c r="AF2" i="8"/>
  <c r="AG6" i="8"/>
  <c r="AH10" i="8"/>
  <c r="AI2" i="8"/>
  <c r="AJ6" i="8"/>
  <c r="AK2" i="8"/>
  <c r="AL6" i="8"/>
  <c r="AM6" i="8"/>
  <c r="AN2" i="8"/>
  <c r="AO6" i="8"/>
  <c r="AP6" i="8"/>
  <c r="AQ6" i="8"/>
  <c r="AR10" i="8"/>
  <c r="AS10" i="8"/>
  <c r="AT10" i="8"/>
  <c r="AU2" i="8"/>
  <c r="AV10" i="8"/>
  <c r="AW10" i="8"/>
  <c r="AX6" i="8"/>
  <c r="AZ2" i="8"/>
  <c r="BA2" i="8"/>
  <c r="BB10" i="8"/>
  <c r="BC10" i="8"/>
  <c r="BE6" i="8"/>
  <c r="BF10" i="8"/>
  <c r="BG2" i="8"/>
  <c r="BH6" i="8"/>
  <c r="B2" i="18"/>
  <c r="C6" i="18"/>
  <c r="D6" i="18"/>
  <c r="E6" i="18"/>
  <c r="F2" i="18"/>
  <c r="G2" i="18"/>
  <c r="H2" i="18"/>
  <c r="H10" i="18"/>
  <c r="I5" i="18"/>
  <c r="J6" i="18"/>
  <c r="L6" i="18"/>
  <c r="M6" i="18"/>
  <c r="N6" i="18"/>
  <c r="O6" i="18"/>
  <c r="P6" i="18"/>
  <c r="Q6" i="18"/>
  <c r="R2" i="18"/>
  <c r="S2" i="18"/>
  <c r="T2" i="18"/>
  <c r="U2" i="18"/>
  <c r="V2" i="18"/>
  <c r="X2" i="18"/>
  <c r="Y2" i="18"/>
  <c r="AA2" i="18"/>
  <c r="AB2" i="18"/>
  <c r="AB10" i="18"/>
  <c r="AC10" i="18"/>
  <c r="AD6" i="18"/>
  <c r="AE6" i="18"/>
  <c r="AF6" i="18"/>
  <c r="AG6" i="18"/>
  <c r="AH2" i="18"/>
  <c r="AI2" i="18"/>
  <c r="AJ6" i="18"/>
  <c r="AK6" i="18"/>
  <c r="AL6" i="18"/>
  <c r="AM2" i="18"/>
  <c r="AN2" i="18"/>
  <c r="AN10" i="18"/>
  <c r="AP2" i="18"/>
  <c r="AP10" i="18"/>
  <c r="AQ6" i="18"/>
  <c r="AR2" i="18"/>
  <c r="AR10" i="18"/>
  <c r="AS6" i="18"/>
  <c r="AS10" i="18"/>
  <c r="AT2" i="18"/>
  <c r="AT6" i="18"/>
  <c r="AT10" i="18"/>
  <c r="AU2" i="18"/>
  <c r="AU6" i="18"/>
  <c r="AU10" i="18"/>
  <c r="AV10" i="18"/>
  <c r="AW2" i="18"/>
  <c r="AW6" i="18"/>
  <c r="AW10" i="18"/>
  <c r="AX2" i="18"/>
  <c r="AX6" i="18"/>
  <c r="AX10" i="18"/>
  <c r="AZ2" i="18"/>
  <c r="AZ6" i="18"/>
  <c r="AZ10" i="18"/>
  <c r="BA2" i="18"/>
  <c r="BA6" i="18"/>
  <c r="BA10" i="18"/>
  <c r="BB2" i="18"/>
  <c r="BB6" i="18"/>
  <c r="BB10" i="18"/>
  <c r="BC2" i="18"/>
  <c r="BC6" i="18"/>
  <c r="BC10" i="18"/>
  <c r="BE2" i="18"/>
  <c r="BE6" i="18"/>
  <c r="BE10" i="18"/>
  <c r="BF2" i="18"/>
  <c r="BF6" i="18"/>
  <c r="BF10" i="18"/>
  <c r="BG2" i="18"/>
  <c r="BG6" i="18"/>
  <c r="BG10" i="18"/>
  <c r="BH2" i="18"/>
  <c r="BH6" i="18"/>
  <c r="BH10" i="18"/>
  <c r="B5" i="8"/>
  <c r="B9" i="8"/>
  <c r="B13" i="8"/>
  <c r="C5" i="8"/>
  <c r="C9" i="8"/>
  <c r="D3" i="8"/>
  <c r="D7" i="8"/>
  <c r="D11" i="8"/>
  <c r="E3" i="8"/>
  <c r="E7" i="8"/>
  <c r="E11" i="8"/>
  <c r="F3" i="8"/>
  <c r="F7" i="8"/>
  <c r="F11" i="8"/>
  <c r="G3" i="8"/>
  <c r="G7" i="8"/>
  <c r="G11" i="8"/>
  <c r="H3" i="8"/>
  <c r="H7" i="8"/>
  <c r="H11" i="8"/>
  <c r="I3" i="8"/>
  <c r="I7" i="8"/>
  <c r="I11" i="8"/>
  <c r="J3" i="8"/>
  <c r="J7" i="8"/>
  <c r="J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X3" i="8"/>
  <c r="X7" i="8"/>
  <c r="X11" i="8"/>
  <c r="Y3" i="8"/>
  <c r="Y7" i="8"/>
  <c r="Y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Z3" i="8"/>
  <c r="AZ7" i="8"/>
  <c r="AZ11" i="8"/>
  <c r="BA3" i="8"/>
  <c r="BA7" i="8"/>
  <c r="BA11" i="8"/>
  <c r="BB3" i="8"/>
  <c r="BB7" i="8"/>
  <c r="BB11" i="8"/>
  <c r="BC3" i="8"/>
  <c r="BC7" i="8"/>
  <c r="BC11" i="8"/>
  <c r="BE3" i="8"/>
  <c r="BE7" i="8"/>
  <c r="BE11" i="8"/>
  <c r="BF3" i="8"/>
  <c r="BF7" i="8"/>
  <c r="BF11" i="8"/>
  <c r="BG3" i="8"/>
  <c r="BG7" i="8"/>
  <c r="BG11" i="8"/>
  <c r="BH3" i="8"/>
  <c r="BH7" i="8"/>
  <c r="BH11" i="8"/>
  <c r="B3" i="18"/>
  <c r="B7" i="18"/>
  <c r="B11" i="18"/>
  <c r="C3" i="18"/>
  <c r="C7" i="18"/>
  <c r="C11" i="18"/>
  <c r="D3" i="18"/>
  <c r="D7" i="18"/>
  <c r="D11" i="18"/>
  <c r="E3" i="18"/>
  <c r="E7" i="18"/>
  <c r="E11" i="18"/>
  <c r="F3" i="18"/>
  <c r="F7" i="18"/>
  <c r="F11" i="18"/>
  <c r="G3" i="18"/>
  <c r="G7" i="18"/>
  <c r="G11" i="18"/>
  <c r="H3" i="18"/>
  <c r="H7" i="18"/>
  <c r="H11" i="18"/>
  <c r="J3" i="18"/>
  <c r="J7" i="18"/>
  <c r="J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X3" i="18"/>
  <c r="X7" i="18"/>
  <c r="X11" i="18"/>
  <c r="Y3" i="18"/>
  <c r="Y7" i="18"/>
  <c r="Y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Z3" i="18"/>
  <c r="AZ7" i="18"/>
  <c r="AZ11" i="18"/>
  <c r="BA3" i="18"/>
  <c r="BA7" i="18"/>
  <c r="BA11" i="18"/>
  <c r="BB3" i="18"/>
  <c r="BB7" i="18"/>
  <c r="BB11" i="18"/>
  <c r="BC3" i="18"/>
  <c r="BC7" i="18"/>
  <c r="BC11" i="18"/>
  <c r="BE3" i="18"/>
  <c r="BE7" i="18"/>
  <c r="BE11" i="18"/>
  <c r="BF3" i="18"/>
  <c r="BF7" i="18"/>
  <c r="BF11" i="18"/>
  <c r="BG3" i="18"/>
  <c r="BG7" i="18"/>
  <c r="BG11" i="18"/>
  <c r="BH3" i="18"/>
  <c r="BH7" i="18"/>
  <c r="BH11" i="18"/>
  <c r="B12" i="8"/>
  <c r="C12" i="8"/>
  <c r="E6" i="8"/>
  <c r="F10" i="8"/>
  <c r="G2" i="8"/>
  <c r="H2" i="8"/>
  <c r="I2" i="8"/>
  <c r="J2" i="8"/>
  <c r="L2" i="8"/>
  <c r="M6" i="8"/>
  <c r="N6" i="8"/>
  <c r="O2" i="8"/>
  <c r="P2" i="8"/>
  <c r="Q2" i="8"/>
  <c r="R2" i="8"/>
  <c r="S6" i="8"/>
  <c r="T10" i="8"/>
  <c r="U2" i="8"/>
  <c r="V2" i="8"/>
  <c r="X2" i="8"/>
  <c r="Y2" i="8"/>
  <c r="AA10" i="8"/>
  <c r="AB10" i="8"/>
  <c r="AC2" i="8"/>
  <c r="AD2" i="8"/>
  <c r="AE6" i="8"/>
  <c r="AF6" i="8"/>
  <c r="AG2" i="8"/>
  <c r="AH6" i="8"/>
  <c r="AI6" i="8"/>
  <c r="AJ2" i="8"/>
  <c r="AK6" i="8"/>
  <c r="AL2" i="8"/>
  <c r="AM2" i="8"/>
  <c r="AN6" i="8"/>
  <c r="AO10" i="8"/>
  <c r="AP2" i="8"/>
  <c r="AQ2" i="8"/>
  <c r="AR6" i="8"/>
  <c r="AS2" i="8"/>
  <c r="AT2" i="8"/>
  <c r="AU10" i="8"/>
  <c r="AV2" i="8"/>
  <c r="AW2" i="8"/>
  <c r="AX2" i="8"/>
  <c r="AZ6" i="8"/>
  <c r="BA6" i="8"/>
  <c r="BB2" i="8"/>
  <c r="BC2" i="8"/>
  <c r="BE2" i="8"/>
  <c r="BF2" i="8"/>
  <c r="BG10" i="8"/>
  <c r="BH2" i="8"/>
  <c r="B10" i="18"/>
  <c r="C10" i="18"/>
  <c r="E2" i="18"/>
  <c r="F6" i="18"/>
  <c r="G10" i="18"/>
  <c r="J10" i="18"/>
  <c r="L10" i="18"/>
  <c r="M10" i="18"/>
  <c r="O2" i="18"/>
  <c r="P2" i="18"/>
  <c r="Q2" i="18"/>
  <c r="R6" i="18"/>
  <c r="S10" i="18"/>
  <c r="T10" i="18"/>
  <c r="U10" i="18"/>
  <c r="X6" i="18"/>
  <c r="Y6" i="18"/>
  <c r="AA10" i="18"/>
  <c r="AC6" i="18"/>
  <c r="AD10" i="18"/>
  <c r="AF2" i="18"/>
  <c r="AG2" i="18"/>
  <c r="AH6" i="18"/>
  <c r="AI10" i="18"/>
  <c r="AJ10" i="18"/>
  <c r="AK10" i="18"/>
  <c r="AM6" i="18"/>
  <c r="AO6" i="18"/>
  <c r="AV6" i="18"/>
  <c r="B10" i="8"/>
  <c r="C6" i="8"/>
  <c r="D4" i="8"/>
  <c r="E4" i="8"/>
  <c r="E12" i="8"/>
  <c r="F12" i="8"/>
  <c r="G8" i="8"/>
  <c r="H8" i="8"/>
  <c r="I4" i="8"/>
  <c r="J4" i="8"/>
  <c r="J12" i="8"/>
  <c r="L12" i="8"/>
  <c r="M12" i="8"/>
  <c r="N12" i="8"/>
  <c r="O12" i="8"/>
  <c r="P8" i="8"/>
  <c r="Q12" i="8"/>
  <c r="R12" i="8"/>
  <c r="S12" i="8"/>
  <c r="T12" i="8"/>
  <c r="U12" i="8"/>
  <c r="V12" i="8"/>
  <c r="X12" i="8"/>
  <c r="Y12" i="8"/>
  <c r="AA8" i="8"/>
  <c r="AB8" i="8"/>
  <c r="AC8" i="8"/>
  <c r="AD4" i="8"/>
  <c r="AE4" i="8"/>
  <c r="AE12" i="8"/>
  <c r="AF8" i="8"/>
  <c r="AG8" i="8"/>
  <c r="AH8" i="8"/>
  <c r="AI12" i="8"/>
  <c r="AJ12" i="8"/>
  <c r="AK12" i="8"/>
  <c r="AL12" i="8"/>
  <c r="AM8" i="8"/>
  <c r="AN4" i="8"/>
  <c r="AN8" i="8"/>
  <c r="AN12" i="8"/>
  <c r="AO4"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Z4" i="8"/>
  <c r="AZ8" i="8"/>
  <c r="AZ12" i="8"/>
  <c r="BA4" i="8"/>
  <c r="BA8" i="8"/>
  <c r="BA12" i="8"/>
  <c r="BB4" i="8"/>
  <c r="BB8" i="8"/>
  <c r="BB12" i="8"/>
  <c r="BC4" i="8"/>
  <c r="BC8" i="8"/>
  <c r="BC12" i="8"/>
  <c r="BE4" i="8"/>
  <c r="BE8" i="8"/>
  <c r="BE12" i="8"/>
  <c r="BF4" i="8"/>
  <c r="BF8" i="8"/>
  <c r="BF12" i="8"/>
  <c r="BG4" i="8"/>
  <c r="BG8" i="8"/>
  <c r="BG12" i="8"/>
  <c r="BH4" i="8"/>
  <c r="BH8" i="8"/>
  <c r="BH12" i="8"/>
  <c r="B4" i="18"/>
  <c r="B8" i="18"/>
  <c r="B12" i="18"/>
  <c r="C4" i="18"/>
  <c r="C8" i="18"/>
  <c r="C12" i="18"/>
  <c r="D4" i="18"/>
  <c r="D8" i="18"/>
  <c r="D12" i="18"/>
  <c r="E4" i="18"/>
  <c r="E8" i="18"/>
  <c r="E12" i="18"/>
  <c r="F4" i="18"/>
  <c r="F8" i="18"/>
  <c r="F12" i="18"/>
  <c r="G4" i="18"/>
  <c r="G8" i="18"/>
  <c r="G12" i="18"/>
  <c r="H4" i="18"/>
  <c r="H8" i="18"/>
  <c r="H12" i="18"/>
  <c r="J4" i="18"/>
  <c r="J8" i="18"/>
  <c r="J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X4" i="18"/>
  <c r="X8" i="18"/>
  <c r="X12" i="18"/>
  <c r="Y4" i="18"/>
  <c r="Y8" i="18"/>
  <c r="Y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Z4" i="18"/>
  <c r="AZ8" i="18"/>
  <c r="AZ12" i="18"/>
  <c r="BA4" i="18"/>
  <c r="BA8" i="18"/>
  <c r="BA12" i="18"/>
  <c r="BB4" i="18"/>
  <c r="BB8" i="18"/>
  <c r="BB12" i="18"/>
  <c r="BC4" i="18"/>
  <c r="BC8" i="18"/>
  <c r="BC12" i="18"/>
  <c r="BE4" i="18"/>
  <c r="BE8" i="18"/>
  <c r="BE12" i="18"/>
  <c r="BF4" i="18"/>
  <c r="BF8" i="18"/>
  <c r="BF12" i="18"/>
  <c r="BG4" i="18"/>
  <c r="BG8" i="18"/>
  <c r="BG12" i="18"/>
  <c r="BH4" i="18"/>
  <c r="BH8" i="18"/>
  <c r="BH12" i="18"/>
  <c r="I12" i="18"/>
  <c r="I8" i="18"/>
  <c r="I4" i="18"/>
  <c r="I11" i="18"/>
  <c r="I7" i="18"/>
  <c r="I3" i="18"/>
  <c r="I2" i="18"/>
  <c r="I10" i="18"/>
  <c r="I6" i="18"/>
  <c r="I13" i="18"/>
  <c r="I9" i="18"/>
  <c r="F702" i="12"/>
  <c r="F555" i="12"/>
  <c r="F556" i="12"/>
  <c r="F557" i="12"/>
  <c r="F558" i="12"/>
  <c r="F559" i="12"/>
  <c r="AV7" i="13" s="1"/>
  <c r="F560" i="12"/>
  <c r="AV8" i="13" s="1"/>
  <c r="F561" i="12"/>
  <c r="F562" i="12"/>
  <c r="F563" i="12"/>
  <c r="F564" i="12"/>
  <c r="F565" i="12"/>
  <c r="F566" i="12"/>
  <c r="F567" i="12"/>
  <c r="F568" i="12"/>
  <c r="AW4" i="13" s="1"/>
  <c r="F569" i="12"/>
  <c r="F570" i="12"/>
  <c r="F571" i="12"/>
  <c r="F572" i="12"/>
  <c r="F573" i="12"/>
  <c r="F574" i="12"/>
  <c r="F575" i="12"/>
  <c r="AW11" i="13" s="1"/>
  <c r="F576" i="12"/>
  <c r="AW12" i="13" s="1"/>
  <c r="F577" i="12"/>
  <c r="F578" i="12"/>
  <c r="F579" i="12"/>
  <c r="F580" i="12"/>
  <c r="AX4" i="13" s="1"/>
  <c r="F581" i="12"/>
  <c r="AX5" i="13" s="1"/>
  <c r="F582" i="12"/>
  <c r="F583" i="12"/>
  <c r="F584" i="12"/>
  <c r="AX8" i="13" s="1"/>
  <c r="F585" i="12"/>
  <c r="F586" i="12"/>
  <c r="F587" i="12"/>
  <c r="F588" i="12"/>
  <c r="F589" i="12"/>
  <c r="F602" i="12"/>
  <c r="F603" i="12"/>
  <c r="F604" i="12"/>
  <c r="AZ4" i="13" s="1"/>
  <c r="F605" i="12"/>
  <c r="AZ5" i="13" s="1"/>
  <c r="F606" i="12"/>
  <c r="F607" i="12"/>
  <c r="F608" i="12"/>
  <c r="F609" i="12"/>
  <c r="F610" i="12"/>
  <c r="F611" i="12"/>
  <c r="F612" i="12"/>
  <c r="AZ12" i="13" s="1"/>
  <c r="F613" i="12"/>
  <c r="F614" i="12"/>
  <c r="F615" i="12"/>
  <c r="BA3" i="13" s="1"/>
  <c r="F616" i="12"/>
  <c r="F617" i="12"/>
  <c r="F618" i="12"/>
  <c r="F619" i="12"/>
  <c r="F620" i="12"/>
  <c r="BA8" i="13" s="1"/>
  <c r="F621" i="12"/>
  <c r="F622" i="12"/>
  <c r="F623" i="12"/>
  <c r="F624" i="12"/>
  <c r="F625" i="12"/>
  <c r="F626" i="12"/>
  <c r="F627" i="12"/>
  <c r="F628" i="12"/>
  <c r="BB4" i="13" s="1"/>
  <c r="F629" i="12"/>
  <c r="F630" i="12"/>
  <c r="F631" i="12"/>
  <c r="F632" i="12"/>
  <c r="F633" i="12"/>
  <c r="F634" i="12"/>
  <c r="F635" i="12"/>
  <c r="F636" i="12"/>
  <c r="BB12" i="13" s="1"/>
  <c r="F637" i="12"/>
  <c r="F638" i="12"/>
  <c r="F639" i="12"/>
  <c r="F640" i="12"/>
  <c r="F641" i="12"/>
  <c r="BC5" i="13" s="1"/>
  <c r="F642" i="12"/>
  <c r="F643" i="12"/>
  <c r="F644" i="12"/>
  <c r="BC8" i="13" s="1"/>
  <c r="F645" i="12"/>
  <c r="BC9" i="13" s="1"/>
  <c r="F646" i="12"/>
  <c r="F647" i="12"/>
  <c r="F648" i="12"/>
  <c r="F649" i="12"/>
  <c r="F662" i="12"/>
  <c r="F663" i="12"/>
  <c r="F664" i="12"/>
  <c r="BE4" i="13" s="1"/>
  <c r="F665" i="12"/>
  <c r="F666" i="12"/>
  <c r="F667" i="12"/>
  <c r="F668" i="12"/>
  <c r="F669" i="12"/>
  <c r="BE9" i="13" s="1"/>
  <c r="F670" i="12"/>
  <c r="F671" i="12"/>
  <c r="F672" i="12"/>
  <c r="BE12" i="13" s="1"/>
  <c r="F673" i="12"/>
  <c r="F674" i="12"/>
  <c r="F675" i="12"/>
  <c r="F676" i="12"/>
  <c r="F677" i="12"/>
  <c r="F678" i="12"/>
  <c r="F679" i="12"/>
  <c r="BF7" i="13" s="1"/>
  <c r="F680" i="12"/>
  <c r="BF8" i="13" s="1"/>
  <c r="F681" i="12"/>
  <c r="F682" i="12"/>
  <c r="F683" i="12"/>
  <c r="F684" i="12"/>
  <c r="F685" i="12"/>
  <c r="F686" i="12"/>
  <c r="F687" i="12"/>
  <c r="F688" i="12"/>
  <c r="BG4" i="13" s="1"/>
  <c r="F689" i="12"/>
  <c r="F690" i="12"/>
  <c r="F691" i="12"/>
  <c r="F692" i="12"/>
  <c r="F693" i="12"/>
  <c r="F694" i="12"/>
  <c r="F695" i="12"/>
  <c r="BG11" i="13" s="1"/>
  <c r="F696" i="12"/>
  <c r="BG12" i="13" s="1"/>
  <c r="F697" i="12"/>
  <c r="F698" i="12"/>
  <c r="F699" i="12"/>
  <c r="F700" i="12"/>
  <c r="BH4" i="13" s="1"/>
  <c r="F701" i="12"/>
  <c r="F703" i="12"/>
  <c r="F704" i="12"/>
  <c r="BH8" i="13" s="1"/>
  <c r="F705" i="12"/>
  <c r="BH9" i="13" s="1"/>
  <c r="F706" i="12"/>
  <c r="F707" i="12"/>
  <c r="F708" i="12"/>
  <c r="F709" i="12"/>
  <c r="BH13" i="13" s="1"/>
  <c r="F2"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AL11" i="13" s="1"/>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AF3" i="13" s="1"/>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R3" i="13" s="1"/>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L13" i="8" l="1"/>
  <c r="BL6" i="8"/>
  <c r="BI6" i="8"/>
  <c r="BI10" i="8"/>
  <c r="BL10" i="8"/>
  <c r="BI13" i="8"/>
  <c r="BI9" i="8"/>
  <c r="BL9" i="8"/>
  <c r="BL11" i="8"/>
  <c r="BI11" i="8"/>
  <c r="BL12" i="8"/>
  <c r="BI12" i="8"/>
  <c r="BI5" i="8"/>
  <c r="BL5" i="8"/>
  <c r="BI7" i="8"/>
  <c r="BL7" i="8"/>
  <c r="BL4" i="8"/>
  <c r="BI4" i="8"/>
  <c r="BI3" i="8"/>
  <c r="BL3" i="8"/>
  <c r="BI8" i="8"/>
  <c r="BL8" i="8"/>
  <c r="BI12" i="18"/>
  <c r="V12" i="12" s="1"/>
  <c r="V24" i="12" s="1"/>
  <c r="V36" i="12" s="1"/>
  <c r="V48" i="12" s="1"/>
  <c r="V60" i="12" s="1"/>
  <c r="V72" i="12" s="1"/>
  <c r="V84" i="12" s="1"/>
  <c r="V96" i="12" s="1"/>
  <c r="V108" i="12" s="1"/>
  <c r="V120" i="12" s="1"/>
  <c r="BL12" i="18"/>
  <c r="BI7" i="18"/>
  <c r="V7" i="12" s="1"/>
  <c r="V19" i="12" s="1"/>
  <c r="V31" i="12" s="1"/>
  <c r="V43" i="12" s="1"/>
  <c r="V55" i="12" s="1"/>
  <c r="V67" i="12" s="1"/>
  <c r="V79" i="12" s="1"/>
  <c r="V91" i="12" s="1"/>
  <c r="V103" i="12" s="1"/>
  <c r="V115" i="12" s="1"/>
  <c r="BL7" i="18"/>
  <c r="Z7" i="12" s="1"/>
  <c r="Z19" i="12" s="1"/>
  <c r="Z31" i="12" s="1"/>
  <c r="Z43" i="12" s="1"/>
  <c r="Z55" i="12" s="1"/>
  <c r="Z67" i="12" s="1"/>
  <c r="Z79" i="12" s="1"/>
  <c r="Z91" i="12" s="1"/>
  <c r="Z103" i="12" s="1"/>
  <c r="Z115" i="12" s="1"/>
  <c r="BI13" i="18"/>
  <c r="BL13" i="18"/>
  <c r="BL8" i="18"/>
  <c r="Z8" i="12" s="1"/>
  <c r="Z20" i="12" s="1"/>
  <c r="Z32" i="12" s="1"/>
  <c r="Z44" i="12" s="1"/>
  <c r="Z56" i="12" s="1"/>
  <c r="Z68" i="12" s="1"/>
  <c r="Z80" i="12" s="1"/>
  <c r="Z92" i="12" s="1"/>
  <c r="Z104" i="12" s="1"/>
  <c r="Z116" i="12" s="1"/>
  <c r="BI8" i="18"/>
  <c r="V8" i="12" s="1"/>
  <c r="V20" i="12" s="1"/>
  <c r="V32" i="12" s="1"/>
  <c r="V44" i="12" s="1"/>
  <c r="V56" i="12" s="1"/>
  <c r="V68" i="12" s="1"/>
  <c r="V80" i="12" s="1"/>
  <c r="V92" i="12" s="1"/>
  <c r="V104" i="12" s="1"/>
  <c r="V116" i="12" s="1"/>
  <c r="BI3" i="18"/>
  <c r="BL3" i="18"/>
  <c r="BI9" i="18"/>
  <c r="V9" i="12" s="1"/>
  <c r="V21" i="12" s="1"/>
  <c r="V33" i="12" s="1"/>
  <c r="V45" i="12" s="1"/>
  <c r="V57" i="12" s="1"/>
  <c r="V69" i="12" s="1"/>
  <c r="V81" i="12" s="1"/>
  <c r="V93" i="12" s="1"/>
  <c r="V105" i="12" s="1"/>
  <c r="V117" i="12" s="1"/>
  <c r="BL9" i="18"/>
  <c r="Z9" i="12" s="1"/>
  <c r="Z21" i="12" s="1"/>
  <c r="Z33" i="12" s="1"/>
  <c r="Z45" i="12" s="1"/>
  <c r="Z57" i="12" s="1"/>
  <c r="Z69" i="12" s="1"/>
  <c r="Z81" i="12" s="1"/>
  <c r="Z93" i="12" s="1"/>
  <c r="Z105" i="12" s="1"/>
  <c r="Z117" i="12" s="1"/>
  <c r="BI4" i="18"/>
  <c r="V4" i="12" s="1"/>
  <c r="V16" i="12" s="1"/>
  <c r="V28" i="12" s="1"/>
  <c r="V40" i="12" s="1"/>
  <c r="V52" i="12" s="1"/>
  <c r="V64" i="12" s="1"/>
  <c r="V76" i="12" s="1"/>
  <c r="V88" i="12" s="1"/>
  <c r="V100" i="12" s="1"/>
  <c r="V112" i="12" s="1"/>
  <c r="BL4" i="18"/>
  <c r="BI5" i="18"/>
  <c r="V5" i="12" s="1"/>
  <c r="V17" i="12" s="1"/>
  <c r="V29" i="12" s="1"/>
  <c r="V41" i="12" s="1"/>
  <c r="V53" i="12" s="1"/>
  <c r="V65" i="12" s="1"/>
  <c r="V77" i="12" s="1"/>
  <c r="V89" i="12" s="1"/>
  <c r="V101" i="12" s="1"/>
  <c r="V113" i="12" s="1"/>
  <c r="BL5" i="18"/>
  <c r="Z5" i="12" s="1"/>
  <c r="Z17" i="12" s="1"/>
  <c r="Z29" i="12" s="1"/>
  <c r="Z41" i="12" s="1"/>
  <c r="Z53" i="12" s="1"/>
  <c r="Z65" i="12" s="1"/>
  <c r="Z77" i="12" s="1"/>
  <c r="Z89" i="12" s="1"/>
  <c r="Z101" i="12" s="1"/>
  <c r="Z113" i="12" s="1"/>
  <c r="BL11" i="18"/>
  <c r="Z11" i="12" s="1"/>
  <c r="Z23" i="12" s="1"/>
  <c r="Z35" i="12" s="1"/>
  <c r="Z47" i="12" s="1"/>
  <c r="Z59" i="12" s="1"/>
  <c r="Z71" i="12" s="1"/>
  <c r="Z83" i="12" s="1"/>
  <c r="Z95" i="12" s="1"/>
  <c r="Z107" i="12" s="1"/>
  <c r="Z119" i="12" s="1"/>
  <c r="BI11" i="18"/>
  <c r="V11" i="12" s="1"/>
  <c r="V23" i="12" s="1"/>
  <c r="V35" i="12" s="1"/>
  <c r="V47" i="12" s="1"/>
  <c r="V59" i="12" s="1"/>
  <c r="V71" i="12" s="1"/>
  <c r="V83" i="12" s="1"/>
  <c r="V95" i="12" s="1"/>
  <c r="V107" i="12" s="1"/>
  <c r="V119" i="12" s="1"/>
  <c r="BI6" i="18"/>
  <c r="V6" i="12" s="1"/>
  <c r="V18" i="12" s="1"/>
  <c r="V30" i="12" s="1"/>
  <c r="V42" i="12" s="1"/>
  <c r="V54" i="12" s="1"/>
  <c r="V66" i="12" s="1"/>
  <c r="V78" i="12" s="1"/>
  <c r="V90" i="12" s="1"/>
  <c r="V102" i="12" s="1"/>
  <c r="V114" i="12" s="1"/>
  <c r="BL6" i="18"/>
  <c r="Z6" i="12" s="1"/>
  <c r="Z18" i="12" s="1"/>
  <c r="Z30" i="12" s="1"/>
  <c r="Z42" i="12" s="1"/>
  <c r="Z54" i="12" s="1"/>
  <c r="Z66" i="12" s="1"/>
  <c r="Z78" i="12" s="1"/>
  <c r="Z90" i="12" s="1"/>
  <c r="Z102" i="12" s="1"/>
  <c r="Z114" i="12" s="1"/>
  <c r="BL10" i="18"/>
  <c r="Z10" i="12" s="1"/>
  <c r="Z22" i="12" s="1"/>
  <c r="Z34" i="12" s="1"/>
  <c r="Z46" i="12" s="1"/>
  <c r="Z58" i="12" s="1"/>
  <c r="Z70" i="12" s="1"/>
  <c r="Z82" i="12" s="1"/>
  <c r="Z94" i="12" s="1"/>
  <c r="Z106" i="12" s="1"/>
  <c r="Z118" i="12" s="1"/>
  <c r="BI10" i="18"/>
  <c r="V10" i="12" s="1"/>
  <c r="V22" i="12" s="1"/>
  <c r="V34" i="12" s="1"/>
  <c r="V46" i="12" s="1"/>
  <c r="V58" i="12" s="1"/>
  <c r="V70" i="12" s="1"/>
  <c r="V82" i="12" s="1"/>
  <c r="V94" i="12" s="1"/>
  <c r="V106" i="12" s="1"/>
  <c r="V118" i="12" s="1"/>
  <c r="BI2" i="18"/>
  <c r="BL2" i="18"/>
  <c r="BL2" i="8"/>
  <c r="BI2" i="8"/>
  <c r="V13" i="12"/>
  <c r="V25" i="12" s="1"/>
  <c r="V37" i="12" s="1"/>
  <c r="V49" i="12" s="1"/>
  <c r="V61" i="12" s="1"/>
  <c r="V73" i="12" s="1"/>
  <c r="V85" i="12" s="1"/>
  <c r="V97" i="12" s="1"/>
  <c r="V109" i="12" s="1"/>
  <c r="V121" i="12" s="1"/>
  <c r="B12" i="13"/>
  <c r="C12" i="13"/>
  <c r="D8" i="13"/>
  <c r="E12" i="13"/>
  <c r="F12" i="13"/>
  <c r="G8" i="13"/>
  <c r="H8" i="13"/>
  <c r="I4" i="13"/>
  <c r="J4" i="13"/>
  <c r="J12" i="13"/>
  <c r="M4" i="13"/>
  <c r="N4" i="13"/>
  <c r="N12" i="13"/>
  <c r="O12" i="13"/>
  <c r="P8" i="13"/>
  <c r="Q8" i="13"/>
  <c r="R12" i="13"/>
  <c r="S8" i="13"/>
  <c r="T8" i="13"/>
  <c r="U8" i="13"/>
  <c r="V4" i="13"/>
  <c r="X4" i="13"/>
  <c r="Y4" i="13"/>
  <c r="AA4" i="13"/>
  <c r="AA12" i="13"/>
  <c r="AB12" i="13"/>
  <c r="AC12" i="13"/>
  <c r="AD8" i="13"/>
  <c r="AE4" i="13"/>
  <c r="AE12" i="13"/>
  <c r="AF12" i="13"/>
  <c r="AG4" i="13"/>
  <c r="AG12" i="13"/>
  <c r="AH12" i="13"/>
  <c r="AI8" i="13"/>
  <c r="AJ4" i="13"/>
  <c r="AJ8" i="13"/>
  <c r="AK8" i="13"/>
  <c r="AL4" i="13"/>
  <c r="AM4" i="13"/>
  <c r="AM12" i="13"/>
  <c r="AN8" i="13"/>
  <c r="AO4" i="13"/>
  <c r="AO12" i="13"/>
  <c r="AP8" i="13"/>
  <c r="AS4" i="13"/>
  <c r="D12" i="13"/>
  <c r="R4" i="13"/>
  <c r="B8" i="13"/>
  <c r="C4" i="13"/>
  <c r="D4" i="13"/>
  <c r="E8" i="13"/>
  <c r="F4" i="13"/>
  <c r="G4" i="13"/>
  <c r="H4" i="13"/>
  <c r="I8" i="13"/>
  <c r="J8" i="13"/>
  <c r="L4" i="13"/>
  <c r="L12" i="13"/>
  <c r="M12" i="13"/>
  <c r="O4" i="13"/>
  <c r="P4" i="13"/>
  <c r="P12" i="13"/>
  <c r="Q12" i="13"/>
  <c r="S4" i="13"/>
  <c r="T4" i="13"/>
  <c r="T12" i="13"/>
  <c r="U12" i="13"/>
  <c r="V12" i="13"/>
  <c r="X8" i="13"/>
  <c r="Y8" i="13"/>
  <c r="AA8" i="13"/>
  <c r="AB8" i="13"/>
  <c r="AC4" i="13"/>
  <c r="AD4" i="13"/>
  <c r="AD12" i="13"/>
  <c r="AE8" i="13"/>
  <c r="AF8" i="13"/>
  <c r="AG8" i="13"/>
  <c r="AH4" i="13"/>
  <c r="AH8" i="13"/>
  <c r="AI4" i="13"/>
  <c r="AI12" i="13"/>
  <c r="AJ12" i="13"/>
  <c r="AK12" i="13"/>
  <c r="AL8" i="13"/>
  <c r="AL12" i="13"/>
  <c r="AM8" i="13"/>
  <c r="AN4" i="13"/>
  <c r="AN12" i="13"/>
  <c r="AO8" i="13"/>
  <c r="AP4" i="13"/>
  <c r="AP12" i="13"/>
  <c r="AQ4" i="13"/>
  <c r="AQ8" i="13"/>
  <c r="AQ12" i="13"/>
  <c r="AR4" i="13"/>
  <c r="AR8" i="13"/>
  <c r="AR12" i="13"/>
  <c r="AS8" i="13"/>
  <c r="AS12" i="13"/>
  <c r="AT4" i="13"/>
  <c r="AT8" i="13"/>
  <c r="AT12" i="13"/>
  <c r="AU4" i="13"/>
  <c r="AU8" i="13"/>
  <c r="AU12" i="13"/>
  <c r="B4" i="13"/>
  <c r="BI4" i="13" s="1"/>
  <c r="C8" i="13"/>
  <c r="E4" i="13"/>
  <c r="F8" i="13"/>
  <c r="G12" i="13"/>
  <c r="H12" i="13"/>
  <c r="I12" i="13"/>
  <c r="L8" i="13"/>
  <c r="M8" i="13"/>
  <c r="N8" i="13"/>
  <c r="O8" i="13"/>
  <c r="Q4" i="13"/>
  <c r="R8" i="13"/>
  <c r="S12" i="13"/>
  <c r="U4" i="13"/>
  <c r="V8" i="13"/>
  <c r="X12" i="13"/>
  <c r="Y12" i="13"/>
  <c r="AB4" i="13"/>
  <c r="AC8" i="13"/>
  <c r="AF4" i="13"/>
  <c r="AK4" i="13"/>
  <c r="BH12" i="13"/>
  <c r="BG3" i="13"/>
  <c r="BF11" i="13"/>
  <c r="BC7" i="13"/>
  <c r="BB11" i="13"/>
  <c r="BB3" i="13"/>
  <c r="AZ7" i="13"/>
  <c r="AZ3" i="13"/>
  <c r="AX7" i="13"/>
  <c r="AX3" i="13"/>
  <c r="AW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X5" i="13"/>
  <c r="X9" i="13"/>
  <c r="X13" i="13"/>
  <c r="Y5" i="13"/>
  <c r="Y9" i="13"/>
  <c r="Y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S5" i="13"/>
  <c r="AS9" i="13"/>
  <c r="AS13" i="13"/>
  <c r="AT5" i="13"/>
  <c r="AT9" i="13"/>
  <c r="AT13" i="13"/>
  <c r="AU5" i="13"/>
  <c r="AU9" i="13"/>
  <c r="AU13" i="13"/>
  <c r="BE3" i="13"/>
  <c r="BH11" i="13"/>
  <c r="BH7" i="13"/>
  <c r="BH2" i="13"/>
  <c r="BG10" i="13"/>
  <c r="BG6" i="13"/>
  <c r="BG2" i="13"/>
  <c r="BF10" i="13"/>
  <c r="BF6" i="13"/>
  <c r="BF2" i="13"/>
  <c r="BE10" i="13"/>
  <c r="BE6" i="13"/>
  <c r="BE2" i="13"/>
  <c r="BC10" i="13"/>
  <c r="BC6" i="13"/>
  <c r="BC2" i="13"/>
  <c r="BB10" i="13"/>
  <c r="BB6" i="13"/>
  <c r="BB2" i="13"/>
  <c r="BA10" i="13"/>
  <c r="BA6" i="13"/>
  <c r="BA2" i="13"/>
  <c r="AZ10" i="13"/>
  <c r="AZ6" i="13"/>
  <c r="AZ2" i="13"/>
  <c r="AX10" i="13"/>
  <c r="AX6" i="13"/>
  <c r="AX2" i="13"/>
  <c r="AW10" i="13"/>
  <c r="AW6" i="13"/>
  <c r="AW2" i="13"/>
  <c r="AV10" i="13"/>
  <c r="AV6" i="13"/>
  <c r="BH6" i="13"/>
  <c r="B6" i="13"/>
  <c r="B10" i="13"/>
  <c r="C2" i="13"/>
  <c r="C6" i="13"/>
  <c r="C10" i="13"/>
  <c r="D2" i="13"/>
  <c r="D6" i="13"/>
  <c r="D10" i="13"/>
  <c r="E2" i="13"/>
  <c r="E6" i="13"/>
  <c r="E10" i="13"/>
  <c r="F2" i="13"/>
  <c r="F6" i="13"/>
  <c r="F10" i="13"/>
  <c r="G2" i="13"/>
  <c r="G6" i="13"/>
  <c r="G10" i="13"/>
  <c r="H2" i="13"/>
  <c r="H6" i="13"/>
  <c r="I2" i="13"/>
  <c r="I6" i="13"/>
  <c r="J2" i="13"/>
  <c r="J6" i="13"/>
  <c r="L2" i="13"/>
  <c r="L10" i="13"/>
  <c r="M6" i="13"/>
  <c r="M10" i="13"/>
  <c r="N6" i="13"/>
  <c r="N10" i="13"/>
  <c r="O6" i="13"/>
  <c r="P2" i="13"/>
  <c r="P6" i="13"/>
  <c r="Q2" i="13"/>
  <c r="Q6" i="13"/>
  <c r="R2" i="13"/>
  <c r="R6" i="13"/>
  <c r="S2" i="13"/>
  <c r="S10" i="13"/>
  <c r="T2" i="13"/>
  <c r="T10" i="13"/>
  <c r="U2" i="13"/>
  <c r="U10" i="13"/>
  <c r="V2" i="13"/>
  <c r="V10" i="13"/>
  <c r="X2" i="13"/>
  <c r="X10" i="13"/>
  <c r="Y6" i="13"/>
  <c r="Y10" i="13"/>
  <c r="AA6" i="13"/>
  <c r="AA10" i="13"/>
  <c r="AB6" i="13"/>
  <c r="AB10" i="13"/>
  <c r="AC6" i="13"/>
  <c r="AC10" i="13"/>
  <c r="AD6" i="13"/>
  <c r="AE2" i="13"/>
  <c r="AE10" i="13"/>
  <c r="AF2" i="13"/>
  <c r="AF10" i="13"/>
  <c r="AG2" i="13"/>
  <c r="AG10" i="13"/>
  <c r="AH2" i="13"/>
  <c r="AH10" i="13"/>
  <c r="AI6" i="13"/>
  <c r="AI10" i="13"/>
  <c r="AJ6" i="13"/>
  <c r="AK2" i="13"/>
  <c r="AK10" i="13"/>
  <c r="AL6" i="13"/>
  <c r="AM6" i="13"/>
  <c r="AN6" i="13"/>
  <c r="AO2" i="13"/>
  <c r="AO10" i="13"/>
  <c r="AP6" i="13"/>
  <c r="AQ6" i="13"/>
  <c r="AR6" i="13"/>
  <c r="AS2" i="13"/>
  <c r="AS10" i="13"/>
  <c r="AT10" i="13"/>
  <c r="AU10" i="13"/>
  <c r="BG13" i="13"/>
  <c r="BG5" i="13"/>
  <c r="BF9" i="13"/>
  <c r="BF5" i="13"/>
  <c r="BE13" i="13"/>
  <c r="BE5" i="13"/>
  <c r="BC13" i="13"/>
  <c r="BB9" i="13"/>
  <c r="BB5" i="13"/>
  <c r="BA9" i="13"/>
  <c r="AZ13" i="13"/>
  <c r="AX9" i="13"/>
  <c r="AW13" i="13"/>
  <c r="BH3" i="13"/>
  <c r="BG7" i="13"/>
  <c r="BF3" i="13"/>
  <c r="BE7" i="13"/>
  <c r="BC11" i="13"/>
  <c r="BC3" i="13"/>
  <c r="BB7" i="13"/>
  <c r="BA11" i="13"/>
  <c r="BA7" i="13"/>
  <c r="AZ11" i="13"/>
  <c r="AW3" i="13"/>
  <c r="AV11" i="13"/>
  <c r="AV3" i="13"/>
  <c r="H10" i="13"/>
  <c r="I10" i="13"/>
  <c r="J10" i="13"/>
  <c r="L6" i="13"/>
  <c r="M2" i="13"/>
  <c r="N2" i="13"/>
  <c r="O2" i="13"/>
  <c r="O10" i="13"/>
  <c r="P10" i="13"/>
  <c r="Q10" i="13"/>
  <c r="R10" i="13"/>
  <c r="S6" i="13"/>
  <c r="T6" i="13"/>
  <c r="U6" i="13"/>
  <c r="V6" i="13"/>
  <c r="X6" i="13"/>
  <c r="Y2" i="13"/>
  <c r="AA2" i="13"/>
  <c r="AB2" i="13"/>
  <c r="AC2" i="13"/>
  <c r="AD2" i="13"/>
  <c r="AD10" i="13"/>
  <c r="AE6" i="13"/>
  <c r="AF6" i="13"/>
  <c r="AG6" i="13"/>
  <c r="AH6" i="13"/>
  <c r="AI2" i="13"/>
  <c r="AJ2" i="13"/>
  <c r="AJ10" i="13"/>
  <c r="AK6" i="13"/>
  <c r="AL2" i="13"/>
  <c r="AL10" i="13"/>
  <c r="AM2" i="13"/>
  <c r="AM10" i="13"/>
  <c r="AN2" i="13"/>
  <c r="AN10" i="13"/>
  <c r="AO6" i="13"/>
  <c r="AP2" i="13"/>
  <c r="AP10" i="13"/>
  <c r="AQ2" i="13"/>
  <c r="AQ10" i="13"/>
  <c r="AR2" i="13"/>
  <c r="AR10" i="13"/>
  <c r="AS6" i="13"/>
  <c r="AT2" i="13"/>
  <c r="AT6" i="13"/>
  <c r="AU2" i="13"/>
  <c r="AU6" i="13"/>
  <c r="AV2" i="13"/>
  <c r="AX11" i="13"/>
  <c r="BH10" i="13"/>
  <c r="BG9" i="13"/>
  <c r="BF13" i="13"/>
  <c r="BB13" i="13"/>
  <c r="BA13" i="13"/>
  <c r="BA5" i="13"/>
  <c r="AZ9" i="13"/>
  <c r="AX13" i="13"/>
  <c r="AW9" i="13"/>
  <c r="AW5" i="13"/>
  <c r="AV13" i="13"/>
  <c r="AV9" i="13"/>
  <c r="AV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L3" i="13"/>
  <c r="L7" i="13"/>
  <c r="L11" i="13"/>
  <c r="M3" i="13"/>
  <c r="M7" i="13"/>
  <c r="M11" i="13"/>
  <c r="N3" i="13"/>
  <c r="N7" i="13"/>
  <c r="N11" i="13"/>
  <c r="O3" i="13"/>
  <c r="O7" i="13"/>
  <c r="O11" i="13"/>
  <c r="P3" i="13"/>
  <c r="P7" i="13"/>
  <c r="P11" i="13"/>
  <c r="Q3" i="13"/>
  <c r="Q7" i="13"/>
  <c r="Q11" i="13"/>
  <c r="R7" i="13"/>
  <c r="R11" i="13"/>
  <c r="S3" i="13"/>
  <c r="S7" i="13"/>
  <c r="S11" i="13"/>
  <c r="T3" i="13"/>
  <c r="T7" i="13"/>
  <c r="T11" i="13"/>
  <c r="U3" i="13"/>
  <c r="U7" i="13"/>
  <c r="U11" i="13"/>
  <c r="V3" i="13"/>
  <c r="V7" i="13"/>
  <c r="V11" i="13"/>
  <c r="X3" i="13"/>
  <c r="X7" i="13"/>
  <c r="X11" i="13"/>
  <c r="Y3" i="13"/>
  <c r="Y7" i="13"/>
  <c r="Y11" i="13"/>
  <c r="AA3" i="13"/>
  <c r="AA7" i="13"/>
  <c r="AA11" i="13"/>
  <c r="AB3" i="13"/>
  <c r="AB7" i="13"/>
  <c r="AB11" i="13"/>
  <c r="AC7" i="13"/>
  <c r="AC11" i="13"/>
  <c r="AD3" i="13"/>
  <c r="AD7" i="13"/>
  <c r="AD11" i="13"/>
  <c r="AE3" i="13"/>
  <c r="AE7" i="13"/>
  <c r="AE11" i="13"/>
  <c r="AF7" i="13"/>
  <c r="AF11" i="13"/>
  <c r="AG3" i="13"/>
  <c r="AG7" i="13"/>
  <c r="AG11" i="13"/>
  <c r="AH3" i="13"/>
  <c r="AH7" i="13"/>
  <c r="AH11" i="13"/>
  <c r="AI3" i="13"/>
  <c r="AI7" i="13"/>
  <c r="AI11" i="13"/>
  <c r="AJ3" i="13"/>
  <c r="AJ7" i="13"/>
  <c r="AJ11" i="13"/>
  <c r="AK3" i="13"/>
  <c r="AK7" i="13"/>
  <c r="AK11" i="13"/>
  <c r="AL3" i="13"/>
  <c r="AL7" i="13"/>
  <c r="AM3" i="13"/>
  <c r="AM7" i="13"/>
  <c r="AM11" i="13"/>
  <c r="AN3" i="13"/>
  <c r="AN7" i="13"/>
  <c r="AN11" i="13"/>
  <c r="AO3" i="13"/>
  <c r="AO7" i="13"/>
  <c r="AO11" i="13"/>
  <c r="AP3" i="13"/>
  <c r="AP7" i="13"/>
  <c r="AP11" i="13"/>
  <c r="AQ3" i="13"/>
  <c r="AQ7" i="13"/>
  <c r="AQ11" i="13"/>
  <c r="AR3" i="13"/>
  <c r="AR7" i="13"/>
  <c r="AR11" i="13"/>
  <c r="AS7" i="13"/>
  <c r="AS11" i="13"/>
  <c r="AT3" i="13"/>
  <c r="AT7" i="13"/>
  <c r="AT11" i="13"/>
  <c r="AU3" i="13"/>
  <c r="AU7" i="13"/>
  <c r="AU11" i="13"/>
  <c r="B2" i="13"/>
  <c r="BI2" i="13" s="1"/>
  <c r="AS3" i="13"/>
  <c r="BH5" i="13"/>
  <c r="BE11" i="13"/>
  <c r="BG8" i="13"/>
  <c r="BF12" i="13"/>
  <c r="BF4" i="13"/>
  <c r="BE8" i="13"/>
  <c r="BC12" i="13"/>
  <c r="BC4" i="13"/>
  <c r="BB8" i="13"/>
  <c r="BA12" i="13"/>
  <c r="BA4" i="13"/>
  <c r="AZ8" i="13"/>
  <c r="AX12" i="13"/>
  <c r="AW8" i="13"/>
  <c r="AV12" i="13"/>
  <c r="AV4" i="13"/>
  <c r="Z12" i="12"/>
  <c r="Z24" i="12" s="1"/>
  <c r="Z36" i="12" s="1"/>
  <c r="Z48" i="12" s="1"/>
  <c r="Z60" i="12" s="1"/>
  <c r="Z72" i="12" s="1"/>
  <c r="Z84" i="12" s="1"/>
  <c r="Z96" i="12" s="1"/>
  <c r="Z108" i="12" s="1"/>
  <c r="Z120" i="12" s="1"/>
  <c r="Z13" i="12"/>
  <c r="Z25" i="12" s="1"/>
  <c r="Z37" i="12" s="1"/>
  <c r="Z49" i="12" s="1"/>
  <c r="Z61" i="12" s="1"/>
  <c r="Z73" i="12" s="1"/>
  <c r="Z85" i="12" s="1"/>
  <c r="Z97" i="12" s="1"/>
  <c r="Z109" i="12" s="1"/>
  <c r="Z121" i="12" s="1"/>
  <c r="Z4" i="12"/>
  <c r="Z16" i="12" s="1"/>
  <c r="Z28" i="12" s="1"/>
  <c r="Z40" i="12" s="1"/>
  <c r="Z52" i="12" s="1"/>
  <c r="Z64" i="12" s="1"/>
  <c r="Z76" i="12" s="1"/>
  <c r="Z88" i="12" s="1"/>
  <c r="Z100" i="12" s="1"/>
  <c r="Z112" i="12" s="1"/>
  <c r="BI11" i="13" l="1"/>
  <c r="BI13" i="13"/>
  <c r="BI7" i="13"/>
  <c r="BI9" i="13"/>
  <c r="BI3" i="13"/>
  <c r="BI10" i="13"/>
  <c r="BI5" i="13"/>
  <c r="BI8" i="13"/>
  <c r="BI12" i="13"/>
  <c r="BI6" i="13"/>
  <c r="BJ3" i="8"/>
  <c r="Z132" i="12"/>
  <c r="Z144" i="12" s="1"/>
  <c r="Z156" i="12" s="1"/>
  <c r="Z168" i="12" s="1"/>
  <c r="Z180" i="12" s="1"/>
  <c r="Z192" i="12" s="1"/>
  <c r="Z204" i="12" s="1"/>
  <c r="Z216" i="12" s="1"/>
  <c r="Z228" i="12" s="1"/>
  <c r="Z240" i="12" s="1"/>
  <c r="Z252" i="12" s="1"/>
  <c r="Z125" i="12"/>
  <c r="Z137" i="12" s="1"/>
  <c r="Z149" i="12" s="1"/>
  <c r="Z161" i="12" s="1"/>
  <c r="Z173" i="12" s="1"/>
  <c r="Z185" i="12" s="1"/>
  <c r="Z197" i="12" s="1"/>
  <c r="Z209" i="12" s="1"/>
  <c r="Z221" i="12" s="1"/>
  <c r="Z233" i="12" s="1"/>
  <c r="Z245" i="12" s="1"/>
  <c r="Z257" i="12" s="1"/>
  <c r="V128" i="12"/>
  <c r="V140" i="12" s="1"/>
  <c r="V152" i="12" s="1"/>
  <c r="V164" i="12" s="1"/>
  <c r="V176" i="12" s="1"/>
  <c r="V188" i="12" s="1"/>
  <c r="V200" i="12" s="1"/>
  <c r="V212" i="12" s="1"/>
  <c r="V224" i="12" s="1"/>
  <c r="V236" i="12" s="1"/>
  <c r="V248" i="12" s="1"/>
  <c r="V126" i="12"/>
  <c r="V138" i="12" s="1"/>
  <c r="V150" i="12" s="1"/>
  <c r="V162" i="12" s="1"/>
  <c r="V174" i="12" s="1"/>
  <c r="V186" i="12" s="1"/>
  <c r="V198" i="12" s="1"/>
  <c r="V210" i="12" s="1"/>
  <c r="V222" i="12" s="1"/>
  <c r="V234" i="12" s="1"/>
  <c r="V246" i="12" s="1"/>
  <c r="V258" i="12" s="1"/>
  <c r="V125" i="12"/>
  <c r="V137" i="12" s="1"/>
  <c r="V149" i="12" s="1"/>
  <c r="V161" i="12" s="1"/>
  <c r="V173" i="12" s="1"/>
  <c r="V185" i="12" s="1"/>
  <c r="V197" i="12" s="1"/>
  <c r="V209" i="12" s="1"/>
  <c r="V221" i="12" s="1"/>
  <c r="V233" i="12" s="1"/>
  <c r="V245" i="12" s="1"/>
  <c r="V257" i="12" s="1"/>
  <c r="V129" i="12"/>
  <c r="V141" i="12" s="1"/>
  <c r="V153" i="12" s="1"/>
  <c r="V165" i="12" s="1"/>
  <c r="V177" i="12" s="1"/>
  <c r="V189" i="12" s="1"/>
  <c r="V201" i="12" s="1"/>
  <c r="V213" i="12" s="1"/>
  <c r="V225" i="12" s="1"/>
  <c r="V237" i="12" s="1"/>
  <c r="V249" i="12" s="1"/>
  <c r="V261" i="12" s="1"/>
  <c r="Z128" i="12"/>
  <c r="Z140" i="12" s="1"/>
  <c r="Z152" i="12" s="1"/>
  <c r="Z164" i="12" s="1"/>
  <c r="Z176" i="12" s="1"/>
  <c r="Z188" i="12" s="1"/>
  <c r="Z200" i="12" s="1"/>
  <c r="Z212" i="12" s="1"/>
  <c r="Z224" i="12" s="1"/>
  <c r="Z236" i="12" s="1"/>
  <c r="Z248" i="12" s="1"/>
  <c r="V127" i="12"/>
  <c r="V139" i="12" s="1"/>
  <c r="V151" i="12" s="1"/>
  <c r="V163" i="12" s="1"/>
  <c r="V175" i="12" s="1"/>
  <c r="V187" i="12" s="1"/>
  <c r="V199" i="12" s="1"/>
  <c r="V211" i="12" s="1"/>
  <c r="V223" i="12" s="1"/>
  <c r="V235" i="12" s="1"/>
  <c r="V247" i="12" s="1"/>
  <c r="V259" i="12" s="1"/>
  <c r="Z126" i="12"/>
  <c r="Z138" i="12" s="1"/>
  <c r="Z150" i="12" s="1"/>
  <c r="Z162" i="12" s="1"/>
  <c r="Z174" i="12" s="1"/>
  <c r="Z186" i="12" s="1"/>
  <c r="Z198" i="12" s="1"/>
  <c r="Z210" i="12" s="1"/>
  <c r="Z222" i="12" s="1"/>
  <c r="Z234" i="12" s="1"/>
  <c r="Z246" i="12" s="1"/>
  <c r="Z258" i="12" s="1"/>
  <c r="Z127" i="12"/>
  <c r="Z139" i="12" s="1"/>
  <c r="Z151" i="12" s="1"/>
  <c r="Z163" i="12" s="1"/>
  <c r="Z175" i="12" s="1"/>
  <c r="Z187" i="12" s="1"/>
  <c r="Z199" i="12" s="1"/>
  <c r="Z211" i="12" s="1"/>
  <c r="Z223" i="12" s="1"/>
  <c r="Z235" i="12" s="1"/>
  <c r="Z247" i="12" s="1"/>
  <c r="Z259" i="12" s="1"/>
  <c r="Z124" i="12"/>
  <c r="Z136" i="12" s="1"/>
  <c r="Z148" i="12" s="1"/>
  <c r="Z160" i="12" s="1"/>
  <c r="Z172" i="12" s="1"/>
  <c r="Z184" i="12" s="1"/>
  <c r="Z196" i="12" s="1"/>
  <c r="Z208" i="12" s="1"/>
  <c r="Z220" i="12" s="1"/>
  <c r="Z232" i="12" s="1"/>
  <c r="Z244" i="12" s="1"/>
  <c r="Z256" i="12" s="1"/>
  <c r="V130" i="12"/>
  <c r="V142" i="12" s="1"/>
  <c r="V154" i="12" s="1"/>
  <c r="V166" i="12" s="1"/>
  <c r="V178" i="12" s="1"/>
  <c r="V190" i="12" s="1"/>
  <c r="V202" i="12" s="1"/>
  <c r="V214" i="12" s="1"/>
  <c r="V226" i="12" s="1"/>
  <c r="V238" i="12" s="1"/>
  <c r="V250" i="12" s="1"/>
  <c r="V131" i="12"/>
  <c r="V143" i="12" s="1"/>
  <c r="V155" i="12" s="1"/>
  <c r="V167" i="12" s="1"/>
  <c r="V179" i="12" s="1"/>
  <c r="V191" i="12" s="1"/>
  <c r="V203" i="12" s="1"/>
  <c r="V215" i="12" s="1"/>
  <c r="V227" i="12" s="1"/>
  <c r="V239" i="12" s="1"/>
  <c r="V251" i="12" s="1"/>
  <c r="V263" i="12" s="1"/>
  <c r="Z129" i="12"/>
  <c r="Z141" i="12" s="1"/>
  <c r="Z153" i="12" s="1"/>
  <c r="Z165" i="12" s="1"/>
  <c r="Z177" i="12" s="1"/>
  <c r="Z189" i="12" s="1"/>
  <c r="Z201" i="12" s="1"/>
  <c r="Z213" i="12" s="1"/>
  <c r="Z225" i="12" s="1"/>
  <c r="Z237" i="12" s="1"/>
  <c r="Z249" i="12" s="1"/>
  <c r="Z261" i="12" s="1"/>
  <c r="Z133" i="12"/>
  <c r="Z145" i="12" s="1"/>
  <c r="Z157" i="12" s="1"/>
  <c r="Z169" i="12" s="1"/>
  <c r="Z181" i="12" s="1"/>
  <c r="Z193" i="12" s="1"/>
  <c r="Z205" i="12" s="1"/>
  <c r="Z217" i="12" s="1"/>
  <c r="Z229" i="12" s="1"/>
  <c r="Z241" i="12" s="1"/>
  <c r="Z253" i="12" s="1"/>
  <c r="V133" i="12"/>
  <c r="V145" i="12" s="1"/>
  <c r="V157" i="12" s="1"/>
  <c r="V169" i="12" s="1"/>
  <c r="V181" i="12" s="1"/>
  <c r="V193" i="12" s="1"/>
  <c r="V205" i="12" s="1"/>
  <c r="V217" i="12" s="1"/>
  <c r="V229" i="12" s="1"/>
  <c r="V241" i="12" s="1"/>
  <c r="V253" i="12" s="1"/>
  <c r="Z130" i="12"/>
  <c r="Z142" i="12" s="1"/>
  <c r="Z154" i="12" s="1"/>
  <c r="Z166" i="12" s="1"/>
  <c r="Z178" i="12" s="1"/>
  <c r="Z190" i="12" s="1"/>
  <c r="Z202" i="12" s="1"/>
  <c r="Z214" i="12" s="1"/>
  <c r="Z226" i="12" s="1"/>
  <c r="Z238" i="12" s="1"/>
  <c r="Z250" i="12" s="1"/>
  <c r="Z262" i="12" s="1"/>
  <c r="Z131" i="12"/>
  <c r="Z143" i="12" s="1"/>
  <c r="Z155" i="12" s="1"/>
  <c r="Z167" i="12" s="1"/>
  <c r="Z179" i="12" s="1"/>
  <c r="Z191" i="12" s="1"/>
  <c r="Z203" i="12" s="1"/>
  <c r="Z215" i="12" s="1"/>
  <c r="Z227" i="12" s="1"/>
  <c r="Z239" i="12" s="1"/>
  <c r="Z251" i="12" s="1"/>
  <c r="Z263" i="12" s="1"/>
  <c r="V124" i="12"/>
  <c r="V136" i="12" s="1"/>
  <c r="V148" i="12" s="1"/>
  <c r="V160" i="12" s="1"/>
  <c r="V172" i="12" s="1"/>
  <c r="V184" i="12" s="1"/>
  <c r="V196" i="12" s="1"/>
  <c r="V208" i="12" s="1"/>
  <c r="V220" i="12" s="1"/>
  <c r="V232" i="12" s="1"/>
  <c r="V244" i="12" s="1"/>
  <c r="V132" i="12"/>
  <c r="V144" i="12" s="1"/>
  <c r="V156" i="12" s="1"/>
  <c r="V168" i="12" s="1"/>
  <c r="V180" i="12" s="1"/>
  <c r="V192" i="12" s="1"/>
  <c r="V204" i="12" s="1"/>
  <c r="V216" i="12" s="1"/>
  <c r="V228" i="12" s="1"/>
  <c r="V240" i="12" s="1"/>
  <c r="V252" i="12" s="1"/>
  <c r="Z269" i="12"/>
  <c r="Z293" i="12" s="1"/>
  <c r="Z271" i="12"/>
  <c r="Z295" i="12" s="1"/>
  <c r="V273" i="12"/>
  <c r="V297" i="12" s="1"/>
  <c r="V271" i="12"/>
  <c r="V295" i="12" s="1"/>
  <c r="Z270" i="12"/>
  <c r="Z294" i="12" s="1"/>
  <c r="Z273" i="12"/>
  <c r="Z297" i="12" s="1"/>
  <c r="V275" i="12"/>
  <c r="BL9" i="13"/>
  <c r="H9" i="12"/>
  <c r="H21" i="12" s="1"/>
  <c r="H33" i="12" s="1"/>
  <c r="H45" i="12" s="1"/>
  <c r="H57" i="12" s="1"/>
  <c r="H69" i="12" s="1"/>
  <c r="H81" i="12" s="1"/>
  <c r="H93" i="12" s="1"/>
  <c r="H105" i="12" s="1"/>
  <c r="H11" i="12"/>
  <c r="H23" i="12" s="1"/>
  <c r="H35" i="12" s="1"/>
  <c r="H47" i="12" s="1"/>
  <c r="H59" i="12" s="1"/>
  <c r="H71" i="12" s="1"/>
  <c r="H83" i="12" s="1"/>
  <c r="H95" i="12" s="1"/>
  <c r="H107" i="12" s="1"/>
  <c r="BL11" i="13"/>
  <c r="H13" i="12"/>
  <c r="H25" i="12" s="1"/>
  <c r="H37" i="12" s="1"/>
  <c r="H49" i="12" s="1"/>
  <c r="H61" i="12" s="1"/>
  <c r="H73" i="12" s="1"/>
  <c r="H85" i="12" s="1"/>
  <c r="H97" i="12" s="1"/>
  <c r="H109" i="12" s="1"/>
  <c r="BL13" i="13"/>
  <c r="BK4" i="18"/>
  <c r="BJ4" i="18"/>
  <c r="W4" i="12" s="1"/>
  <c r="BL10" i="13"/>
  <c r="H10" i="12"/>
  <c r="H22" i="12" s="1"/>
  <c r="H34" i="12" s="1"/>
  <c r="H46" i="12" s="1"/>
  <c r="H58" i="12" s="1"/>
  <c r="H70" i="12" s="1"/>
  <c r="H82" i="12" s="1"/>
  <c r="H94" i="12" s="1"/>
  <c r="H106" i="12" s="1"/>
  <c r="H12" i="12"/>
  <c r="H24" i="12" s="1"/>
  <c r="H36" i="12" s="1"/>
  <c r="H48" i="12" s="1"/>
  <c r="H60" i="12" s="1"/>
  <c r="H72" i="12" s="1"/>
  <c r="H84" i="12" s="1"/>
  <c r="H96" i="12" s="1"/>
  <c r="H108" i="12" s="1"/>
  <c r="BL12" i="13"/>
  <c r="BL8" i="13"/>
  <c r="H8" i="12"/>
  <c r="H20" i="12" s="1"/>
  <c r="H32" i="12" s="1"/>
  <c r="H44" i="12" s="1"/>
  <c r="H56" i="12" s="1"/>
  <c r="H68" i="12" s="1"/>
  <c r="H80" i="12" s="1"/>
  <c r="H92" i="12" s="1"/>
  <c r="H104" i="12" s="1"/>
  <c r="H7" i="12"/>
  <c r="H19" i="12" s="1"/>
  <c r="H31" i="12" s="1"/>
  <c r="H43" i="12" s="1"/>
  <c r="H55" i="12" s="1"/>
  <c r="H67" i="12" s="1"/>
  <c r="H79" i="12" s="1"/>
  <c r="H91" i="12" s="1"/>
  <c r="H103" i="12" s="1"/>
  <c r="BL7" i="13"/>
  <c r="BL6" i="13"/>
  <c r="H6" i="12"/>
  <c r="H18" i="12" s="1"/>
  <c r="H30" i="12" s="1"/>
  <c r="H42" i="12" s="1"/>
  <c r="H54" i="12" s="1"/>
  <c r="H66" i="12" s="1"/>
  <c r="H78" i="12" s="1"/>
  <c r="H90" i="12" s="1"/>
  <c r="H102" i="12" s="1"/>
  <c r="BL5" i="13"/>
  <c r="BL4" i="13"/>
  <c r="H4" i="12"/>
  <c r="H16" i="12" s="1"/>
  <c r="H28" i="12" s="1"/>
  <c r="H40" i="12" s="1"/>
  <c r="H52" i="12" s="1"/>
  <c r="H64" i="12" s="1"/>
  <c r="H76" i="12" s="1"/>
  <c r="H88" i="12" s="1"/>
  <c r="H100" i="12" s="1"/>
  <c r="BL3" i="13"/>
  <c r="H3" i="12"/>
  <c r="H15" i="12" s="1"/>
  <c r="H27" i="12" s="1"/>
  <c r="H39" i="12" s="1"/>
  <c r="H51" i="12" s="1"/>
  <c r="H63" i="12" s="1"/>
  <c r="H75" i="12" s="1"/>
  <c r="H87" i="12" s="1"/>
  <c r="H99" i="12" s="1"/>
  <c r="BL2" i="13"/>
  <c r="H2" i="12"/>
  <c r="H14" i="12" s="1"/>
  <c r="H26" i="12" s="1"/>
  <c r="H38" i="12" s="1"/>
  <c r="H50" i="12" s="1"/>
  <c r="H62" i="12" s="1"/>
  <c r="H74" i="12" s="1"/>
  <c r="H86" i="12" s="1"/>
  <c r="H98" i="12" s="1"/>
  <c r="BK10" i="18"/>
  <c r="X10" i="12" s="1"/>
  <c r="Y10" i="12" s="1"/>
  <c r="Y22" i="12" s="1"/>
  <c r="Y34" i="12" s="1"/>
  <c r="Y46" i="12" s="1"/>
  <c r="Y58" i="12" s="1"/>
  <c r="Y70" i="12" s="1"/>
  <c r="Y82" i="12" s="1"/>
  <c r="Y94" i="12" s="1"/>
  <c r="Y106" i="12" s="1"/>
  <c r="Y118" i="12" s="1"/>
  <c r="BJ12" i="18"/>
  <c r="W12" i="12" s="1"/>
  <c r="BJ10" i="18"/>
  <c r="W10" i="12" s="1"/>
  <c r="BJ8" i="18"/>
  <c r="W8" i="12" s="1"/>
  <c r="U8" i="12" s="1"/>
  <c r="BK12" i="18"/>
  <c r="X12" i="12" s="1"/>
  <c r="Y12" i="12" s="1"/>
  <c r="Y24" i="12" s="1"/>
  <c r="Y36" i="12" s="1"/>
  <c r="Y48" i="12" s="1"/>
  <c r="Y60" i="12" s="1"/>
  <c r="Y72" i="12" s="1"/>
  <c r="Y84" i="12" s="1"/>
  <c r="Y96" i="12" s="1"/>
  <c r="Y108" i="12" s="1"/>
  <c r="Y120" i="12" s="1"/>
  <c r="BK8" i="18"/>
  <c r="X8" i="12" s="1"/>
  <c r="Y8" i="12" s="1"/>
  <c r="Y20" i="12" s="1"/>
  <c r="Y32" i="12" s="1"/>
  <c r="Y44" i="12" s="1"/>
  <c r="Y56" i="12" s="1"/>
  <c r="Y68" i="12" s="1"/>
  <c r="Y80" i="12" s="1"/>
  <c r="Y92" i="12" s="1"/>
  <c r="Y104" i="12" s="1"/>
  <c r="Y116" i="12" s="1"/>
  <c r="BJ6" i="18"/>
  <c r="W6" i="12" s="1"/>
  <c r="U6" i="12" s="1"/>
  <c r="BK6" i="18"/>
  <c r="X6" i="12" s="1"/>
  <c r="Y6" i="12" s="1"/>
  <c r="Y18" i="12" s="1"/>
  <c r="Y30" i="12" s="1"/>
  <c r="Y42" i="12" s="1"/>
  <c r="Y54" i="12" s="1"/>
  <c r="Y66" i="12" s="1"/>
  <c r="Y78" i="12" s="1"/>
  <c r="Y90" i="12" s="1"/>
  <c r="Y102" i="12" s="1"/>
  <c r="Y114" i="12" s="1"/>
  <c r="BK13" i="18"/>
  <c r="X13" i="12" s="1"/>
  <c r="Y13" i="12" s="1"/>
  <c r="Y25" i="12" s="1"/>
  <c r="Y37" i="12" s="1"/>
  <c r="Y49" i="12" s="1"/>
  <c r="Y61" i="12" s="1"/>
  <c r="Y73" i="12" s="1"/>
  <c r="Y85" i="12" s="1"/>
  <c r="Y97" i="12" s="1"/>
  <c r="Y109" i="12" s="1"/>
  <c r="Y121" i="12" s="1"/>
  <c r="BJ13" i="18"/>
  <c r="W13" i="12" s="1"/>
  <c r="U13" i="12" s="1"/>
  <c r="BK5" i="18"/>
  <c r="X5" i="12" s="1"/>
  <c r="Y5" i="12" s="1"/>
  <c r="Y17" i="12" s="1"/>
  <c r="Y29" i="12" s="1"/>
  <c r="Y41" i="12" s="1"/>
  <c r="Y53" i="12" s="1"/>
  <c r="Y65" i="12" s="1"/>
  <c r="Y77" i="12" s="1"/>
  <c r="Y89" i="12" s="1"/>
  <c r="Y101" i="12" s="1"/>
  <c r="Y113" i="12" s="1"/>
  <c r="BJ5" i="18"/>
  <c r="W5" i="12" s="1"/>
  <c r="X4" i="12"/>
  <c r="Y4" i="12" s="1"/>
  <c r="Y16" i="12" s="1"/>
  <c r="Y28" i="12" s="1"/>
  <c r="Y40" i="12" s="1"/>
  <c r="Y52" i="12" s="1"/>
  <c r="Y64" i="12" s="1"/>
  <c r="Y76" i="12" s="1"/>
  <c r="Y88" i="12" s="1"/>
  <c r="Y100" i="12" s="1"/>
  <c r="Y112" i="12" s="1"/>
  <c r="BK9" i="18"/>
  <c r="X9" i="12" s="1"/>
  <c r="Y9" i="12" s="1"/>
  <c r="Y21" i="12" s="1"/>
  <c r="Y33" i="12" s="1"/>
  <c r="Y45" i="12" s="1"/>
  <c r="Y57" i="12" s="1"/>
  <c r="Y69" i="12" s="1"/>
  <c r="Y81" i="12" s="1"/>
  <c r="Y93" i="12" s="1"/>
  <c r="Y105" i="12" s="1"/>
  <c r="Y117" i="12" s="1"/>
  <c r="BJ9" i="18"/>
  <c r="W9" i="12" s="1"/>
  <c r="BK7" i="18"/>
  <c r="X7" i="12" s="1"/>
  <c r="Y7" i="12" s="1"/>
  <c r="Y19" i="12" s="1"/>
  <c r="Y31" i="12" s="1"/>
  <c r="Y43" i="12" s="1"/>
  <c r="Y55" i="12" s="1"/>
  <c r="Y67" i="12" s="1"/>
  <c r="Y79" i="12" s="1"/>
  <c r="Y91" i="12" s="1"/>
  <c r="Y103" i="12" s="1"/>
  <c r="Y115" i="12" s="1"/>
  <c r="BJ7" i="18"/>
  <c r="W7" i="12" s="1"/>
  <c r="U7" i="12" s="1"/>
  <c r="BK11" i="18"/>
  <c r="X11" i="12" s="1"/>
  <c r="Y11" i="12" s="1"/>
  <c r="Y23" i="12" s="1"/>
  <c r="Y35" i="12" s="1"/>
  <c r="Y47" i="12" s="1"/>
  <c r="Y59" i="12" s="1"/>
  <c r="Y71" i="12" s="1"/>
  <c r="Y83" i="12" s="1"/>
  <c r="Y95" i="12" s="1"/>
  <c r="Y107" i="12" s="1"/>
  <c r="Y119" i="12" s="1"/>
  <c r="BJ11" i="18"/>
  <c r="W11" i="12" s="1"/>
  <c r="U11" i="12" s="1"/>
  <c r="V277" i="12" l="1"/>
  <c r="V289" i="12" s="1"/>
  <c r="V301" i="12" s="1"/>
  <c r="V265" i="12"/>
  <c r="V270" i="12"/>
  <c r="V294" i="12" s="1"/>
  <c r="V268" i="12"/>
  <c r="V292" i="12" s="1"/>
  <c r="V256" i="12"/>
  <c r="Z277" i="12"/>
  <c r="Z289" i="12" s="1"/>
  <c r="Z301" i="12" s="1"/>
  <c r="Z265" i="12"/>
  <c r="Z272" i="12"/>
  <c r="Z260" i="12"/>
  <c r="V272" i="12"/>
  <c r="V296" i="12" s="1"/>
  <c r="V260" i="12"/>
  <c r="V276" i="12"/>
  <c r="V288" i="12" s="1"/>
  <c r="V264" i="12"/>
  <c r="V274" i="12"/>
  <c r="V286" i="12" s="1"/>
  <c r="V262" i="12"/>
  <c r="Z275" i="12"/>
  <c r="Z287" i="12" s="1"/>
  <c r="Z276" i="12"/>
  <c r="Z288" i="12" s="1"/>
  <c r="Z300" i="12" s="1"/>
  <c r="Z264" i="12"/>
  <c r="H133" i="12"/>
  <c r="H145" i="12" s="1"/>
  <c r="H157" i="12" s="1"/>
  <c r="H169" i="12" s="1"/>
  <c r="H181" i="12" s="1"/>
  <c r="H193" i="12" s="1"/>
  <c r="H205" i="12" s="1"/>
  <c r="H217" i="12" s="1"/>
  <c r="H229" i="12" s="1"/>
  <c r="H241" i="12" s="1"/>
  <c r="H253" i="12" s="1"/>
  <c r="H121" i="12"/>
  <c r="H129" i="12"/>
  <c r="H141" i="12" s="1"/>
  <c r="H153" i="12" s="1"/>
  <c r="H165" i="12" s="1"/>
  <c r="H177" i="12" s="1"/>
  <c r="H189" i="12" s="1"/>
  <c r="H201" i="12" s="1"/>
  <c r="H213" i="12" s="1"/>
  <c r="H225" i="12" s="1"/>
  <c r="H237" i="12" s="1"/>
  <c r="H249" i="12" s="1"/>
  <c r="H117" i="12"/>
  <c r="H112" i="12"/>
  <c r="H124" i="12"/>
  <c r="H136" i="12" s="1"/>
  <c r="H148" i="12" s="1"/>
  <c r="H160" i="12" s="1"/>
  <c r="H172" i="12" s="1"/>
  <c r="H184" i="12" s="1"/>
  <c r="H196" i="12" s="1"/>
  <c r="H208" i="12" s="1"/>
  <c r="H220" i="12" s="1"/>
  <c r="H232" i="12" s="1"/>
  <c r="H244" i="12" s="1"/>
  <c r="H111" i="12"/>
  <c r="H123" i="12"/>
  <c r="H135" i="12" s="1"/>
  <c r="H147" i="12" s="1"/>
  <c r="H159" i="12" s="1"/>
  <c r="H171" i="12" s="1"/>
  <c r="H183" i="12" s="1"/>
  <c r="H195" i="12" s="1"/>
  <c r="H207" i="12" s="1"/>
  <c r="H219" i="12" s="1"/>
  <c r="H231" i="12" s="1"/>
  <c r="H243" i="12" s="1"/>
  <c r="H110" i="12"/>
  <c r="H122" i="12"/>
  <c r="H134" i="12" s="1"/>
  <c r="H146" i="12" s="1"/>
  <c r="H158" i="12" s="1"/>
  <c r="H170" i="12" s="1"/>
  <c r="H182" i="12" s="1"/>
  <c r="H194" i="12" s="1"/>
  <c r="H206" i="12" s="1"/>
  <c r="H218" i="12" s="1"/>
  <c r="H230" i="12" s="1"/>
  <c r="H242" i="12" s="1"/>
  <c r="H114" i="12"/>
  <c r="H126" i="12"/>
  <c r="H138" i="12" s="1"/>
  <c r="H150" i="12" s="1"/>
  <c r="H162" i="12" s="1"/>
  <c r="H174" i="12" s="1"/>
  <c r="H186" i="12" s="1"/>
  <c r="H198" i="12" s="1"/>
  <c r="H210" i="12" s="1"/>
  <c r="H222" i="12" s="1"/>
  <c r="H234" i="12" s="1"/>
  <c r="H246" i="12" s="1"/>
  <c r="H115" i="12"/>
  <c r="H127" i="12"/>
  <c r="H139" i="12" s="1"/>
  <c r="H151" i="12" s="1"/>
  <c r="H163" i="12" s="1"/>
  <c r="H175" i="12" s="1"/>
  <c r="H187" i="12" s="1"/>
  <c r="H199" i="12" s="1"/>
  <c r="H211" i="12" s="1"/>
  <c r="H223" i="12" s="1"/>
  <c r="H235" i="12" s="1"/>
  <c r="H247" i="12" s="1"/>
  <c r="H120" i="12"/>
  <c r="H132" i="12"/>
  <c r="H144" i="12" s="1"/>
  <c r="H156" i="12" s="1"/>
  <c r="H168" i="12" s="1"/>
  <c r="H180" i="12" s="1"/>
  <c r="H192" i="12" s="1"/>
  <c r="H204" i="12" s="1"/>
  <c r="H216" i="12" s="1"/>
  <c r="H228" i="12" s="1"/>
  <c r="H240" i="12" s="1"/>
  <c r="H252" i="12" s="1"/>
  <c r="H119" i="12"/>
  <c r="H131" i="12"/>
  <c r="H143" i="12" s="1"/>
  <c r="H155" i="12" s="1"/>
  <c r="H167" i="12" s="1"/>
  <c r="H179" i="12" s="1"/>
  <c r="H191" i="12" s="1"/>
  <c r="H203" i="12" s="1"/>
  <c r="H215" i="12" s="1"/>
  <c r="H227" i="12" s="1"/>
  <c r="H239" i="12" s="1"/>
  <c r="H251" i="12" s="1"/>
  <c r="H116" i="12"/>
  <c r="H128" i="12"/>
  <c r="H140" i="12" s="1"/>
  <c r="H152" i="12" s="1"/>
  <c r="H164" i="12" s="1"/>
  <c r="H176" i="12" s="1"/>
  <c r="H188" i="12" s="1"/>
  <c r="H200" i="12" s="1"/>
  <c r="H212" i="12" s="1"/>
  <c r="H224" i="12" s="1"/>
  <c r="H236" i="12" s="1"/>
  <c r="H248" i="12" s="1"/>
  <c r="H118" i="12"/>
  <c r="H130" i="12"/>
  <c r="H142" i="12" s="1"/>
  <c r="H154" i="12" s="1"/>
  <c r="H166" i="12" s="1"/>
  <c r="H178" i="12" s="1"/>
  <c r="H190" i="12" s="1"/>
  <c r="H202" i="12" s="1"/>
  <c r="H214" i="12" s="1"/>
  <c r="H226" i="12" s="1"/>
  <c r="H238" i="12" s="1"/>
  <c r="H250" i="12" s="1"/>
  <c r="Z268" i="12"/>
  <c r="Z292" i="12" s="1"/>
  <c r="Z274" i="12"/>
  <c r="Z286" i="12" s="1"/>
  <c r="V269" i="12"/>
  <c r="V293" i="12" s="1"/>
  <c r="Y124" i="12"/>
  <c r="Y136" i="12" s="1"/>
  <c r="Y148" i="12" s="1"/>
  <c r="Y160" i="12" s="1"/>
  <c r="Y172" i="12" s="1"/>
  <c r="Y184" i="12" s="1"/>
  <c r="Y196" i="12" s="1"/>
  <c r="Y208" i="12" s="1"/>
  <c r="Y220" i="12" s="1"/>
  <c r="Y232" i="12" s="1"/>
  <c r="Y244" i="12" s="1"/>
  <c r="Y130" i="12"/>
  <c r="Y142" i="12" s="1"/>
  <c r="Y154" i="12" s="1"/>
  <c r="Y166" i="12" s="1"/>
  <c r="Y178" i="12" s="1"/>
  <c r="Y190" i="12" s="1"/>
  <c r="Y202" i="12" s="1"/>
  <c r="Y214" i="12" s="1"/>
  <c r="Y226" i="12" s="1"/>
  <c r="Y238" i="12" s="1"/>
  <c r="Y250" i="12" s="1"/>
  <c r="Y126" i="12"/>
  <c r="Y138" i="12" s="1"/>
  <c r="Y150" i="12" s="1"/>
  <c r="Y162" i="12" s="1"/>
  <c r="Y174" i="12" s="1"/>
  <c r="Y186" i="12" s="1"/>
  <c r="Y198" i="12" s="1"/>
  <c r="Y210" i="12" s="1"/>
  <c r="Y222" i="12" s="1"/>
  <c r="Y234" i="12" s="1"/>
  <c r="Y246" i="12" s="1"/>
  <c r="Y125" i="12"/>
  <c r="Y137" i="12" s="1"/>
  <c r="Y149" i="12" s="1"/>
  <c r="Y161" i="12" s="1"/>
  <c r="Y173" i="12" s="1"/>
  <c r="Y185" i="12" s="1"/>
  <c r="Y197" i="12" s="1"/>
  <c r="Y209" i="12" s="1"/>
  <c r="Y221" i="12" s="1"/>
  <c r="Y233" i="12" s="1"/>
  <c r="Y245" i="12" s="1"/>
  <c r="Y257" i="12" s="1"/>
  <c r="Y133" i="12"/>
  <c r="Y145" i="12" s="1"/>
  <c r="Y157" i="12" s="1"/>
  <c r="Y169" i="12" s="1"/>
  <c r="Y181" i="12" s="1"/>
  <c r="Y193" i="12" s="1"/>
  <c r="Y205" i="12" s="1"/>
  <c r="Y217" i="12" s="1"/>
  <c r="Y229" i="12" s="1"/>
  <c r="Y241" i="12" s="1"/>
  <c r="Y253" i="12" s="1"/>
  <c r="Y127" i="12"/>
  <c r="Y139" i="12" s="1"/>
  <c r="Y151" i="12" s="1"/>
  <c r="Y163" i="12" s="1"/>
  <c r="Y175" i="12" s="1"/>
  <c r="Y187" i="12" s="1"/>
  <c r="Y199" i="12" s="1"/>
  <c r="Y211" i="12" s="1"/>
  <c r="Y223" i="12" s="1"/>
  <c r="Y235" i="12" s="1"/>
  <c r="Y247" i="12" s="1"/>
  <c r="Y259" i="12" s="1"/>
  <c r="Y131" i="12"/>
  <c r="Y143" i="12" s="1"/>
  <c r="Y155" i="12" s="1"/>
  <c r="Y167" i="12" s="1"/>
  <c r="Y179" i="12" s="1"/>
  <c r="Y191" i="12" s="1"/>
  <c r="Y203" i="12" s="1"/>
  <c r="Y215" i="12" s="1"/>
  <c r="Y227" i="12" s="1"/>
  <c r="Y239" i="12" s="1"/>
  <c r="Y251" i="12" s="1"/>
  <c r="Y129" i="12"/>
  <c r="Y141" i="12" s="1"/>
  <c r="Y153" i="12" s="1"/>
  <c r="Y165" i="12" s="1"/>
  <c r="Y177" i="12" s="1"/>
  <c r="Y189" i="12" s="1"/>
  <c r="Y201" i="12" s="1"/>
  <c r="Y213" i="12" s="1"/>
  <c r="Y225" i="12" s="1"/>
  <c r="Y237" i="12" s="1"/>
  <c r="Y249" i="12" s="1"/>
  <c r="Y128" i="12"/>
  <c r="Y140" i="12" s="1"/>
  <c r="Y152" i="12" s="1"/>
  <c r="Y164" i="12" s="1"/>
  <c r="Y176" i="12" s="1"/>
  <c r="Y188" i="12" s="1"/>
  <c r="Y200" i="12" s="1"/>
  <c r="Y212" i="12" s="1"/>
  <c r="Y224" i="12" s="1"/>
  <c r="Y236" i="12" s="1"/>
  <c r="Y248" i="12" s="1"/>
  <c r="Y132" i="12"/>
  <c r="Y144" i="12" s="1"/>
  <c r="Y156" i="12" s="1"/>
  <c r="Y168" i="12" s="1"/>
  <c r="Y180" i="12" s="1"/>
  <c r="Y192" i="12" s="1"/>
  <c r="Y204" i="12" s="1"/>
  <c r="Y216" i="12" s="1"/>
  <c r="Y228" i="12" s="1"/>
  <c r="Y240" i="12" s="1"/>
  <c r="Y252" i="12" s="1"/>
  <c r="Y264" i="12" s="1"/>
  <c r="V313" i="12"/>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Z285" i="12"/>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V283" i="12"/>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Z283" i="12"/>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V287" i="12"/>
  <c r="Z280" i="12"/>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V284" i="12"/>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Z282" i="12"/>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313" i="12"/>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V285" i="12"/>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Z281" i="12"/>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U12" i="12"/>
  <c r="U10" i="12"/>
  <c r="U9" i="12"/>
  <c r="U5" i="12"/>
  <c r="U4" i="12"/>
  <c r="BJ8" i="13"/>
  <c r="I8" i="12" s="1"/>
  <c r="I20" i="12" s="1"/>
  <c r="I32" i="12" s="1"/>
  <c r="I44" i="12" s="1"/>
  <c r="I56" i="12" s="1"/>
  <c r="I68" i="12" s="1"/>
  <c r="I80" i="12" s="1"/>
  <c r="I92" i="12" s="1"/>
  <c r="I104" i="12" s="1"/>
  <c r="BJ7" i="13"/>
  <c r="I7" i="12" s="1"/>
  <c r="I19" i="12" s="1"/>
  <c r="BJ5" i="13"/>
  <c r="I5" i="12" s="1"/>
  <c r="I17" i="12" s="1"/>
  <c r="BJ6" i="13"/>
  <c r="I6" i="12" s="1"/>
  <c r="I18" i="12" s="1"/>
  <c r="BK6" i="13"/>
  <c r="J6" i="12" s="1"/>
  <c r="J18" i="12" s="1"/>
  <c r="J30" i="12" s="1"/>
  <c r="J42" i="12" s="1"/>
  <c r="J54" i="12" s="1"/>
  <c r="J66" i="12" s="1"/>
  <c r="J78" i="12" s="1"/>
  <c r="J90" i="12" s="1"/>
  <c r="J102" i="12" s="1"/>
  <c r="BK12" i="13"/>
  <c r="J12" i="12" s="1"/>
  <c r="J24" i="12" s="1"/>
  <c r="J36" i="12" s="1"/>
  <c r="J48" i="12" s="1"/>
  <c r="J60" i="12" s="1"/>
  <c r="J72" i="12" s="1"/>
  <c r="J84" i="12" s="1"/>
  <c r="J96" i="12" s="1"/>
  <c r="J108" i="12" s="1"/>
  <c r="BJ12" i="13"/>
  <c r="I12" i="12" s="1"/>
  <c r="I24" i="12" s="1"/>
  <c r="BJ10" i="13"/>
  <c r="I10" i="12" s="1"/>
  <c r="I22" i="12" s="1"/>
  <c r="H5" i="12"/>
  <c r="H17" i="12" s="1"/>
  <c r="H29" i="12" s="1"/>
  <c r="H41" i="12" s="1"/>
  <c r="H53" i="12" s="1"/>
  <c r="H65" i="12" s="1"/>
  <c r="H77" i="12" s="1"/>
  <c r="H89" i="12" s="1"/>
  <c r="H101" i="12" s="1"/>
  <c r="BK7" i="13"/>
  <c r="J7" i="12" s="1"/>
  <c r="J19" i="12" s="1"/>
  <c r="J31" i="12" s="1"/>
  <c r="J43" i="12" s="1"/>
  <c r="J55" i="12" s="1"/>
  <c r="J67" i="12" s="1"/>
  <c r="J79" i="12" s="1"/>
  <c r="J91" i="12" s="1"/>
  <c r="J103" i="12" s="1"/>
  <c r="BK10" i="13"/>
  <c r="J10" i="12" s="1"/>
  <c r="J22" i="12" s="1"/>
  <c r="J34" i="12" s="1"/>
  <c r="J46" i="12" s="1"/>
  <c r="J58" i="12" s="1"/>
  <c r="J70" i="12" s="1"/>
  <c r="J82" i="12" s="1"/>
  <c r="J94" i="12" s="1"/>
  <c r="J106" i="12" s="1"/>
  <c r="BJ13" i="13"/>
  <c r="I13" i="12" s="1"/>
  <c r="I25" i="12" s="1"/>
  <c r="BK5" i="13"/>
  <c r="J5" i="12" s="1"/>
  <c r="J17" i="12" s="1"/>
  <c r="J29" i="12" s="1"/>
  <c r="J41" i="12" s="1"/>
  <c r="J53" i="12" s="1"/>
  <c r="J65" i="12" s="1"/>
  <c r="J77" i="12" s="1"/>
  <c r="J89" i="12" s="1"/>
  <c r="J101" i="12" s="1"/>
  <c r="BK2" i="13"/>
  <c r="J2" i="12" s="1"/>
  <c r="J14" i="12" s="1"/>
  <c r="J26" i="12" s="1"/>
  <c r="J38" i="12" s="1"/>
  <c r="J50" i="12" s="1"/>
  <c r="J62" i="12" s="1"/>
  <c r="J74" i="12" s="1"/>
  <c r="J86" i="12" s="1"/>
  <c r="J98" i="12" s="1"/>
  <c r="BK13" i="13"/>
  <c r="J13" i="12" s="1"/>
  <c r="J25" i="12" s="1"/>
  <c r="J37" i="12" s="1"/>
  <c r="J49" i="12" s="1"/>
  <c r="J61" i="12" s="1"/>
  <c r="J73" i="12" s="1"/>
  <c r="J85" i="12" s="1"/>
  <c r="J97" i="12" s="1"/>
  <c r="J109" i="12" s="1"/>
  <c r="BJ9" i="13"/>
  <c r="I9" i="12" s="1"/>
  <c r="I21" i="12" s="1"/>
  <c r="BK3" i="13"/>
  <c r="J3" i="12" s="1"/>
  <c r="J15" i="12" s="1"/>
  <c r="J27" i="12" s="1"/>
  <c r="J39" i="12" s="1"/>
  <c r="J51" i="12" s="1"/>
  <c r="J63" i="12" s="1"/>
  <c r="J75" i="12" s="1"/>
  <c r="J87" i="12" s="1"/>
  <c r="J99" i="12" s="1"/>
  <c r="BK9" i="13"/>
  <c r="J9" i="12" s="1"/>
  <c r="J21" i="12" s="1"/>
  <c r="J33" i="12" s="1"/>
  <c r="J45" i="12" s="1"/>
  <c r="J57" i="12" s="1"/>
  <c r="J69" i="12" s="1"/>
  <c r="J81" i="12" s="1"/>
  <c r="J93" i="12" s="1"/>
  <c r="J105" i="12" s="1"/>
  <c r="BK4" i="13"/>
  <c r="J4" i="12" s="1"/>
  <c r="J16" i="12" s="1"/>
  <c r="J28" i="12" s="1"/>
  <c r="J40" i="12" s="1"/>
  <c r="J52" i="12" s="1"/>
  <c r="J64" i="12" s="1"/>
  <c r="J76" i="12" s="1"/>
  <c r="J88" i="12" s="1"/>
  <c r="J100" i="12" s="1"/>
  <c r="BJ2" i="13"/>
  <c r="I2" i="12" s="1"/>
  <c r="I14" i="12" s="1"/>
  <c r="BJ11" i="13"/>
  <c r="I11" i="12" s="1"/>
  <c r="BJ4" i="13"/>
  <c r="I4" i="12" s="1"/>
  <c r="I16" i="12" s="1"/>
  <c r="BK8" i="13"/>
  <c r="J8" i="12" s="1"/>
  <c r="J20" i="12" s="1"/>
  <c r="J32" i="12" s="1"/>
  <c r="J44" i="12" s="1"/>
  <c r="J56" i="12" s="1"/>
  <c r="J68" i="12" s="1"/>
  <c r="J80" i="12" s="1"/>
  <c r="J92" i="12" s="1"/>
  <c r="J104" i="12" s="1"/>
  <c r="BK11" i="13"/>
  <c r="J11" i="12" s="1"/>
  <c r="J23" i="12" s="1"/>
  <c r="J35" i="12" s="1"/>
  <c r="J47" i="12" s="1"/>
  <c r="J59" i="12" s="1"/>
  <c r="J71" i="12" s="1"/>
  <c r="J83" i="12" s="1"/>
  <c r="J95" i="12" s="1"/>
  <c r="J107" i="12" s="1"/>
  <c r="BJ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17" i="12" s="1"/>
  <c r="X20" i="12"/>
  <c r="X32" i="12" s="1"/>
  <c r="X44" i="12" s="1"/>
  <c r="X56" i="12" s="1"/>
  <c r="X68" i="12" s="1"/>
  <c r="X80" i="12" s="1"/>
  <c r="X92" i="12" s="1"/>
  <c r="X104" i="12" s="1"/>
  <c r="X116" i="12" s="1"/>
  <c r="X19" i="12"/>
  <c r="X31" i="12" s="1"/>
  <c r="X43" i="12" s="1"/>
  <c r="X55" i="12" s="1"/>
  <c r="X67" i="12" s="1"/>
  <c r="X79" i="12" s="1"/>
  <c r="X91" i="12" s="1"/>
  <c r="X103" i="12" s="1"/>
  <c r="X115" i="12" s="1"/>
  <c r="X18" i="12"/>
  <c r="X30" i="12" s="1"/>
  <c r="X42" i="12" s="1"/>
  <c r="X54" i="12" s="1"/>
  <c r="X66" i="12" s="1"/>
  <c r="X78" i="12" s="1"/>
  <c r="X90" i="12" s="1"/>
  <c r="X102" i="12" s="1"/>
  <c r="X114" i="12" s="1"/>
  <c r="X16" i="12"/>
  <c r="X28" i="12" s="1"/>
  <c r="X40" i="12" s="1"/>
  <c r="X52" i="12" s="1"/>
  <c r="X64" i="12" s="1"/>
  <c r="X76" i="12" s="1"/>
  <c r="X88" i="12" s="1"/>
  <c r="X100" i="12" s="1"/>
  <c r="X112" i="12" s="1"/>
  <c r="X24" i="12"/>
  <c r="X36" i="12" s="1"/>
  <c r="X48" i="12" s="1"/>
  <c r="X60" i="12" s="1"/>
  <c r="X72" i="12" s="1"/>
  <c r="X84" i="12" s="1"/>
  <c r="X96" i="12" s="1"/>
  <c r="X108" i="12" s="1"/>
  <c r="X120" i="12" s="1"/>
  <c r="X25" i="12"/>
  <c r="X37" i="12" s="1"/>
  <c r="X49" i="12" s="1"/>
  <c r="X61" i="12" s="1"/>
  <c r="X73" i="12" s="1"/>
  <c r="X85" i="12" s="1"/>
  <c r="X97" i="12" s="1"/>
  <c r="X109" i="12" s="1"/>
  <c r="X121" i="12" s="1"/>
  <c r="X22" i="12"/>
  <c r="X34" i="12" s="1"/>
  <c r="X46" i="12" s="1"/>
  <c r="X58" i="12" s="1"/>
  <c r="X70" i="12" s="1"/>
  <c r="X82" i="12" s="1"/>
  <c r="X94" i="12" s="1"/>
  <c r="X106" i="12" s="1"/>
  <c r="X118" i="12" s="1"/>
  <c r="X17" i="12"/>
  <c r="X29" i="12" s="1"/>
  <c r="X41" i="12" s="1"/>
  <c r="X53" i="12" s="1"/>
  <c r="X65" i="12" s="1"/>
  <c r="X77" i="12" s="1"/>
  <c r="X89" i="12" s="1"/>
  <c r="X101" i="12" s="1"/>
  <c r="X113" i="12" s="1"/>
  <c r="X23" i="12"/>
  <c r="X35" i="12" s="1"/>
  <c r="X47" i="12" s="1"/>
  <c r="X59" i="12" s="1"/>
  <c r="X71" i="12" s="1"/>
  <c r="X83" i="12" s="1"/>
  <c r="X95" i="12" s="1"/>
  <c r="X107" i="12" s="1"/>
  <c r="X119" i="12" s="1"/>
  <c r="Z2" i="12"/>
  <c r="Z14" i="12" s="1"/>
  <c r="Z26" i="12" s="1"/>
  <c r="Z38" i="12" s="1"/>
  <c r="Z50" i="12" s="1"/>
  <c r="Z62" i="12" s="1"/>
  <c r="Z74" i="12" s="1"/>
  <c r="Z86" i="12" s="1"/>
  <c r="Z98" i="12" s="1"/>
  <c r="Z110" i="12" s="1"/>
  <c r="Y271" i="12" l="1"/>
  <c r="Y295" i="12" s="1"/>
  <c r="V280" i="12"/>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Y269" i="12"/>
  <c r="Y293" i="12" s="1"/>
  <c r="V281" i="12"/>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282" i="12"/>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Z311" i="12"/>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299" i="12"/>
  <c r="V312" i="12"/>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300" i="12"/>
  <c r="Z284" i="12"/>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296" i="12"/>
  <c r="V310" i="12"/>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298" i="12"/>
  <c r="Y276" i="12"/>
  <c r="Y288" i="12" s="1"/>
  <c r="Y300" i="12" s="1"/>
  <c r="V311" i="12"/>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299" i="12"/>
  <c r="Z312" i="12"/>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310" i="12"/>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298" i="12"/>
  <c r="Y277" i="12"/>
  <c r="Y289" i="12" s="1"/>
  <c r="Y301" i="12" s="1"/>
  <c r="Y265" i="12"/>
  <c r="Y273" i="12"/>
  <c r="Y297" i="12" s="1"/>
  <c r="Y261" i="12"/>
  <c r="Y268" i="12"/>
  <c r="Y292" i="12" s="1"/>
  <c r="Y256" i="12"/>
  <c r="Y275" i="12"/>
  <c r="Y263" i="12"/>
  <c r="Y270" i="12"/>
  <c r="Y294" i="12" s="1"/>
  <c r="Y258" i="12"/>
  <c r="Y272" i="12"/>
  <c r="Y296" i="12" s="1"/>
  <c r="Y260" i="12"/>
  <c r="Y274" i="12"/>
  <c r="Y286" i="12" s="1"/>
  <c r="Y262" i="12"/>
  <c r="J110" i="12"/>
  <c r="J122" i="12"/>
  <c r="J134" i="12" s="1"/>
  <c r="J146" i="12" s="1"/>
  <c r="J158" i="12" s="1"/>
  <c r="J170" i="12" s="1"/>
  <c r="J182" i="12" s="1"/>
  <c r="J194" i="12" s="1"/>
  <c r="J206" i="12" s="1"/>
  <c r="J218" i="12" s="1"/>
  <c r="J230" i="12" s="1"/>
  <c r="J242" i="12" s="1"/>
  <c r="H260" i="12"/>
  <c r="H272" i="12"/>
  <c r="H264" i="12"/>
  <c r="H276" i="12"/>
  <c r="H288" i="12" s="1"/>
  <c r="H258" i="12"/>
  <c r="H270" i="12"/>
  <c r="H267" i="12"/>
  <c r="H255" i="12"/>
  <c r="J123" i="12"/>
  <c r="J135" i="12" s="1"/>
  <c r="J147" i="12" s="1"/>
  <c r="J159" i="12" s="1"/>
  <c r="J171" i="12" s="1"/>
  <c r="J183" i="12" s="1"/>
  <c r="J195" i="12" s="1"/>
  <c r="J207" i="12" s="1"/>
  <c r="J219" i="12" s="1"/>
  <c r="J231" i="12" s="1"/>
  <c r="J243" i="12" s="1"/>
  <c r="J111" i="12"/>
  <c r="J113" i="12"/>
  <c r="J125" i="12"/>
  <c r="J137" i="12" s="1"/>
  <c r="J149" i="12" s="1"/>
  <c r="J161" i="12" s="1"/>
  <c r="J173" i="12" s="1"/>
  <c r="J185" i="12" s="1"/>
  <c r="J197" i="12" s="1"/>
  <c r="J209" i="12" s="1"/>
  <c r="J221" i="12" s="1"/>
  <c r="J233" i="12" s="1"/>
  <c r="J245" i="12" s="1"/>
  <c r="H125" i="12"/>
  <c r="H137" i="12" s="1"/>
  <c r="H149" i="12" s="1"/>
  <c r="H161" i="12" s="1"/>
  <c r="H173" i="12" s="1"/>
  <c r="H185" i="12" s="1"/>
  <c r="H197" i="12" s="1"/>
  <c r="H209" i="12" s="1"/>
  <c r="H221" i="12" s="1"/>
  <c r="H233" i="12" s="1"/>
  <c r="H245" i="12" s="1"/>
  <c r="H113" i="12"/>
  <c r="J114" i="12"/>
  <c r="J126" i="12"/>
  <c r="J138" i="12" s="1"/>
  <c r="J150" i="12" s="1"/>
  <c r="J162" i="12" s="1"/>
  <c r="J174" i="12" s="1"/>
  <c r="J186" i="12" s="1"/>
  <c r="J198" i="12" s="1"/>
  <c r="J210" i="12" s="1"/>
  <c r="J222" i="12" s="1"/>
  <c r="J234" i="12" s="1"/>
  <c r="J246" i="12" s="1"/>
  <c r="I116" i="12"/>
  <c r="G116" i="12" s="1"/>
  <c r="I128" i="12"/>
  <c r="I140" i="12" s="1"/>
  <c r="I152" i="12" s="1"/>
  <c r="I164" i="12" s="1"/>
  <c r="I176" i="12" s="1"/>
  <c r="I188" i="12" s="1"/>
  <c r="I200" i="12" s="1"/>
  <c r="I212" i="12" s="1"/>
  <c r="I224" i="12" s="1"/>
  <c r="I236" i="12" s="1"/>
  <c r="I248" i="12" s="1"/>
  <c r="H273" i="12"/>
  <c r="H261" i="12"/>
  <c r="J117" i="12"/>
  <c r="J129" i="12"/>
  <c r="J141" i="12" s="1"/>
  <c r="J153" i="12" s="1"/>
  <c r="J165" i="12" s="1"/>
  <c r="J177" i="12" s="1"/>
  <c r="J189" i="12" s="1"/>
  <c r="J201" i="12" s="1"/>
  <c r="J213" i="12" s="1"/>
  <c r="J225" i="12" s="1"/>
  <c r="J237" i="12" s="1"/>
  <c r="J249" i="12" s="1"/>
  <c r="J120" i="12"/>
  <c r="J132" i="12"/>
  <c r="J144" i="12" s="1"/>
  <c r="J156" i="12" s="1"/>
  <c r="J168" i="12" s="1"/>
  <c r="J180" i="12" s="1"/>
  <c r="J192" i="12" s="1"/>
  <c r="J204" i="12" s="1"/>
  <c r="J216" i="12" s="1"/>
  <c r="J228" i="12" s="1"/>
  <c r="J240" i="12" s="1"/>
  <c r="J252" i="12" s="1"/>
  <c r="J131" i="12"/>
  <c r="J143" i="12" s="1"/>
  <c r="J155" i="12" s="1"/>
  <c r="J167" i="12" s="1"/>
  <c r="J179" i="12" s="1"/>
  <c r="J191" i="12" s="1"/>
  <c r="J203" i="12" s="1"/>
  <c r="J215" i="12" s="1"/>
  <c r="J227" i="12" s="1"/>
  <c r="J239" i="12" s="1"/>
  <c r="J251" i="12" s="1"/>
  <c r="J119" i="12"/>
  <c r="H262" i="12"/>
  <c r="H274" i="12"/>
  <c r="H263" i="12"/>
  <c r="H275" i="12"/>
  <c r="H287" i="12" s="1"/>
  <c r="H259" i="12"/>
  <c r="H271" i="12"/>
  <c r="H254" i="12"/>
  <c r="H266" i="12"/>
  <c r="H256" i="12"/>
  <c r="H268" i="12"/>
  <c r="J127" i="12"/>
  <c r="J139" i="12" s="1"/>
  <c r="J151" i="12" s="1"/>
  <c r="J163" i="12" s="1"/>
  <c r="J175" i="12" s="1"/>
  <c r="J187" i="12" s="1"/>
  <c r="J199" i="12" s="1"/>
  <c r="J211" i="12" s="1"/>
  <c r="J223" i="12" s="1"/>
  <c r="J235" i="12" s="1"/>
  <c r="J247" i="12" s="1"/>
  <c r="J115" i="12"/>
  <c r="J116" i="12"/>
  <c r="J128" i="12"/>
  <c r="J140" i="12" s="1"/>
  <c r="J152" i="12" s="1"/>
  <c r="J164" i="12" s="1"/>
  <c r="J176" i="12" s="1"/>
  <c r="J188" i="12" s="1"/>
  <c r="J200" i="12" s="1"/>
  <c r="J212" i="12" s="1"/>
  <c r="J224" i="12" s="1"/>
  <c r="J236" i="12" s="1"/>
  <c r="J248" i="12" s="1"/>
  <c r="J112" i="12"/>
  <c r="J124" i="12"/>
  <c r="J136" i="12" s="1"/>
  <c r="J148" i="12" s="1"/>
  <c r="J160" i="12" s="1"/>
  <c r="J172" i="12" s="1"/>
  <c r="J184" i="12" s="1"/>
  <c r="J196" i="12" s="1"/>
  <c r="J208" i="12" s="1"/>
  <c r="J220" i="12" s="1"/>
  <c r="J232" i="12" s="1"/>
  <c r="J244" i="12" s="1"/>
  <c r="J121" i="12"/>
  <c r="J133" i="12"/>
  <c r="J145" i="12" s="1"/>
  <c r="J157" i="12" s="1"/>
  <c r="J169" i="12" s="1"/>
  <c r="J181" i="12" s="1"/>
  <c r="J193" i="12" s="1"/>
  <c r="J205" i="12" s="1"/>
  <c r="J217" i="12" s="1"/>
  <c r="J229" i="12" s="1"/>
  <c r="J241" i="12" s="1"/>
  <c r="J253" i="12" s="1"/>
  <c r="J118" i="12"/>
  <c r="J130" i="12"/>
  <c r="J142" i="12" s="1"/>
  <c r="J154" i="12" s="1"/>
  <c r="J166" i="12" s="1"/>
  <c r="J178" i="12" s="1"/>
  <c r="J190" i="12" s="1"/>
  <c r="J202" i="12" s="1"/>
  <c r="J214" i="12" s="1"/>
  <c r="J226" i="12" s="1"/>
  <c r="J238" i="12" s="1"/>
  <c r="J250" i="12" s="1"/>
  <c r="H265" i="12"/>
  <c r="H277" i="12"/>
  <c r="H289" i="12" s="1"/>
  <c r="X124" i="12"/>
  <c r="X136" i="12" s="1"/>
  <c r="X148" i="12" s="1"/>
  <c r="X160" i="12" s="1"/>
  <c r="X172" i="12" s="1"/>
  <c r="X184" i="12" s="1"/>
  <c r="X196" i="12" s="1"/>
  <c r="X208" i="12" s="1"/>
  <c r="X220" i="12" s="1"/>
  <c r="X232" i="12" s="1"/>
  <c r="X244" i="12" s="1"/>
  <c r="X126" i="12"/>
  <c r="X138" i="12" s="1"/>
  <c r="X150" i="12" s="1"/>
  <c r="X162" i="12" s="1"/>
  <c r="X174" i="12" s="1"/>
  <c r="X186" i="12" s="1"/>
  <c r="X198" i="12" s="1"/>
  <c r="X210" i="12" s="1"/>
  <c r="X222" i="12" s="1"/>
  <c r="X234" i="12" s="1"/>
  <c r="X246" i="12" s="1"/>
  <c r="Z122" i="12"/>
  <c r="Z134" i="12" s="1"/>
  <c r="Z146" i="12" s="1"/>
  <c r="Z158" i="12" s="1"/>
  <c r="Z170" i="12" s="1"/>
  <c r="Z182" i="12" s="1"/>
  <c r="Z194" i="12" s="1"/>
  <c r="Z206" i="12" s="1"/>
  <c r="Z218" i="12" s="1"/>
  <c r="Z230" i="12" s="1"/>
  <c r="Z242" i="12" s="1"/>
  <c r="Z254" i="12" s="1"/>
  <c r="X127" i="12"/>
  <c r="X139" i="12" s="1"/>
  <c r="X151" i="12" s="1"/>
  <c r="X163" i="12" s="1"/>
  <c r="X175" i="12" s="1"/>
  <c r="X187" i="12" s="1"/>
  <c r="X199" i="12" s="1"/>
  <c r="X211" i="12" s="1"/>
  <c r="X223" i="12" s="1"/>
  <c r="X235" i="12" s="1"/>
  <c r="X247" i="12" s="1"/>
  <c r="X125" i="12"/>
  <c r="X137" i="12" s="1"/>
  <c r="X149" i="12" s="1"/>
  <c r="X161" i="12" s="1"/>
  <c r="X173" i="12" s="1"/>
  <c r="X185" i="12" s="1"/>
  <c r="X197" i="12" s="1"/>
  <c r="X209" i="12" s="1"/>
  <c r="X221" i="12" s="1"/>
  <c r="X233" i="12" s="1"/>
  <c r="X245" i="12" s="1"/>
  <c r="X257" i="12" s="1"/>
  <c r="X130" i="12"/>
  <c r="X142" i="12" s="1"/>
  <c r="X154" i="12" s="1"/>
  <c r="X166" i="12" s="1"/>
  <c r="X178" i="12" s="1"/>
  <c r="X190" i="12" s="1"/>
  <c r="X202" i="12" s="1"/>
  <c r="X214" i="12" s="1"/>
  <c r="X226" i="12" s="1"/>
  <c r="X238" i="12" s="1"/>
  <c r="X250" i="12" s="1"/>
  <c r="X133" i="12"/>
  <c r="X145" i="12" s="1"/>
  <c r="X157" i="12" s="1"/>
  <c r="X169" i="12" s="1"/>
  <c r="X181" i="12" s="1"/>
  <c r="X193" i="12" s="1"/>
  <c r="X205" i="12" s="1"/>
  <c r="X217" i="12" s="1"/>
  <c r="X229" i="12" s="1"/>
  <c r="X241" i="12" s="1"/>
  <c r="X253" i="12" s="1"/>
  <c r="X265" i="12" s="1"/>
  <c r="X131" i="12"/>
  <c r="X143" i="12" s="1"/>
  <c r="X155" i="12" s="1"/>
  <c r="X167" i="12" s="1"/>
  <c r="X179" i="12" s="1"/>
  <c r="X191" i="12" s="1"/>
  <c r="X203" i="12" s="1"/>
  <c r="X215" i="12" s="1"/>
  <c r="X227" i="12" s="1"/>
  <c r="X239" i="12" s="1"/>
  <c r="X251" i="12" s="1"/>
  <c r="X132" i="12"/>
  <c r="X144" i="12" s="1"/>
  <c r="X156" i="12" s="1"/>
  <c r="X168" i="12" s="1"/>
  <c r="X180" i="12" s="1"/>
  <c r="X192" i="12" s="1"/>
  <c r="X204" i="12" s="1"/>
  <c r="X216" i="12" s="1"/>
  <c r="X228" i="12" s="1"/>
  <c r="X240" i="12" s="1"/>
  <c r="X252" i="12" s="1"/>
  <c r="X128" i="12"/>
  <c r="X140" i="12" s="1"/>
  <c r="X152" i="12" s="1"/>
  <c r="X164" i="12" s="1"/>
  <c r="X176" i="12" s="1"/>
  <c r="X188" i="12" s="1"/>
  <c r="X200" i="12" s="1"/>
  <c r="X212" i="12" s="1"/>
  <c r="X224" i="12" s="1"/>
  <c r="X236" i="12" s="1"/>
  <c r="X248" i="12" s="1"/>
  <c r="X129" i="12"/>
  <c r="X141" i="12" s="1"/>
  <c r="X153" i="12" s="1"/>
  <c r="X165" i="12" s="1"/>
  <c r="X177" i="12" s="1"/>
  <c r="X189" i="12" s="1"/>
  <c r="X201" i="12" s="1"/>
  <c r="X213" i="12" s="1"/>
  <c r="X225" i="12" s="1"/>
  <c r="X237" i="12" s="1"/>
  <c r="X249" i="12" s="1"/>
  <c r="X261" i="12" s="1"/>
  <c r="Y281" i="12"/>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312" i="12"/>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Z605" i="12"/>
  <c r="Z617" i="12" s="1"/>
  <c r="Z629" i="12" s="1"/>
  <c r="Z641" i="12" s="1"/>
  <c r="Z653" i="12" s="1"/>
  <c r="Z613" i="12"/>
  <c r="Z625" i="12" s="1"/>
  <c r="Z637" i="12" s="1"/>
  <c r="Z649" i="12" s="1"/>
  <c r="Z661" i="12" s="1"/>
  <c r="V608" i="12"/>
  <c r="V620" i="12" s="1"/>
  <c r="V632" i="12" s="1"/>
  <c r="V644" i="12" s="1"/>
  <c r="V656" i="12" s="1"/>
  <c r="Z604" i="12"/>
  <c r="Z616" i="12" s="1"/>
  <c r="Z628" i="12" s="1"/>
  <c r="Z640" i="12" s="1"/>
  <c r="Z652" i="12" s="1"/>
  <c r="Z610" i="12"/>
  <c r="Z622" i="12" s="1"/>
  <c r="Z634" i="12" s="1"/>
  <c r="Z646" i="12" s="1"/>
  <c r="Z658" i="12" s="1"/>
  <c r="Z607" i="12"/>
  <c r="Z619" i="12" s="1"/>
  <c r="Z631" i="12" s="1"/>
  <c r="Z643" i="12" s="1"/>
  <c r="Z655" i="12" s="1"/>
  <c r="Z612" i="12"/>
  <c r="Z624" i="12" s="1"/>
  <c r="Z636" i="12" s="1"/>
  <c r="Z648" i="12" s="1"/>
  <c r="Z660" i="12" s="1"/>
  <c r="V606" i="12"/>
  <c r="V618" i="12" s="1"/>
  <c r="V630" i="12" s="1"/>
  <c r="V642" i="12" s="1"/>
  <c r="V654" i="12" s="1"/>
  <c r="Y284" i="12"/>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287" i="12"/>
  <c r="Y313" i="12"/>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283" i="12"/>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V609" i="12"/>
  <c r="V621" i="12" s="1"/>
  <c r="V633" i="12" s="1"/>
  <c r="V645" i="12" s="1"/>
  <c r="V657" i="12" s="1"/>
  <c r="Z606" i="12"/>
  <c r="Z618" i="12" s="1"/>
  <c r="Z630" i="12" s="1"/>
  <c r="Z642" i="12" s="1"/>
  <c r="Z654" i="12" s="1"/>
  <c r="V605" i="12"/>
  <c r="V617" i="12" s="1"/>
  <c r="V629" i="12" s="1"/>
  <c r="V641" i="12" s="1"/>
  <c r="V653" i="12" s="1"/>
  <c r="V611" i="12"/>
  <c r="V623" i="12" s="1"/>
  <c r="V635" i="12" s="1"/>
  <c r="V647" i="12" s="1"/>
  <c r="V659" i="12" s="1"/>
  <c r="V604" i="12"/>
  <c r="V616" i="12" s="1"/>
  <c r="V628" i="12" s="1"/>
  <c r="V640" i="12" s="1"/>
  <c r="V652" i="12" s="1"/>
  <c r="V607" i="12"/>
  <c r="V619" i="12" s="1"/>
  <c r="V631" i="12" s="1"/>
  <c r="V643" i="12" s="1"/>
  <c r="V655" i="12" s="1"/>
  <c r="Z609" i="12"/>
  <c r="Z621" i="12" s="1"/>
  <c r="Z633" i="12" s="1"/>
  <c r="Z645" i="12" s="1"/>
  <c r="Z657" i="12" s="1"/>
  <c r="V613" i="12"/>
  <c r="V625" i="12" s="1"/>
  <c r="V637" i="12" s="1"/>
  <c r="V649" i="12" s="1"/>
  <c r="V661" i="12" s="1"/>
  <c r="X277" i="12"/>
  <c r="X289" i="12" s="1"/>
  <c r="X301" i="12" s="1"/>
  <c r="X273" i="12"/>
  <c r="X297" i="12" s="1"/>
  <c r="G68" i="12"/>
  <c r="G7" i="12"/>
  <c r="G56" i="12"/>
  <c r="G32" i="12"/>
  <c r="G20" i="12"/>
  <c r="G80" i="12"/>
  <c r="G104" i="12"/>
  <c r="G6" i="12"/>
  <c r="G44" i="12"/>
  <c r="G11" i="12"/>
  <c r="G12" i="12"/>
  <c r="G13" i="12"/>
  <c r="G10" i="12"/>
  <c r="G8" i="12"/>
  <c r="G5" i="12"/>
  <c r="G2" i="12"/>
  <c r="I23" i="12"/>
  <c r="G23" i="12" s="1"/>
  <c r="G3" i="12"/>
  <c r="G9" i="12"/>
  <c r="G212" i="12"/>
  <c r="G4" i="12"/>
  <c r="G92"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11" i="12" s="1"/>
  <c r="V3" i="12"/>
  <c r="V15" i="12" s="1"/>
  <c r="V27" i="12" s="1"/>
  <c r="V39" i="12" s="1"/>
  <c r="V51" i="12" s="1"/>
  <c r="V63" i="12" s="1"/>
  <c r="V75" i="12" s="1"/>
  <c r="V87" i="12" s="1"/>
  <c r="V99" i="12" s="1"/>
  <c r="V111" i="12" s="1"/>
  <c r="V612" i="12" l="1"/>
  <c r="V624" i="12" s="1"/>
  <c r="V636" i="12" s="1"/>
  <c r="V648" i="12" s="1"/>
  <c r="V660" i="12" s="1"/>
  <c r="V610" i="12"/>
  <c r="V622" i="12" s="1"/>
  <c r="V634" i="12" s="1"/>
  <c r="V646" i="12" s="1"/>
  <c r="V658" i="12" s="1"/>
  <c r="Z266" i="12"/>
  <c r="Z290" i="12" s="1"/>
  <c r="Z608" i="12"/>
  <c r="Z620" i="12" s="1"/>
  <c r="Z632" i="12" s="1"/>
  <c r="Z644" i="12" s="1"/>
  <c r="Z656" i="12" s="1"/>
  <c r="Z611" i="12"/>
  <c r="Z623" i="12" s="1"/>
  <c r="Z635" i="12" s="1"/>
  <c r="Z647" i="12" s="1"/>
  <c r="Z659" i="12" s="1"/>
  <c r="Y285" i="12"/>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310" i="12"/>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298" i="12"/>
  <c r="Y311" i="12"/>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299" i="12"/>
  <c r="Y280" i="12"/>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282" i="12"/>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X269" i="12"/>
  <c r="X293" i="12" s="1"/>
  <c r="X271" i="12"/>
  <c r="X295" i="12" s="1"/>
  <c r="X259" i="12"/>
  <c r="X275" i="12"/>
  <c r="X287" i="12" s="1"/>
  <c r="X263" i="12"/>
  <c r="X272" i="12"/>
  <c r="X296" i="12" s="1"/>
  <c r="X260" i="12"/>
  <c r="X274" i="12"/>
  <c r="X262" i="12"/>
  <c r="X270" i="12"/>
  <c r="X294" i="12" s="1"/>
  <c r="X258" i="12"/>
  <c r="X276" i="12"/>
  <c r="X288" i="12" s="1"/>
  <c r="X300" i="12" s="1"/>
  <c r="X264" i="12"/>
  <c r="X268" i="12"/>
  <c r="X292" i="12" s="1"/>
  <c r="X256" i="12"/>
  <c r="G224" i="12"/>
  <c r="G164" i="12"/>
  <c r="J256" i="12"/>
  <c r="J268" i="12"/>
  <c r="J261" i="12"/>
  <c r="J273" i="12"/>
  <c r="G188" i="12"/>
  <c r="J267" i="12"/>
  <c r="J255" i="12"/>
  <c r="H294" i="12"/>
  <c r="H282" i="12"/>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G236" i="12"/>
  <c r="G128" i="12"/>
  <c r="H313" i="12"/>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301" i="12"/>
  <c r="J265" i="12"/>
  <c r="J277" i="12"/>
  <c r="J289" i="12" s="1"/>
  <c r="J260" i="12"/>
  <c r="J272" i="12"/>
  <c r="H292" i="12"/>
  <c r="H280" i="12"/>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295" i="12"/>
  <c r="H283" i="12"/>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298" i="12"/>
  <c r="H286" i="12"/>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J264" i="12"/>
  <c r="J276" i="12"/>
  <c r="J288" i="12" s="1"/>
  <c r="J258" i="12"/>
  <c r="J270" i="12"/>
  <c r="J257" i="12"/>
  <c r="J269" i="12"/>
  <c r="H300" i="12"/>
  <c r="H312" i="12"/>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J254" i="12"/>
  <c r="J266" i="12"/>
  <c r="J274" i="12"/>
  <c r="J262" i="12"/>
  <c r="H290" i="12"/>
  <c r="H278" i="12"/>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299" i="12"/>
  <c r="H311" i="12"/>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I260" i="12"/>
  <c r="G260" i="12" s="1"/>
  <c r="I272" i="12"/>
  <c r="H296" i="12"/>
  <c r="H284" i="12"/>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G152" i="12"/>
  <c r="J259" i="12"/>
  <c r="J271" i="12"/>
  <c r="J263" i="12"/>
  <c r="J275" i="12"/>
  <c r="J287" i="12" s="1"/>
  <c r="H257" i="12"/>
  <c r="H269" i="12"/>
  <c r="G248" i="12"/>
  <c r="G140" i="12"/>
  <c r="G200" i="12"/>
  <c r="G176" i="12"/>
  <c r="H297" i="12"/>
  <c r="H285" i="12"/>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279" i="12"/>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291" i="12"/>
  <c r="V123" i="12"/>
  <c r="V135" i="12" s="1"/>
  <c r="V147" i="12" s="1"/>
  <c r="V159" i="12" s="1"/>
  <c r="V171" i="12" s="1"/>
  <c r="V183" i="12" s="1"/>
  <c r="V195" i="12" s="1"/>
  <c r="V207" i="12" s="1"/>
  <c r="V219" i="12" s="1"/>
  <c r="V231" i="12" s="1"/>
  <c r="V243" i="12" s="1"/>
  <c r="Z123" i="12"/>
  <c r="Z135" i="12" s="1"/>
  <c r="Z147" i="12" s="1"/>
  <c r="Z159" i="12" s="1"/>
  <c r="Z171" i="12" s="1"/>
  <c r="Z183" i="12" s="1"/>
  <c r="Z195" i="12" s="1"/>
  <c r="Z207" i="12" s="1"/>
  <c r="Z219" i="12" s="1"/>
  <c r="Z231" i="12" s="1"/>
  <c r="Z243" i="12" s="1"/>
  <c r="Z255" i="12" s="1"/>
  <c r="Z666" i="12"/>
  <c r="Z678" i="12" s="1"/>
  <c r="Z690" i="12" s="1"/>
  <c r="Z702" i="12" s="1"/>
  <c r="V670" i="12"/>
  <c r="V682" i="12" s="1"/>
  <c r="V694" i="12" s="1"/>
  <c r="V706" i="12" s="1"/>
  <c r="Z672" i="12"/>
  <c r="Z684" i="12" s="1"/>
  <c r="Z696" i="12" s="1"/>
  <c r="Z708" i="12" s="1"/>
  <c r="V668" i="12"/>
  <c r="V680" i="12" s="1"/>
  <c r="V692" i="12" s="1"/>
  <c r="V704" i="12" s="1"/>
  <c r="Z665" i="12"/>
  <c r="Z677" i="12" s="1"/>
  <c r="Z689" i="12" s="1"/>
  <c r="Z701" i="12" s="1"/>
  <c r="V672" i="12"/>
  <c r="V684" i="12" s="1"/>
  <c r="V696" i="12" s="1"/>
  <c r="V708" i="12" s="1"/>
  <c r="V671" i="12"/>
  <c r="V683" i="12" s="1"/>
  <c r="V695" i="12" s="1"/>
  <c r="V707" i="12" s="1"/>
  <c r="Z670" i="12"/>
  <c r="Z682" i="12" s="1"/>
  <c r="Z694" i="12" s="1"/>
  <c r="Z706" i="12" s="1"/>
  <c r="Z278" i="12"/>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X312" i="12"/>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282" i="12"/>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Y613" i="12"/>
  <c r="Y625" i="12" s="1"/>
  <c r="Y637" i="12" s="1"/>
  <c r="Y649" i="12" s="1"/>
  <c r="Y661" i="12" s="1"/>
  <c r="Y608" i="12"/>
  <c r="Y620" i="12" s="1"/>
  <c r="Y632" i="12" s="1"/>
  <c r="Y644" i="12" s="1"/>
  <c r="Y656" i="12" s="1"/>
  <c r="Y606" i="12"/>
  <c r="Y618" i="12" s="1"/>
  <c r="Y630" i="12" s="1"/>
  <c r="Y642" i="12" s="1"/>
  <c r="Y654" i="12" s="1"/>
  <c r="Y604" i="12"/>
  <c r="Y616" i="12" s="1"/>
  <c r="Y628" i="12" s="1"/>
  <c r="Y640" i="12" s="1"/>
  <c r="Y652" i="12" s="1"/>
  <c r="V673" i="12"/>
  <c r="V685" i="12" s="1"/>
  <c r="V697" i="12" s="1"/>
  <c r="V709" i="12" s="1"/>
  <c r="Z669" i="12"/>
  <c r="Z681" i="12" s="1"/>
  <c r="Z693" i="12" s="1"/>
  <c r="Z705" i="12" s="1"/>
  <c r="V664" i="12"/>
  <c r="V676" i="12" s="1"/>
  <c r="V688" i="12" s="1"/>
  <c r="V700" i="12" s="1"/>
  <c r="V665" i="12"/>
  <c r="V677" i="12" s="1"/>
  <c r="V689" i="12" s="1"/>
  <c r="V701" i="12" s="1"/>
  <c r="V669" i="12"/>
  <c r="V681" i="12" s="1"/>
  <c r="V693" i="12" s="1"/>
  <c r="V705" i="12" s="1"/>
  <c r="Z671" i="12"/>
  <c r="Z683" i="12" s="1"/>
  <c r="Z695" i="12" s="1"/>
  <c r="Z707" i="12" s="1"/>
  <c r="V666" i="12"/>
  <c r="V678" i="12" s="1"/>
  <c r="V690" i="12" s="1"/>
  <c r="V702" i="12" s="1"/>
  <c r="Z667" i="12"/>
  <c r="Z679" i="12" s="1"/>
  <c r="Z691" i="12" s="1"/>
  <c r="Z703" i="12" s="1"/>
  <c r="Z664" i="12"/>
  <c r="Z676" i="12" s="1"/>
  <c r="Z688" i="12" s="1"/>
  <c r="Z700" i="12" s="1"/>
  <c r="Z673" i="12"/>
  <c r="Z685" i="12" s="1"/>
  <c r="Z697" i="12" s="1"/>
  <c r="Z709" i="12" s="1"/>
  <c r="V667" i="12"/>
  <c r="V679" i="12" s="1"/>
  <c r="V691" i="12" s="1"/>
  <c r="V703" i="12" s="1"/>
  <c r="X285" i="12"/>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313" i="12"/>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286" i="12"/>
  <c r="X281" i="12"/>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Y607" i="12"/>
  <c r="Y619" i="12" s="1"/>
  <c r="Y631" i="12" s="1"/>
  <c r="Y643" i="12" s="1"/>
  <c r="Y655" i="12" s="1"/>
  <c r="Y611" i="12"/>
  <c r="Y623" i="12" s="1"/>
  <c r="Y635" i="12" s="1"/>
  <c r="Y647" i="12" s="1"/>
  <c r="Y659" i="12" s="1"/>
  <c r="Y612" i="12"/>
  <c r="Y624" i="12" s="1"/>
  <c r="Y636" i="12" s="1"/>
  <c r="Y648" i="12" s="1"/>
  <c r="Y660" i="12" s="1"/>
  <c r="Y605" i="12"/>
  <c r="Y617" i="12" s="1"/>
  <c r="Y629" i="12" s="1"/>
  <c r="Y641" i="12" s="1"/>
  <c r="Y653" i="12" s="1"/>
  <c r="Y610" i="12"/>
  <c r="Y622" i="12" s="1"/>
  <c r="Y634" i="12" s="1"/>
  <c r="Y646" i="12" s="1"/>
  <c r="Y658" i="12" s="1"/>
  <c r="I35" i="12"/>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J2" i="18"/>
  <c r="W2" i="12" s="1"/>
  <c r="V2" i="12"/>
  <c r="O7" i="12"/>
  <c r="O19" i="12" s="1"/>
  <c r="O31" i="12" s="1"/>
  <c r="O43" i="12" s="1"/>
  <c r="O55" i="12" s="1"/>
  <c r="O67" i="12" s="1"/>
  <c r="O79" i="12" s="1"/>
  <c r="O91" i="12" s="1"/>
  <c r="O103" i="12" s="1"/>
  <c r="O115" i="12" s="1"/>
  <c r="O2" i="12"/>
  <c r="O14" i="12" s="1"/>
  <c r="O26" i="12" s="1"/>
  <c r="O38" i="12" s="1"/>
  <c r="O50" i="12" s="1"/>
  <c r="O62" i="12" s="1"/>
  <c r="O74" i="12" s="1"/>
  <c r="O86" i="12" s="1"/>
  <c r="O98" i="12" s="1"/>
  <c r="O110" i="12" s="1"/>
  <c r="O9" i="12"/>
  <c r="O21" i="12" s="1"/>
  <c r="O33" i="12" s="1"/>
  <c r="O45" i="12" s="1"/>
  <c r="O57" i="12" s="1"/>
  <c r="O69" i="12" s="1"/>
  <c r="O81" i="12" s="1"/>
  <c r="O93" i="12" s="1"/>
  <c r="O105" i="12" s="1"/>
  <c r="O117" i="12" s="1"/>
  <c r="BK2" i="18"/>
  <c r="X2" i="12" s="1"/>
  <c r="Y2" i="12" s="1"/>
  <c r="Y14" i="12" s="1"/>
  <c r="Y26" i="12" s="1"/>
  <c r="Y38" i="12" s="1"/>
  <c r="Y50" i="12" s="1"/>
  <c r="Y62" i="12" s="1"/>
  <c r="Y74" i="12" s="1"/>
  <c r="Y86" i="12" s="1"/>
  <c r="Y98" i="12" s="1"/>
  <c r="Y110" i="12" s="1"/>
  <c r="BJ3" i="18"/>
  <c r="W3" i="12" s="1"/>
  <c r="BK3" i="18"/>
  <c r="X3" i="12" s="1"/>
  <c r="Y3" i="12" s="1"/>
  <c r="Y15" i="12" s="1"/>
  <c r="Y27" i="12" s="1"/>
  <c r="Y39" i="12" s="1"/>
  <c r="Y51" i="12" s="1"/>
  <c r="Y63" i="12" s="1"/>
  <c r="Y75" i="12" s="1"/>
  <c r="Y87" i="12" s="1"/>
  <c r="Y99" i="12" s="1"/>
  <c r="Y111"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Z668" i="12" l="1"/>
  <c r="Z680" i="12" s="1"/>
  <c r="Z692" i="12" s="1"/>
  <c r="Z704" i="12" s="1"/>
  <c r="X284" i="12"/>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283" i="12"/>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Y609" i="12"/>
  <c r="Y621" i="12" s="1"/>
  <c r="Y633" i="12" s="1"/>
  <c r="Y645" i="12" s="1"/>
  <c r="Y657" i="12" s="1"/>
  <c r="X280" i="12"/>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311" i="12"/>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299" i="12"/>
  <c r="X310" i="12"/>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298" i="12"/>
  <c r="V267" i="12"/>
  <c r="V291" i="12" s="1"/>
  <c r="V255" i="12"/>
  <c r="Z267" i="12"/>
  <c r="Z291" i="12" s="1"/>
  <c r="H597" i="12"/>
  <c r="H609" i="12"/>
  <c r="H621" i="12" s="1"/>
  <c r="H633" i="12" s="1"/>
  <c r="H645" i="12" s="1"/>
  <c r="J299" i="12"/>
  <c r="J311" i="12"/>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H601" i="12"/>
  <c r="H613" i="12"/>
  <c r="H625" i="12" s="1"/>
  <c r="H637" i="12" s="1"/>
  <c r="H649" i="12" s="1"/>
  <c r="J297" i="12"/>
  <c r="J285" i="12"/>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H596" i="12"/>
  <c r="H608" i="12"/>
  <c r="H620" i="12" s="1"/>
  <c r="H632" i="12" s="1"/>
  <c r="H644" i="12" s="1"/>
  <c r="H599" i="12"/>
  <c r="H611" i="12"/>
  <c r="H623" i="12" s="1"/>
  <c r="H635" i="12" s="1"/>
  <c r="H647" i="12" s="1"/>
  <c r="H600" i="12"/>
  <c r="H612" i="12"/>
  <c r="H624" i="12" s="1"/>
  <c r="H636" i="12" s="1"/>
  <c r="H648" i="12" s="1"/>
  <c r="J294" i="12"/>
  <c r="J282" i="12"/>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H598" i="12"/>
  <c r="H610" i="12"/>
  <c r="H622" i="12" s="1"/>
  <c r="H634" i="12" s="1"/>
  <c r="H646" i="12" s="1"/>
  <c r="H604" i="12"/>
  <c r="H616" i="12" s="1"/>
  <c r="H628" i="12" s="1"/>
  <c r="H640" i="12" s="1"/>
  <c r="H592" i="12"/>
  <c r="J301" i="12"/>
  <c r="J313" i="12"/>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H293" i="12"/>
  <c r="H281" i="12"/>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J295" i="12"/>
  <c r="J283" i="12"/>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286" i="12"/>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298" i="12"/>
  <c r="J291" i="12"/>
  <c r="J279" i="12"/>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292" i="12"/>
  <c r="J280" i="12"/>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H603" i="12"/>
  <c r="H615" i="12" s="1"/>
  <c r="H627" i="12" s="1"/>
  <c r="H639" i="12" s="1"/>
  <c r="H591" i="12"/>
  <c r="I296" i="12"/>
  <c r="G296" i="12" s="1"/>
  <c r="I284" i="12"/>
  <c r="G272" i="12"/>
  <c r="H590" i="12"/>
  <c r="H602" i="12"/>
  <c r="H614" i="12" s="1"/>
  <c r="H626" i="12" s="1"/>
  <c r="H638" i="12" s="1"/>
  <c r="J290" i="12"/>
  <c r="J278" i="12"/>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293" i="12"/>
  <c r="J281" i="12"/>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300" i="12"/>
  <c r="J312" i="12"/>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H595" i="12"/>
  <c r="H607" i="12"/>
  <c r="H619" i="12" s="1"/>
  <c r="H631" i="12" s="1"/>
  <c r="H643" i="12" s="1"/>
  <c r="J296" i="12"/>
  <c r="J284" i="12"/>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H594" i="12"/>
  <c r="H606" i="12"/>
  <c r="H618" i="12" s="1"/>
  <c r="H630" i="12" s="1"/>
  <c r="H642" i="12" s="1"/>
  <c r="Y122" i="12"/>
  <c r="Y134" i="12" s="1"/>
  <c r="Y146" i="12" s="1"/>
  <c r="Y158" i="12" s="1"/>
  <c r="Y170" i="12" s="1"/>
  <c r="Y182" i="12" s="1"/>
  <c r="Y194" i="12" s="1"/>
  <c r="Y206" i="12" s="1"/>
  <c r="Y218" i="12" s="1"/>
  <c r="Y230" i="12" s="1"/>
  <c r="Y242" i="12" s="1"/>
  <c r="Y123" i="12"/>
  <c r="Y135" i="12" s="1"/>
  <c r="Y147" i="12" s="1"/>
  <c r="Y159" i="12" s="1"/>
  <c r="Y171" i="12" s="1"/>
  <c r="Y183" i="12" s="1"/>
  <c r="Y195" i="12" s="1"/>
  <c r="Y207" i="12" s="1"/>
  <c r="Y219" i="12" s="1"/>
  <c r="Y231" i="12" s="1"/>
  <c r="Y243" i="12" s="1"/>
  <c r="Y255" i="12" s="1"/>
  <c r="Y665" i="12"/>
  <c r="Y677" i="12" s="1"/>
  <c r="Y689" i="12" s="1"/>
  <c r="Y701" i="12" s="1"/>
  <c r="Y671" i="12"/>
  <c r="Y683" i="12" s="1"/>
  <c r="Y695" i="12" s="1"/>
  <c r="Y707" i="12" s="1"/>
  <c r="Y669" i="12"/>
  <c r="Y681" i="12" s="1"/>
  <c r="Y693" i="12" s="1"/>
  <c r="Y705" i="12" s="1"/>
  <c r="Y668" i="12"/>
  <c r="Y680" i="12" s="1"/>
  <c r="Y692" i="12" s="1"/>
  <c r="Y704" i="12" s="1"/>
  <c r="V279" i="12"/>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X613" i="12"/>
  <c r="X625" i="12" s="1"/>
  <c r="X637" i="12" s="1"/>
  <c r="X649" i="12" s="1"/>
  <c r="X661" i="12" s="1"/>
  <c r="X605" i="12"/>
  <c r="X617" i="12" s="1"/>
  <c r="X629" i="12" s="1"/>
  <c r="X641" i="12" s="1"/>
  <c r="X653" i="12" s="1"/>
  <c r="X608" i="12"/>
  <c r="X620" i="12" s="1"/>
  <c r="X632" i="12" s="1"/>
  <c r="X644" i="12" s="1"/>
  <c r="X656" i="12" s="1"/>
  <c r="Z602" i="12"/>
  <c r="Z614" i="12" s="1"/>
  <c r="Z626" i="12" s="1"/>
  <c r="Z638" i="12" s="1"/>
  <c r="Z650" i="12" s="1"/>
  <c r="Y670" i="12"/>
  <c r="Y682" i="12" s="1"/>
  <c r="Y694" i="12" s="1"/>
  <c r="Y706" i="12" s="1"/>
  <c r="Y667" i="12"/>
  <c r="Y679" i="12" s="1"/>
  <c r="Y691" i="12" s="1"/>
  <c r="Y703" i="12" s="1"/>
  <c r="Y666" i="12"/>
  <c r="Y678" i="12" s="1"/>
  <c r="Y690" i="12" s="1"/>
  <c r="Y702" i="12" s="1"/>
  <c r="Y673" i="12"/>
  <c r="Y685" i="12" s="1"/>
  <c r="Y697" i="12" s="1"/>
  <c r="Y709" i="12" s="1"/>
  <c r="Z279" i="12"/>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Y672" i="12"/>
  <c r="Y684" i="12" s="1"/>
  <c r="Y696" i="12" s="1"/>
  <c r="Y708" i="12" s="1"/>
  <c r="X609" i="12"/>
  <c r="X621" i="12" s="1"/>
  <c r="X633" i="12" s="1"/>
  <c r="X645" i="12" s="1"/>
  <c r="X657" i="12" s="1"/>
  <c r="Y664" i="12"/>
  <c r="Y676" i="12" s="1"/>
  <c r="Y688" i="12" s="1"/>
  <c r="Y700" i="12" s="1"/>
  <c r="X606" i="12"/>
  <c r="X618" i="12" s="1"/>
  <c r="X630" i="12" s="1"/>
  <c r="X642" i="12" s="1"/>
  <c r="X654" i="12" s="1"/>
  <c r="X612" i="12"/>
  <c r="X624" i="12" s="1"/>
  <c r="X636" i="12" s="1"/>
  <c r="X648" i="12" s="1"/>
  <c r="X660" i="12" s="1"/>
  <c r="O131" i="12"/>
  <c r="O143" i="12" s="1"/>
  <c r="O155" i="12" s="1"/>
  <c r="O167" i="12" s="1"/>
  <c r="O179" i="12" s="1"/>
  <c r="O191" i="12" s="1"/>
  <c r="O203" i="12" s="1"/>
  <c r="O215" i="12" s="1"/>
  <c r="O227" i="12" s="1"/>
  <c r="O239" i="12" s="1"/>
  <c r="O251" i="12" s="1"/>
  <c r="O263" i="12" s="1"/>
  <c r="O128" i="12"/>
  <c r="O140" i="12" s="1"/>
  <c r="O152" i="12" s="1"/>
  <c r="O164" i="12" s="1"/>
  <c r="O176" i="12" s="1"/>
  <c r="O188" i="12" s="1"/>
  <c r="O200" i="12" s="1"/>
  <c r="O212" i="12" s="1"/>
  <c r="O224" i="12" s="1"/>
  <c r="O236" i="12" s="1"/>
  <c r="O248" i="12" s="1"/>
  <c r="O260" i="12" s="1"/>
  <c r="O132" i="12"/>
  <c r="O144" i="12" s="1"/>
  <c r="O156" i="12" s="1"/>
  <c r="O168" i="12" s="1"/>
  <c r="O180" i="12" s="1"/>
  <c r="O192" i="12" s="1"/>
  <c r="O204" i="12" s="1"/>
  <c r="O216" i="12" s="1"/>
  <c r="O228" i="12" s="1"/>
  <c r="O240" i="12" s="1"/>
  <c r="O252" i="12" s="1"/>
  <c r="O264" i="12" s="1"/>
  <c r="O122" i="12"/>
  <c r="O134" i="12" s="1"/>
  <c r="O146" i="12" s="1"/>
  <c r="O158" i="12" s="1"/>
  <c r="O170" i="12" s="1"/>
  <c r="O182" i="12" s="1"/>
  <c r="O194" i="12" s="1"/>
  <c r="O206" i="12" s="1"/>
  <c r="O218" i="12" s="1"/>
  <c r="O230" i="12" s="1"/>
  <c r="O242" i="12" s="1"/>
  <c r="O254" i="12" s="1"/>
  <c r="O127" i="12"/>
  <c r="O139" i="12" s="1"/>
  <c r="O151" i="12" s="1"/>
  <c r="O163" i="12" s="1"/>
  <c r="O175" i="12" s="1"/>
  <c r="O187" i="12" s="1"/>
  <c r="O199" i="12" s="1"/>
  <c r="O211" i="12" s="1"/>
  <c r="O223" i="12" s="1"/>
  <c r="O235" i="12" s="1"/>
  <c r="O247" i="12" s="1"/>
  <c r="O259" i="12" s="1"/>
  <c r="O133" i="12"/>
  <c r="O145" i="12" s="1"/>
  <c r="O157" i="12" s="1"/>
  <c r="O169" i="12" s="1"/>
  <c r="O181" i="12" s="1"/>
  <c r="O193" i="12" s="1"/>
  <c r="O205" i="12" s="1"/>
  <c r="O217" i="12" s="1"/>
  <c r="O229" i="12" s="1"/>
  <c r="O241" i="12" s="1"/>
  <c r="O253" i="12" s="1"/>
  <c r="O265" i="12" s="1"/>
  <c r="O129" i="12"/>
  <c r="O141" i="12" s="1"/>
  <c r="O153" i="12" s="1"/>
  <c r="O165" i="12" s="1"/>
  <c r="O177" i="12" s="1"/>
  <c r="O189" i="12" s="1"/>
  <c r="O201" i="12" s="1"/>
  <c r="O213" i="12" s="1"/>
  <c r="O225" i="12" s="1"/>
  <c r="O237" i="12" s="1"/>
  <c r="O249" i="12" s="1"/>
  <c r="O261" i="12" s="1"/>
  <c r="O130" i="12"/>
  <c r="O142" i="12" s="1"/>
  <c r="O154" i="12" s="1"/>
  <c r="O166" i="12" s="1"/>
  <c r="O178" i="12" s="1"/>
  <c r="O190" i="12" s="1"/>
  <c r="O202" i="12" s="1"/>
  <c r="O214" i="12" s="1"/>
  <c r="O226" i="12" s="1"/>
  <c r="O238" i="12" s="1"/>
  <c r="O250" i="12" s="1"/>
  <c r="O262" i="12" s="1"/>
  <c r="O123" i="12"/>
  <c r="O135" i="12" s="1"/>
  <c r="O147" i="12" s="1"/>
  <c r="O159" i="12" s="1"/>
  <c r="O171" i="12" s="1"/>
  <c r="O183" i="12" s="1"/>
  <c r="O195" i="12" s="1"/>
  <c r="O207" i="12" s="1"/>
  <c r="O219" i="12" s="1"/>
  <c r="O231" i="12" s="1"/>
  <c r="O243" i="12" s="1"/>
  <c r="O255" i="12" s="1"/>
  <c r="O126" i="12"/>
  <c r="O138" i="12" s="1"/>
  <c r="O150" i="12" s="1"/>
  <c r="O162" i="12" s="1"/>
  <c r="O174" i="12" s="1"/>
  <c r="O186" i="12" s="1"/>
  <c r="O198" i="12" s="1"/>
  <c r="O210" i="12" s="1"/>
  <c r="O222" i="12" s="1"/>
  <c r="O234" i="12" s="1"/>
  <c r="O246" i="12" s="1"/>
  <c r="O258" i="12" s="1"/>
  <c r="O124" i="12"/>
  <c r="O136" i="12" s="1"/>
  <c r="O148" i="12" s="1"/>
  <c r="O160" i="12" s="1"/>
  <c r="O172" i="12" s="1"/>
  <c r="O184" i="12" s="1"/>
  <c r="O196" i="12" s="1"/>
  <c r="O208" i="12" s="1"/>
  <c r="O220" i="12" s="1"/>
  <c r="O232" i="12" s="1"/>
  <c r="O244" i="12" s="1"/>
  <c r="O256" i="12" s="1"/>
  <c r="G35" i="12"/>
  <c r="BJ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K9" i="8"/>
  <c r="Q9" i="12" s="1"/>
  <c r="Q21" i="12" s="1"/>
  <c r="Q33" i="12" s="1"/>
  <c r="Q45" i="12" s="1"/>
  <c r="Q57" i="12" s="1"/>
  <c r="Q69" i="12" s="1"/>
  <c r="Q81" i="12" s="1"/>
  <c r="Q93" i="12" s="1"/>
  <c r="Q105" i="12" s="1"/>
  <c r="Q117" i="12" s="1"/>
  <c r="BJ9" i="8"/>
  <c r="P9" i="12" s="1"/>
  <c r="V14" i="12"/>
  <c r="V26" i="12" s="1"/>
  <c r="V38" i="12" s="1"/>
  <c r="V50" i="12" s="1"/>
  <c r="V62" i="12" s="1"/>
  <c r="V74" i="12" s="1"/>
  <c r="V86" i="12" s="1"/>
  <c r="V98" i="12" s="1"/>
  <c r="V110" i="12" s="1"/>
  <c r="BK7" i="8"/>
  <c r="Q7" i="12" s="1"/>
  <c r="Q19" i="12" s="1"/>
  <c r="Q31" i="12" s="1"/>
  <c r="Q43" i="12" s="1"/>
  <c r="Q55" i="12" s="1"/>
  <c r="Q67" i="12" s="1"/>
  <c r="Q79" i="12" s="1"/>
  <c r="Q91" i="12" s="1"/>
  <c r="Q103" i="12" s="1"/>
  <c r="Q115" i="12" s="1"/>
  <c r="BK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X39" i="12" s="1"/>
  <c r="X51" i="12" s="1"/>
  <c r="X63" i="12" s="1"/>
  <c r="X75" i="12" s="1"/>
  <c r="X87" i="12" s="1"/>
  <c r="X99" i="12" s="1"/>
  <c r="X111" i="12" s="1"/>
  <c r="X14" i="12"/>
  <c r="X26" i="12" s="1"/>
  <c r="X38" i="12" s="1"/>
  <c r="X50" i="12" s="1"/>
  <c r="X62" i="12" s="1"/>
  <c r="X74" i="12" s="1"/>
  <c r="X86" i="12" s="1"/>
  <c r="X98" i="12" s="1"/>
  <c r="X110" i="12" s="1"/>
  <c r="P3" i="12"/>
  <c r="BJ7" i="8"/>
  <c r="P7" i="12" s="1"/>
  <c r="N7" i="12" s="1"/>
  <c r="BK13" i="8"/>
  <c r="Q13" i="12" s="1"/>
  <c r="Q25" i="12" s="1"/>
  <c r="Q37" i="12" s="1"/>
  <c r="Q49" i="12" s="1"/>
  <c r="Q61" i="12" s="1"/>
  <c r="Q73" i="12" s="1"/>
  <c r="Q85" i="12" s="1"/>
  <c r="Q97" i="12" s="1"/>
  <c r="Q109" i="12" s="1"/>
  <c r="Q121" i="12" s="1"/>
  <c r="BK3" i="8"/>
  <c r="Q3" i="12" s="1"/>
  <c r="Q15" i="12" s="1"/>
  <c r="Q27" i="12" s="1"/>
  <c r="Q39" i="12" s="1"/>
  <c r="Q51" i="12" s="1"/>
  <c r="Q63" i="12" s="1"/>
  <c r="Q75" i="12" s="1"/>
  <c r="Q87" i="12" s="1"/>
  <c r="Q99" i="12" s="1"/>
  <c r="Q111" i="12" s="1"/>
  <c r="BK2" i="8"/>
  <c r="Q2" i="12" s="1"/>
  <c r="Q14" i="12" s="1"/>
  <c r="Q26" i="12" s="1"/>
  <c r="Q38" i="12" s="1"/>
  <c r="Q50" i="12" s="1"/>
  <c r="Q62" i="12" s="1"/>
  <c r="Q74" i="12" s="1"/>
  <c r="Q86" i="12" s="1"/>
  <c r="Q98" i="12" s="1"/>
  <c r="Q110" i="12" s="1"/>
  <c r="BK6" i="8"/>
  <c r="Q6" i="12" s="1"/>
  <c r="Q18" i="12" s="1"/>
  <c r="Q30" i="12" s="1"/>
  <c r="Q42" i="12" s="1"/>
  <c r="Q54" i="12" s="1"/>
  <c r="Q66" i="12" s="1"/>
  <c r="Q78" i="12" s="1"/>
  <c r="Q90" i="12" s="1"/>
  <c r="Q102" i="12" s="1"/>
  <c r="Q114" i="12" s="1"/>
  <c r="BJ11" i="8"/>
  <c r="P11" i="12" s="1"/>
  <c r="BK11" i="8"/>
  <c r="Q11" i="12" s="1"/>
  <c r="Q23" i="12" s="1"/>
  <c r="Q35" i="12" s="1"/>
  <c r="Q47" i="12" s="1"/>
  <c r="Q59" i="12" s="1"/>
  <c r="Q71" i="12" s="1"/>
  <c r="Q83" i="12" s="1"/>
  <c r="Q95" i="12" s="1"/>
  <c r="Q107" i="12" s="1"/>
  <c r="Q119" i="12" s="1"/>
  <c r="BJ6" i="8"/>
  <c r="P6" i="12" s="1"/>
  <c r="BK10" i="8"/>
  <c r="Q10" i="12" s="1"/>
  <c r="Q22" i="12" s="1"/>
  <c r="Q34" i="12" s="1"/>
  <c r="Q46" i="12" s="1"/>
  <c r="Q58" i="12" s="1"/>
  <c r="Q70" i="12" s="1"/>
  <c r="Q82" i="12" s="1"/>
  <c r="Q94" i="12" s="1"/>
  <c r="Q106" i="12" s="1"/>
  <c r="Q118" i="12" s="1"/>
  <c r="BK4" i="8"/>
  <c r="Q4" i="12" s="1"/>
  <c r="Q16" i="12" s="1"/>
  <c r="Q28" i="12" s="1"/>
  <c r="Q40" i="12" s="1"/>
  <c r="Q52" i="12" s="1"/>
  <c r="Q64" i="12" s="1"/>
  <c r="Q76" i="12" s="1"/>
  <c r="Q88" i="12" s="1"/>
  <c r="Q100" i="12" s="1"/>
  <c r="Q112" i="12" s="1"/>
  <c r="BJ12" i="8"/>
  <c r="P12" i="12" s="1"/>
  <c r="BJ13" i="8"/>
  <c r="P13" i="12" s="1"/>
  <c r="BK12" i="8"/>
  <c r="Q12" i="12" s="1"/>
  <c r="Q24" i="12" s="1"/>
  <c r="Q36" i="12" s="1"/>
  <c r="Q48" i="12" s="1"/>
  <c r="Q60" i="12" s="1"/>
  <c r="Q72" i="12" s="1"/>
  <c r="Q84" i="12" s="1"/>
  <c r="Q96" i="12" s="1"/>
  <c r="Q108" i="12" s="1"/>
  <c r="Q120" i="12" s="1"/>
  <c r="BJ4" i="8"/>
  <c r="P4" i="12" s="1"/>
  <c r="N4" i="12" s="1"/>
  <c r="BK8" i="8"/>
  <c r="Q8" i="12" s="1"/>
  <c r="Q20" i="12" s="1"/>
  <c r="Q32" i="12" s="1"/>
  <c r="Q44" i="12" s="1"/>
  <c r="Q56" i="12" s="1"/>
  <c r="Q68" i="12" s="1"/>
  <c r="Q80" i="12" s="1"/>
  <c r="Q92" i="12" s="1"/>
  <c r="Q104" i="12" s="1"/>
  <c r="Q116" i="12" s="1"/>
  <c r="BJ8" i="8"/>
  <c r="P8" i="12" s="1"/>
  <c r="BJ10" i="8"/>
  <c r="P10" i="12" s="1"/>
  <c r="BJ5" i="8"/>
  <c r="P5" i="12" s="1"/>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X610" i="12" l="1"/>
  <c r="X622" i="12" s="1"/>
  <c r="X634" i="12" s="1"/>
  <c r="X646" i="12" s="1"/>
  <c r="X658" i="12" s="1"/>
  <c r="X607" i="12"/>
  <c r="X619" i="12" s="1"/>
  <c r="X631" i="12" s="1"/>
  <c r="X643" i="12" s="1"/>
  <c r="X655" i="12" s="1"/>
  <c r="Y267" i="12"/>
  <c r="Y291" i="12" s="1"/>
  <c r="X604" i="12"/>
  <c r="X616" i="12" s="1"/>
  <c r="X628" i="12" s="1"/>
  <c r="X640" i="12" s="1"/>
  <c r="X652" i="12" s="1"/>
  <c r="X611" i="12"/>
  <c r="X623" i="12" s="1"/>
  <c r="X635" i="12" s="1"/>
  <c r="X647" i="12" s="1"/>
  <c r="X659" i="12" s="1"/>
  <c r="X599" i="12"/>
  <c r="Y266" i="12"/>
  <c r="Y290" i="12" s="1"/>
  <c r="Y254" i="12"/>
  <c r="I308" i="12"/>
  <c r="G284" i="12"/>
  <c r="J592" i="12"/>
  <c r="J604" i="12"/>
  <c r="J616" i="12" s="1"/>
  <c r="J628" i="12" s="1"/>
  <c r="J640" i="12" s="1"/>
  <c r="H593" i="12"/>
  <c r="H605" i="12"/>
  <c r="H617" i="12" s="1"/>
  <c r="H629" i="12" s="1"/>
  <c r="H641" i="12" s="1"/>
  <c r="J594" i="12"/>
  <c r="J606" i="12"/>
  <c r="J618" i="12" s="1"/>
  <c r="J630" i="12" s="1"/>
  <c r="J642" i="12" s="1"/>
  <c r="H659" i="12"/>
  <c r="H671" i="12"/>
  <c r="H683" i="12" s="1"/>
  <c r="H695" i="12" s="1"/>
  <c r="H707" i="12" s="1"/>
  <c r="J597" i="12"/>
  <c r="J609" i="12"/>
  <c r="J621" i="12" s="1"/>
  <c r="J633" i="12" s="1"/>
  <c r="J645" i="12" s="1"/>
  <c r="J599" i="12"/>
  <c r="J611" i="12"/>
  <c r="J623" i="12" s="1"/>
  <c r="J635" i="12" s="1"/>
  <c r="J647" i="12" s="1"/>
  <c r="H654" i="12"/>
  <c r="H666" i="12"/>
  <c r="H678" i="12" s="1"/>
  <c r="H690" i="12" s="1"/>
  <c r="H702" i="12" s="1"/>
  <c r="H655" i="12"/>
  <c r="H667" i="12"/>
  <c r="H679" i="12" s="1"/>
  <c r="H691" i="12" s="1"/>
  <c r="H703" i="12" s="1"/>
  <c r="J593" i="12"/>
  <c r="J605" i="12"/>
  <c r="J617" i="12" s="1"/>
  <c r="J629" i="12" s="1"/>
  <c r="J641" i="12" s="1"/>
  <c r="H650" i="12"/>
  <c r="H662" i="12"/>
  <c r="H674" i="12" s="1"/>
  <c r="H686" i="12" s="1"/>
  <c r="H698" i="12" s="1"/>
  <c r="J610" i="12"/>
  <c r="J622" i="12" s="1"/>
  <c r="J634" i="12" s="1"/>
  <c r="J646" i="12" s="1"/>
  <c r="J598" i="12"/>
  <c r="H664" i="12"/>
  <c r="H676" i="12" s="1"/>
  <c r="H688" i="12" s="1"/>
  <c r="H700" i="12" s="1"/>
  <c r="H652" i="12"/>
  <c r="J591" i="12"/>
  <c r="J603" i="12"/>
  <c r="J615" i="12" s="1"/>
  <c r="J627" i="12" s="1"/>
  <c r="J639" i="12" s="1"/>
  <c r="J595" i="12"/>
  <c r="J607" i="12"/>
  <c r="J619" i="12" s="1"/>
  <c r="J631" i="12" s="1"/>
  <c r="J643" i="12" s="1"/>
  <c r="J601" i="12"/>
  <c r="J613" i="12"/>
  <c r="J625" i="12" s="1"/>
  <c r="J637" i="12" s="1"/>
  <c r="J649" i="12" s="1"/>
  <c r="H658" i="12"/>
  <c r="H670" i="12"/>
  <c r="H682" i="12" s="1"/>
  <c r="H694" i="12" s="1"/>
  <c r="H706" i="12" s="1"/>
  <c r="H660" i="12"/>
  <c r="H672" i="12"/>
  <c r="H684" i="12" s="1"/>
  <c r="H696" i="12" s="1"/>
  <c r="H708" i="12" s="1"/>
  <c r="H656" i="12"/>
  <c r="H668" i="12"/>
  <c r="H680" i="12" s="1"/>
  <c r="H692" i="12" s="1"/>
  <c r="H704" i="12" s="1"/>
  <c r="H661" i="12"/>
  <c r="H673" i="12"/>
  <c r="H685" i="12" s="1"/>
  <c r="H697" i="12" s="1"/>
  <c r="H709" i="12" s="1"/>
  <c r="H657" i="12"/>
  <c r="H669" i="12"/>
  <c r="H681" i="12" s="1"/>
  <c r="H693" i="12" s="1"/>
  <c r="H705" i="12" s="1"/>
  <c r="J596" i="12"/>
  <c r="J608" i="12"/>
  <c r="J620" i="12" s="1"/>
  <c r="J632" i="12" s="1"/>
  <c r="J644" i="12" s="1"/>
  <c r="J600" i="12"/>
  <c r="J612" i="12"/>
  <c r="J624" i="12" s="1"/>
  <c r="J636" i="12" s="1"/>
  <c r="J648" i="12" s="1"/>
  <c r="J590" i="12"/>
  <c r="J602" i="12"/>
  <c r="J614" i="12" s="1"/>
  <c r="J626" i="12" s="1"/>
  <c r="J638" i="12" s="1"/>
  <c r="H663" i="12"/>
  <c r="H675" i="12" s="1"/>
  <c r="H687" i="12" s="1"/>
  <c r="H699" i="12" s="1"/>
  <c r="H651" i="12"/>
  <c r="X122" i="12"/>
  <c r="X134" i="12" s="1"/>
  <c r="X146" i="12" s="1"/>
  <c r="X158" i="12" s="1"/>
  <c r="X170" i="12" s="1"/>
  <c r="X182" i="12" s="1"/>
  <c r="X194" i="12" s="1"/>
  <c r="X206" i="12" s="1"/>
  <c r="X218" i="12" s="1"/>
  <c r="X230" i="12" s="1"/>
  <c r="X242" i="12" s="1"/>
  <c r="X123" i="12"/>
  <c r="X135" i="12" s="1"/>
  <c r="X147" i="12" s="1"/>
  <c r="X159" i="12" s="1"/>
  <c r="X171" i="12" s="1"/>
  <c r="X183" i="12" s="1"/>
  <c r="X195" i="12" s="1"/>
  <c r="X207" i="12" s="1"/>
  <c r="X219" i="12" s="1"/>
  <c r="X231" i="12" s="1"/>
  <c r="X243" i="12" s="1"/>
  <c r="V122" i="12"/>
  <c r="V134" i="12" s="1"/>
  <c r="V146" i="12" s="1"/>
  <c r="V158" i="12" s="1"/>
  <c r="V170" i="12" s="1"/>
  <c r="V182" i="12" s="1"/>
  <c r="V194" i="12" s="1"/>
  <c r="V206" i="12" s="1"/>
  <c r="V218" i="12" s="1"/>
  <c r="V230" i="12" s="1"/>
  <c r="V242" i="12" s="1"/>
  <c r="X666" i="12"/>
  <c r="X678" i="12" s="1"/>
  <c r="X690" i="12" s="1"/>
  <c r="X702" i="12" s="1"/>
  <c r="X670" i="12"/>
  <c r="X682" i="12" s="1"/>
  <c r="X694" i="12" s="1"/>
  <c r="X706" i="12" s="1"/>
  <c r="X668" i="12"/>
  <c r="X680" i="12" s="1"/>
  <c r="X692" i="12" s="1"/>
  <c r="X704" i="12" s="1"/>
  <c r="X673" i="12"/>
  <c r="X685" i="12" s="1"/>
  <c r="X697" i="12" s="1"/>
  <c r="X709" i="12" s="1"/>
  <c r="X669" i="12"/>
  <c r="X681" i="12" s="1"/>
  <c r="X693" i="12" s="1"/>
  <c r="X705" i="12" s="1"/>
  <c r="Z603" i="12"/>
  <c r="Z615" i="12" s="1"/>
  <c r="Z627" i="12" s="1"/>
  <c r="Z639" i="12" s="1"/>
  <c r="Z651" i="12" s="1"/>
  <c r="X667" i="12"/>
  <c r="X679" i="12" s="1"/>
  <c r="X691" i="12" s="1"/>
  <c r="X703" i="12" s="1"/>
  <c r="X672" i="12"/>
  <c r="X684" i="12" s="1"/>
  <c r="X696" i="12" s="1"/>
  <c r="X708" i="12" s="1"/>
  <c r="X671" i="12"/>
  <c r="X683" i="12" s="1"/>
  <c r="X695" i="12" s="1"/>
  <c r="X707" i="12" s="1"/>
  <c r="X664" i="12"/>
  <c r="X676" i="12" s="1"/>
  <c r="X688" i="12" s="1"/>
  <c r="X700" i="12" s="1"/>
  <c r="Z662" i="12"/>
  <c r="Z674" i="12" s="1"/>
  <c r="Z686" i="12" s="1"/>
  <c r="Z698" i="12" s="1"/>
  <c r="X665" i="12"/>
  <c r="X677" i="12" s="1"/>
  <c r="X689" i="12" s="1"/>
  <c r="X701" i="12" s="1"/>
  <c r="V603" i="12"/>
  <c r="V615" i="12" s="1"/>
  <c r="V627" i="12" s="1"/>
  <c r="V639" i="12" s="1"/>
  <c r="V651" i="12" s="1"/>
  <c r="O266" i="12"/>
  <c r="O290" i="12" s="1"/>
  <c r="O270" i="12"/>
  <c r="O294" i="12" s="1"/>
  <c r="O274" i="12"/>
  <c r="O277" i="12"/>
  <c r="O289" i="12" s="1"/>
  <c r="O301" i="12" s="1"/>
  <c r="O272" i="12"/>
  <c r="O268" i="12"/>
  <c r="O292" i="12" s="1"/>
  <c r="O267" i="12"/>
  <c r="O291" i="12" s="1"/>
  <c r="O273" i="12"/>
  <c r="O271" i="12"/>
  <c r="O295" i="12" s="1"/>
  <c r="O276" i="12"/>
  <c r="O275" i="12"/>
  <c r="Q131" i="12"/>
  <c r="Q143" i="12" s="1"/>
  <c r="Q155" i="12" s="1"/>
  <c r="Q167" i="12" s="1"/>
  <c r="Q179" i="12" s="1"/>
  <c r="Q191" i="12" s="1"/>
  <c r="Q203" i="12" s="1"/>
  <c r="Q215" i="12" s="1"/>
  <c r="Q227" i="12" s="1"/>
  <c r="Q239" i="12" s="1"/>
  <c r="Q251" i="12" s="1"/>
  <c r="Q263" i="12" s="1"/>
  <c r="Q127" i="12"/>
  <c r="Q139" i="12" s="1"/>
  <c r="Q151" i="12" s="1"/>
  <c r="Q163" i="12" s="1"/>
  <c r="Q175" i="12" s="1"/>
  <c r="Q187" i="12" s="1"/>
  <c r="Q199" i="12" s="1"/>
  <c r="Q211" i="12" s="1"/>
  <c r="Q223" i="12" s="1"/>
  <c r="Q235" i="12" s="1"/>
  <c r="Q247" i="12" s="1"/>
  <c r="Q259" i="12" s="1"/>
  <c r="Q128" i="12"/>
  <c r="Q140" i="12" s="1"/>
  <c r="Q152" i="12" s="1"/>
  <c r="Q164" i="12" s="1"/>
  <c r="Q176" i="12" s="1"/>
  <c r="Q188" i="12" s="1"/>
  <c r="Q200" i="12" s="1"/>
  <c r="Q212" i="12" s="1"/>
  <c r="Q224" i="12" s="1"/>
  <c r="Q236" i="12" s="1"/>
  <c r="Q248" i="12" s="1"/>
  <c r="Q260" i="12" s="1"/>
  <c r="Q123" i="12"/>
  <c r="Q135" i="12" s="1"/>
  <c r="Q147" i="12" s="1"/>
  <c r="Q159" i="12" s="1"/>
  <c r="Q171" i="12" s="1"/>
  <c r="Q183" i="12" s="1"/>
  <c r="Q195" i="12" s="1"/>
  <c r="Q207" i="12" s="1"/>
  <c r="Q219" i="12" s="1"/>
  <c r="Q231" i="12" s="1"/>
  <c r="Q243" i="12" s="1"/>
  <c r="Q255" i="12" s="1"/>
  <c r="Q124" i="12"/>
  <c r="Q136" i="12" s="1"/>
  <c r="Q148" i="12" s="1"/>
  <c r="Q160" i="12" s="1"/>
  <c r="Q172" i="12" s="1"/>
  <c r="Q184" i="12" s="1"/>
  <c r="Q196" i="12" s="1"/>
  <c r="Q208" i="12" s="1"/>
  <c r="Q220" i="12" s="1"/>
  <c r="Q232" i="12" s="1"/>
  <c r="Q244" i="12" s="1"/>
  <c r="Q256" i="12" s="1"/>
  <c r="Q133" i="12"/>
  <c r="Q145" i="12" s="1"/>
  <c r="Q157" i="12" s="1"/>
  <c r="Q169" i="12" s="1"/>
  <c r="Q181" i="12" s="1"/>
  <c r="Q193" i="12" s="1"/>
  <c r="Q205" i="12" s="1"/>
  <c r="Q217" i="12" s="1"/>
  <c r="Q229" i="12" s="1"/>
  <c r="Q241" i="12" s="1"/>
  <c r="Q253" i="12" s="1"/>
  <c r="Q265" i="12" s="1"/>
  <c r="Q132" i="12"/>
  <c r="Q144" i="12" s="1"/>
  <c r="Q156" i="12" s="1"/>
  <c r="Q168" i="12" s="1"/>
  <c r="Q180" i="12" s="1"/>
  <c r="Q192" i="12" s="1"/>
  <c r="Q204" i="12" s="1"/>
  <c r="Q216" i="12" s="1"/>
  <c r="Q228" i="12" s="1"/>
  <c r="Q240" i="12" s="1"/>
  <c r="Q252" i="12" s="1"/>
  <c r="Q264" i="12" s="1"/>
  <c r="Q130" i="12"/>
  <c r="Q142" i="12" s="1"/>
  <c r="Q154" i="12" s="1"/>
  <c r="Q166" i="12" s="1"/>
  <c r="Q178" i="12" s="1"/>
  <c r="Q190" i="12" s="1"/>
  <c r="Q202" i="12" s="1"/>
  <c r="Q214" i="12" s="1"/>
  <c r="Q226" i="12" s="1"/>
  <c r="Q238" i="12" s="1"/>
  <c r="Q250" i="12" s="1"/>
  <c r="Q262" i="12" s="1"/>
  <c r="Q126" i="12"/>
  <c r="Q138" i="12" s="1"/>
  <c r="Q150" i="12" s="1"/>
  <c r="Q162" i="12" s="1"/>
  <c r="Q174" i="12" s="1"/>
  <c r="Q186" i="12" s="1"/>
  <c r="Q198" i="12" s="1"/>
  <c r="Q210" i="12" s="1"/>
  <c r="Q222" i="12" s="1"/>
  <c r="Q234" i="12" s="1"/>
  <c r="Q246" i="12" s="1"/>
  <c r="Q258" i="12" s="1"/>
  <c r="O125" i="12"/>
  <c r="O137" i="12" s="1"/>
  <c r="O149" i="12" s="1"/>
  <c r="O161" i="12" s="1"/>
  <c r="O173" i="12" s="1"/>
  <c r="O185" i="12" s="1"/>
  <c r="O197" i="12" s="1"/>
  <c r="O209" i="12" s="1"/>
  <c r="O221" i="12" s="1"/>
  <c r="O233" i="12" s="1"/>
  <c r="O245" i="12" s="1"/>
  <c r="O257" i="12" s="1"/>
  <c r="Q122" i="12"/>
  <c r="Q134" i="12" s="1"/>
  <c r="Q146" i="12" s="1"/>
  <c r="Q158" i="12" s="1"/>
  <c r="Q170" i="12" s="1"/>
  <c r="Q182" i="12" s="1"/>
  <c r="Q194" i="12" s="1"/>
  <c r="Q206" i="12" s="1"/>
  <c r="Q218" i="12" s="1"/>
  <c r="Q230" i="12" s="1"/>
  <c r="Q242" i="12" s="1"/>
  <c r="Q254" i="12" s="1"/>
  <c r="Q125" i="12"/>
  <c r="Q137" i="12" s="1"/>
  <c r="Q149" i="12" s="1"/>
  <c r="Q161" i="12" s="1"/>
  <c r="Q173" i="12" s="1"/>
  <c r="Q185" i="12" s="1"/>
  <c r="Q197" i="12" s="1"/>
  <c r="Q209" i="12" s="1"/>
  <c r="Q221" i="12" s="1"/>
  <c r="Q233" i="12" s="1"/>
  <c r="Q245" i="12" s="1"/>
  <c r="Q257" i="12" s="1"/>
  <c r="Q129" i="12"/>
  <c r="Q141" i="12" s="1"/>
  <c r="Q153" i="12" s="1"/>
  <c r="Q165" i="12" s="1"/>
  <c r="Q177" i="12" s="1"/>
  <c r="Q189" i="12" s="1"/>
  <c r="Q201" i="12" s="1"/>
  <c r="Q213" i="12" s="1"/>
  <c r="Q225" i="12" s="1"/>
  <c r="Q237" i="12" s="1"/>
  <c r="Q249" i="12" s="1"/>
  <c r="Q261" i="12" s="1"/>
  <c r="H26" i="5"/>
  <c r="H30" i="5"/>
  <c r="H34" i="5"/>
  <c r="H38" i="5"/>
  <c r="H42" i="5"/>
  <c r="H46" i="5"/>
  <c r="H50" i="5"/>
  <c r="H54" i="5"/>
  <c r="H58" i="5"/>
  <c r="H62" i="5"/>
  <c r="H66" i="5"/>
  <c r="H70" i="5"/>
  <c r="H74" i="5"/>
  <c r="H78" i="5"/>
  <c r="H82" i="5"/>
  <c r="H86" i="5"/>
  <c r="H90" i="5"/>
  <c r="H94" i="5"/>
  <c r="H98" i="5"/>
  <c r="H102" i="5"/>
  <c r="H106"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66" i="5"/>
  <c r="H270" i="5"/>
  <c r="H274" i="5"/>
  <c r="H278" i="5"/>
  <c r="H282" i="5"/>
  <c r="H286"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602" i="5"/>
  <c r="H606" i="5"/>
  <c r="H610" i="5"/>
  <c r="H614" i="5"/>
  <c r="H618" i="5"/>
  <c r="H622" i="5"/>
  <c r="H626" i="5"/>
  <c r="H630" i="5"/>
  <c r="H634" i="5"/>
  <c r="H638" i="5"/>
  <c r="H642" i="5"/>
  <c r="H646" i="5"/>
  <c r="H662" i="5"/>
  <c r="H666" i="5"/>
  <c r="H670" i="5"/>
  <c r="H674" i="5"/>
  <c r="H678" i="5"/>
  <c r="H682" i="5"/>
  <c r="H686" i="5"/>
  <c r="H690" i="5"/>
  <c r="H694" i="5"/>
  <c r="H698" i="5"/>
  <c r="H702" i="5"/>
  <c r="H2" i="5"/>
  <c r="H6" i="5"/>
  <c r="H10" i="5"/>
  <c r="H706" i="5"/>
  <c r="N10" i="12"/>
  <c r="N9" i="12"/>
  <c r="N13" i="12"/>
  <c r="N6" i="12"/>
  <c r="N3" i="12"/>
  <c r="N2" i="12"/>
  <c r="N12" i="12"/>
  <c r="N11" i="12"/>
  <c r="N8" i="12"/>
  <c r="H709" i="5"/>
  <c r="P14" i="12"/>
  <c r="N14" i="12" s="1"/>
  <c r="H92" i="5"/>
  <c r="H96" i="5"/>
  <c r="H100" i="5"/>
  <c r="H104" i="5"/>
  <c r="H108" i="5"/>
  <c r="H336" i="5"/>
  <c r="H340" i="5"/>
  <c r="H344" i="5"/>
  <c r="H348" i="5"/>
  <c r="H352" i="5"/>
  <c r="H356" i="5"/>
  <c r="H360" i="5"/>
  <c r="H364" i="5"/>
  <c r="H368" i="5"/>
  <c r="H372" i="5"/>
  <c r="H376" i="5"/>
  <c r="H380" i="5"/>
  <c r="H384" i="5"/>
  <c r="H388" i="5"/>
  <c r="H392" i="5"/>
  <c r="H396" i="5"/>
  <c r="H400" i="5"/>
  <c r="H404" i="5"/>
  <c r="H408" i="5"/>
  <c r="H412" i="5"/>
  <c r="H416" i="5"/>
  <c r="H420" i="5"/>
  <c r="H424" i="5"/>
  <c r="H428" i="5"/>
  <c r="H432" i="5"/>
  <c r="H436" i="5"/>
  <c r="H5" i="5"/>
  <c r="H9" i="5"/>
  <c r="H13" i="5"/>
  <c r="H29" i="5"/>
  <c r="H33" i="5"/>
  <c r="H37" i="5"/>
  <c r="H41" i="5"/>
  <c r="H45" i="5"/>
  <c r="H49" i="5"/>
  <c r="H53" i="5"/>
  <c r="H57" i="5"/>
  <c r="H61" i="5"/>
  <c r="H65" i="5"/>
  <c r="H69" i="5"/>
  <c r="H73" i="5"/>
  <c r="H77" i="5"/>
  <c r="H81" i="5"/>
  <c r="H85" i="5"/>
  <c r="H89" i="5"/>
  <c r="H93" i="5"/>
  <c r="H97" i="5"/>
  <c r="H101" i="5"/>
  <c r="H105" i="5"/>
  <c r="H109"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69" i="5"/>
  <c r="H273" i="5"/>
  <c r="H277" i="5"/>
  <c r="H281" i="5"/>
  <c r="H285" i="5"/>
  <c r="H289" i="5"/>
  <c r="H305" i="5"/>
  <c r="H309" i="5"/>
  <c r="H313" i="5"/>
  <c r="H317" i="5"/>
  <c r="H321" i="5"/>
  <c r="H325" i="5"/>
  <c r="H329" i="5"/>
  <c r="H333" i="5"/>
  <c r="H337" i="5"/>
  <c r="H341" i="5"/>
  <c r="H345" i="5"/>
  <c r="H3" i="5"/>
  <c r="H7" i="5"/>
  <c r="H11" i="5"/>
  <c r="H27" i="5"/>
  <c r="H31" i="5"/>
  <c r="H35" i="5"/>
  <c r="H39" i="5"/>
  <c r="H43" i="5"/>
  <c r="H47" i="5"/>
  <c r="H51" i="5"/>
  <c r="H55" i="5"/>
  <c r="H59" i="5"/>
  <c r="H63" i="5"/>
  <c r="H67" i="5"/>
  <c r="H71" i="5"/>
  <c r="H75" i="5"/>
  <c r="H79" i="5"/>
  <c r="H83" i="5"/>
  <c r="H87" i="5"/>
  <c r="H91" i="5"/>
  <c r="H95" i="5"/>
  <c r="H99" i="5"/>
  <c r="H103" i="5"/>
  <c r="H107"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67" i="5"/>
  <c r="H271" i="5"/>
  <c r="H275" i="5"/>
  <c r="H279" i="5"/>
  <c r="H283" i="5"/>
  <c r="H287" i="5"/>
  <c r="H303" i="5"/>
  <c r="H307" i="5"/>
  <c r="H311" i="5"/>
  <c r="H315" i="5"/>
  <c r="H319" i="5"/>
  <c r="H323" i="5"/>
  <c r="H327" i="5"/>
  <c r="H331" i="5"/>
  <c r="H335" i="5"/>
  <c r="H339" i="5"/>
  <c r="H343" i="5"/>
  <c r="H347" i="5"/>
  <c r="H4" i="5"/>
  <c r="H8" i="5"/>
  <c r="H12" i="5"/>
  <c r="H28" i="5"/>
  <c r="H32" i="5"/>
  <c r="H36" i="5"/>
  <c r="H40" i="5"/>
  <c r="H44" i="5"/>
  <c r="H48" i="5"/>
  <c r="H52" i="5"/>
  <c r="H56" i="5"/>
  <c r="H60" i="5"/>
  <c r="H64" i="5"/>
  <c r="H68" i="5"/>
  <c r="H72" i="5"/>
  <c r="H76" i="5"/>
  <c r="H80" i="5"/>
  <c r="H84" i="5"/>
  <c r="H88"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68" i="5"/>
  <c r="H272" i="5"/>
  <c r="H276" i="5"/>
  <c r="H280" i="5"/>
  <c r="H284" i="5"/>
  <c r="H288" i="5"/>
  <c r="H304" i="5"/>
  <c r="H308" i="5"/>
  <c r="H312" i="5"/>
  <c r="H316" i="5"/>
  <c r="H320" i="5"/>
  <c r="H324" i="5"/>
  <c r="H328" i="5"/>
  <c r="H332"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605" i="5"/>
  <c r="H609" i="5"/>
  <c r="H613" i="5"/>
  <c r="H617" i="5"/>
  <c r="H621" i="5"/>
  <c r="H625" i="5"/>
  <c r="H629" i="5"/>
  <c r="H633" i="5"/>
  <c r="H637" i="5"/>
  <c r="H641" i="5"/>
  <c r="H645" i="5"/>
  <c r="H649" i="5"/>
  <c r="H665" i="5"/>
  <c r="H669" i="5"/>
  <c r="H673" i="5"/>
  <c r="H677" i="5"/>
  <c r="H681" i="5"/>
  <c r="H685" i="5"/>
  <c r="H689" i="5"/>
  <c r="H693" i="5"/>
  <c r="H697" i="5"/>
  <c r="H701" i="5"/>
  <c r="H705"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603" i="5"/>
  <c r="H607" i="5"/>
  <c r="H611" i="5"/>
  <c r="H615" i="5"/>
  <c r="H619" i="5"/>
  <c r="H623" i="5"/>
  <c r="H627" i="5"/>
  <c r="H631" i="5"/>
  <c r="H635" i="5"/>
  <c r="H639" i="5"/>
  <c r="H643" i="5"/>
  <c r="H647" i="5"/>
  <c r="H663" i="5"/>
  <c r="H667" i="5"/>
  <c r="H671" i="5"/>
  <c r="H675" i="5"/>
  <c r="H679" i="5"/>
  <c r="H683" i="5"/>
  <c r="H687" i="5"/>
  <c r="H691" i="5"/>
  <c r="H695" i="5"/>
  <c r="H699" i="5"/>
  <c r="H703" i="5"/>
  <c r="H707"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604" i="5"/>
  <c r="H608" i="5"/>
  <c r="H612" i="5"/>
  <c r="H616" i="5"/>
  <c r="H620" i="5"/>
  <c r="H624" i="5"/>
  <c r="H628" i="5"/>
  <c r="H632" i="5"/>
  <c r="H636" i="5"/>
  <c r="H640" i="5"/>
  <c r="H644" i="5"/>
  <c r="H648" i="5"/>
  <c r="H664" i="5"/>
  <c r="H668" i="5"/>
  <c r="H672" i="5"/>
  <c r="H676" i="5"/>
  <c r="H680" i="5"/>
  <c r="H684" i="5"/>
  <c r="H688" i="5"/>
  <c r="H692" i="5"/>
  <c r="H696" i="5"/>
  <c r="H700" i="5"/>
  <c r="H704" i="5"/>
  <c r="H70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39" i="5"/>
  <c r="G231" i="5"/>
  <c r="G245" i="5"/>
  <c r="G307" i="5"/>
  <c r="G375" i="5"/>
  <c r="G389" i="5"/>
  <c r="G137" i="5"/>
  <c r="G74" i="5"/>
  <c r="G136" i="5"/>
  <c r="G174" i="5"/>
  <c r="G242" i="5"/>
  <c r="G304" i="5"/>
  <c r="G342" i="5"/>
  <c r="G386" i="5"/>
  <c r="G53" i="5"/>
  <c r="G171" i="5"/>
  <c r="G233" i="5"/>
  <c r="G247" i="5"/>
  <c r="G339" i="5"/>
  <c r="G377" i="5"/>
  <c r="G391" i="5"/>
  <c r="G77" i="5"/>
  <c r="G76" i="5"/>
  <c r="G138" i="5"/>
  <c r="G230" i="5"/>
  <c r="G244" i="5"/>
  <c r="G306" i="5"/>
  <c r="G374" i="5"/>
  <c r="G388" i="5"/>
  <c r="G175" i="5"/>
  <c r="G243" i="5"/>
  <c r="G305" i="5"/>
  <c r="G343" i="5"/>
  <c r="G387" i="5"/>
  <c r="G135" i="5"/>
  <c r="G52" i="5"/>
  <c r="G134" i="5"/>
  <c r="G172" i="5"/>
  <c r="G234" i="5"/>
  <c r="G302" i="5"/>
  <c r="G340" i="5"/>
  <c r="G378" i="5"/>
  <c r="G75" i="5"/>
  <c r="G173" i="5"/>
  <c r="G235" i="5"/>
  <c r="G303" i="5"/>
  <c r="G341" i="5"/>
  <c r="G379" i="5"/>
  <c r="G51" i="5"/>
  <c r="G50" i="5"/>
  <c r="G78" i="5"/>
  <c r="G170" i="5"/>
  <c r="G232" i="5"/>
  <c r="G246" i="5"/>
  <c r="G338" i="5"/>
  <c r="G376" i="5"/>
  <c r="G390" i="5"/>
  <c r="G79" i="5"/>
  <c r="G401" i="5"/>
  <c r="G409" i="5"/>
  <c r="G417" i="5"/>
  <c r="G425" i="5"/>
  <c r="G433" i="5"/>
  <c r="G441" i="5"/>
  <c r="G449" i="5"/>
  <c r="G457" i="5"/>
  <c r="G465" i="5"/>
  <c r="G473" i="5"/>
  <c r="G481" i="5"/>
  <c r="G489" i="5"/>
  <c r="G497" i="5"/>
  <c r="G505" i="5"/>
  <c r="G513" i="5"/>
  <c r="G521" i="5"/>
  <c r="G529" i="5"/>
  <c r="G537" i="5"/>
  <c r="G545" i="5"/>
  <c r="G553" i="5"/>
  <c r="G561" i="5"/>
  <c r="G569" i="5"/>
  <c r="G577" i="5"/>
  <c r="G585" i="5"/>
  <c r="G605" i="5"/>
  <c r="G613" i="5"/>
  <c r="G621" i="5"/>
  <c r="G629" i="5"/>
  <c r="G637" i="5"/>
  <c r="G645" i="5"/>
  <c r="G665" i="5"/>
  <c r="G673" i="5"/>
  <c r="G681" i="5"/>
  <c r="G689" i="5"/>
  <c r="G697" i="5"/>
  <c r="G705" i="5"/>
  <c r="G398" i="5"/>
  <c r="G406" i="5"/>
  <c r="G414" i="5"/>
  <c r="G422" i="5"/>
  <c r="G430" i="5"/>
  <c r="G438" i="5"/>
  <c r="G446" i="5"/>
  <c r="G454" i="5"/>
  <c r="G462" i="5"/>
  <c r="G470" i="5"/>
  <c r="G478" i="5"/>
  <c r="G486" i="5"/>
  <c r="G494" i="5"/>
  <c r="G502" i="5"/>
  <c r="G510" i="5"/>
  <c r="G518" i="5"/>
  <c r="G526" i="5"/>
  <c r="G534" i="5"/>
  <c r="G542" i="5"/>
  <c r="G550" i="5"/>
  <c r="G558" i="5"/>
  <c r="G566" i="5"/>
  <c r="G574" i="5"/>
  <c r="G582" i="5"/>
  <c r="G602" i="5"/>
  <c r="G610" i="5"/>
  <c r="G618" i="5"/>
  <c r="G626" i="5"/>
  <c r="G634" i="5"/>
  <c r="G642" i="5"/>
  <c r="G662" i="5"/>
  <c r="G670" i="5"/>
  <c r="G678" i="5"/>
  <c r="G688" i="5"/>
  <c r="G696" i="5"/>
  <c r="G704" i="5"/>
  <c r="G413" i="5"/>
  <c r="G429" i="5"/>
  <c r="G445" i="5"/>
  <c r="G461" i="5"/>
  <c r="G477" i="5"/>
  <c r="G493" i="5"/>
  <c r="G509" i="5"/>
  <c r="G525" i="5"/>
  <c r="G541" i="5"/>
  <c r="G557" i="5"/>
  <c r="G565" i="5"/>
  <c r="G581" i="5"/>
  <c r="G609" i="5"/>
  <c r="G625" i="5"/>
  <c r="G641" i="5"/>
  <c r="G669" i="5"/>
  <c r="G685" i="5"/>
  <c r="G701" i="5"/>
  <c r="G402" i="5"/>
  <c r="G426" i="5"/>
  <c r="G442" i="5"/>
  <c r="G458" i="5"/>
  <c r="G474" i="5"/>
  <c r="G498" i="5"/>
  <c r="G514" i="5"/>
  <c r="G530" i="5"/>
  <c r="G554" i="5"/>
  <c r="G570" i="5"/>
  <c r="G586" i="5"/>
  <c r="G614" i="5"/>
  <c r="G622" i="5"/>
  <c r="G638" i="5"/>
  <c r="G666" i="5"/>
  <c r="G682" i="5"/>
  <c r="G700" i="5"/>
  <c r="G399" i="5"/>
  <c r="G415" i="5"/>
  <c r="G431" i="5"/>
  <c r="G447" i="5"/>
  <c r="G463" i="5"/>
  <c r="G479" i="5"/>
  <c r="G495" i="5"/>
  <c r="G511" i="5"/>
  <c r="G535" i="5"/>
  <c r="G551" i="5"/>
  <c r="G575" i="5"/>
  <c r="G603" i="5"/>
  <c r="G619" i="5"/>
  <c r="G627" i="5"/>
  <c r="G635" i="5"/>
  <c r="G643" i="5"/>
  <c r="G663" i="5"/>
  <c r="G671" i="5"/>
  <c r="G679" i="5"/>
  <c r="G687" i="5"/>
  <c r="G686" i="5"/>
  <c r="G403" i="5"/>
  <c r="G411" i="5"/>
  <c r="G419" i="5"/>
  <c r="G427" i="5"/>
  <c r="G435" i="5"/>
  <c r="G443" i="5"/>
  <c r="G451" i="5"/>
  <c r="G459" i="5"/>
  <c r="G467" i="5"/>
  <c r="G475" i="5"/>
  <c r="G483" i="5"/>
  <c r="G491" i="5"/>
  <c r="G499" i="5"/>
  <c r="G507" i="5"/>
  <c r="G515" i="5"/>
  <c r="G523" i="5"/>
  <c r="G531" i="5"/>
  <c r="G539" i="5"/>
  <c r="G547" i="5"/>
  <c r="G555" i="5"/>
  <c r="G563" i="5"/>
  <c r="G571" i="5"/>
  <c r="G579" i="5"/>
  <c r="G587" i="5"/>
  <c r="G607" i="5"/>
  <c r="G615" i="5"/>
  <c r="G623" i="5"/>
  <c r="G631" i="5"/>
  <c r="G639" i="5"/>
  <c r="G647" i="5"/>
  <c r="G667" i="5"/>
  <c r="G675" i="5"/>
  <c r="G683" i="5"/>
  <c r="G691" i="5"/>
  <c r="G699" i="5"/>
  <c r="G707" i="5"/>
  <c r="G400" i="5"/>
  <c r="G408" i="5"/>
  <c r="G416" i="5"/>
  <c r="G424" i="5"/>
  <c r="G432" i="5"/>
  <c r="G440" i="5"/>
  <c r="G448" i="5"/>
  <c r="G456" i="5"/>
  <c r="G464" i="5"/>
  <c r="G472" i="5"/>
  <c r="G480" i="5"/>
  <c r="G488" i="5"/>
  <c r="G496" i="5"/>
  <c r="G504" i="5"/>
  <c r="G512" i="5"/>
  <c r="G520" i="5"/>
  <c r="G528" i="5"/>
  <c r="G536" i="5"/>
  <c r="G544" i="5"/>
  <c r="G552" i="5"/>
  <c r="G560" i="5"/>
  <c r="G568" i="5"/>
  <c r="G576" i="5"/>
  <c r="G584" i="5"/>
  <c r="G604" i="5"/>
  <c r="G612" i="5"/>
  <c r="G620" i="5"/>
  <c r="G628" i="5"/>
  <c r="G636" i="5"/>
  <c r="G644" i="5"/>
  <c r="G664" i="5"/>
  <c r="G672" i="5"/>
  <c r="G680" i="5"/>
  <c r="G690" i="5"/>
  <c r="G698" i="5"/>
  <c r="G706" i="5"/>
  <c r="G405" i="5"/>
  <c r="G421" i="5"/>
  <c r="G437" i="5"/>
  <c r="G453" i="5"/>
  <c r="G469" i="5"/>
  <c r="G485" i="5"/>
  <c r="G501" i="5"/>
  <c r="G517" i="5"/>
  <c r="G533" i="5"/>
  <c r="G549" i="5"/>
  <c r="G573" i="5"/>
  <c r="G589" i="5"/>
  <c r="G617" i="5"/>
  <c r="G633" i="5"/>
  <c r="G649" i="5"/>
  <c r="G677" i="5"/>
  <c r="G693" i="5"/>
  <c r="G709" i="5"/>
  <c r="G410" i="5"/>
  <c r="G418" i="5"/>
  <c r="G434" i="5"/>
  <c r="G450" i="5"/>
  <c r="G466" i="5"/>
  <c r="G482" i="5"/>
  <c r="G490" i="5"/>
  <c r="G506" i="5"/>
  <c r="G522" i="5"/>
  <c r="G538" i="5"/>
  <c r="G546" i="5"/>
  <c r="G562" i="5"/>
  <c r="G578" i="5"/>
  <c r="G606" i="5"/>
  <c r="G630" i="5"/>
  <c r="G646" i="5"/>
  <c r="G674" i="5"/>
  <c r="G692" i="5"/>
  <c r="G708" i="5"/>
  <c r="G407" i="5"/>
  <c r="G423" i="5"/>
  <c r="G439" i="5"/>
  <c r="G455" i="5"/>
  <c r="G471" i="5"/>
  <c r="G487" i="5"/>
  <c r="G503" i="5"/>
  <c r="G519" i="5"/>
  <c r="G527" i="5"/>
  <c r="G543" i="5"/>
  <c r="G559" i="5"/>
  <c r="G567" i="5"/>
  <c r="G583" i="5"/>
  <c r="G611" i="5"/>
  <c r="G695" i="5"/>
  <c r="G412" i="5"/>
  <c r="G444" i="5"/>
  <c r="G476" i="5"/>
  <c r="G508" i="5"/>
  <c r="G540" i="5"/>
  <c r="G572" i="5"/>
  <c r="G616" i="5"/>
  <c r="G648" i="5"/>
  <c r="G694" i="5"/>
  <c r="G703" i="5"/>
  <c r="G420" i="5"/>
  <c r="G452" i="5"/>
  <c r="G484" i="5"/>
  <c r="G516" i="5"/>
  <c r="G548" i="5"/>
  <c r="G580" i="5"/>
  <c r="G624" i="5"/>
  <c r="G668" i="5"/>
  <c r="G702" i="5"/>
  <c r="G428" i="5"/>
  <c r="G460" i="5"/>
  <c r="G492" i="5"/>
  <c r="G524" i="5"/>
  <c r="G556" i="5"/>
  <c r="G588" i="5"/>
  <c r="G632" i="5"/>
  <c r="G676" i="5"/>
  <c r="G404" i="5"/>
  <c r="G436" i="5"/>
  <c r="G468" i="5"/>
  <c r="G500" i="5"/>
  <c r="G532" i="5"/>
  <c r="G564" i="5"/>
  <c r="G608" i="5"/>
  <c r="G640" i="5"/>
  <c r="G684" i="5"/>
  <c r="G395" i="5"/>
  <c r="G394" i="5"/>
  <c r="G397" i="5"/>
  <c r="G396" i="5"/>
  <c r="G393" i="5"/>
  <c r="G392" i="5"/>
  <c r="G381" i="5"/>
  <c r="G382" i="5"/>
  <c r="G383" i="5"/>
  <c r="G384" i="5"/>
  <c r="G380" i="5"/>
  <c r="G385" i="5"/>
  <c r="G351" i="5"/>
  <c r="G359" i="5"/>
  <c r="G350" i="5"/>
  <c r="G358" i="5"/>
  <c r="G347" i="5"/>
  <c r="G354" i="5"/>
  <c r="G357" i="5"/>
  <c r="G348" i="5"/>
  <c r="G345" i="5"/>
  <c r="G353" i="5"/>
  <c r="G361" i="5"/>
  <c r="G344" i="5"/>
  <c r="G352" i="5"/>
  <c r="G360" i="5"/>
  <c r="G355" i="5"/>
  <c r="G346" i="5"/>
  <c r="G349" i="5"/>
  <c r="G356" i="5"/>
  <c r="G367" i="5"/>
  <c r="G362" i="5"/>
  <c r="G370" i="5"/>
  <c r="G369" i="5"/>
  <c r="G364" i="5"/>
  <c r="G372" i="5"/>
  <c r="G363" i="5"/>
  <c r="G371" i="5"/>
  <c r="G366" i="5"/>
  <c r="G365" i="5"/>
  <c r="G373" i="5"/>
  <c r="G368" i="5"/>
  <c r="G331" i="5"/>
  <c r="G330" i="5"/>
  <c r="G333" i="5"/>
  <c r="G332" i="5"/>
  <c r="G327" i="5"/>
  <c r="G335" i="5"/>
  <c r="G326" i="5"/>
  <c r="G334" i="5"/>
  <c r="G329" i="5"/>
  <c r="G337" i="5"/>
  <c r="G328" i="5"/>
  <c r="G336" i="5"/>
  <c r="G319" i="5"/>
  <c r="G314" i="5"/>
  <c r="G322" i="5"/>
  <c r="G321" i="5"/>
  <c r="G316" i="5"/>
  <c r="G324" i="5"/>
  <c r="G317" i="5"/>
  <c r="G315" i="5"/>
  <c r="G323" i="5"/>
  <c r="G318" i="5"/>
  <c r="G325" i="5"/>
  <c r="G320" i="5"/>
  <c r="G313" i="5"/>
  <c r="G310" i="5"/>
  <c r="G312" i="5"/>
  <c r="G309" i="5"/>
  <c r="G311" i="5"/>
  <c r="G308" i="5"/>
  <c r="G281" i="5"/>
  <c r="G289" i="5"/>
  <c r="G282" i="5"/>
  <c r="G283" i="5"/>
  <c r="G284" i="5"/>
  <c r="G286" i="5"/>
  <c r="G285" i="5"/>
  <c r="G278" i="5"/>
  <c r="G279" i="5"/>
  <c r="G287" i="5"/>
  <c r="G280" i="5"/>
  <c r="G288" i="5"/>
  <c r="G269" i="5"/>
  <c r="G277" i="5"/>
  <c r="G266" i="5"/>
  <c r="G274" i="5"/>
  <c r="G267" i="5"/>
  <c r="G272" i="5"/>
  <c r="G271" i="5"/>
  <c r="G268" i="5"/>
  <c r="G276" i="5"/>
  <c r="G273" i="5"/>
  <c r="G270" i="5"/>
  <c r="G275" i="5"/>
  <c r="G251" i="5"/>
  <c r="G250" i="5"/>
  <c r="G253" i="5"/>
  <c r="G252" i="5"/>
  <c r="G249" i="5"/>
  <c r="G248" i="5"/>
  <c r="G237" i="5"/>
  <c r="G238" i="5"/>
  <c r="G239" i="5"/>
  <c r="G240" i="5"/>
  <c r="G236" i="5"/>
  <c r="G241" i="5"/>
  <c r="G225" i="5"/>
  <c r="G222" i="5"/>
  <c r="G219" i="5"/>
  <c r="G227" i="5"/>
  <c r="G224" i="5"/>
  <c r="G221" i="5"/>
  <c r="G229" i="5"/>
  <c r="G218" i="5"/>
  <c r="G226" i="5"/>
  <c r="G223" i="5"/>
  <c r="G220" i="5"/>
  <c r="G228" i="5"/>
  <c r="G213" i="5"/>
  <c r="G206" i="5"/>
  <c r="G214" i="5"/>
  <c r="G210" i="5"/>
  <c r="G211" i="5"/>
  <c r="G207" i="5"/>
  <c r="G215" i="5"/>
  <c r="G208" i="5"/>
  <c r="G216" i="5"/>
  <c r="G217" i="5"/>
  <c r="G212" i="5"/>
  <c r="G209" i="5"/>
  <c r="G203" i="5"/>
  <c r="G198" i="5"/>
  <c r="G197" i="5"/>
  <c r="G205" i="5"/>
  <c r="G195" i="5"/>
  <c r="G200" i="5"/>
  <c r="G202" i="5"/>
  <c r="G196" i="5"/>
  <c r="G199" i="5"/>
  <c r="G194" i="5"/>
  <c r="G201" i="5"/>
  <c r="G204" i="5"/>
  <c r="G189" i="5"/>
  <c r="G182" i="5"/>
  <c r="G190" i="5"/>
  <c r="G183" i="5"/>
  <c r="G191" i="5"/>
  <c r="G184" i="5"/>
  <c r="G192" i="5"/>
  <c r="G188" i="5"/>
  <c r="G185" i="5"/>
  <c r="G193" i="5"/>
  <c r="G186" i="5"/>
  <c r="G187" i="5"/>
  <c r="G179" i="5"/>
  <c r="G181" i="5"/>
  <c r="G176" i="5"/>
  <c r="G178" i="5"/>
  <c r="G177" i="5"/>
  <c r="G180" i="5"/>
  <c r="G163" i="5"/>
  <c r="G162" i="5"/>
  <c r="G167" i="5"/>
  <c r="G166" i="5"/>
  <c r="G161" i="5"/>
  <c r="G160" i="5"/>
  <c r="G165" i="5"/>
  <c r="G164" i="5"/>
  <c r="G158" i="5"/>
  <c r="G169" i="5"/>
  <c r="G168" i="5"/>
  <c r="G159" i="5"/>
  <c r="G155" i="5"/>
  <c r="G147" i="5"/>
  <c r="G146" i="5"/>
  <c r="G154" i="5"/>
  <c r="G149" i="5"/>
  <c r="G150" i="5"/>
  <c r="G157" i="5"/>
  <c r="G153" i="5"/>
  <c r="G148" i="5"/>
  <c r="G156" i="5"/>
  <c r="G151" i="5"/>
  <c r="G152" i="5"/>
  <c r="G141" i="5"/>
  <c r="G142" i="5"/>
  <c r="G144" i="5"/>
  <c r="G143" i="5"/>
  <c r="G140" i="5"/>
  <c r="G145" i="5"/>
  <c r="G123" i="5"/>
  <c r="G126" i="5"/>
  <c r="G122" i="5"/>
  <c r="G133" i="5"/>
  <c r="G132" i="5"/>
  <c r="G125" i="5"/>
  <c r="G127" i="5"/>
  <c r="G128" i="5"/>
  <c r="G130" i="5"/>
  <c r="G124" i="5"/>
  <c r="G129" i="5"/>
  <c r="G131"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Y279" i="12" l="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278" i="12"/>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V266" i="12"/>
  <c r="V290" i="12" s="1"/>
  <c r="V254" i="12"/>
  <c r="X267" i="12"/>
  <c r="X255" i="12"/>
  <c r="X266" i="12"/>
  <c r="X290" i="12" s="1"/>
  <c r="X254" i="12"/>
  <c r="O287" i="12"/>
  <c r="O286" i="12"/>
  <c r="O298" i="12" s="1"/>
  <c r="O288" i="12"/>
  <c r="O300" i="12" s="1"/>
  <c r="J650" i="12"/>
  <c r="J662" i="12"/>
  <c r="J674" i="12" s="1"/>
  <c r="J686" i="12" s="1"/>
  <c r="J698" i="12" s="1"/>
  <c r="J656" i="12"/>
  <c r="J668" i="12"/>
  <c r="J680" i="12" s="1"/>
  <c r="J692" i="12" s="1"/>
  <c r="J704" i="12" s="1"/>
  <c r="J661" i="12"/>
  <c r="J673" i="12"/>
  <c r="J685" i="12" s="1"/>
  <c r="J697" i="12" s="1"/>
  <c r="J709" i="12" s="1"/>
  <c r="J651" i="12"/>
  <c r="J663" i="12"/>
  <c r="J675" i="12" s="1"/>
  <c r="J687" i="12" s="1"/>
  <c r="J699" i="12" s="1"/>
  <c r="J653" i="12"/>
  <c r="J665" i="12"/>
  <c r="J677" i="12" s="1"/>
  <c r="J689" i="12" s="1"/>
  <c r="J701" i="12" s="1"/>
  <c r="J657" i="12"/>
  <c r="J669" i="12"/>
  <c r="J681" i="12" s="1"/>
  <c r="J693" i="12" s="1"/>
  <c r="J705" i="12" s="1"/>
  <c r="J654" i="12"/>
  <c r="J666" i="12"/>
  <c r="J678" i="12" s="1"/>
  <c r="J690" i="12" s="1"/>
  <c r="J702" i="12" s="1"/>
  <c r="J652" i="12"/>
  <c r="J664" i="12"/>
  <c r="J676" i="12" s="1"/>
  <c r="J688" i="12" s="1"/>
  <c r="J700" i="12" s="1"/>
  <c r="J670" i="12"/>
  <c r="J682" i="12" s="1"/>
  <c r="J694" i="12" s="1"/>
  <c r="J706" i="12" s="1"/>
  <c r="J658" i="12"/>
  <c r="J660" i="12"/>
  <c r="J672" i="12"/>
  <c r="J684" i="12" s="1"/>
  <c r="J696" i="12" s="1"/>
  <c r="J708" i="12" s="1"/>
  <c r="J655" i="12"/>
  <c r="J667" i="12"/>
  <c r="J679" i="12" s="1"/>
  <c r="J691" i="12" s="1"/>
  <c r="J703" i="12" s="1"/>
  <c r="J659" i="12"/>
  <c r="J671" i="12"/>
  <c r="J683" i="12" s="1"/>
  <c r="J695" i="12" s="1"/>
  <c r="J707" i="12" s="1"/>
  <c r="H653" i="12"/>
  <c r="H665" i="12"/>
  <c r="H677" i="12" s="1"/>
  <c r="H689" i="12" s="1"/>
  <c r="H701" i="12" s="1"/>
  <c r="I320" i="12"/>
  <c r="G308" i="12"/>
  <c r="V663" i="12"/>
  <c r="V675" i="12" s="1"/>
  <c r="V687" i="12" s="1"/>
  <c r="V699" i="12" s="1"/>
  <c r="Z663" i="12"/>
  <c r="Z675" i="12" s="1"/>
  <c r="Z687" i="12" s="1"/>
  <c r="Z699" i="12" s="1"/>
  <c r="Y603" i="12"/>
  <c r="Y615" i="12" s="1"/>
  <c r="Y627" i="12" s="1"/>
  <c r="Y639" i="12" s="1"/>
  <c r="Y651" i="12" s="1"/>
  <c r="O312" i="12"/>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00" i="12" s="1"/>
  <c r="O285" i="12"/>
  <c r="O280" i="12"/>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592" i="12" s="1"/>
  <c r="O313" i="12"/>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01" i="12" s="1"/>
  <c r="O282" i="12"/>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594" i="12" s="1"/>
  <c r="O283" i="12"/>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595" i="12" s="1"/>
  <c r="O279" i="12"/>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591" i="12" s="1"/>
  <c r="O284" i="12"/>
  <c r="O278" i="12"/>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590" i="12" s="1"/>
  <c r="Q273" i="12"/>
  <c r="Q266" i="12"/>
  <c r="Q290" i="12" s="1"/>
  <c r="Q270" i="12"/>
  <c r="Q294" i="12" s="1"/>
  <c r="Q276" i="12"/>
  <c r="Q268" i="12"/>
  <c r="Q292" i="12" s="1"/>
  <c r="Q272" i="12"/>
  <c r="Q275" i="12"/>
  <c r="Q269" i="12"/>
  <c r="Q293" i="12" s="1"/>
  <c r="O269" i="12"/>
  <c r="O293" i="12" s="1"/>
  <c r="Q274" i="12"/>
  <c r="Q277" i="12"/>
  <c r="Q289" i="12" s="1"/>
  <c r="Q301" i="12" s="1"/>
  <c r="Q267" i="12"/>
  <c r="Q291" i="12" s="1"/>
  <c r="Q271" i="12"/>
  <c r="Q295" i="12" s="1"/>
  <c r="P26" i="12"/>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O310" i="12" l="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598" i="12" s="1"/>
  <c r="V278" i="12"/>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X278" i="12"/>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Y602" i="12"/>
  <c r="Y614" i="12" s="1"/>
  <c r="Y626" i="12" s="1"/>
  <c r="Y638" i="12" s="1"/>
  <c r="Y650" i="12" s="1"/>
  <c r="Y590" i="12"/>
  <c r="X279" i="12"/>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291" i="12"/>
  <c r="O309" i="12"/>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597" i="12" s="1"/>
  <c r="O297" i="12"/>
  <c r="O308" i="12"/>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596" i="12" s="1"/>
  <c r="O296" i="12"/>
  <c r="O311" i="12"/>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599" i="12" s="1"/>
  <c r="O299" i="12"/>
  <c r="Q288" i="12"/>
  <c r="Q300" i="12" s="1"/>
  <c r="Q287" i="12"/>
  <c r="Q299" i="12" s="1"/>
  <c r="Q286" i="12"/>
  <c r="I332" i="12"/>
  <c r="G320" i="12"/>
  <c r="V602" i="12"/>
  <c r="V614" i="12" s="1"/>
  <c r="V626" i="12" s="1"/>
  <c r="V638" i="12" s="1"/>
  <c r="V650" i="12" s="1"/>
  <c r="Y663" i="12"/>
  <c r="Y675" i="12" s="1"/>
  <c r="Y687" i="12" s="1"/>
  <c r="Y699" i="12" s="1"/>
  <c r="Y662" i="12"/>
  <c r="Y674" i="12" s="1"/>
  <c r="Y686" i="12" s="1"/>
  <c r="Y698" i="12" s="1"/>
  <c r="O606" i="12"/>
  <c r="O618" i="12" s="1"/>
  <c r="O630" i="12" s="1"/>
  <c r="O642" i="12" s="1"/>
  <c r="O654" i="12" s="1"/>
  <c r="O602" i="12"/>
  <c r="O614" i="12" s="1"/>
  <c r="O626" i="12" s="1"/>
  <c r="O638" i="12" s="1"/>
  <c r="O650" i="12" s="1"/>
  <c r="O603" i="12"/>
  <c r="O615" i="12" s="1"/>
  <c r="O627" i="12" s="1"/>
  <c r="O639" i="12" s="1"/>
  <c r="O651" i="12" s="1"/>
  <c r="O613" i="12"/>
  <c r="O625" i="12" s="1"/>
  <c r="O637" i="12" s="1"/>
  <c r="O649" i="12" s="1"/>
  <c r="O661" i="12" s="1"/>
  <c r="O607" i="12"/>
  <c r="O619" i="12" s="1"/>
  <c r="O631" i="12" s="1"/>
  <c r="O643" i="12" s="1"/>
  <c r="O655" i="12" s="1"/>
  <c r="O604" i="12"/>
  <c r="O616" i="12" s="1"/>
  <c r="O628" i="12" s="1"/>
  <c r="O640" i="12" s="1"/>
  <c r="O652" i="12" s="1"/>
  <c r="O612" i="12"/>
  <c r="O624" i="12" s="1"/>
  <c r="O636" i="12" s="1"/>
  <c r="O648" i="12" s="1"/>
  <c r="O660" i="12" s="1"/>
  <c r="Q283" i="12"/>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595" i="12" s="1"/>
  <c r="Q313" i="12"/>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01" i="12" s="1"/>
  <c r="O281" i="12"/>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593" i="12" s="1"/>
  <c r="Q280" i="12"/>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592" i="12" s="1"/>
  <c r="Q282" i="12"/>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594" i="12" s="1"/>
  <c r="Q285" i="12"/>
  <c r="Q279" i="12"/>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591" i="12" s="1"/>
  <c r="Q281" i="12"/>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593" i="12" s="1"/>
  <c r="Q284" i="12"/>
  <c r="Q278" i="12"/>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590" i="12" s="1"/>
  <c r="P38" i="12"/>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Q312" i="12" l="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00" i="12" s="1"/>
  <c r="O611" i="12"/>
  <c r="O623" i="12" s="1"/>
  <c r="O635" i="12" s="1"/>
  <c r="O647" i="12" s="1"/>
  <c r="O659" i="12" s="1"/>
  <c r="O610" i="12"/>
  <c r="O622" i="12" s="1"/>
  <c r="O634" i="12" s="1"/>
  <c r="O646" i="12" s="1"/>
  <c r="O658" i="12" s="1"/>
  <c r="O609" i="12"/>
  <c r="O621" i="12" s="1"/>
  <c r="O633" i="12" s="1"/>
  <c r="O645" i="12" s="1"/>
  <c r="O657" i="12" s="1"/>
  <c r="X603" i="12"/>
  <c r="X615" i="12" s="1"/>
  <c r="X627" i="12" s="1"/>
  <c r="X639" i="12" s="1"/>
  <c r="X602" i="12"/>
  <c r="X614" i="12" s="1"/>
  <c r="X626" i="12" s="1"/>
  <c r="X638" i="12" s="1"/>
  <c r="X590" i="12"/>
  <c r="Q311" i="12"/>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599" i="12" s="1"/>
  <c r="Q309" i="12"/>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597" i="12" s="1"/>
  <c r="Q297" i="12"/>
  <c r="Q308" i="12"/>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596" i="12" s="1"/>
  <c r="Q296" i="12"/>
  <c r="O608" i="12"/>
  <c r="O620" i="12" s="1"/>
  <c r="O632" i="12" s="1"/>
  <c r="O644" i="12" s="1"/>
  <c r="O656" i="12" s="1"/>
  <c r="Q310" i="12"/>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598" i="12" s="1"/>
  <c r="Q298" i="12"/>
  <c r="I344" i="12"/>
  <c r="G332" i="12"/>
  <c r="V662" i="12"/>
  <c r="V674" i="12" s="1"/>
  <c r="V686" i="12" s="1"/>
  <c r="V698" i="12" s="1"/>
  <c r="O664" i="12"/>
  <c r="O676" i="12" s="1"/>
  <c r="O688" i="12" s="1"/>
  <c r="O700" i="12" s="1"/>
  <c r="O673" i="12"/>
  <c r="O685" i="12" s="1"/>
  <c r="O697" i="12" s="1"/>
  <c r="O709" i="12" s="1"/>
  <c r="O662" i="12"/>
  <c r="O674" i="12" s="1"/>
  <c r="O686" i="12" s="1"/>
  <c r="O698" i="12" s="1"/>
  <c r="O666" i="12"/>
  <c r="O678" i="12" s="1"/>
  <c r="O690" i="12" s="1"/>
  <c r="O702" i="12" s="1"/>
  <c r="O672" i="12"/>
  <c r="O684" i="12" s="1"/>
  <c r="O696" i="12" s="1"/>
  <c r="O708" i="12" s="1"/>
  <c r="O667" i="12"/>
  <c r="O679" i="12" s="1"/>
  <c r="O691" i="12" s="1"/>
  <c r="O703" i="12" s="1"/>
  <c r="O663" i="12"/>
  <c r="O675" i="12" s="1"/>
  <c r="O687" i="12" s="1"/>
  <c r="O699" i="12" s="1"/>
  <c r="O670" i="12"/>
  <c r="O682" i="12" s="1"/>
  <c r="O694" i="12" s="1"/>
  <c r="O706" i="12" s="1"/>
  <c r="Q605" i="12"/>
  <c r="Q617" i="12" s="1"/>
  <c r="Q629" i="12" s="1"/>
  <c r="Q641" i="12" s="1"/>
  <c r="Q653" i="12" s="1"/>
  <c r="Q606" i="12"/>
  <c r="Q618" i="12" s="1"/>
  <c r="Q630" i="12" s="1"/>
  <c r="Q642" i="12" s="1"/>
  <c r="Q654" i="12" s="1"/>
  <c r="Q613" i="12"/>
  <c r="Q625" i="12" s="1"/>
  <c r="Q637" i="12" s="1"/>
  <c r="Q649" i="12" s="1"/>
  <c r="Q661" i="12" s="1"/>
  <c r="Q602" i="12"/>
  <c r="Q614" i="12" s="1"/>
  <c r="Q626" i="12" s="1"/>
  <c r="Q638" i="12" s="1"/>
  <c r="Q650" i="12" s="1"/>
  <c r="Q604" i="12"/>
  <c r="Q616" i="12" s="1"/>
  <c r="Q628" i="12" s="1"/>
  <c r="Q640" i="12" s="1"/>
  <c r="Q652" i="12" s="1"/>
  <c r="Q607" i="12"/>
  <c r="Q619" i="12" s="1"/>
  <c r="Q631" i="12" s="1"/>
  <c r="Q643" i="12" s="1"/>
  <c r="Q655" i="12" s="1"/>
  <c r="O605" i="12"/>
  <c r="O617" i="12" s="1"/>
  <c r="O629" i="12" s="1"/>
  <c r="O641" i="12" s="1"/>
  <c r="O653" i="12" s="1"/>
  <c r="Q603" i="12"/>
  <c r="Q615" i="12" s="1"/>
  <c r="Q627" i="12" s="1"/>
  <c r="Q639" i="12" s="1"/>
  <c r="Q651" i="12" s="1"/>
  <c r="P50" i="12"/>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W120" i="12" s="1"/>
  <c r="U120" i="12" s="1"/>
  <c r="W103" i="12"/>
  <c r="W115" i="12" s="1"/>
  <c r="U115" i="12" s="1"/>
  <c r="W102" i="12"/>
  <c r="W114" i="12" s="1"/>
  <c r="U114" i="12" s="1"/>
  <c r="W63" i="12"/>
  <c r="U63" i="12" s="1"/>
  <c r="W104" i="12"/>
  <c r="W116" i="12" s="1"/>
  <c r="U116" i="12" s="1"/>
  <c r="W106" i="12"/>
  <c r="W118" i="12" s="1"/>
  <c r="U118" i="12" s="1"/>
  <c r="W109" i="12"/>
  <c r="W121" i="12" s="1"/>
  <c r="U121" i="12" s="1"/>
  <c r="W105" i="12"/>
  <c r="W117" i="12" s="1"/>
  <c r="U117" i="12" s="1"/>
  <c r="W101" i="12"/>
  <c r="W113" i="12" s="1"/>
  <c r="U113" i="12" s="1"/>
  <c r="W107" i="12"/>
  <c r="W119" i="12" s="1"/>
  <c r="U119" i="12" s="1"/>
  <c r="W62" i="12"/>
  <c r="U62" i="12" s="1"/>
  <c r="W100" i="12"/>
  <c r="W112" i="12" s="1"/>
  <c r="U112" i="12" s="1"/>
  <c r="O668" i="12" l="1"/>
  <c r="O680" i="12" s="1"/>
  <c r="O692" i="12" s="1"/>
  <c r="O704" i="12" s="1"/>
  <c r="O669" i="12"/>
  <c r="O681" i="12" s="1"/>
  <c r="O693" i="12" s="1"/>
  <c r="O705" i="12" s="1"/>
  <c r="O671" i="12"/>
  <c r="O683" i="12" s="1"/>
  <c r="O695" i="12" s="1"/>
  <c r="O707" i="12" s="1"/>
  <c r="Q612" i="12"/>
  <c r="Q624" i="12" s="1"/>
  <c r="Q636" i="12" s="1"/>
  <c r="Q648" i="12" s="1"/>
  <c r="Q660" i="12" s="1"/>
  <c r="Q611" i="12"/>
  <c r="Q623" i="12" s="1"/>
  <c r="Q635" i="12" s="1"/>
  <c r="Q647" i="12" s="1"/>
  <c r="Q659" i="12" s="1"/>
  <c r="Q610" i="12"/>
  <c r="Q622" i="12" s="1"/>
  <c r="Q634" i="12" s="1"/>
  <c r="Q646" i="12" s="1"/>
  <c r="Q658" i="12" s="1"/>
  <c r="Q609" i="12"/>
  <c r="Q621" i="12" s="1"/>
  <c r="Q633" i="12" s="1"/>
  <c r="Q645" i="12" s="1"/>
  <c r="Q657" i="12" s="1"/>
  <c r="X662" i="12"/>
  <c r="X674" i="12" s="1"/>
  <c r="X686" i="12" s="1"/>
  <c r="X698" i="12" s="1"/>
  <c r="X650" i="12"/>
  <c r="X663" i="12"/>
  <c r="X675" i="12" s="1"/>
  <c r="X687" i="12" s="1"/>
  <c r="X699" i="12" s="1"/>
  <c r="X651" i="12"/>
  <c r="Q608" i="12"/>
  <c r="Q620" i="12" s="1"/>
  <c r="Q632" i="12" s="1"/>
  <c r="Q644" i="12" s="1"/>
  <c r="Q656" i="12" s="1"/>
  <c r="I115" i="12"/>
  <c r="G115" i="12" s="1"/>
  <c r="I127" i="12"/>
  <c r="I139" i="12" s="1"/>
  <c r="I151" i="12" s="1"/>
  <c r="I163" i="12" s="1"/>
  <c r="I175" i="12" s="1"/>
  <c r="I187" i="12" s="1"/>
  <c r="I199" i="12" s="1"/>
  <c r="I211" i="12" s="1"/>
  <c r="I223" i="12" s="1"/>
  <c r="I235" i="12" s="1"/>
  <c r="I247" i="12" s="1"/>
  <c r="I112" i="12"/>
  <c r="G112" i="12" s="1"/>
  <c r="I124" i="12"/>
  <c r="I136" i="12" s="1"/>
  <c r="I148" i="12" s="1"/>
  <c r="I160" i="12" s="1"/>
  <c r="I172" i="12" s="1"/>
  <c r="I184" i="12" s="1"/>
  <c r="I196" i="12" s="1"/>
  <c r="I208" i="12" s="1"/>
  <c r="I220" i="12" s="1"/>
  <c r="I232" i="12" s="1"/>
  <c r="I244" i="12" s="1"/>
  <c r="I122" i="12"/>
  <c r="I134" i="12" s="1"/>
  <c r="I146" i="12" s="1"/>
  <c r="I158" i="12" s="1"/>
  <c r="I170" i="12" s="1"/>
  <c r="I182" i="12" s="1"/>
  <c r="I194" i="12" s="1"/>
  <c r="I206" i="12" s="1"/>
  <c r="I218" i="12" s="1"/>
  <c r="I230" i="12" s="1"/>
  <c r="I242" i="12" s="1"/>
  <c r="I110" i="12"/>
  <c r="G110" i="12" s="1"/>
  <c r="I117" i="12"/>
  <c r="G117" i="12" s="1"/>
  <c r="I129" i="12"/>
  <c r="I141" i="12" s="1"/>
  <c r="I153" i="12" s="1"/>
  <c r="I165" i="12" s="1"/>
  <c r="I177" i="12" s="1"/>
  <c r="I189" i="12" s="1"/>
  <c r="I201" i="12" s="1"/>
  <c r="I213" i="12" s="1"/>
  <c r="I225" i="12" s="1"/>
  <c r="I237" i="12" s="1"/>
  <c r="I249" i="12" s="1"/>
  <c r="I119" i="12"/>
  <c r="G119" i="12" s="1"/>
  <c r="I131" i="12"/>
  <c r="I143" i="12" s="1"/>
  <c r="I155" i="12" s="1"/>
  <c r="I167" i="12" s="1"/>
  <c r="I179" i="12" s="1"/>
  <c r="I191" i="12" s="1"/>
  <c r="I203" i="12" s="1"/>
  <c r="I215" i="12" s="1"/>
  <c r="I227" i="12" s="1"/>
  <c r="I239" i="12" s="1"/>
  <c r="I251" i="12" s="1"/>
  <c r="I111" i="12"/>
  <c r="G111" i="12" s="1"/>
  <c r="I123" i="12"/>
  <c r="I135" i="12" s="1"/>
  <c r="I147" i="12" s="1"/>
  <c r="I159" i="12" s="1"/>
  <c r="I171" i="12" s="1"/>
  <c r="I183" i="12" s="1"/>
  <c r="I195" i="12" s="1"/>
  <c r="I207" i="12" s="1"/>
  <c r="I219" i="12" s="1"/>
  <c r="I231" i="12" s="1"/>
  <c r="I243" i="12" s="1"/>
  <c r="I113" i="12"/>
  <c r="G113" i="12" s="1"/>
  <c r="I125" i="12"/>
  <c r="I137" i="12" s="1"/>
  <c r="I149" i="12" s="1"/>
  <c r="I161" i="12" s="1"/>
  <c r="I173" i="12" s="1"/>
  <c r="I185" i="12" s="1"/>
  <c r="I197" i="12" s="1"/>
  <c r="I209" i="12" s="1"/>
  <c r="I221" i="12" s="1"/>
  <c r="I233" i="12" s="1"/>
  <c r="I245" i="12" s="1"/>
  <c r="I126" i="12"/>
  <c r="I138" i="12" s="1"/>
  <c r="I150" i="12" s="1"/>
  <c r="I162" i="12" s="1"/>
  <c r="I174" i="12" s="1"/>
  <c r="I186" i="12" s="1"/>
  <c r="I198" i="12" s="1"/>
  <c r="I210" i="12" s="1"/>
  <c r="I222" i="12" s="1"/>
  <c r="I234" i="12" s="1"/>
  <c r="I246" i="12" s="1"/>
  <c r="I114" i="12"/>
  <c r="G114" i="12" s="1"/>
  <c r="I130" i="12"/>
  <c r="I142" i="12" s="1"/>
  <c r="I154" i="12" s="1"/>
  <c r="I166" i="12" s="1"/>
  <c r="I178" i="12" s="1"/>
  <c r="I190" i="12" s="1"/>
  <c r="I202" i="12" s="1"/>
  <c r="I214" i="12" s="1"/>
  <c r="I226" i="12" s="1"/>
  <c r="I238" i="12" s="1"/>
  <c r="I250" i="12" s="1"/>
  <c r="I118" i="12"/>
  <c r="G118" i="12" s="1"/>
  <c r="I120" i="12"/>
  <c r="G120" i="12" s="1"/>
  <c r="I132" i="12"/>
  <c r="I144" i="12" s="1"/>
  <c r="I156" i="12" s="1"/>
  <c r="I168" i="12" s="1"/>
  <c r="I180" i="12" s="1"/>
  <c r="I192" i="12" s="1"/>
  <c r="I204" i="12" s="1"/>
  <c r="I216" i="12" s="1"/>
  <c r="I228" i="12" s="1"/>
  <c r="I240" i="12" s="1"/>
  <c r="I252" i="12" s="1"/>
  <c r="I121" i="12"/>
  <c r="G121" i="12" s="1"/>
  <c r="I133" i="12"/>
  <c r="I145" i="12" s="1"/>
  <c r="I157" i="12" s="1"/>
  <c r="I169" i="12" s="1"/>
  <c r="I181" i="12" s="1"/>
  <c r="I193" i="12" s="1"/>
  <c r="I205" i="12" s="1"/>
  <c r="I217" i="12" s="1"/>
  <c r="I229" i="12" s="1"/>
  <c r="I241" i="12" s="1"/>
  <c r="I253" i="12" s="1"/>
  <c r="I356" i="12"/>
  <c r="G344" i="12"/>
  <c r="U107" i="12"/>
  <c r="U108" i="12"/>
  <c r="U103" i="12"/>
  <c r="U104" i="12"/>
  <c r="U100" i="12"/>
  <c r="U105" i="12"/>
  <c r="U106" i="12"/>
  <c r="U101" i="12"/>
  <c r="U109" i="12"/>
  <c r="U102" i="12"/>
  <c r="Q669" i="12"/>
  <c r="Q681" i="12" s="1"/>
  <c r="Q693" i="12" s="1"/>
  <c r="Q705" i="12" s="1"/>
  <c r="Q673" i="12"/>
  <c r="Q685" i="12" s="1"/>
  <c r="Q697" i="12" s="1"/>
  <c r="Q709" i="12" s="1"/>
  <c r="Q665" i="12"/>
  <c r="Q677" i="12" s="1"/>
  <c r="Q689" i="12" s="1"/>
  <c r="Q701" i="12" s="1"/>
  <c r="Q667" i="12"/>
  <c r="Q679" i="12" s="1"/>
  <c r="Q691" i="12" s="1"/>
  <c r="Q703" i="12" s="1"/>
  <c r="Q663" i="12"/>
  <c r="Q675" i="12" s="1"/>
  <c r="Q687" i="12" s="1"/>
  <c r="Q699" i="12" s="1"/>
  <c r="O665" i="12"/>
  <c r="O677" i="12" s="1"/>
  <c r="O689" i="12" s="1"/>
  <c r="O701" i="12" s="1"/>
  <c r="Q664" i="12"/>
  <c r="Q676" i="12" s="1"/>
  <c r="Q688" i="12" s="1"/>
  <c r="Q700" i="12" s="1"/>
  <c r="Q662" i="12"/>
  <c r="Q674" i="12" s="1"/>
  <c r="Q686" i="12" s="1"/>
  <c r="Q698" i="12" s="1"/>
  <c r="Q666" i="12"/>
  <c r="Q678" i="12" s="1"/>
  <c r="Q690" i="12" s="1"/>
  <c r="Q702" i="12" s="1"/>
  <c r="P62" i="12"/>
  <c r="N62" i="12" s="1"/>
  <c r="G105" i="12"/>
  <c r="G103" i="12"/>
  <c r="G100" i="12"/>
  <c r="G107" i="12"/>
  <c r="G98" i="12"/>
  <c r="G99" i="12"/>
  <c r="G101" i="12"/>
  <c r="G102" i="12"/>
  <c r="G106" i="12"/>
  <c r="G108"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4" i="12"/>
  <c r="U124" i="12" s="1"/>
  <c r="W131" i="12"/>
  <c r="U131" i="12" s="1"/>
  <c r="W129" i="12"/>
  <c r="U129" i="12" s="1"/>
  <c r="W130" i="12"/>
  <c r="U130" i="12" s="1"/>
  <c r="W75" i="12"/>
  <c r="U75" i="12" s="1"/>
  <c r="W127" i="12"/>
  <c r="U127" i="12" s="1"/>
  <c r="W74" i="12"/>
  <c r="U74" i="12" s="1"/>
  <c r="W125" i="12"/>
  <c r="U125" i="12" s="1"/>
  <c r="W133" i="12"/>
  <c r="U133" i="12" s="1"/>
  <c r="W128" i="12"/>
  <c r="U128" i="12" s="1"/>
  <c r="W126" i="12"/>
  <c r="U126" i="12" s="1"/>
  <c r="W132" i="12"/>
  <c r="U132" i="12" s="1"/>
  <c r="Q672" i="12" l="1"/>
  <c r="Q684" i="12" s="1"/>
  <c r="Q696" i="12" s="1"/>
  <c r="Q708" i="12" s="1"/>
  <c r="Q671" i="12"/>
  <c r="Q683" i="12" s="1"/>
  <c r="Q695" i="12" s="1"/>
  <c r="Q707" i="12" s="1"/>
  <c r="Q670" i="12"/>
  <c r="Q682" i="12" s="1"/>
  <c r="Q694" i="12" s="1"/>
  <c r="Q706" i="12" s="1"/>
  <c r="Q668" i="12"/>
  <c r="Q680" i="12" s="1"/>
  <c r="Q692" i="12" s="1"/>
  <c r="Q704" i="12" s="1"/>
  <c r="I256" i="12"/>
  <c r="G256" i="12" s="1"/>
  <c r="I268" i="12"/>
  <c r="I261" i="12"/>
  <c r="G261" i="12" s="1"/>
  <c r="I273" i="12"/>
  <c r="I258" i="12"/>
  <c r="G258" i="12" s="1"/>
  <c r="I270" i="12"/>
  <c r="I255" i="12"/>
  <c r="G255" i="12" s="1"/>
  <c r="I267" i="12"/>
  <c r="I368" i="12"/>
  <c r="G356" i="12"/>
  <c r="I265" i="12"/>
  <c r="G265" i="12" s="1"/>
  <c r="I277" i="12"/>
  <c r="I289" i="12" s="1"/>
  <c r="I257" i="12"/>
  <c r="G257" i="12" s="1"/>
  <c r="I269" i="12"/>
  <c r="I263" i="12"/>
  <c r="G263" i="12" s="1"/>
  <c r="I275" i="12"/>
  <c r="I287" i="12" s="1"/>
  <c r="I259" i="12"/>
  <c r="G259" i="12" s="1"/>
  <c r="I271" i="12"/>
  <c r="I264" i="12"/>
  <c r="G264" i="12" s="1"/>
  <c r="I276" i="12"/>
  <c r="I288" i="12" s="1"/>
  <c r="I262" i="12"/>
  <c r="G262" i="12" s="1"/>
  <c r="I274" i="12"/>
  <c r="I254" i="12"/>
  <c r="G254" i="12" s="1"/>
  <c r="I266" i="12"/>
  <c r="P74" i="12"/>
  <c r="N74" i="12" s="1"/>
  <c r="G132" i="12"/>
  <c r="G126" i="12"/>
  <c r="G123" i="12"/>
  <c r="G131" i="12"/>
  <c r="G127" i="12"/>
  <c r="G133" i="12"/>
  <c r="G130" i="12"/>
  <c r="G125" i="12"/>
  <c r="G122" i="12"/>
  <c r="G124" i="12"/>
  <c r="G129"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44" i="12"/>
  <c r="U144" i="12" s="1"/>
  <c r="W140" i="12"/>
  <c r="U140" i="12" s="1"/>
  <c r="W137" i="12"/>
  <c r="U137" i="12" s="1"/>
  <c r="W139" i="12"/>
  <c r="U139" i="12" s="1"/>
  <c r="W142" i="12"/>
  <c r="U142" i="12" s="1"/>
  <c r="W143" i="12"/>
  <c r="U143" i="12" s="1"/>
  <c r="W138" i="12"/>
  <c r="U138" i="12" s="1"/>
  <c r="W145" i="12"/>
  <c r="U145" i="12" s="1"/>
  <c r="W86" i="12"/>
  <c r="U86" i="12" s="1"/>
  <c r="W87" i="12"/>
  <c r="U87" i="12" s="1"/>
  <c r="W141" i="12"/>
  <c r="U141" i="12" s="1"/>
  <c r="W136" i="12"/>
  <c r="U136" i="12" s="1"/>
  <c r="I290" i="12" l="1"/>
  <c r="G290" i="12" s="1"/>
  <c r="I278" i="12"/>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300" i="12"/>
  <c r="G300" i="12" s="1"/>
  <c r="I312" i="12"/>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299" i="12"/>
  <c r="G299" i="12" s="1"/>
  <c r="I311" i="12"/>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301" i="12"/>
  <c r="G301" i="12" s="1"/>
  <c r="I313" i="12"/>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291" i="12"/>
  <c r="G291" i="12" s="1"/>
  <c r="I279" i="12"/>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297" i="12"/>
  <c r="G297" i="12" s="1"/>
  <c r="I285" i="12"/>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298" i="12"/>
  <c r="G298" i="12" s="1"/>
  <c r="I286" i="12"/>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295" i="12"/>
  <c r="G295" i="12" s="1"/>
  <c r="I283" i="12"/>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293" i="12"/>
  <c r="G293" i="12" s="1"/>
  <c r="I281" i="12"/>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294" i="12"/>
  <c r="G294" i="12" s="1"/>
  <c r="I282" i="12"/>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292" i="12"/>
  <c r="G292" i="12" s="1"/>
  <c r="I280" i="12"/>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380" i="12"/>
  <c r="G368" i="12"/>
  <c r="P86" i="12"/>
  <c r="N86" i="12" s="1"/>
  <c r="G136" i="12"/>
  <c r="G137" i="12"/>
  <c r="G145" i="12"/>
  <c r="G143" i="12"/>
  <c r="G138" i="12"/>
  <c r="G141" i="12"/>
  <c r="G134" i="12"/>
  <c r="G142" i="12"/>
  <c r="G139" i="12"/>
  <c r="G135" i="12"/>
  <c r="G144"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48" i="12"/>
  <c r="U148" i="12" s="1"/>
  <c r="W99" i="12"/>
  <c r="W111" i="12" s="1"/>
  <c r="U111" i="12" s="1"/>
  <c r="W157" i="12"/>
  <c r="U157" i="12" s="1"/>
  <c r="W155" i="12"/>
  <c r="U155" i="12" s="1"/>
  <c r="W151" i="12"/>
  <c r="U151" i="12" s="1"/>
  <c r="W152" i="12"/>
  <c r="U152" i="12" s="1"/>
  <c r="W153" i="12"/>
  <c r="U153" i="12" s="1"/>
  <c r="W98" i="12"/>
  <c r="W110" i="12" s="1"/>
  <c r="U110" i="12" s="1"/>
  <c r="W150" i="12"/>
  <c r="U150" i="12" s="1"/>
  <c r="W154" i="12"/>
  <c r="U154" i="12" s="1"/>
  <c r="W149" i="12"/>
  <c r="U149" i="12" s="1"/>
  <c r="W156" i="12"/>
  <c r="U156" i="12" s="1"/>
  <c r="I594" i="12" l="1"/>
  <c r="G594" i="12" s="1"/>
  <c r="I606" i="12"/>
  <c r="I618" i="12" s="1"/>
  <c r="I630" i="12" s="1"/>
  <c r="I642" i="12" s="1"/>
  <c r="I595" i="12"/>
  <c r="G595" i="12" s="1"/>
  <c r="I607" i="12"/>
  <c r="I619" i="12" s="1"/>
  <c r="I631" i="12" s="1"/>
  <c r="I643" i="12" s="1"/>
  <c r="I601" i="12"/>
  <c r="G601" i="12" s="1"/>
  <c r="I613" i="12"/>
  <c r="I625" i="12" s="1"/>
  <c r="I637" i="12" s="1"/>
  <c r="I649" i="12" s="1"/>
  <c r="I600" i="12"/>
  <c r="G600" i="12" s="1"/>
  <c r="I612" i="12"/>
  <c r="I624" i="12" s="1"/>
  <c r="I636" i="12" s="1"/>
  <c r="I648" i="12" s="1"/>
  <c r="I597" i="12"/>
  <c r="G597" i="12" s="1"/>
  <c r="I609" i="12"/>
  <c r="I621" i="12" s="1"/>
  <c r="I633" i="12" s="1"/>
  <c r="I645" i="12" s="1"/>
  <c r="I392" i="12"/>
  <c r="G380" i="12"/>
  <c r="I593" i="12"/>
  <c r="G593" i="12" s="1"/>
  <c r="I605" i="12"/>
  <c r="I617" i="12" s="1"/>
  <c r="I629" i="12" s="1"/>
  <c r="I641" i="12" s="1"/>
  <c r="I598" i="12"/>
  <c r="G598" i="12" s="1"/>
  <c r="I610" i="12"/>
  <c r="I622" i="12" s="1"/>
  <c r="I634" i="12" s="1"/>
  <c r="I646" i="12" s="1"/>
  <c r="I591" i="12"/>
  <c r="G591" i="12" s="1"/>
  <c r="I603" i="12"/>
  <c r="I615" i="12" s="1"/>
  <c r="I627" i="12" s="1"/>
  <c r="I639" i="12" s="1"/>
  <c r="I599" i="12"/>
  <c r="G599" i="12" s="1"/>
  <c r="I611" i="12"/>
  <c r="I623" i="12" s="1"/>
  <c r="I635" i="12" s="1"/>
  <c r="I647" i="12" s="1"/>
  <c r="I590" i="12"/>
  <c r="G590" i="12" s="1"/>
  <c r="I602" i="12"/>
  <c r="I614" i="12" s="1"/>
  <c r="I626" i="12" s="1"/>
  <c r="I638" i="12" s="1"/>
  <c r="I592" i="12"/>
  <c r="G592" i="12" s="1"/>
  <c r="I604" i="12"/>
  <c r="I616" i="12" s="1"/>
  <c r="I628" i="12" s="1"/>
  <c r="I640" i="12" s="1"/>
  <c r="U98" i="12"/>
  <c r="U99" i="12"/>
  <c r="P98" i="12"/>
  <c r="P110" i="12" s="1"/>
  <c r="N110" i="12" s="1"/>
  <c r="G147" i="12"/>
  <c r="G154" i="12"/>
  <c r="G153" i="12"/>
  <c r="G155" i="12"/>
  <c r="G149" i="12"/>
  <c r="G156" i="12"/>
  <c r="G151" i="12"/>
  <c r="G146" i="12"/>
  <c r="G150" i="12"/>
  <c r="G157" i="12"/>
  <c r="G148" i="12"/>
  <c r="P106" i="12"/>
  <c r="P118" i="12" s="1"/>
  <c r="N118" i="12" s="1"/>
  <c r="P109" i="12"/>
  <c r="P121" i="12" s="1"/>
  <c r="N121" i="12" s="1"/>
  <c r="P100" i="12"/>
  <c r="P112" i="12" s="1"/>
  <c r="N112" i="12" s="1"/>
  <c r="P102" i="12"/>
  <c r="P114" i="12" s="1"/>
  <c r="N114" i="12" s="1"/>
  <c r="P104" i="12"/>
  <c r="P116" i="12" s="1"/>
  <c r="N116" i="12" s="1"/>
  <c r="P101" i="12"/>
  <c r="P113" i="12" s="1"/>
  <c r="N113" i="12" s="1"/>
  <c r="P108" i="12"/>
  <c r="P120" i="12" s="1"/>
  <c r="N120" i="12" s="1"/>
  <c r="P99" i="12"/>
  <c r="P111" i="12" s="1"/>
  <c r="N111" i="12" s="1"/>
  <c r="P103" i="12"/>
  <c r="P115" i="12" s="1"/>
  <c r="N115" i="12" s="1"/>
  <c r="P105" i="12"/>
  <c r="P117" i="12" s="1"/>
  <c r="N117" i="12" s="1"/>
  <c r="P107" i="12"/>
  <c r="P119" i="12" s="1"/>
  <c r="N119" i="12" s="1"/>
  <c r="W168" i="12"/>
  <c r="U168" i="12" s="1"/>
  <c r="W166" i="12"/>
  <c r="U166" i="12" s="1"/>
  <c r="W122" i="12"/>
  <c r="U122" i="12" s="1"/>
  <c r="W164" i="12"/>
  <c r="U164" i="12" s="1"/>
  <c r="W167" i="12"/>
  <c r="U167" i="12" s="1"/>
  <c r="W123" i="12"/>
  <c r="U123" i="12" s="1"/>
  <c r="W161" i="12"/>
  <c r="U161" i="12" s="1"/>
  <c r="W162" i="12"/>
  <c r="U162" i="12" s="1"/>
  <c r="W165" i="12"/>
  <c r="U165" i="12" s="1"/>
  <c r="W163" i="12"/>
  <c r="U163" i="12" s="1"/>
  <c r="W169" i="12"/>
  <c r="U169" i="12" s="1"/>
  <c r="W160" i="12"/>
  <c r="U160" i="12" s="1"/>
  <c r="I652" i="12" l="1"/>
  <c r="G652" i="12" s="1"/>
  <c r="I664" i="12"/>
  <c r="I676" i="12" s="1"/>
  <c r="I688" i="12" s="1"/>
  <c r="I700" i="12" s="1"/>
  <c r="I659" i="12"/>
  <c r="G659" i="12" s="1"/>
  <c r="I671" i="12"/>
  <c r="I683" i="12" s="1"/>
  <c r="I695" i="12" s="1"/>
  <c r="I707" i="12" s="1"/>
  <c r="I658" i="12"/>
  <c r="G658" i="12" s="1"/>
  <c r="I670" i="12"/>
  <c r="I682" i="12" s="1"/>
  <c r="I694" i="12" s="1"/>
  <c r="I706" i="12" s="1"/>
  <c r="I660" i="12"/>
  <c r="G660" i="12" s="1"/>
  <c r="I672" i="12"/>
  <c r="I684" i="12" s="1"/>
  <c r="I696" i="12" s="1"/>
  <c r="I708" i="12" s="1"/>
  <c r="I655" i="12"/>
  <c r="G655" i="12" s="1"/>
  <c r="I667" i="12"/>
  <c r="I679" i="12" s="1"/>
  <c r="I691" i="12" s="1"/>
  <c r="I703" i="12" s="1"/>
  <c r="I404" i="12"/>
  <c r="G392" i="12"/>
  <c r="I650" i="12"/>
  <c r="G650" i="12" s="1"/>
  <c r="I662" i="12"/>
  <c r="I674" i="12" s="1"/>
  <c r="I686" i="12" s="1"/>
  <c r="I698" i="12" s="1"/>
  <c r="I651" i="12"/>
  <c r="G651" i="12" s="1"/>
  <c r="I663" i="12"/>
  <c r="I675" i="12" s="1"/>
  <c r="I687" i="12" s="1"/>
  <c r="I699" i="12" s="1"/>
  <c r="I653" i="12"/>
  <c r="G653" i="12" s="1"/>
  <c r="I665" i="12"/>
  <c r="I677" i="12" s="1"/>
  <c r="I689" i="12" s="1"/>
  <c r="I701" i="12" s="1"/>
  <c r="I657" i="12"/>
  <c r="G657" i="12" s="1"/>
  <c r="I669" i="12"/>
  <c r="I681" i="12" s="1"/>
  <c r="I693" i="12" s="1"/>
  <c r="I705" i="12" s="1"/>
  <c r="I661" i="12"/>
  <c r="G661" i="12" s="1"/>
  <c r="I673" i="12"/>
  <c r="I685" i="12" s="1"/>
  <c r="I697" i="12" s="1"/>
  <c r="I709" i="12" s="1"/>
  <c r="I654" i="12"/>
  <c r="G654" i="12" s="1"/>
  <c r="I666" i="12"/>
  <c r="I678" i="12" s="1"/>
  <c r="I690" i="12" s="1"/>
  <c r="I702" i="12" s="1"/>
  <c r="N99" i="12"/>
  <c r="N102" i="12"/>
  <c r="N107" i="12"/>
  <c r="N108" i="12"/>
  <c r="N100" i="12"/>
  <c r="N105" i="12"/>
  <c r="N101" i="12"/>
  <c r="N109" i="12"/>
  <c r="N103" i="12"/>
  <c r="N104" i="12"/>
  <c r="N106" i="12"/>
  <c r="N98" i="12"/>
  <c r="P122" i="12"/>
  <c r="N122" i="12" s="1"/>
  <c r="G169" i="12"/>
  <c r="G158" i="12"/>
  <c r="G168" i="12"/>
  <c r="G167" i="12"/>
  <c r="G166" i="12"/>
  <c r="G160" i="12"/>
  <c r="G162" i="12"/>
  <c r="G163" i="12"/>
  <c r="G161" i="12"/>
  <c r="G165" i="12"/>
  <c r="G159" i="12"/>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W172" i="12"/>
  <c r="U172" i="12" s="1"/>
  <c r="W175" i="12"/>
  <c r="U175" i="12" s="1"/>
  <c r="W174" i="12"/>
  <c r="U174" i="12" s="1"/>
  <c r="W135" i="12"/>
  <c r="U135" i="12" s="1"/>
  <c r="W176" i="12"/>
  <c r="U176" i="12" s="1"/>
  <c r="W178" i="12"/>
  <c r="U178" i="12" s="1"/>
  <c r="W181" i="12"/>
  <c r="U181" i="12" s="1"/>
  <c r="W177" i="12"/>
  <c r="U177" i="12" s="1"/>
  <c r="W173" i="12"/>
  <c r="U173" i="12" s="1"/>
  <c r="W179" i="12"/>
  <c r="U179" i="12" s="1"/>
  <c r="W134" i="12"/>
  <c r="U134" i="12" s="1"/>
  <c r="W180" i="12"/>
  <c r="U180" i="12" s="1"/>
  <c r="I416" i="12" l="1"/>
  <c r="G404" i="12"/>
  <c r="P134" i="12"/>
  <c r="N134" i="12" s="1"/>
  <c r="G177" i="12"/>
  <c r="G175" i="12"/>
  <c r="G172" i="12"/>
  <c r="G179" i="12"/>
  <c r="G170" i="12"/>
  <c r="G171" i="12"/>
  <c r="G173" i="12"/>
  <c r="G174" i="12"/>
  <c r="G178" i="12"/>
  <c r="G180" i="12"/>
  <c r="G181" i="12"/>
  <c r="P138" i="12"/>
  <c r="N138" i="12" s="1"/>
  <c r="P135" i="12"/>
  <c r="N135" i="12" s="1"/>
  <c r="P142" i="12"/>
  <c r="N142" i="12" s="1"/>
  <c r="P140" i="12"/>
  <c r="N140" i="12" s="1"/>
  <c r="P139" i="12"/>
  <c r="N139" i="12" s="1"/>
  <c r="P145" i="12"/>
  <c r="N145" i="12" s="1"/>
  <c r="P137" i="12"/>
  <c r="N137" i="12" s="1"/>
  <c r="P141" i="12"/>
  <c r="N141" i="12" s="1"/>
  <c r="P136" i="12"/>
  <c r="N136" i="12" s="1"/>
  <c r="P144" i="12"/>
  <c r="N144" i="12" s="1"/>
  <c r="P143" i="12"/>
  <c r="N143" i="12" s="1"/>
  <c r="W189" i="12"/>
  <c r="U189" i="12" s="1"/>
  <c r="W192" i="12"/>
  <c r="U192" i="12" s="1"/>
  <c r="W191" i="12"/>
  <c r="U191" i="12" s="1"/>
  <c r="W190" i="12"/>
  <c r="U190" i="12" s="1"/>
  <c r="W147" i="12"/>
  <c r="U147" i="12" s="1"/>
  <c r="W187" i="12"/>
  <c r="U187" i="12" s="1"/>
  <c r="W146" i="12"/>
  <c r="U146" i="12" s="1"/>
  <c r="W185" i="12"/>
  <c r="U185" i="12" s="1"/>
  <c r="W193" i="12"/>
  <c r="U193" i="12" s="1"/>
  <c r="W188" i="12"/>
  <c r="U188" i="12" s="1"/>
  <c r="W186" i="12"/>
  <c r="U186" i="12" s="1"/>
  <c r="W184" i="12"/>
  <c r="U184" i="12" s="1"/>
  <c r="I428" i="12" l="1"/>
  <c r="G416" i="12"/>
  <c r="P146" i="12"/>
  <c r="N146" i="12" s="1"/>
  <c r="G192" i="12"/>
  <c r="G186" i="12"/>
  <c r="G183" i="12"/>
  <c r="G191" i="12"/>
  <c r="G187" i="12"/>
  <c r="G193" i="12"/>
  <c r="G190" i="12"/>
  <c r="G185" i="12"/>
  <c r="G182" i="12"/>
  <c r="G184" i="12"/>
  <c r="G189" i="12"/>
  <c r="P155" i="12"/>
  <c r="N155" i="12" s="1"/>
  <c r="P148" i="12"/>
  <c r="N148" i="12" s="1"/>
  <c r="P149" i="12"/>
  <c r="N149" i="12" s="1"/>
  <c r="P151" i="12"/>
  <c r="N151" i="12" s="1"/>
  <c r="P154" i="12"/>
  <c r="N154" i="12" s="1"/>
  <c r="P150" i="12"/>
  <c r="N150" i="12" s="1"/>
  <c r="P156" i="12"/>
  <c r="N156" i="12" s="1"/>
  <c r="P153" i="12"/>
  <c r="N153" i="12" s="1"/>
  <c r="P157" i="12"/>
  <c r="N157" i="12" s="1"/>
  <c r="P152" i="12"/>
  <c r="N152" i="12" s="1"/>
  <c r="P147" i="12"/>
  <c r="N147" i="12" s="1"/>
  <c r="W196" i="12"/>
  <c r="U196" i="12" s="1"/>
  <c r="W200" i="12"/>
  <c r="U200" i="12" s="1"/>
  <c r="W197" i="12"/>
  <c r="U197" i="12" s="1"/>
  <c r="W199" i="12"/>
  <c r="U199" i="12" s="1"/>
  <c r="W202" i="12"/>
  <c r="U202" i="12" s="1"/>
  <c r="W204" i="12"/>
  <c r="U204" i="12" s="1"/>
  <c r="W198" i="12"/>
  <c r="U198" i="12" s="1"/>
  <c r="W205" i="12"/>
  <c r="U205" i="12" s="1"/>
  <c r="W158" i="12"/>
  <c r="U158" i="12" s="1"/>
  <c r="W159" i="12"/>
  <c r="U159" i="12" s="1"/>
  <c r="W203" i="12"/>
  <c r="U203" i="12" s="1"/>
  <c r="W201" i="12"/>
  <c r="U201" i="12" s="1"/>
  <c r="I440" i="12" l="1"/>
  <c r="G428" i="12"/>
  <c r="P158" i="12"/>
  <c r="N158" i="12" s="1"/>
  <c r="G196" i="12"/>
  <c r="G197" i="12"/>
  <c r="G205" i="12"/>
  <c r="G203" i="12"/>
  <c r="G198" i="12"/>
  <c r="G201" i="12"/>
  <c r="G194" i="12"/>
  <c r="G202" i="12"/>
  <c r="G199" i="12"/>
  <c r="G195" i="12"/>
  <c r="G204" i="12"/>
  <c r="P164" i="12"/>
  <c r="N164" i="12" s="1"/>
  <c r="P165" i="12"/>
  <c r="N165" i="12" s="1"/>
  <c r="P162" i="12"/>
  <c r="N162" i="12" s="1"/>
  <c r="P163" i="12"/>
  <c r="N163" i="12" s="1"/>
  <c r="P160" i="12"/>
  <c r="N160" i="12" s="1"/>
  <c r="P159" i="12"/>
  <c r="N159" i="12" s="1"/>
  <c r="P169" i="12"/>
  <c r="N169" i="12" s="1"/>
  <c r="P168" i="12"/>
  <c r="N168" i="12" s="1"/>
  <c r="P166" i="12"/>
  <c r="N166" i="12" s="1"/>
  <c r="P161" i="12"/>
  <c r="N161" i="12" s="1"/>
  <c r="P167" i="12"/>
  <c r="N167" i="12" s="1"/>
  <c r="W213" i="12"/>
  <c r="U213" i="12" s="1"/>
  <c r="W171" i="12"/>
  <c r="U171" i="12" s="1"/>
  <c r="W217" i="12"/>
  <c r="U217" i="12" s="1"/>
  <c r="W216" i="12"/>
  <c r="U216" i="12" s="1"/>
  <c r="W211" i="12"/>
  <c r="U211" i="12" s="1"/>
  <c r="W212" i="12"/>
  <c r="U212" i="12" s="1"/>
  <c r="W215" i="12"/>
  <c r="U215" i="12" s="1"/>
  <c r="W170" i="12"/>
  <c r="U170" i="12" s="1"/>
  <c r="W210" i="12"/>
  <c r="U210" i="12" s="1"/>
  <c r="W214" i="12"/>
  <c r="U214" i="12" s="1"/>
  <c r="W209" i="12"/>
  <c r="U209" i="12" s="1"/>
  <c r="W208" i="12"/>
  <c r="U208" i="12" s="1"/>
  <c r="I452" i="12" l="1"/>
  <c r="G440" i="12"/>
  <c r="P170" i="12"/>
  <c r="N170" i="12" s="1"/>
  <c r="G207" i="12"/>
  <c r="G214" i="12"/>
  <c r="G213" i="12"/>
  <c r="G215" i="12"/>
  <c r="G209" i="12"/>
  <c r="G216" i="12"/>
  <c r="G211" i="12"/>
  <c r="G206" i="12"/>
  <c r="G210" i="12"/>
  <c r="G217" i="12"/>
  <c r="G208" i="12"/>
  <c r="P179" i="12"/>
  <c r="N179" i="12" s="1"/>
  <c r="P178" i="12"/>
  <c r="N178" i="12" s="1"/>
  <c r="P181" i="12"/>
  <c r="N181" i="12" s="1"/>
  <c r="P172" i="12"/>
  <c r="N172" i="12" s="1"/>
  <c r="P174" i="12"/>
  <c r="N174" i="12" s="1"/>
  <c r="P176" i="12"/>
  <c r="N176" i="12" s="1"/>
  <c r="P173" i="12"/>
  <c r="N173" i="12" s="1"/>
  <c r="P180" i="12"/>
  <c r="N180" i="12" s="1"/>
  <c r="P171" i="12"/>
  <c r="N171" i="12" s="1"/>
  <c r="P175" i="12"/>
  <c r="N175" i="12" s="1"/>
  <c r="P177" i="12"/>
  <c r="N177" i="12" s="1"/>
  <c r="W226" i="12"/>
  <c r="U226" i="12" s="1"/>
  <c r="W224" i="12"/>
  <c r="U224" i="12" s="1"/>
  <c r="W220" i="12"/>
  <c r="U220" i="12" s="1"/>
  <c r="W182" i="12"/>
  <c r="U182" i="12" s="1"/>
  <c r="W228" i="12"/>
  <c r="U228" i="12" s="1"/>
  <c r="W183" i="12"/>
  <c r="U183" i="12" s="1"/>
  <c r="W221" i="12"/>
  <c r="U221" i="12" s="1"/>
  <c r="W222" i="12"/>
  <c r="U222" i="12" s="1"/>
  <c r="W227" i="12"/>
  <c r="U227" i="12" s="1"/>
  <c r="W223" i="12"/>
  <c r="U223" i="12" s="1"/>
  <c r="W229" i="12"/>
  <c r="U229" i="12" s="1"/>
  <c r="W225" i="12"/>
  <c r="U225" i="12" s="1"/>
  <c r="I464" i="12" l="1"/>
  <c r="G452" i="12"/>
  <c r="P182" i="12"/>
  <c r="N182" i="12" s="1"/>
  <c r="G229" i="12"/>
  <c r="G218" i="12"/>
  <c r="G228" i="12"/>
  <c r="G227" i="12"/>
  <c r="G226" i="12"/>
  <c r="G220" i="12"/>
  <c r="G222" i="12"/>
  <c r="G223" i="12"/>
  <c r="G221" i="12"/>
  <c r="G225" i="12"/>
  <c r="G219" i="12"/>
  <c r="P187" i="12"/>
  <c r="N187" i="12" s="1"/>
  <c r="P192" i="12"/>
  <c r="N192" i="12" s="1"/>
  <c r="P188" i="12"/>
  <c r="N188" i="12" s="1"/>
  <c r="P184" i="12"/>
  <c r="N184" i="12" s="1"/>
  <c r="P190" i="12"/>
  <c r="N190" i="12" s="1"/>
  <c r="P189" i="12"/>
  <c r="N189" i="12" s="1"/>
  <c r="P183" i="12"/>
  <c r="N183" i="12" s="1"/>
  <c r="P185" i="12"/>
  <c r="N185" i="12" s="1"/>
  <c r="P186" i="12"/>
  <c r="N186" i="12" s="1"/>
  <c r="P193" i="12"/>
  <c r="N193" i="12" s="1"/>
  <c r="P191" i="12"/>
  <c r="N191" i="12" s="1"/>
  <c r="W235" i="12"/>
  <c r="U235" i="12" s="1"/>
  <c r="W195" i="12"/>
  <c r="U195" i="12" s="1"/>
  <c r="W194" i="12"/>
  <c r="U194" i="12" s="1"/>
  <c r="W236" i="12"/>
  <c r="U236" i="12" s="1"/>
  <c r="W237" i="12"/>
  <c r="U237" i="12" s="1"/>
  <c r="W234" i="12"/>
  <c r="U234" i="12" s="1"/>
  <c r="W241" i="12"/>
  <c r="U241" i="12" s="1"/>
  <c r="W239" i="12"/>
  <c r="U239" i="12" s="1"/>
  <c r="W233" i="12"/>
  <c r="U233" i="12" s="1"/>
  <c r="W240" i="12"/>
  <c r="U240" i="12" s="1"/>
  <c r="W232" i="12"/>
  <c r="U232" i="12" s="1"/>
  <c r="W238" i="12"/>
  <c r="U238" i="12" s="1"/>
  <c r="I476" i="12" l="1"/>
  <c r="G464" i="12"/>
  <c r="P194" i="12"/>
  <c r="N194" i="12" s="1"/>
  <c r="G237" i="12"/>
  <c r="G235" i="12"/>
  <c r="G232" i="12"/>
  <c r="G239" i="12"/>
  <c r="G230" i="12"/>
  <c r="G231" i="12"/>
  <c r="G233" i="12"/>
  <c r="G234" i="12"/>
  <c r="G238" i="12"/>
  <c r="G240" i="12"/>
  <c r="G241" i="12"/>
  <c r="P203" i="12"/>
  <c r="N203" i="12" s="1"/>
  <c r="P198" i="12"/>
  <c r="N198" i="12" s="1"/>
  <c r="P195" i="12"/>
  <c r="N195" i="12" s="1"/>
  <c r="P202" i="12"/>
  <c r="N202" i="12" s="1"/>
  <c r="P200" i="12"/>
  <c r="N200" i="12" s="1"/>
  <c r="P199" i="12"/>
  <c r="N199" i="12" s="1"/>
  <c r="P205" i="12"/>
  <c r="N205" i="12" s="1"/>
  <c r="P197" i="12"/>
  <c r="N197" i="12" s="1"/>
  <c r="P201" i="12"/>
  <c r="N201" i="12" s="1"/>
  <c r="P196" i="12"/>
  <c r="N196" i="12" s="1"/>
  <c r="P204" i="12"/>
  <c r="N204" i="12" s="1"/>
  <c r="W252" i="12"/>
  <c r="W264" i="12" s="1"/>
  <c r="U264" i="12" s="1"/>
  <c r="W251" i="12"/>
  <c r="W263" i="12" s="1"/>
  <c r="U263" i="12" s="1"/>
  <c r="W246" i="12"/>
  <c r="W258" i="12" s="1"/>
  <c r="U258" i="12" s="1"/>
  <c r="W248" i="12"/>
  <c r="W260" i="12" s="1"/>
  <c r="U260" i="12" s="1"/>
  <c r="W207" i="12"/>
  <c r="U207" i="12" s="1"/>
  <c r="W250" i="12"/>
  <c r="W262" i="12" s="1"/>
  <c r="U262" i="12" s="1"/>
  <c r="W244" i="12"/>
  <c r="W256" i="12" s="1"/>
  <c r="U256" i="12" s="1"/>
  <c r="W245" i="12"/>
  <c r="W257" i="12" s="1"/>
  <c r="U257" i="12" s="1"/>
  <c r="W253" i="12"/>
  <c r="W265" i="12" s="1"/>
  <c r="U265" i="12" s="1"/>
  <c r="W249" i="12"/>
  <c r="W261" i="12" s="1"/>
  <c r="U261" i="12" s="1"/>
  <c r="W206" i="12"/>
  <c r="U206" i="12" s="1"/>
  <c r="W247" i="12"/>
  <c r="W259" i="12" s="1"/>
  <c r="U259" i="12" s="1"/>
  <c r="I488" i="12" l="1"/>
  <c r="G476" i="12"/>
  <c r="U249" i="12"/>
  <c r="U251" i="12"/>
  <c r="U253" i="12"/>
  <c r="U252" i="12"/>
  <c r="U250" i="12"/>
  <c r="U247" i="12"/>
  <c r="U245" i="12"/>
  <c r="U248" i="12"/>
  <c r="U244" i="12"/>
  <c r="U246" i="12"/>
  <c r="P206" i="12"/>
  <c r="N206" i="12" s="1"/>
  <c r="G252" i="12"/>
  <c r="G246" i="12"/>
  <c r="G243" i="12"/>
  <c r="G251" i="12"/>
  <c r="G247" i="12"/>
  <c r="G253" i="12"/>
  <c r="G250" i="12"/>
  <c r="G245" i="12"/>
  <c r="G242" i="12"/>
  <c r="G244" i="12"/>
  <c r="G249" i="12"/>
  <c r="P214" i="12"/>
  <c r="N214" i="12" s="1"/>
  <c r="P208" i="12"/>
  <c r="N208" i="12" s="1"/>
  <c r="P209" i="12"/>
  <c r="N209" i="12" s="1"/>
  <c r="P211" i="12"/>
  <c r="N211" i="12" s="1"/>
  <c r="P210" i="12"/>
  <c r="N210" i="12" s="1"/>
  <c r="P216" i="12"/>
  <c r="N216" i="12" s="1"/>
  <c r="P213" i="12"/>
  <c r="N213" i="12" s="1"/>
  <c r="P217" i="12"/>
  <c r="N217" i="12" s="1"/>
  <c r="P212" i="12"/>
  <c r="N212" i="12" s="1"/>
  <c r="P207" i="12"/>
  <c r="N207" i="12" s="1"/>
  <c r="P215" i="12"/>
  <c r="N215" i="12" s="1"/>
  <c r="W273" i="12"/>
  <c r="W297" i="12" s="1"/>
  <c r="U297" i="12" s="1"/>
  <c r="W274" i="12"/>
  <c r="W275" i="12"/>
  <c r="W271" i="12"/>
  <c r="W295" i="12" s="1"/>
  <c r="U295" i="12" s="1"/>
  <c r="W269" i="12"/>
  <c r="W293" i="12" s="1"/>
  <c r="U293" i="12" s="1"/>
  <c r="W272" i="12"/>
  <c r="W296" i="12" s="1"/>
  <c r="U296" i="12" s="1"/>
  <c r="W218" i="12"/>
  <c r="U218" i="12" s="1"/>
  <c r="W277" i="12"/>
  <c r="U277" i="12" s="1"/>
  <c r="W268" i="12"/>
  <c r="W292" i="12" s="1"/>
  <c r="U292" i="12" s="1"/>
  <c r="W219" i="12"/>
  <c r="U219" i="12" s="1"/>
  <c r="W270" i="12"/>
  <c r="W294" i="12" s="1"/>
  <c r="U294" i="12" s="1"/>
  <c r="W276" i="12"/>
  <c r="U276" i="12" s="1"/>
  <c r="I500" i="12" l="1"/>
  <c r="G488" i="12"/>
  <c r="U269" i="12"/>
  <c r="U271" i="12"/>
  <c r="U268" i="12"/>
  <c r="U273" i="12"/>
  <c r="U270" i="12"/>
  <c r="U275" i="12"/>
  <c r="U272" i="12"/>
  <c r="U274" i="12"/>
  <c r="P218" i="12"/>
  <c r="N218" i="12" s="1"/>
  <c r="G268" i="12"/>
  <c r="G269" i="12"/>
  <c r="G277" i="12"/>
  <c r="G275" i="12"/>
  <c r="G270" i="12"/>
  <c r="G273" i="12"/>
  <c r="G266" i="12"/>
  <c r="G274" i="12"/>
  <c r="G271" i="12"/>
  <c r="G267" i="12"/>
  <c r="G276" i="12"/>
  <c r="P227" i="12"/>
  <c r="N227" i="12" s="1"/>
  <c r="P221" i="12"/>
  <c r="N221" i="12" s="1"/>
  <c r="P224" i="12"/>
  <c r="N224" i="12" s="1"/>
  <c r="P225" i="12"/>
  <c r="N225" i="12" s="1"/>
  <c r="P222" i="12"/>
  <c r="N222" i="12" s="1"/>
  <c r="P219" i="12"/>
  <c r="N219" i="12" s="1"/>
  <c r="P229" i="12"/>
  <c r="N229" i="12" s="1"/>
  <c r="P228" i="12"/>
  <c r="N228" i="12" s="1"/>
  <c r="P223" i="12"/>
  <c r="N223" i="12" s="1"/>
  <c r="P220" i="12"/>
  <c r="N220" i="12" s="1"/>
  <c r="P226" i="12"/>
  <c r="N226" i="12" s="1"/>
  <c r="W231" i="12"/>
  <c r="U231" i="12" s="1"/>
  <c r="W283" i="12"/>
  <c r="U283" i="12" s="1"/>
  <c r="W288" i="12"/>
  <c r="W300" i="12" s="1"/>
  <c r="U300" i="12" s="1"/>
  <c r="W289" i="12"/>
  <c r="W301" i="12" s="1"/>
  <c r="U301" i="12" s="1"/>
  <c r="W284" i="12"/>
  <c r="U284" i="12" s="1"/>
  <c r="W286" i="12"/>
  <c r="W282" i="12"/>
  <c r="U282" i="12" s="1"/>
  <c r="W280" i="12"/>
  <c r="U280" i="12" s="1"/>
  <c r="W230" i="12"/>
  <c r="U230" i="12" s="1"/>
  <c r="W281" i="12"/>
  <c r="U281" i="12" s="1"/>
  <c r="W287" i="12"/>
  <c r="W285" i="12"/>
  <c r="U285" i="12" s="1"/>
  <c r="U287" i="12" l="1"/>
  <c r="W299" i="12"/>
  <c r="U299" i="12" s="1"/>
  <c r="U286" i="12"/>
  <c r="W298" i="12"/>
  <c r="U298" i="12" s="1"/>
  <c r="I512" i="12"/>
  <c r="G500" i="12"/>
  <c r="U289" i="12"/>
  <c r="U288" i="12"/>
  <c r="P230" i="12"/>
  <c r="N230" i="12" s="1"/>
  <c r="G279" i="12"/>
  <c r="G286" i="12"/>
  <c r="G285" i="12"/>
  <c r="G287" i="12"/>
  <c r="G281" i="12"/>
  <c r="G288" i="12"/>
  <c r="G283" i="12"/>
  <c r="G278" i="12"/>
  <c r="G282" i="12"/>
  <c r="G289" i="12"/>
  <c r="G280" i="12"/>
  <c r="P238" i="12"/>
  <c r="N238" i="12" s="1"/>
  <c r="P235" i="12"/>
  <c r="N235" i="12" s="1"/>
  <c r="P241" i="12"/>
  <c r="N241" i="12" s="1"/>
  <c r="P237" i="12"/>
  <c r="N237" i="12" s="1"/>
  <c r="P233" i="12"/>
  <c r="N233" i="12" s="1"/>
  <c r="P232" i="12"/>
  <c r="N232" i="12" s="1"/>
  <c r="P240" i="12"/>
  <c r="N240" i="12" s="1"/>
  <c r="P231" i="12"/>
  <c r="N231" i="12" s="1"/>
  <c r="P234" i="12"/>
  <c r="N234" i="12" s="1"/>
  <c r="P236" i="12"/>
  <c r="N236" i="12" s="1"/>
  <c r="P239" i="12"/>
  <c r="N239" i="12" s="1"/>
  <c r="W309" i="12"/>
  <c r="U309" i="12" s="1"/>
  <c r="W304" i="12"/>
  <c r="U304" i="12" s="1"/>
  <c r="W305" i="12"/>
  <c r="U305" i="12" s="1"/>
  <c r="W310" i="12"/>
  <c r="U310" i="12" s="1"/>
  <c r="W313" i="12"/>
  <c r="U313" i="12" s="1"/>
  <c r="W307" i="12"/>
  <c r="U307" i="12" s="1"/>
  <c r="W311" i="12"/>
  <c r="U311" i="12" s="1"/>
  <c r="W242" i="12"/>
  <c r="W254" i="12" s="1"/>
  <c r="U254" i="12" s="1"/>
  <c r="W306" i="12"/>
  <c r="U306" i="12" s="1"/>
  <c r="W308" i="12"/>
  <c r="U308" i="12" s="1"/>
  <c r="W312" i="12"/>
  <c r="U312" i="12" s="1"/>
  <c r="W243" i="12"/>
  <c r="W255" i="12" s="1"/>
  <c r="U255" i="12" s="1"/>
  <c r="I524" i="12" l="1"/>
  <c r="G512" i="12"/>
  <c r="U243" i="12"/>
  <c r="U242" i="12"/>
  <c r="P242" i="12"/>
  <c r="P254" i="12" s="1"/>
  <c r="N254" i="12" s="1"/>
  <c r="G313" i="12"/>
  <c r="G302" i="12"/>
  <c r="G312" i="12"/>
  <c r="G311" i="12"/>
  <c r="G310" i="12"/>
  <c r="G304" i="12"/>
  <c r="G306" i="12"/>
  <c r="G307" i="12"/>
  <c r="G305" i="12"/>
  <c r="G309" i="12"/>
  <c r="G303" i="12"/>
  <c r="P246" i="12"/>
  <c r="P258" i="12" s="1"/>
  <c r="N258" i="12" s="1"/>
  <c r="P245" i="12"/>
  <c r="P257" i="12" s="1"/>
  <c r="N257" i="12" s="1"/>
  <c r="P247" i="12"/>
  <c r="P259" i="12" s="1"/>
  <c r="N259" i="12" s="1"/>
  <c r="P251" i="12"/>
  <c r="P263" i="12" s="1"/>
  <c r="N263" i="12" s="1"/>
  <c r="P252" i="12"/>
  <c r="P264" i="12" s="1"/>
  <c r="N264" i="12" s="1"/>
  <c r="P266" i="12"/>
  <c r="P290" i="12" s="1"/>
  <c r="P248" i="12"/>
  <c r="P260" i="12" s="1"/>
  <c r="N260" i="12" s="1"/>
  <c r="P243" i="12"/>
  <c r="P255" i="12" s="1"/>
  <c r="N255" i="12" s="1"/>
  <c r="P244" i="12"/>
  <c r="P256" i="12" s="1"/>
  <c r="N256" i="12" s="1"/>
  <c r="P249" i="12"/>
  <c r="P261" i="12" s="1"/>
  <c r="N261" i="12" s="1"/>
  <c r="P253" i="12"/>
  <c r="P265" i="12" s="1"/>
  <c r="N265" i="12" s="1"/>
  <c r="P250" i="12"/>
  <c r="P262" i="12" s="1"/>
  <c r="N262" i="12" s="1"/>
  <c r="W320" i="12"/>
  <c r="U320" i="12" s="1"/>
  <c r="W266" i="12"/>
  <c r="W290" i="12" s="1"/>
  <c r="U290" i="12" s="1"/>
  <c r="W322" i="12"/>
  <c r="U322" i="12" s="1"/>
  <c r="W267" i="12"/>
  <c r="W291" i="12" s="1"/>
  <c r="U291" i="12" s="1"/>
  <c r="W319" i="12"/>
  <c r="U319" i="12" s="1"/>
  <c r="W316" i="12"/>
  <c r="U316" i="12" s="1"/>
  <c r="W324" i="12"/>
  <c r="U324" i="12" s="1"/>
  <c r="W318" i="12"/>
  <c r="U318" i="12" s="1"/>
  <c r="W323" i="12"/>
  <c r="U323" i="12" s="1"/>
  <c r="W325" i="12"/>
  <c r="U325" i="12" s="1"/>
  <c r="W317" i="12"/>
  <c r="U317" i="12" s="1"/>
  <c r="W321" i="12"/>
  <c r="U321" i="12" s="1"/>
  <c r="I536" i="12" l="1"/>
  <c r="G524" i="12"/>
  <c r="U267" i="12"/>
  <c r="U266" i="12"/>
  <c r="N266" i="12"/>
  <c r="N247" i="12"/>
  <c r="N243" i="12"/>
  <c r="N248" i="12"/>
  <c r="N245" i="12"/>
  <c r="N250" i="12"/>
  <c r="N251" i="12"/>
  <c r="N253" i="12"/>
  <c r="N249" i="12"/>
  <c r="N244" i="12"/>
  <c r="N252" i="12"/>
  <c r="N246" i="12"/>
  <c r="N242" i="12"/>
  <c r="G321" i="12"/>
  <c r="G319" i="12"/>
  <c r="G316" i="12"/>
  <c r="G323" i="12"/>
  <c r="G314" i="12"/>
  <c r="G315" i="12"/>
  <c r="G317" i="12"/>
  <c r="G318" i="12"/>
  <c r="G322" i="12"/>
  <c r="G324" i="12"/>
  <c r="G325" i="12"/>
  <c r="P274" i="12"/>
  <c r="P267" i="12"/>
  <c r="P291" i="12" s="1"/>
  <c r="P275" i="12"/>
  <c r="P273" i="12"/>
  <c r="P278" i="12"/>
  <c r="N278" i="12" s="1"/>
  <c r="P269" i="12"/>
  <c r="P293" i="12" s="1"/>
  <c r="P277" i="12"/>
  <c r="N277" i="12" s="1"/>
  <c r="P268" i="12"/>
  <c r="P292" i="12" s="1"/>
  <c r="P272" i="12"/>
  <c r="P276" i="12"/>
  <c r="P271" i="12"/>
  <c r="P295" i="12" s="1"/>
  <c r="P270" i="12"/>
  <c r="P294" i="12" s="1"/>
  <c r="W333" i="12"/>
  <c r="U333" i="12" s="1"/>
  <c r="W337" i="12"/>
  <c r="U337" i="12" s="1"/>
  <c r="W328" i="12"/>
  <c r="U328" i="12" s="1"/>
  <c r="W279" i="12"/>
  <c r="U279" i="12" s="1"/>
  <c r="W330" i="12"/>
  <c r="U330" i="12" s="1"/>
  <c r="W278" i="12"/>
  <c r="U278" i="12" s="1"/>
  <c r="W329" i="12"/>
  <c r="U329" i="12" s="1"/>
  <c r="W335" i="12"/>
  <c r="U335" i="12" s="1"/>
  <c r="W336" i="12"/>
  <c r="U336" i="12" s="1"/>
  <c r="W331" i="12"/>
  <c r="U331" i="12" s="1"/>
  <c r="W334" i="12"/>
  <c r="U334" i="12" s="1"/>
  <c r="W332" i="12"/>
  <c r="U332" i="12" s="1"/>
  <c r="N276" i="12" l="1"/>
  <c r="N275" i="12"/>
  <c r="N274" i="12"/>
  <c r="I548" i="12"/>
  <c r="G536" i="12"/>
  <c r="N271" i="12"/>
  <c r="N269" i="12"/>
  <c r="N267" i="12"/>
  <c r="N272" i="12"/>
  <c r="N270" i="12"/>
  <c r="N268" i="12"/>
  <c r="N273" i="12"/>
  <c r="G336" i="12"/>
  <c r="G330" i="12"/>
  <c r="G327" i="12"/>
  <c r="G335" i="12"/>
  <c r="G331" i="12"/>
  <c r="G337" i="12"/>
  <c r="G334" i="12"/>
  <c r="G329" i="12"/>
  <c r="G326" i="12"/>
  <c r="G328" i="12"/>
  <c r="G333" i="12"/>
  <c r="P282" i="12"/>
  <c r="N282" i="12" s="1"/>
  <c r="P281" i="12"/>
  <c r="N281" i="12" s="1"/>
  <c r="P288" i="12"/>
  <c r="P300" i="12" s="1"/>
  <c r="P280" i="12"/>
  <c r="N280" i="12" s="1"/>
  <c r="P285" i="12"/>
  <c r="P279" i="12"/>
  <c r="N279" i="12" s="1"/>
  <c r="P283" i="12"/>
  <c r="N283" i="12" s="1"/>
  <c r="P284" i="12"/>
  <c r="P289" i="12"/>
  <c r="P301" i="12" s="1"/>
  <c r="P302" i="12"/>
  <c r="N302" i="12" s="1"/>
  <c r="P287" i="12"/>
  <c r="P299" i="12" s="1"/>
  <c r="P286" i="12"/>
  <c r="P298" i="12" s="1"/>
  <c r="W344" i="12"/>
  <c r="U344" i="12" s="1"/>
  <c r="W343" i="12"/>
  <c r="U343" i="12" s="1"/>
  <c r="W347" i="12"/>
  <c r="U347" i="12" s="1"/>
  <c r="W302" i="12"/>
  <c r="U302" i="12" s="1"/>
  <c r="W303" i="12"/>
  <c r="U303" i="12" s="1"/>
  <c r="W349" i="12"/>
  <c r="U349" i="12" s="1"/>
  <c r="W346" i="12"/>
  <c r="U346" i="12" s="1"/>
  <c r="W348" i="12"/>
  <c r="U348" i="12" s="1"/>
  <c r="W341" i="12"/>
  <c r="U341" i="12" s="1"/>
  <c r="W342" i="12"/>
  <c r="U342" i="12" s="1"/>
  <c r="W340" i="12"/>
  <c r="U340" i="12" s="1"/>
  <c r="W345" i="12"/>
  <c r="U345" i="12" s="1"/>
  <c r="N285" i="12" l="1"/>
  <c r="P297" i="12"/>
  <c r="N284" i="12"/>
  <c r="P296" i="12"/>
  <c r="I560" i="12"/>
  <c r="G548" i="12"/>
  <c r="N287" i="12"/>
  <c r="N288" i="12"/>
  <c r="N289" i="12"/>
  <c r="N286" i="12"/>
  <c r="G340" i="12"/>
  <c r="G341" i="12"/>
  <c r="G349" i="12"/>
  <c r="G347" i="12"/>
  <c r="G342" i="12"/>
  <c r="G345" i="12"/>
  <c r="G338" i="12"/>
  <c r="G346" i="12"/>
  <c r="G343" i="12"/>
  <c r="G339" i="12"/>
  <c r="G348" i="12"/>
  <c r="P310" i="12"/>
  <c r="N310" i="12" s="1"/>
  <c r="P314" i="12"/>
  <c r="N314" i="12" s="1"/>
  <c r="P308" i="12"/>
  <c r="N308" i="12" s="1"/>
  <c r="P303" i="12"/>
  <c r="N303" i="12" s="1"/>
  <c r="P304" i="12"/>
  <c r="N304" i="12" s="1"/>
  <c r="P305" i="12"/>
  <c r="N305" i="12" s="1"/>
  <c r="P311" i="12"/>
  <c r="N311" i="12" s="1"/>
  <c r="P313" i="12"/>
  <c r="N313" i="12" s="1"/>
  <c r="P307" i="12"/>
  <c r="N307" i="12" s="1"/>
  <c r="P309" i="12"/>
  <c r="N309" i="12" s="1"/>
  <c r="P312" i="12"/>
  <c r="N312" i="12" s="1"/>
  <c r="P306" i="12"/>
  <c r="N306" i="12" s="1"/>
  <c r="W357" i="12"/>
  <c r="U357" i="12" s="1"/>
  <c r="W360" i="12"/>
  <c r="U360" i="12" s="1"/>
  <c r="W314" i="12"/>
  <c r="U314" i="12" s="1"/>
  <c r="W355" i="12"/>
  <c r="U355" i="12" s="1"/>
  <c r="W354" i="12"/>
  <c r="U354" i="12" s="1"/>
  <c r="W361" i="12"/>
  <c r="U361" i="12" s="1"/>
  <c r="W352" i="12"/>
  <c r="U352" i="12" s="1"/>
  <c r="W353" i="12"/>
  <c r="U353" i="12" s="1"/>
  <c r="W358" i="12"/>
  <c r="U358" i="12" s="1"/>
  <c r="W315" i="12"/>
  <c r="U315" i="12" s="1"/>
  <c r="W359" i="12"/>
  <c r="U359" i="12" s="1"/>
  <c r="W356" i="12"/>
  <c r="U356" i="12" s="1"/>
  <c r="I572" i="12" l="1"/>
  <c r="G560" i="12"/>
  <c r="G351" i="12"/>
  <c r="G358" i="12"/>
  <c r="G357" i="12"/>
  <c r="G359" i="12"/>
  <c r="G353" i="12"/>
  <c r="G360" i="12"/>
  <c r="G355" i="12"/>
  <c r="G350" i="12"/>
  <c r="G354" i="12"/>
  <c r="G361" i="12"/>
  <c r="G352" i="12"/>
  <c r="P317" i="12"/>
  <c r="N317" i="12" s="1"/>
  <c r="P318" i="12"/>
  <c r="N318" i="12" s="1"/>
  <c r="P321" i="12"/>
  <c r="N321" i="12" s="1"/>
  <c r="P325" i="12"/>
  <c r="N325" i="12" s="1"/>
  <c r="P315" i="12"/>
  <c r="N315" i="12" s="1"/>
  <c r="P326" i="12"/>
  <c r="N326" i="12" s="1"/>
  <c r="P324" i="12"/>
  <c r="N324" i="12" s="1"/>
  <c r="P319" i="12"/>
  <c r="N319" i="12" s="1"/>
  <c r="P323" i="12"/>
  <c r="N323" i="12" s="1"/>
  <c r="P316" i="12"/>
  <c r="N316" i="12" s="1"/>
  <c r="P320" i="12"/>
  <c r="N320" i="12" s="1"/>
  <c r="P322" i="12"/>
  <c r="N322" i="12" s="1"/>
  <c r="W368" i="12"/>
  <c r="U368" i="12" s="1"/>
  <c r="W365" i="12"/>
  <c r="U365" i="12" s="1"/>
  <c r="W327" i="12"/>
  <c r="U327" i="12" s="1"/>
  <c r="W373" i="12"/>
  <c r="U373" i="12" s="1"/>
  <c r="W367" i="12"/>
  <c r="U367" i="12" s="1"/>
  <c r="W372" i="12"/>
  <c r="U372" i="12" s="1"/>
  <c r="W371" i="12"/>
  <c r="U371" i="12" s="1"/>
  <c r="W370" i="12"/>
  <c r="U370" i="12" s="1"/>
  <c r="W364" i="12"/>
  <c r="U364" i="12" s="1"/>
  <c r="W366" i="12"/>
  <c r="U366" i="12" s="1"/>
  <c r="W326" i="12"/>
  <c r="U326" i="12" s="1"/>
  <c r="W369" i="12"/>
  <c r="U369" i="12" s="1"/>
  <c r="I584" i="12" l="1"/>
  <c r="G572" i="12"/>
  <c r="G373" i="12"/>
  <c r="G362" i="12"/>
  <c r="G372" i="12"/>
  <c r="G371" i="12"/>
  <c r="G370" i="12"/>
  <c r="G364" i="12"/>
  <c r="G366" i="12"/>
  <c r="G367" i="12"/>
  <c r="G365" i="12"/>
  <c r="G369" i="12"/>
  <c r="G363" i="12"/>
  <c r="P328" i="12"/>
  <c r="N328" i="12" s="1"/>
  <c r="P338" i="12"/>
  <c r="N338" i="12" s="1"/>
  <c r="P334" i="12"/>
  <c r="N334" i="12" s="1"/>
  <c r="P331" i="12"/>
  <c r="N331" i="12" s="1"/>
  <c r="P337" i="12"/>
  <c r="N337" i="12" s="1"/>
  <c r="P330" i="12"/>
  <c r="N330" i="12" s="1"/>
  <c r="P332" i="12"/>
  <c r="N332" i="12" s="1"/>
  <c r="P335" i="12"/>
  <c r="N335" i="12" s="1"/>
  <c r="P336" i="12"/>
  <c r="N336" i="12" s="1"/>
  <c r="P327" i="12"/>
  <c r="N327" i="12" s="1"/>
  <c r="P333" i="12"/>
  <c r="N333" i="12" s="1"/>
  <c r="P329" i="12"/>
  <c r="N329" i="12" s="1"/>
  <c r="W378" i="12"/>
  <c r="U378" i="12" s="1"/>
  <c r="W384" i="12"/>
  <c r="U384" i="12" s="1"/>
  <c r="W377" i="12"/>
  <c r="U377" i="12" s="1"/>
  <c r="W381" i="12"/>
  <c r="U381" i="12" s="1"/>
  <c r="W382" i="12"/>
  <c r="U382" i="12" s="1"/>
  <c r="W385" i="12"/>
  <c r="U385" i="12" s="1"/>
  <c r="W338" i="12"/>
  <c r="U338" i="12" s="1"/>
  <c r="W376" i="12"/>
  <c r="U376" i="12" s="1"/>
  <c r="W383" i="12"/>
  <c r="U383" i="12" s="1"/>
  <c r="W379" i="12"/>
  <c r="U379" i="12" s="1"/>
  <c r="W339" i="12"/>
  <c r="U339" i="12" s="1"/>
  <c r="W380" i="12"/>
  <c r="U380" i="12" s="1"/>
  <c r="I596" i="12" l="1"/>
  <c r="G596" i="12" s="1"/>
  <c r="I608" i="12"/>
  <c r="G584" i="12"/>
  <c r="G381" i="12"/>
  <c r="G379" i="12"/>
  <c r="G376" i="12"/>
  <c r="G383" i="12"/>
  <c r="G374" i="12"/>
  <c r="G375" i="12"/>
  <c r="G377" i="12"/>
  <c r="G378" i="12"/>
  <c r="G382" i="12"/>
  <c r="G384" i="12"/>
  <c r="G385" i="12"/>
  <c r="P347" i="12"/>
  <c r="N347" i="12" s="1"/>
  <c r="P341" i="12"/>
  <c r="N341" i="12" s="1"/>
  <c r="P339" i="12"/>
  <c r="N339" i="12" s="1"/>
  <c r="P342" i="12"/>
  <c r="N342" i="12" s="1"/>
  <c r="P343" i="12"/>
  <c r="N343" i="12" s="1"/>
  <c r="P350" i="12"/>
  <c r="N350" i="12" s="1"/>
  <c r="P345" i="12"/>
  <c r="N345" i="12" s="1"/>
  <c r="P348" i="12"/>
  <c r="N348" i="12" s="1"/>
  <c r="P344" i="12"/>
  <c r="N344" i="12" s="1"/>
  <c r="P349" i="12"/>
  <c r="N349" i="12" s="1"/>
  <c r="P346" i="12"/>
  <c r="N346" i="12" s="1"/>
  <c r="P340" i="12"/>
  <c r="N340" i="12" s="1"/>
  <c r="W392" i="12"/>
  <c r="U392" i="12" s="1"/>
  <c r="W391" i="12"/>
  <c r="U391" i="12" s="1"/>
  <c r="W388" i="12"/>
  <c r="U388" i="12" s="1"/>
  <c r="W397" i="12"/>
  <c r="U397" i="12" s="1"/>
  <c r="W393" i="12"/>
  <c r="U393" i="12" s="1"/>
  <c r="W396" i="12"/>
  <c r="U396" i="12" s="1"/>
  <c r="W351" i="12"/>
  <c r="U351" i="12" s="1"/>
  <c r="W395" i="12"/>
  <c r="U395" i="12" s="1"/>
  <c r="W350" i="12"/>
  <c r="U350" i="12" s="1"/>
  <c r="W394" i="12"/>
  <c r="U394" i="12" s="1"/>
  <c r="W389" i="12"/>
  <c r="U389" i="12" s="1"/>
  <c r="W390" i="12"/>
  <c r="U390" i="12" s="1"/>
  <c r="I620" i="12" l="1"/>
  <c r="G608" i="12"/>
  <c r="G396" i="12"/>
  <c r="G390" i="12"/>
  <c r="G387" i="12"/>
  <c r="G395" i="12"/>
  <c r="G391" i="12"/>
  <c r="G397" i="12"/>
  <c r="G394" i="12"/>
  <c r="G389" i="12"/>
  <c r="G386" i="12"/>
  <c r="G388" i="12"/>
  <c r="G393" i="12"/>
  <c r="P352" i="12"/>
  <c r="N352" i="12" s="1"/>
  <c r="P360" i="12"/>
  <c r="N360" i="12" s="1"/>
  <c r="P362" i="12"/>
  <c r="N362" i="12" s="1"/>
  <c r="P354" i="12"/>
  <c r="N354" i="12" s="1"/>
  <c r="P353" i="12"/>
  <c r="N353" i="12" s="1"/>
  <c r="P361" i="12"/>
  <c r="N361" i="12" s="1"/>
  <c r="P358" i="12"/>
  <c r="N358" i="12" s="1"/>
  <c r="P356" i="12"/>
  <c r="N356" i="12" s="1"/>
  <c r="P357" i="12"/>
  <c r="N357" i="12" s="1"/>
  <c r="P355" i="12"/>
  <c r="N355" i="12" s="1"/>
  <c r="P351" i="12"/>
  <c r="N351" i="12" s="1"/>
  <c r="P359" i="12"/>
  <c r="N359" i="12" s="1"/>
  <c r="W402" i="12"/>
  <c r="U402" i="12" s="1"/>
  <c r="W406" i="12"/>
  <c r="U406" i="12" s="1"/>
  <c r="W407" i="12"/>
  <c r="U407" i="12" s="1"/>
  <c r="W408" i="12"/>
  <c r="U408" i="12" s="1"/>
  <c r="W409" i="12"/>
  <c r="U409" i="12" s="1"/>
  <c r="W403" i="12"/>
  <c r="U403" i="12" s="1"/>
  <c r="W401" i="12"/>
  <c r="U401" i="12" s="1"/>
  <c r="W362" i="12"/>
  <c r="U362" i="12" s="1"/>
  <c r="W363" i="12"/>
  <c r="U363" i="12" s="1"/>
  <c r="W405" i="12"/>
  <c r="U405" i="12" s="1"/>
  <c r="W400" i="12"/>
  <c r="U400" i="12" s="1"/>
  <c r="W404" i="12"/>
  <c r="U404" i="12" s="1"/>
  <c r="I632" i="12" l="1"/>
  <c r="G620" i="12"/>
  <c r="G400" i="12"/>
  <c r="G401" i="12"/>
  <c r="G409" i="12"/>
  <c r="G407" i="12"/>
  <c r="G402" i="12"/>
  <c r="G405" i="12"/>
  <c r="G398" i="12"/>
  <c r="G406" i="12"/>
  <c r="G403" i="12"/>
  <c r="G399" i="12"/>
  <c r="G408" i="12"/>
  <c r="P371" i="12"/>
  <c r="N371" i="12" s="1"/>
  <c r="P367" i="12"/>
  <c r="N367" i="12" s="1"/>
  <c r="P368" i="12"/>
  <c r="N368" i="12" s="1"/>
  <c r="P373" i="12"/>
  <c r="N373" i="12" s="1"/>
  <c r="P366" i="12"/>
  <c r="N366" i="12" s="1"/>
  <c r="P372" i="12"/>
  <c r="N372" i="12" s="1"/>
  <c r="P363" i="12"/>
  <c r="N363" i="12" s="1"/>
  <c r="P369" i="12"/>
  <c r="N369" i="12" s="1"/>
  <c r="P370" i="12"/>
  <c r="N370" i="12" s="1"/>
  <c r="P365" i="12"/>
  <c r="N365" i="12" s="1"/>
  <c r="P374" i="12"/>
  <c r="N374" i="12" s="1"/>
  <c r="P364" i="12"/>
  <c r="N364" i="12" s="1"/>
  <c r="W417" i="12"/>
  <c r="U417" i="12" s="1"/>
  <c r="W418" i="12"/>
  <c r="U418" i="12" s="1"/>
  <c r="W415" i="12"/>
  <c r="U415" i="12" s="1"/>
  <c r="W416" i="12"/>
  <c r="U416" i="12" s="1"/>
  <c r="W374" i="12"/>
  <c r="U374" i="12" s="1"/>
  <c r="W420" i="12"/>
  <c r="U420" i="12" s="1"/>
  <c r="W412" i="12"/>
  <c r="U412" i="12" s="1"/>
  <c r="W375" i="12"/>
  <c r="U375" i="12" s="1"/>
  <c r="W413" i="12"/>
  <c r="U413" i="12" s="1"/>
  <c r="W421" i="12"/>
  <c r="U421" i="12" s="1"/>
  <c r="W419" i="12"/>
  <c r="U419" i="12" s="1"/>
  <c r="W414" i="12"/>
  <c r="U414" i="12" s="1"/>
  <c r="I644" i="12" l="1"/>
  <c r="G632" i="12"/>
  <c r="G411" i="12"/>
  <c r="G418" i="12"/>
  <c r="G417" i="12"/>
  <c r="G419" i="12"/>
  <c r="G413" i="12"/>
  <c r="G420" i="12"/>
  <c r="G415" i="12"/>
  <c r="G410" i="12"/>
  <c r="G414" i="12"/>
  <c r="G421" i="12"/>
  <c r="G412" i="12"/>
  <c r="P376" i="12"/>
  <c r="N376" i="12" s="1"/>
  <c r="P377" i="12"/>
  <c r="N377" i="12" s="1"/>
  <c r="P381" i="12"/>
  <c r="N381" i="12" s="1"/>
  <c r="P384" i="12"/>
  <c r="N384" i="12" s="1"/>
  <c r="P385" i="12"/>
  <c r="N385" i="12" s="1"/>
  <c r="P379" i="12"/>
  <c r="N379" i="12" s="1"/>
  <c r="P386" i="12"/>
  <c r="N386" i="12" s="1"/>
  <c r="P382" i="12"/>
  <c r="N382" i="12" s="1"/>
  <c r="P375" i="12"/>
  <c r="N375" i="12" s="1"/>
  <c r="P378" i="12"/>
  <c r="N378" i="12" s="1"/>
  <c r="P380" i="12"/>
  <c r="N380" i="12" s="1"/>
  <c r="P383" i="12"/>
  <c r="N383" i="12" s="1"/>
  <c r="W426" i="12"/>
  <c r="U426" i="12" s="1"/>
  <c r="W433" i="12"/>
  <c r="U433" i="12" s="1"/>
  <c r="W387" i="12"/>
  <c r="U387" i="12" s="1"/>
  <c r="W432" i="12"/>
  <c r="U432" i="12" s="1"/>
  <c r="W428" i="12"/>
  <c r="U428" i="12" s="1"/>
  <c r="W430" i="12"/>
  <c r="U430" i="12" s="1"/>
  <c r="W431" i="12"/>
  <c r="U431" i="12" s="1"/>
  <c r="W425" i="12"/>
  <c r="U425" i="12" s="1"/>
  <c r="W424" i="12"/>
  <c r="U424" i="12" s="1"/>
  <c r="W386" i="12"/>
  <c r="U386" i="12" s="1"/>
  <c r="W427" i="12"/>
  <c r="U427" i="12" s="1"/>
  <c r="W429" i="12"/>
  <c r="U429" i="12" s="1"/>
  <c r="I656" i="12" l="1"/>
  <c r="G656" i="12" s="1"/>
  <c r="I668" i="12"/>
  <c r="G644" i="12"/>
  <c r="G433" i="12"/>
  <c r="G422" i="12"/>
  <c r="G432" i="12"/>
  <c r="G431" i="12"/>
  <c r="G430" i="12"/>
  <c r="G424" i="12"/>
  <c r="G426" i="12"/>
  <c r="G427" i="12"/>
  <c r="G425" i="12"/>
  <c r="G429" i="12"/>
  <c r="G423" i="12"/>
  <c r="P395" i="12"/>
  <c r="N395" i="12" s="1"/>
  <c r="P390" i="12"/>
  <c r="N390" i="12" s="1"/>
  <c r="P394" i="12"/>
  <c r="N394" i="12" s="1"/>
  <c r="P391" i="12"/>
  <c r="N391" i="12" s="1"/>
  <c r="P396" i="12"/>
  <c r="N396" i="12" s="1"/>
  <c r="P389" i="12"/>
  <c r="N389" i="12" s="1"/>
  <c r="P392" i="12"/>
  <c r="N392" i="12" s="1"/>
  <c r="P387" i="12"/>
  <c r="N387" i="12" s="1"/>
  <c r="P398" i="12"/>
  <c r="N398" i="12" s="1"/>
  <c r="P397" i="12"/>
  <c r="N397" i="12" s="1"/>
  <c r="P393" i="12"/>
  <c r="N393" i="12" s="1"/>
  <c r="P388" i="12"/>
  <c r="N388" i="12" s="1"/>
  <c r="W441" i="12"/>
  <c r="U441" i="12" s="1"/>
  <c r="W398" i="12"/>
  <c r="U398" i="12" s="1"/>
  <c r="W437" i="12"/>
  <c r="U437" i="12" s="1"/>
  <c r="W442" i="12"/>
  <c r="U442" i="12" s="1"/>
  <c r="W444" i="12"/>
  <c r="U444" i="12" s="1"/>
  <c r="W445" i="12"/>
  <c r="U445" i="12" s="1"/>
  <c r="W439" i="12"/>
  <c r="U439" i="12" s="1"/>
  <c r="W436" i="12"/>
  <c r="U436" i="12" s="1"/>
  <c r="W443" i="12"/>
  <c r="U443" i="12" s="1"/>
  <c r="W440" i="12"/>
  <c r="U440" i="12" s="1"/>
  <c r="W399" i="12"/>
  <c r="U399" i="12" s="1"/>
  <c r="W438" i="12"/>
  <c r="U438" i="12" s="1"/>
  <c r="I680" i="12" l="1"/>
  <c r="G668" i="12"/>
  <c r="G441" i="12"/>
  <c r="G439" i="12"/>
  <c r="G436" i="12"/>
  <c r="G443" i="12"/>
  <c r="G434" i="12"/>
  <c r="G435" i="12"/>
  <c r="G437" i="12"/>
  <c r="G438" i="12"/>
  <c r="G442" i="12"/>
  <c r="G444" i="12"/>
  <c r="G445" i="12"/>
  <c r="P400" i="12"/>
  <c r="N400" i="12" s="1"/>
  <c r="P409" i="12"/>
  <c r="N409" i="12" s="1"/>
  <c r="P399" i="12"/>
  <c r="N399" i="12" s="1"/>
  <c r="P401" i="12"/>
  <c r="N401" i="12" s="1"/>
  <c r="P403" i="12"/>
  <c r="N403" i="12" s="1"/>
  <c r="P402" i="12"/>
  <c r="N402" i="12" s="1"/>
  <c r="P405" i="12"/>
  <c r="N405" i="12" s="1"/>
  <c r="P410" i="12"/>
  <c r="N410" i="12" s="1"/>
  <c r="P404" i="12"/>
  <c r="N404" i="12" s="1"/>
  <c r="P408" i="12"/>
  <c r="N408" i="12" s="1"/>
  <c r="P406" i="12"/>
  <c r="N406" i="12" s="1"/>
  <c r="P407" i="12"/>
  <c r="N407" i="12" s="1"/>
  <c r="W452" i="12"/>
  <c r="U452" i="12" s="1"/>
  <c r="W457" i="12"/>
  <c r="U457" i="12" s="1"/>
  <c r="W454" i="12"/>
  <c r="U454" i="12" s="1"/>
  <c r="W410" i="12"/>
  <c r="U410" i="12" s="1"/>
  <c r="W448" i="12"/>
  <c r="U448" i="12" s="1"/>
  <c r="W450" i="12"/>
  <c r="U450" i="12" s="1"/>
  <c r="W411" i="12"/>
  <c r="U411" i="12" s="1"/>
  <c r="W455" i="12"/>
  <c r="U455" i="12" s="1"/>
  <c r="W451" i="12"/>
  <c r="U451" i="12" s="1"/>
  <c r="W456" i="12"/>
  <c r="U456" i="12" s="1"/>
  <c r="W449" i="12"/>
  <c r="U449" i="12" s="1"/>
  <c r="W453" i="12"/>
  <c r="U453" i="12" s="1"/>
  <c r="I692" i="12" l="1"/>
  <c r="G680" i="12"/>
  <c r="G456" i="12"/>
  <c r="G450" i="12"/>
  <c r="G447" i="12"/>
  <c r="G455" i="12"/>
  <c r="G451" i="12"/>
  <c r="G457" i="12"/>
  <c r="G454" i="12"/>
  <c r="G449" i="12"/>
  <c r="G446" i="12"/>
  <c r="G448" i="12"/>
  <c r="G453" i="12"/>
  <c r="P419" i="12"/>
  <c r="N419" i="12" s="1"/>
  <c r="P420" i="12"/>
  <c r="N420" i="12" s="1"/>
  <c r="P422" i="12"/>
  <c r="N422" i="12" s="1"/>
  <c r="P414" i="12"/>
  <c r="N414" i="12" s="1"/>
  <c r="P413" i="12"/>
  <c r="N413" i="12" s="1"/>
  <c r="P421" i="12"/>
  <c r="N421" i="12" s="1"/>
  <c r="P418" i="12"/>
  <c r="N418" i="12" s="1"/>
  <c r="P416" i="12"/>
  <c r="N416" i="12" s="1"/>
  <c r="P417" i="12"/>
  <c r="N417" i="12" s="1"/>
  <c r="P415" i="12"/>
  <c r="N415" i="12" s="1"/>
  <c r="P411" i="12"/>
  <c r="N411" i="12" s="1"/>
  <c r="P412" i="12"/>
  <c r="N412" i="12" s="1"/>
  <c r="W465" i="12"/>
  <c r="U465" i="12" s="1"/>
  <c r="W468" i="12"/>
  <c r="U468" i="12" s="1"/>
  <c r="W467" i="12"/>
  <c r="U467" i="12" s="1"/>
  <c r="W462" i="12"/>
  <c r="U462" i="12" s="1"/>
  <c r="W422" i="12"/>
  <c r="U422" i="12" s="1"/>
  <c r="W469" i="12"/>
  <c r="U469" i="12" s="1"/>
  <c r="W461" i="12"/>
  <c r="U461" i="12" s="1"/>
  <c r="W463" i="12"/>
  <c r="U463" i="12" s="1"/>
  <c r="W423" i="12"/>
  <c r="U423" i="12" s="1"/>
  <c r="W460" i="12"/>
  <c r="U460" i="12" s="1"/>
  <c r="W466" i="12"/>
  <c r="U466" i="12" s="1"/>
  <c r="W464" i="12"/>
  <c r="U464" i="12" s="1"/>
  <c r="I704" i="12" l="1"/>
  <c r="G704" i="12" s="1"/>
  <c r="G692" i="12"/>
  <c r="G460" i="12"/>
  <c r="G461" i="12"/>
  <c r="G469" i="12"/>
  <c r="G467" i="12"/>
  <c r="G462" i="12"/>
  <c r="G465" i="12"/>
  <c r="G458" i="12"/>
  <c r="G466" i="12"/>
  <c r="G463" i="12"/>
  <c r="G459" i="12"/>
  <c r="G468" i="12"/>
  <c r="P424" i="12"/>
  <c r="N424" i="12" s="1"/>
  <c r="P427" i="12"/>
  <c r="N427" i="12" s="1"/>
  <c r="P428" i="12"/>
  <c r="N428" i="12" s="1"/>
  <c r="P433" i="12"/>
  <c r="N433" i="12" s="1"/>
  <c r="P426" i="12"/>
  <c r="N426" i="12" s="1"/>
  <c r="P432" i="12"/>
  <c r="N432" i="12" s="1"/>
  <c r="P423" i="12"/>
  <c r="N423" i="12" s="1"/>
  <c r="P429" i="12"/>
  <c r="N429" i="12" s="1"/>
  <c r="P430" i="12"/>
  <c r="N430" i="12" s="1"/>
  <c r="P425" i="12"/>
  <c r="N425" i="12" s="1"/>
  <c r="P434" i="12"/>
  <c r="N434" i="12" s="1"/>
  <c r="P431" i="12"/>
  <c r="N431" i="12" s="1"/>
  <c r="W476" i="12"/>
  <c r="U476" i="12" s="1"/>
  <c r="W472" i="12"/>
  <c r="U472" i="12" s="1"/>
  <c r="W475" i="12"/>
  <c r="U475" i="12" s="1"/>
  <c r="W481" i="12"/>
  <c r="U481" i="12" s="1"/>
  <c r="W474" i="12"/>
  <c r="U474" i="12" s="1"/>
  <c r="W480" i="12"/>
  <c r="U480" i="12" s="1"/>
  <c r="W478" i="12"/>
  <c r="U478" i="12" s="1"/>
  <c r="W435" i="12"/>
  <c r="U435" i="12" s="1"/>
  <c r="W473" i="12"/>
  <c r="U473" i="12" s="1"/>
  <c r="W434" i="12"/>
  <c r="U434" i="12" s="1"/>
  <c r="W479" i="12"/>
  <c r="U479" i="12" s="1"/>
  <c r="W477" i="12"/>
  <c r="U477" i="12" s="1"/>
  <c r="G471" i="12" l="1"/>
  <c r="G478" i="12"/>
  <c r="G477" i="12"/>
  <c r="G479" i="12"/>
  <c r="G473" i="12"/>
  <c r="G480" i="12"/>
  <c r="G475" i="12"/>
  <c r="G470" i="12"/>
  <c r="G474" i="12"/>
  <c r="G481" i="12"/>
  <c r="G472" i="12"/>
  <c r="P443" i="12"/>
  <c r="N443" i="12" s="1"/>
  <c r="P437" i="12"/>
  <c r="N437" i="12" s="1"/>
  <c r="P441" i="12"/>
  <c r="N441" i="12" s="1"/>
  <c r="P444" i="12"/>
  <c r="N444" i="12" s="1"/>
  <c r="P445" i="12"/>
  <c r="N445" i="12" s="1"/>
  <c r="P439" i="12"/>
  <c r="N439" i="12" s="1"/>
  <c r="P446" i="12"/>
  <c r="N446" i="12" s="1"/>
  <c r="P442" i="12"/>
  <c r="N442" i="12" s="1"/>
  <c r="P435" i="12"/>
  <c r="N435" i="12" s="1"/>
  <c r="P438" i="12"/>
  <c r="N438" i="12" s="1"/>
  <c r="P440" i="12"/>
  <c r="N440" i="12" s="1"/>
  <c r="P436" i="12"/>
  <c r="N436" i="12" s="1"/>
  <c r="W489" i="12"/>
  <c r="U489" i="12" s="1"/>
  <c r="W446" i="12"/>
  <c r="U446" i="12" s="1"/>
  <c r="W447" i="12"/>
  <c r="U447" i="12" s="1"/>
  <c r="W492" i="12"/>
  <c r="U492" i="12" s="1"/>
  <c r="W493" i="12"/>
  <c r="U493" i="12" s="1"/>
  <c r="W484" i="12"/>
  <c r="U484" i="12" s="1"/>
  <c r="W491" i="12"/>
  <c r="U491" i="12" s="1"/>
  <c r="W485" i="12"/>
  <c r="U485" i="12" s="1"/>
  <c r="W490" i="12"/>
  <c r="U490" i="12" s="1"/>
  <c r="W486" i="12"/>
  <c r="U486" i="12" s="1"/>
  <c r="W487" i="12"/>
  <c r="U487" i="12" s="1"/>
  <c r="W488" i="12"/>
  <c r="U488" i="12" s="1"/>
  <c r="G493" i="12" l="1"/>
  <c r="G482" i="12"/>
  <c r="G492" i="12"/>
  <c r="G491" i="12"/>
  <c r="G490" i="12"/>
  <c r="G484" i="12"/>
  <c r="G486" i="12"/>
  <c r="G487" i="12"/>
  <c r="G485" i="12"/>
  <c r="G489" i="12"/>
  <c r="G483" i="12"/>
  <c r="P448" i="12"/>
  <c r="N448" i="12" s="1"/>
  <c r="P450" i="12"/>
  <c r="N450" i="12" s="1"/>
  <c r="P454" i="12"/>
  <c r="N454" i="12" s="1"/>
  <c r="P451" i="12"/>
  <c r="N451" i="12" s="1"/>
  <c r="P456" i="12"/>
  <c r="N456" i="12" s="1"/>
  <c r="P449" i="12"/>
  <c r="N449" i="12" s="1"/>
  <c r="P452" i="12"/>
  <c r="N452" i="12" s="1"/>
  <c r="P447" i="12"/>
  <c r="N447" i="12" s="1"/>
  <c r="P458" i="12"/>
  <c r="N458" i="12" s="1"/>
  <c r="P457" i="12"/>
  <c r="N457" i="12" s="1"/>
  <c r="P453" i="12"/>
  <c r="N453" i="12" s="1"/>
  <c r="P455" i="12"/>
  <c r="N455" i="12" s="1"/>
  <c r="W500" i="12"/>
  <c r="U500" i="12" s="1"/>
  <c r="W498" i="12"/>
  <c r="U498" i="12" s="1"/>
  <c r="W497" i="12"/>
  <c r="U497" i="12" s="1"/>
  <c r="W496" i="12"/>
  <c r="U496" i="12" s="1"/>
  <c r="W504" i="12"/>
  <c r="U504" i="12" s="1"/>
  <c r="W458" i="12"/>
  <c r="U458" i="12" s="1"/>
  <c r="W499" i="12"/>
  <c r="U499" i="12" s="1"/>
  <c r="W502" i="12"/>
  <c r="U502" i="12" s="1"/>
  <c r="W503" i="12"/>
  <c r="U503" i="12" s="1"/>
  <c r="W505" i="12"/>
  <c r="U505" i="12" s="1"/>
  <c r="W459" i="12"/>
  <c r="U459" i="12" s="1"/>
  <c r="W501" i="12"/>
  <c r="U501" i="12" s="1"/>
  <c r="G501" i="12" l="1"/>
  <c r="G499" i="12"/>
  <c r="G496" i="12"/>
  <c r="G503" i="12"/>
  <c r="G494" i="12"/>
  <c r="G495" i="12"/>
  <c r="G497" i="12"/>
  <c r="G498" i="12"/>
  <c r="G502" i="12"/>
  <c r="G504" i="12"/>
  <c r="G505" i="12"/>
  <c r="P467" i="12"/>
  <c r="N467" i="12" s="1"/>
  <c r="P469" i="12"/>
  <c r="N469" i="12" s="1"/>
  <c r="P459" i="12"/>
  <c r="N459" i="12" s="1"/>
  <c r="P461" i="12"/>
  <c r="N461" i="12" s="1"/>
  <c r="P463" i="12"/>
  <c r="N463" i="12" s="1"/>
  <c r="P462" i="12"/>
  <c r="N462" i="12" s="1"/>
  <c r="P465" i="12"/>
  <c r="N465" i="12" s="1"/>
  <c r="P470" i="12"/>
  <c r="N470" i="12" s="1"/>
  <c r="P464" i="12"/>
  <c r="N464" i="12" s="1"/>
  <c r="P468" i="12"/>
  <c r="N468" i="12" s="1"/>
  <c r="P466" i="12"/>
  <c r="N466" i="12" s="1"/>
  <c r="P460" i="12"/>
  <c r="N460" i="12" s="1"/>
  <c r="W513" i="12"/>
  <c r="U513" i="12" s="1"/>
  <c r="W517" i="12"/>
  <c r="U517" i="12" s="1"/>
  <c r="W514" i="12"/>
  <c r="U514" i="12" s="1"/>
  <c r="W470" i="12"/>
  <c r="U470" i="12" s="1"/>
  <c r="W508" i="12"/>
  <c r="U508" i="12" s="1"/>
  <c r="W510" i="12"/>
  <c r="U510" i="12" s="1"/>
  <c r="W471" i="12"/>
  <c r="U471" i="12" s="1"/>
  <c r="W515" i="12"/>
  <c r="U515" i="12" s="1"/>
  <c r="W511" i="12"/>
  <c r="U511" i="12" s="1"/>
  <c r="W516" i="12"/>
  <c r="U516" i="12" s="1"/>
  <c r="W509" i="12"/>
  <c r="U509" i="12" s="1"/>
  <c r="W512" i="12"/>
  <c r="U512" i="12" s="1"/>
  <c r="G516" i="12" l="1"/>
  <c r="G510" i="12"/>
  <c r="G507" i="12"/>
  <c r="G515" i="12"/>
  <c r="G511" i="12"/>
  <c r="G517" i="12"/>
  <c r="G514" i="12"/>
  <c r="G509" i="12"/>
  <c r="G506" i="12"/>
  <c r="G508" i="12"/>
  <c r="G513" i="12"/>
  <c r="P472" i="12"/>
  <c r="N472" i="12" s="1"/>
  <c r="P482" i="12"/>
  <c r="N482" i="12" s="1"/>
  <c r="P473" i="12"/>
  <c r="N473" i="12" s="1"/>
  <c r="P480" i="12"/>
  <c r="N480" i="12" s="1"/>
  <c r="P474" i="12"/>
  <c r="N474" i="12" s="1"/>
  <c r="P481" i="12"/>
  <c r="N481" i="12" s="1"/>
  <c r="P478" i="12"/>
  <c r="N478" i="12" s="1"/>
  <c r="P476" i="12"/>
  <c r="N476" i="12" s="1"/>
  <c r="P477" i="12"/>
  <c r="N477" i="12" s="1"/>
  <c r="P475" i="12"/>
  <c r="N475" i="12" s="1"/>
  <c r="P471" i="12"/>
  <c r="N471" i="12" s="1"/>
  <c r="P479" i="12"/>
  <c r="N479" i="12" s="1"/>
  <c r="W524" i="12"/>
  <c r="U524" i="12" s="1"/>
  <c r="W528" i="12"/>
  <c r="U528" i="12" s="1"/>
  <c r="W527" i="12"/>
  <c r="U527" i="12" s="1"/>
  <c r="W522" i="12"/>
  <c r="U522" i="12" s="1"/>
  <c r="W482" i="12"/>
  <c r="U482" i="12" s="1"/>
  <c r="W529" i="12"/>
  <c r="U529" i="12" s="1"/>
  <c r="W521" i="12"/>
  <c r="U521" i="12" s="1"/>
  <c r="W523" i="12"/>
  <c r="U523" i="12" s="1"/>
  <c r="W483" i="12"/>
  <c r="U483" i="12" s="1"/>
  <c r="W520" i="12"/>
  <c r="U520" i="12" s="1"/>
  <c r="W526" i="12"/>
  <c r="U526" i="12" s="1"/>
  <c r="W525" i="12"/>
  <c r="U525" i="12" s="1"/>
  <c r="G520" i="12" l="1"/>
  <c r="G521" i="12"/>
  <c r="G529" i="12"/>
  <c r="G527" i="12"/>
  <c r="G522" i="12"/>
  <c r="G525" i="12"/>
  <c r="G518" i="12"/>
  <c r="G526" i="12"/>
  <c r="G523" i="12"/>
  <c r="G519" i="12"/>
  <c r="G528" i="12"/>
  <c r="P491" i="12"/>
  <c r="N491" i="12" s="1"/>
  <c r="P487" i="12"/>
  <c r="N487" i="12" s="1"/>
  <c r="P488" i="12"/>
  <c r="N488" i="12" s="1"/>
  <c r="P493" i="12"/>
  <c r="N493" i="12" s="1"/>
  <c r="P492" i="12"/>
  <c r="N492" i="12" s="1"/>
  <c r="P494" i="12"/>
  <c r="N494" i="12" s="1"/>
  <c r="P483" i="12"/>
  <c r="N483" i="12" s="1"/>
  <c r="P489" i="12"/>
  <c r="N489" i="12" s="1"/>
  <c r="P490" i="12"/>
  <c r="N490" i="12" s="1"/>
  <c r="P486" i="12"/>
  <c r="N486" i="12" s="1"/>
  <c r="P485" i="12"/>
  <c r="N485" i="12" s="1"/>
  <c r="P484" i="12"/>
  <c r="N484" i="12" s="1"/>
  <c r="W537" i="12"/>
  <c r="U537" i="12" s="1"/>
  <c r="W532" i="12"/>
  <c r="U532" i="12" s="1"/>
  <c r="W535" i="12"/>
  <c r="U535" i="12" s="1"/>
  <c r="W541" i="12"/>
  <c r="U541" i="12" s="1"/>
  <c r="W534" i="12"/>
  <c r="U534" i="12" s="1"/>
  <c r="W540" i="12"/>
  <c r="U540" i="12" s="1"/>
  <c r="W538" i="12"/>
  <c r="U538" i="12" s="1"/>
  <c r="W495" i="12"/>
  <c r="U495" i="12" s="1"/>
  <c r="W533" i="12"/>
  <c r="U533" i="12" s="1"/>
  <c r="W494" i="12"/>
  <c r="U494" i="12" s="1"/>
  <c r="W539" i="12"/>
  <c r="U539" i="12" s="1"/>
  <c r="W536" i="12"/>
  <c r="U536" i="12" s="1"/>
  <c r="G531" i="12" l="1"/>
  <c r="G538" i="12"/>
  <c r="G537" i="12"/>
  <c r="G539" i="12"/>
  <c r="G533" i="12"/>
  <c r="G540" i="12"/>
  <c r="G535" i="12"/>
  <c r="G530" i="12"/>
  <c r="G534" i="12"/>
  <c r="G541" i="12"/>
  <c r="G532" i="12"/>
  <c r="P496" i="12"/>
  <c r="N496" i="12" s="1"/>
  <c r="P498" i="12"/>
  <c r="N498" i="12" s="1"/>
  <c r="P505" i="12"/>
  <c r="N505" i="12" s="1"/>
  <c r="P501" i="12"/>
  <c r="N501" i="12" s="1"/>
  <c r="P506" i="12"/>
  <c r="N506" i="12" s="1"/>
  <c r="P499" i="12"/>
  <c r="N499" i="12" s="1"/>
  <c r="P497" i="12"/>
  <c r="N497" i="12" s="1"/>
  <c r="P502" i="12"/>
  <c r="N502" i="12" s="1"/>
  <c r="P495" i="12"/>
  <c r="N495" i="12" s="1"/>
  <c r="P504" i="12"/>
  <c r="N504" i="12" s="1"/>
  <c r="P500" i="12"/>
  <c r="N500" i="12" s="1"/>
  <c r="P503" i="12"/>
  <c r="N503" i="12" s="1"/>
  <c r="W506" i="12"/>
  <c r="U506" i="12" s="1"/>
  <c r="W552" i="12"/>
  <c r="U552" i="12" s="1"/>
  <c r="W548" i="12"/>
  <c r="U548" i="12" s="1"/>
  <c r="W507" i="12"/>
  <c r="U507" i="12" s="1"/>
  <c r="W553" i="12"/>
  <c r="U553" i="12" s="1"/>
  <c r="W544" i="12"/>
  <c r="U544" i="12" s="1"/>
  <c r="W551" i="12"/>
  <c r="U551" i="12" s="1"/>
  <c r="W545" i="12"/>
  <c r="U545" i="12" s="1"/>
  <c r="W550" i="12"/>
  <c r="U550" i="12" s="1"/>
  <c r="W546" i="12"/>
  <c r="U546" i="12" s="1"/>
  <c r="W547" i="12"/>
  <c r="U547" i="12" s="1"/>
  <c r="W549" i="12"/>
  <c r="U549" i="12" s="1"/>
  <c r="G553" i="12" l="1"/>
  <c r="G542" i="12"/>
  <c r="G552" i="12"/>
  <c r="G551" i="12"/>
  <c r="G550" i="12"/>
  <c r="G544" i="12"/>
  <c r="G546" i="12"/>
  <c r="G547" i="12"/>
  <c r="G545" i="12"/>
  <c r="G549" i="12"/>
  <c r="G543" i="12"/>
  <c r="P515" i="12"/>
  <c r="N515" i="12" s="1"/>
  <c r="P516" i="12"/>
  <c r="N516" i="12" s="1"/>
  <c r="P514" i="12"/>
  <c r="N514" i="12" s="1"/>
  <c r="P513" i="12"/>
  <c r="N513" i="12" s="1"/>
  <c r="P510" i="12"/>
  <c r="N510" i="12" s="1"/>
  <c r="P511" i="12"/>
  <c r="N511" i="12" s="1"/>
  <c r="P512" i="12"/>
  <c r="N512" i="12" s="1"/>
  <c r="P507" i="12"/>
  <c r="N507" i="12" s="1"/>
  <c r="P509" i="12"/>
  <c r="N509" i="12" s="1"/>
  <c r="P518" i="12"/>
  <c r="N518" i="12" s="1"/>
  <c r="P517" i="12"/>
  <c r="N517" i="12" s="1"/>
  <c r="P508" i="12"/>
  <c r="N508" i="12" s="1"/>
  <c r="W561" i="12"/>
  <c r="U561" i="12" s="1"/>
  <c r="W557" i="12"/>
  <c r="U557" i="12" s="1"/>
  <c r="W564" i="12"/>
  <c r="U564" i="12" s="1"/>
  <c r="W558" i="12"/>
  <c r="U558" i="12" s="1"/>
  <c r="W556" i="12"/>
  <c r="U556" i="12" s="1"/>
  <c r="W519" i="12"/>
  <c r="U519" i="12" s="1"/>
  <c r="W559" i="12"/>
  <c r="U559" i="12" s="1"/>
  <c r="W562" i="12"/>
  <c r="U562" i="12" s="1"/>
  <c r="W563" i="12"/>
  <c r="U563" i="12" s="1"/>
  <c r="W565" i="12"/>
  <c r="U565" i="12" s="1"/>
  <c r="W560" i="12"/>
  <c r="U560" i="12" s="1"/>
  <c r="W518" i="12"/>
  <c r="U518" i="12" s="1"/>
  <c r="G561" i="12" l="1"/>
  <c r="G559" i="12"/>
  <c r="G556" i="12"/>
  <c r="G563" i="12"/>
  <c r="G554" i="12"/>
  <c r="G555" i="12"/>
  <c r="G557" i="12"/>
  <c r="G558" i="12"/>
  <c r="G562" i="12"/>
  <c r="G564" i="12"/>
  <c r="G565" i="12"/>
  <c r="P520" i="12"/>
  <c r="N520" i="12" s="1"/>
  <c r="P530" i="12"/>
  <c r="N530" i="12" s="1"/>
  <c r="P519" i="12"/>
  <c r="N519" i="12" s="1"/>
  <c r="P525" i="12"/>
  <c r="N525" i="12" s="1"/>
  <c r="P528" i="12"/>
  <c r="N528" i="12" s="1"/>
  <c r="P523" i="12"/>
  <c r="N523" i="12" s="1"/>
  <c r="P529" i="12"/>
  <c r="N529" i="12" s="1"/>
  <c r="P521" i="12"/>
  <c r="N521" i="12" s="1"/>
  <c r="P524" i="12"/>
  <c r="N524" i="12" s="1"/>
  <c r="P522" i="12"/>
  <c r="N522" i="12" s="1"/>
  <c r="P526" i="12"/>
  <c r="N526" i="12" s="1"/>
  <c r="P527" i="12"/>
  <c r="N527" i="12" s="1"/>
  <c r="W577" i="12"/>
  <c r="U577" i="12" s="1"/>
  <c r="W570" i="12"/>
  <c r="U570" i="12" s="1"/>
  <c r="W530" i="12"/>
  <c r="U530" i="12" s="1"/>
  <c r="W574" i="12"/>
  <c r="U574" i="12" s="1"/>
  <c r="W531" i="12"/>
  <c r="U531" i="12" s="1"/>
  <c r="W569" i="12"/>
  <c r="U569" i="12" s="1"/>
  <c r="W572" i="12"/>
  <c r="U572" i="12" s="1"/>
  <c r="W575" i="12"/>
  <c r="U575" i="12" s="1"/>
  <c r="W571" i="12"/>
  <c r="U571" i="12" s="1"/>
  <c r="W568" i="12"/>
  <c r="U568" i="12" s="1"/>
  <c r="W576" i="12"/>
  <c r="U576" i="12" s="1"/>
  <c r="W573" i="12"/>
  <c r="U573" i="12" s="1"/>
  <c r="G576" i="12" l="1"/>
  <c r="G570" i="12"/>
  <c r="G567" i="12"/>
  <c r="G575" i="12"/>
  <c r="G571" i="12"/>
  <c r="G577" i="12"/>
  <c r="G574" i="12"/>
  <c r="G569" i="12"/>
  <c r="G566" i="12"/>
  <c r="G568" i="12"/>
  <c r="G573" i="12"/>
  <c r="P539" i="12"/>
  <c r="N539" i="12" s="1"/>
  <c r="P534" i="12"/>
  <c r="N534" i="12" s="1"/>
  <c r="P537" i="12"/>
  <c r="N537" i="12" s="1"/>
  <c r="P533" i="12"/>
  <c r="N533" i="12" s="1"/>
  <c r="P535" i="12"/>
  <c r="N535" i="12" s="1"/>
  <c r="P542" i="12"/>
  <c r="N542" i="12" s="1"/>
  <c r="P538" i="12"/>
  <c r="N538" i="12" s="1"/>
  <c r="P536" i="12"/>
  <c r="N536" i="12" s="1"/>
  <c r="P541" i="12"/>
  <c r="N541" i="12" s="1"/>
  <c r="P540" i="12"/>
  <c r="N540" i="12" s="1"/>
  <c r="P531" i="12"/>
  <c r="N531" i="12" s="1"/>
  <c r="P532" i="12"/>
  <c r="N532" i="12" s="1"/>
  <c r="W587" i="12"/>
  <c r="W599" i="12" s="1"/>
  <c r="U599" i="12" s="1"/>
  <c r="W585" i="12"/>
  <c r="W597" i="12" s="1"/>
  <c r="U597" i="12" s="1"/>
  <c r="W580" i="12"/>
  <c r="W592" i="12" s="1"/>
  <c r="U592" i="12" s="1"/>
  <c r="W581" i="12"/>
  <c r="W593" i="12" s="1"/>
  <c r="U593" i="12" s="1"/>
  <c r="W586" i="12"/>
  <c r="W598" i="12" s="1"/>
  <c r="U598" i="12" s="1"/>
  <c r="W582" i="12"/>
  <c r="W594" i="12" s="1"/>
  <c r="U594" i="12" s="1"/>
  <c r="W588" i="12"/>
  <c r="W600" i="12" s="1"/>
  <c r="U600" i="12" s="1"/>
  <c r="W583" i="12"/>
  <c r="W595" i="12" s="1"/>
  <c r="U595" i="12" s="1"/>
  <c r="W584" i="12"/>
  <c r="W596" i="12" s="1"/>
  <c r="U596" i="12" s="1"/>
  <c r="W543" i="12"/>
  <c r="U543" i="12" s="1"/>
  <c r="W542" i="12"/>
  <c r="U542" i="12" s="1"/>
  <c r="W589" i="12"/>
  <c r="W601" i="12" s="1"/>
  <c r="U601" i="12" s="1"/>
  <c r="U584" i="12" l="1"/>
  <c r="U586" i="12"/>
  <c r="U589" i="12"/>
  <c r="U583" i="12"/>
  <c r="U581" i="12"/>
  <c r="U588" i="12"/>
  <c r="U580" i="12"/>
  <c r="U587" i="12"/>
  <c r="U582" i="12"/>
  <c r="U585" i="12"/>
  <c r="G580" i="12"/>
  <c r="G581" i="12"/>
  <c r="G589" i="12"/>
  <c r="G587" i="12"/>
  <c r="G582" i="12"/>
  <c r="G585" i="12"/>
  <c r="G578" i="12"/>
  <c r="G586" i="12"/>
  <c r="G583" i="12"/>
  <c r="G579" i="12"/>
  <c r="G588" i="12"/>
  <c r="P544" i="12"/>
  <c r="N544" i="12" s="1"/>
  <c r="P552" i="12"/>
  <c r="N552" i="12" s="1"/>
  <c r="P548" i="12"/>
  <c r="N548" i="12" s="1"/>
  <c r="P554" i="12"/>
  <c r="N554" i="12" s="1"/>
  <c r="P545" i="12"/>
  <c r="N545" i="12" s="1"/>
  <c r="P546" i="12"/>
  <c r="N546" i="12" s="1"/>
  <c r="P543" i="12"/>
  <c r="N543" i="12" s="1"/>
  <c r="P553" i="12"/>
  <c r="N553" i="12" s="1"/>
  <c r="P550" i="12"/>
  <c r="N550" i="12" s="1"/>
  <c r="P547" i="12"/>
  <c r="N547" i="12" s="1"/>
  <c r="P549" i="12"/>
  <c r="N549" i="12" s="1"/>
  <c r="P551" i="12"/>
  <c r="N551" i="12" s="1"/>
  <c r="W613" i="12"/>
  <c r="U613" i="12" s="1"/>
  <c r="W607" i="12"/>
  <c r="U607" i="12" s="1"/>
  <c r="W609" i="12"/>
  <c r="U609" i="12" s="1"/>
  <c r="W555" i="12"/>
  <c r="U555" i="12" s="1"/>
  <c r="W606" i="12"/>
  <c r="U606" i="12" s="1"/>
  <c r="W605" i="12"/>
  <c r="U605" i="12" s="1"/>
  <c r="W554" i="12"/>
  <c r="U554" i="12" s="1"/>
  <c r="W608" i="12"/>
  <c r="U608" i="12" s="1"/>
  <c r="W612" i="12"/>
  <c r="U612" i="12" s="1"/>
  <c r="W610" i="12"/>
  <c r="U610" i="12" s="1"/>
  <c r="W604" i="12"/>
  <c r="U604" i="12" s="1"/>
  <c r="W611" i="12"/>
  <c r="U611" i="12" s="1"/>
  <c r="G603" i="12" l="1"/>
  <c r="G610" i="12"/>
  <c r="G609" i="12"/>
  <c r="G611" i="12"/>
  <c r="G605" i="12"/>
  <c r="G612" i="12"/>
  <c r="G607" i="12"/>
  <c r="G602" i="12"/>
  <c r="G606" i="12"/>
  <c r="G613" i="12"/>
  <c r="G604" i="12"/>
  <c r="P563" i="12"/>
  <c r="N563" i="12" s="1"/>
  <c r="P559" i="12"/>
  <c r="N559" i="12" s="1"/>
  <c r="P565" i="12"/>
  <c r="N565" i="12" s="1"/>
  <c r="P558" i="12"/>
  <c r="N558" i="12" s="1"/>
  <c r="P566" i="12"/>
  <c r="N566" i="12" s="1"/>
  <c r="P564" i="12"/>
  <c r="N564" i="12" s="1"/>
  <c r="P561" i="12"/>
  <c r="N561" i="12" s="1"/>
  <c r="P562" i="12"/>
  <c r="N562" i="12" s="1"/>
  <c r="P555" i="12"/>
  <c r="N555" i="12" s="1"/>
  <c r="P557" i="12"/>
  <c r="N557" i="12" s="1"/>
  <c r="P560" i="12"/>
  <c r="N560" i="12" s="1"/>
  <c r="P556" i="12"/>
  <c r="N556" i="12" s="1"/>
  <c r="W623" i="12"/>
  <c r="U623" i="12" s="1"/>
  <c r="W622" i="12"/>
  <c r="U622" i="12" s="1"/>
  <c r="W620" i="12"/>
  <c r="U620" i="12" s="1"/>
  <c r="W617" i="12"/>
  <c r="U617" i="12" s="1"/>
  <c r="W567" i="12"/>
  <c r="U567" i="12" s="1"/>
  <c r="W619" i="12"/>
  <c r="U619" i="12" s="1"/>
  <c r="W616" i="12"/>
  <c r="U616" i="12" s="1"/>
  <c r="W624" i="12"/>
  <c r="U624" i="12" s="1"/>
  <c r="W566" i="12"/>
  <c r="U566" i="12" s="1"/>
  <c r="W618" i="12"/>
  <c r="U618" i="12" s="1"/>
  <c r="W621" i="12"/>
  <c r="U621" i="12" s="1"/>
  <c r="W625" i="12"/>
  <c r="U625" i="12" s="1"/>
  <c r="G625" i="12" l="1"/>
  <c r="G614" i="12"/>
  <c r="G624" i="12"/>
  <c r="G623" i="12"/>
  <c r="G622" i="12"/>
  <c r="G616" i="12"/>
  <c r="G618" i="12"/>
  <c r="G619" i="12"/>
  <c r="G617" i="12"/>
  <c r="G621" i="12"/>
  <c r="G615" i="12"/>
  <c r="P568" i="12"/>
  <c r="N568" i="12" s="1"/>
  <c r="P569" i="12"/>
  <c r="N569" i="12" s="1"/>
  <c r="P574" i="12"/>
  <c r="N574" i="12" s="1"/>
  <c r="P576" i="12"/>
  <c r="N576" i="12" s="1"/>
  <c r="P570" i="12"/>
  <c r="N570" i="12" s="1"/>
  <c r="P571" i="12"/>
  <c r="N571" i="12" s="1"/>
  <c r="P572" i="12"/>
  <c r="N572" i="12" s="1"/>
  <c r="P567" i="12"/>
  <c r="N567" i="12" s="1"/>
  <c r="P573" i="12"/>
  <c r="N573" i="12" s="1"/>
  <c r="P578" i="12"/>
  <c r="P590" i="12" s="1"/>
  <c r="N590" i="12" s="1"/>
  <c r="P577" i="12"/>
  <c r="N577" i="12" s="1"/>
  <c r="P575" i="12"/>
  <c r="N575" i="12" s="1"/>
  <c r="W630" i="12"/>
  <c r="U630" i="12" s="1"/>
  <c r="W636" i="12"/>
  <c r="U636" i="12" s="1"/>
  <c r="W631" i="12"/>
  <c r="U631" i="12" s="1"/>
  <c r="W629" i="12"/>
  <c r="U629" i="12" s="1"/>
  <c r="W634" i="12"/>
  <c r="U634" i="12" s="1"/>
  <c r="W637" i="12"/>
  <c r="U637" i="12" s="1"/>
  <c r="W633" i="12"/>
  <c r="U633" i="12" s="1"/>
  <c r="W578" i="12"/>
  <c r="W590" i="12" s="1"/>
  <c r="U590" i="12" s="1"/>
  <c r="W628" i="12"/>
  <c r="U628" i="12" s="1"/>
  <c r="W579" i="12"/>
  <c r="W591" i="12" s="1"/>
  <c r="U591" i="12" s="1"/>
  <c r="W632" i="12"/>
  <c r="U632" i="12" s="1"/>
  <c r="W635" i="12"/>
  <c r="U635" i="12" s="1"/>
  <c r="U578" i="12" l="1"/>
  <c r="U579" i="12"/>
  <c r="N578" i="12"/>
  <c r="G633" i="12"/>
  <c r="G631" i="12"/>
  <c r="G628" i="12"/>
  <c r="G635" i="12"/>
  <c r="G626" i="12"/>
  <c r="G627" i="12"/>
  <c r="G629" i="12"/>
  <c r="G630" i="12"/>
  <c r="G634" i="12"/>
  <c r="G636" i="12"/>
  <c r="G637" i="12"/>
  <c r="P587" i="12"/>
  <c r="P599" i="12" s="1"/>
  <c r="N599" i="12" s="1"/>
  <c r="P602" i="12"/>
  <c r="N602" i="12" s="1"/>
  <c r="P579" i="12"/>
  <c r="P591" i="12" s="1"/>
  <c r="N591" i="12" s="1"/>
  <c r="P583" i="12"/>
  <c r="P595" i="12" s="1"/>
  <c r="N595" i="12" s="1"/>
  <c r="P588" i="12"/>
  <c r="P600" i="12" s="1"/>
  <c r="N600" i="12" s="1"/>
  <c r="P581" i="12"/>
  <c r="P593" i="12" s="1"/>
  <c r="N593" i="12" s="1"/>
  <c r="P589" i="12"/>
  <c r="P601" i="12" s="1"/>
  <c r="N601" i="12" s="1"/>
  <c r="P585" i="12"/>
  <c r="P597" i="12" s="1"/>
  <c r="N597" i="12" s="1"/>
  <c r="P584" i="12"/>
  <c r="P596" i="12" s="1"/>
  <c r="N596" i="12" s="1"/>
  <c r="P582" i="12"/>
  <c r="P594" i="12" s="1"/>
  <c r="N594" i="12" s="1"/>
  <c r="P586" i="12"/>
  <c r="P598" i="12" s="1"/>
  <c r="N598" i="12" s="1"/>
  <c r="P580" i="12"/>
  <c r="P592" i="12" s="1"/>
  <c r="N592" i="12" s="1"/>
  <c r="W647" i="12"/>
  <c r="W659" i="12" s="1"/>
  <c r="U659" i="12" s="1"/>
  <c r="W603" i="12"/>
  <c r="U603" i="12" s="1"/>
  <c r="W602" i="12"/>
  <c r="U602" i="12" s="1"/>
  <c r="W649" i="12"/>
  <c r="W661" i="12" s="1"/>
  <c r="U661" i="12" s="1"/>
  <c r="W641" i="12"/>
  <c r="W653" i="12" s="1"/>
  <c r="U653" i="12" s="1"/>
  <c r="W648" i="12"/>
  <c r="W660" i="12" s="1"/>
  <c r="U660" i="12" s="1"/>
  <c r="W644" i="12"/>
  <c r="W656" i="12" s="1"/>
  <c r="U656" i="12" s="1"/>
  <c r="W640" i="12"/>
  <c r="W652" i="12" s="1"/>
  <c r="U652" i="12" s="1"/>
  <c r="W645" i="12"/>
  <c r="W657" i="12" s="1"/>
  <c r="U657" i="12" s="1"/>
  <c r="W646" i="12"/>
  <c r="W658" i="12" s="1"/>
  <c r="U658" i="12" s="1"/>
  <c r="W643" i="12"/>
  <c r="W655" i="12" s="1"/>
  <c r="U655" i="12" s="1"/>
  <c r="W642" i="12"/>
  <c r="W654" i="12" s="1"/>
  <c r="U654" i="12" s="1"/>
  <c r="U646" i="12" l="1"/>
  <c r="U643" i="12"/>
  <c r="U645" i="12"/>
  <c r="U641" i="12"/>
  <c r="U647" i="12"/>
  <c r="U644" i="12"/>
  <c r="U648" i="12"/>
  <c r="U642" i="12"/>
  <c r="U640" i="12"/>
  <c r="U649" i="12"/>
  <c r="N589" i="12"/>
  <c r="N582" i="12"/>
  <c r="N580" i="12"/>
  <c r="N585" i="12"/>
  <c r="N586" i="12"/>
  <c r="N579" i="12"/>
  <c r="N581" i="12"/>
  <c r="N584" i="12"/>
  <c r="N588" i="12"/>
  <c r="N587" i="12"/>
  <c r="N583" i="12"/>
  <c r="G648" i="12"/>
  <c r="G642" i="12"/>
  <c r="G639" i="12"/>
  <c r="G647" i="12"/>
  <c r="G643" i="12"/>
  <c r="G649" i="12"/>
  <c r="G646" i="12"/>
  <c r="G641" i="12"/>
  <c r="G638" i="12"/>
  <c r="G640" i="12"/>
  <c r="G645" i="12"/>
  <c r="P604" i="12"/>
  <c r="N604" i="12" s="1"/>
  <c r="P606" i="12"/>
  <c r="N606" i="12" s="1"/>
  <c r="P609" i="12"/>
  <c r="N609" i="12" s="1"/>
  <c r="P605" i="12"/>
  <c r="N605" i="12" s="1"/>
  <c r="P607" i="12"/>
  <c r="N607" i="12" s="1"/>
  <c r="P614" i="12"/>
  <c r="N614" i="12" s="1"/>
  <c r="P610" i="12"/>
  <c r="N610" i="12" s="1"/>
  <c r="P608" i="12"/>
  <c r="N608" i="12" s="1"/>
  <c r="P613" i="12"/>
  <c r="N613" i="12" s="1"/>
  <c r="P612" i="12"/>
  <c r="N612" i="12" s="1"/>
  <c r="P603" i="12"/>
  <c r="N603" i="12" s="1"/>
  <c r="P611" i="12"/>
  <c r="N611" i="12" s="1"/>
  <c r="W666" i="12"/>
  <c r="U666" i="12" s="1"/>
  <c r="W670" i="12"/>
  <c r="U670" i="12" s="1"/>
  <c r="W664" i="12"/>
  <c r="U664" i="12" s="1"/>
  <c r="W672" i="12"/>
  <c r="U672" i="12" s="1"/>
  <c r="W673" i="12"/>
  <c r="U673" i="12" s="1"/>
  <c r="W615" i="12"/>
  <c r="U615" i="12" s="1"/>
  <c r="W667" i="12"/>
  <c r="U667" i="12" s="1"/>
  <c r="W669" i="12"/>
  <c r="U669" i="12" s="1"/>
  <c r="W668" i="12"/>
  <c r="U668" i="12" s="1"/>
  <c r="W665" i="12"/>
  <c r="U665" i="12" s="1"/>
  <c r="W614" i="12"/>
  <c r="U614" i="12" s="1"/>
  <c r="W671" i="12"/>
  <c r="U671" i="12" s="1"/>
  <c r="G664" i="12" l="1"/>
  <c r="G665" i="12"/>
  <c r="G673" i="12"/>
  <c r="G671" i="12"/>
  <c r="G666" i="12"/>
  <c r="G669" i="12"/>
  <c r="G662" i="12"/>
  <c r="G670" i="12"/>
  <c r="G667" i="12"/>
  <c r="G663" i="12"/>
  <c r="G672" i="12"/>
  <c r="P623" i="12"/>
  <c r="N623" i="12" s="1"/>
  <c r="P624" i="12"/>
  <c r="N624" i="12" s="1"/>
  <c r="P620" i="12"/>
  <c r="N620" i="12" s="1"/>
  <c r="P626" i="12"/>
  <c r="N626" i="12" s="1"/>
  <c r="P617" i="12"/>
  <c r="N617" i="12" s="1"/>
  <c r="P618" i="12"/>
  <c r="N618" i="12" s="1"/>
  <c r="P615" i="12"/>
  <c r="N615" i="12" s="1"/>
  <c r="P625" i="12"/>
  <c r="N625" i="12" s="1"/>
  <c r="P622" i="12"/>
  <c r="N622" i="12" s="1"/>
  <c r="P619" i="12"/>
  <c r="N619" i="12" s="1"/>
  <c r="P621" i="12"/>
  <c r="N621" i="12" s="1"/>
  <c r="P616" i="12"/>
  <c r="N616" i="12" s="1"/>
  <c r="W681" i="12"/>
  <c r="U681" i="12" s="1"/>
  <c r="W683" i="12"/>
  <c r="U683" i="12" s="1"/>
  <c r="W677" i="12"/>
  <c r="U677" i="12" s="1"/>
  <c r="W627" i="12"/>
  <c r="U627" i="12" s="1"/>
  <c r="W684" i="12"/>
  <c r="U684" i="12" s="1"/>
  <c r="W682" i="12"/>
  <c r="U682" i="12" s="1"/>
  <c r="W626" i="12"/>
  <c r="U626" i="12" s="1"/>
  <c r="W680" i="12"/>
  <c r="U680" i="12" s="1"/>
  <c r="W679" i="12"/>
  <c r="U679" i="12" s="1"/>
  <c r="W685" i="12"/>
  <c r="U685" i="12" s="1"/>
  <c r="W676" i="12"/>
  <c r="U676" i="12" s="1"/>
  <c r="W678" i="12"/>
  <c r="U678" i="12" s="1"/>
  <c r="G675" i="12" l="1"/>
  <c r="G682" i="12"/>
  <c r="G681" i="12"/>
  <c r="G683" i="12"/>
  <c r="G677" i="12"/>
  <c r="G684" i="12"/>
  <c r="G679" i="12"/>
  <c r="G674" i="12"/>
  <c r="G678" i="12"/>
  <c r="G685" i="12"/>
  <c r="G676" i="12"/>
  <c r="P628" i="12"/>
  <c r="N628" i="12" s="1"/>
  <c r="P631" i="12"/>
  <c r="N631" i="12" s="1"/>
  <c r="P637" i="12"/>
  <c r="N637" i="12" s="1"/>
  <c r="P630" i="12"/>
  <c r="N630" i="12" s="1"/>
  <c r="P638" i="12"/>
  <c r="P650" i="12" s="1"/>
  <c r="N650" i="12" s="1"/>
  <c r="P636" i="12"/>
  <c r="N636" i="12" s="1"/>
  <c r="P633" i="12"/>
  <c r="N633" i="12" s="1"/>
  <c r="P634" i="12"/>
  <c r="N634" i="12" s="1"/>
  <c r="P627" i="12"/>
  <c r="N627" i="12" s="1"/>
  <c r="P629" i="12"/>
  <c r="N629" i="12" s="1"/>
  <c r="P632" i="12"/>
  <c r="N632" i="12" s="1"/>
  <c r="P635" i="12"/>
  <c r="N635" i="12" s="1"/>
  <c r="W690" i="12"/>
  <c r="U690" i="12" s="1"/>
  <c r="W692" i="12"/>
  <c r="U692" i="12" s="1"/>
  <c r="W639" i="12"/>
  <c r="W651" i="12" s="1"/>
  <c r="U651" i="12" s="1"/>
  <c r="W697" i="12"/>
  <c r="U697" i="12" s="1"/>
  <c r="W694" i="12"/>
  <c r="U694" i="12" s="1"/>
  <c r="W695" i="12"/>
  <c r="U695" i="12" s="1"/>
  <c r="W688" i="12"/>
  <c r="U688" i="12" s="1"/>
  <c r="W691" i="12"/>
  <c r="U691" i="12" s="1"/>
  <c r="W638" i="12"/>
  <c r="W650" i="12" s="1"/>
  <c r="U650" i="12" s="1"/>
  <c r="W696" i="12"/>
  <c r="U696" i="12" s="1"/>
  <c r="W689" i="12"/>
  <c r="U689" i="12" s="1"/>
  <c r="W693" i="12"/>
  <c r="U693" i="12" s="1"/>
  <c r="U638" i="12" l="1"/>
  <c r="U639" i="12"/>
  <c r="N638" i="12"/>
  <c r="G709" i="12"/>
  <c r="G697" i="12"/>
  <c r="G698" i="12"/>
  <c r="G686" i="12"/>
  <c r="G708" i="12"/>
  <c r="G696" i="12"/>
  <c r="G707" i="12"/>
  <c r="G695" i="12"/>
  <c r="G706" i="12"/>
  <c r="G694" i="12"/>
  <c r="G700" i="12"/>
  <c r="G688" i="12"/>
  <c r="G702" i="12"/>
  <c r="G690" i="12"/>
  <c r="G703" i="12"/>
  <c r="G691" i="12"/>
  <c r="G701" i="12"/>
  <c r="G689" i="12"/>
  <c r="G705" i="12"/>
  <c r="G693" i="12"/>
  <c r="G699" i="12"/>
  <c r="G687" i="12"/>
  <c r="P648" i="12"/>
  <c r="P660" i="12" s="1"/>
  <c r="N660" i="12" s="1"/>
  <c r="P647" i="12"/>
  <c r="P659" i="12" s="1"/>
  <c r="N659" i="12" s="1"/>
  <c r="P641" i="12"/>
  <c r="P653" i="12" s="1"/>
  <c r="N653" i="12" s="1"/>
  <c r="P646" i="12"/>
  <c r="P658" i="12" s="1"/>
  <c r="N658" i="12" s="1"/>
  <c r="P643" i="12"/>
  <c r="P655" i="12" s="1"/>
  <c r="N655" i="12" s="1"/>
  <c r="P642" i="12"/>
  <c r="P654" i="12" s="1"/>
  <c r="N654" i="12" s="1"/>
  <c r="P644" i="12"/>
  <c r="P656" i="12" s="1"/>
  <c r="N656" i="12" s="1"/>
  <c r="P639" i="12"/>
  <c r="P651" i="12" s="1"/>
  <c r="N651" i="12" s="1"/>
  <c r="P645" i="12"/>
  <c r="P657" i="12" s="1"/>
  <c r="N657" i="12" s="1"/>
  <c r="P662" i="12"/>
  <c r="N662" i="12" s="1"/>
  <c r="P649" i="12"/>
  <c r="P661" i="12" s="1"/>
  <c r="N661" i="12" s="1"/>
  <c r="P640" i="12"/>
  <c r="P652" i="12" s="1"/>
  <c r="N652" i="12" s="1"/>
  <c r="W708" i="12"/>
  <c r="U708" i="12" s="1"/>
  <c r="W707" i="12"/>
  <c r="U707" i="12" s="1"/>
  <c r="W705" i="12"/>
  <c r="U705" i="12" s="1"/>
  <c r="W703" i="12"/>
  <c r="U703" i="12" s="1"/>
  <c r="W709" i="12"/>
  <c r="U709" i="12" s="1"/>
  <c r="W704" i="12"/>
  <c r="U704" i="12" s="1"/>
  <c r="W701" i="12"/>
  <c r="U701" i="12" s="1"/>
  <c r="W662" i="12"/>
  <c r="U662" i="12" s="1"/>
  <c r="W700" i="12"/>
  <c r="U700" i="12" s="1"/>
  <c r="W706" i="12"/>
  <c r="U706" i="12" s="1"/>
  <c r="W663" i="12"/>
  <c r="U663" i="12" s="1"/>
  <c r="W702" i="12"/>
  <c r="U702" i="12" s="1"/>
  <c r="N640" i="12" l="1"/>
  <c r="N639" i="12"/>
  <c r="N646" i="12"/>
  <c r="N649" i="12"/>
  <c r="N644" i="12"/>
  <c r="N641" i="12"/>
  <c r="N642" i="12"/>
  <c r="N647" i="12"/>
  <c r="N645" i="12"/>
  <c r="N643" i="12"/>
  <c r="N648" i="12"/>
  <c r="P664" i="12"/>
  <c r="N664" i="12" s="1"/>
  <c r="P663" i="12"/>
  <c r="N663" i="12" s="1"/>
  <c r="P666" i="12"/>
  <c r="N666" i="12" s="1"/>
  <c r="P671" i="12"/>
  <c r="N671" i="12" s="1"/>
  <c r="P674" i="12"/>
  <c r="N674" i="12" s="1"/>
  <c r="P670" i="12"/>
  <c r="N670" i="12" s="1"/>
  <c r="P673" i="12"/>
  <c r="N673" i="12" s="1"/>
  <c r="P669" i="12"/>
  <c r="N669" i="12" s="1"/>
  <c r="P668" i="12"/>
  <c r="N668" i="12" s="1"/>
  <c r="P667" i="12"/>
  <c r="N667" i="12" s="1"/>
  <c r="P665" i="12"/>
  <c r="N665" i="12" s="1"/>
  <c r="P672" i="12"/>
  <c r="N672" i="12" s="1"/>
  <c r="W674" i="12"/>
  <c r="U674" i="12" s="1"/>
  <c r="W675" i="12"/>
  <c r="U675" i="12" s="1"/>
  <c r="P679" i="12" l="1"/>
  <c r="N679" i="12" s="1"/>
  <c r="P682" i="12"/>
  <c r="N682" i="12" s="1"/>
  <c r="P675" i="12"/>
  <c r="N675" i="12" s="1"/>
  <c r="P684" i="12"/>
  <c r="N684" i="12" s="1"/>
  <c r="P681" i="12"/>
  <c r="N681" i="12" s="1"/>
  <c r="P683" i="12"/>
  <c r="N683" i="12" s="1"/>
  <c r="P677" i="12"/>
  <c r="N677" i="12" s="1"/>
  <c r="P680" i="12"/>
  <c r="N680" i="12" s="1"/>
  <c r="P685" i="12"/>
  <c r="N685" i="12" s="1"/>
  <c r="P686" i="12"/>
  <c r="N686" i="12" s="1"/>
  <c r="P678" i="12"/>
  <c r="N678" i="12" s="1"/>
  <c r="P676" i="12"/>
  <c r="N676" i="12" s="1"/>
  <c r="W687" i="12"/>
  <c r="U687" i="12" s="1"/>
  <c r="W686" i="12"/>
  <c r="U686" i="12" s="1"/>
  <c r="P688" i="12" l="1"/>
  <c r="N688" i="12" s="1"/>
  <c r="P692" i="12"/>
  <c r="N692" i="12" s="1"/>
  <c r="P696" i="12"/>
  <c r="N696" i="12" s="1"/>
  <c r="P698" i="12"/>
  <c r="N698" i="12" s="1"/>
  <c r="P695" i="12"/>
  <c r="N695" i="12" s="1"/>
  <c r="P694" i="12"/>
  <c r="N694" i="12" s="1"/>
  <c r="P690" i="12"/>
  <c r="N690" i="12" s="1"/>
  <c r="P697" i="12"/>
  <c r="N697" i="12" s="1"/>
  <c r="P689" i="12"/>
  <c r="N689" i="12" s="1"/>
  <c r="P693" i="12"/>
  <c r="N693" i="12" s="1"/>
  <c r="P687" i="12"/>
  <c r="N687" i="12" s="1"/>
  <c r="P691" i="12"/>
  <c r="N691" i="12" s="1"/>
  <c r="W698" i="12"/>
  <c r="U698" i="12" s="1"/>
  <c r="W699" i="12"/>
  <c r="U699" i="12" s="1"/>
  <c r="P703" i="12" l="1"/>
  <c r="N703" i="12" s="1"/>
  <c r="P705" i="12"/>
  <c r="N705" i="12" s="1"/>
  <c r="P709" i="12"/>
  <c r="N709" i="12" s="1"/>
  <c r="P706" i="12"/>
  <c r="N706" i="12" s="1"/>
  <c r="P704" i="12"/>
  <c r="N704" i="12" s="1"/>
  <c r="P699" i="12"/>
  <c r="N699" i="12" s="1"/>
  <c r="P701" i="12"/>
  <c r="N701" i="12" s="1"/>
  <c r="P702" i="12"/>
  <c r="N702" i="12" s="1"/>
  <c r="P707" i="12"/>
  <c r="N707" i="12" s="1"/>
  <c r="P708" i="12"/>
  <c r="N708" i="12" s="1"/>
  <c r="P700" i="12"/>
  <c r="N700" i="12" s="1"/>
</calcChain>
</file>

<file path=xl/sharedStrings.xml><?xml version="1.0" encoding="utf-8"?>
<sst xmlns="http://schemas.openxmlformats.org/spreadsheetml/2006/main" count="8210" uniqueCount="314">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</sst>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2"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
      <sz val="11"/>
      <color theme="1"/>
      <name val="Arial"/>
    </font>
  </fonts>
  <fills count="21">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
      <patternFill patternType="solid">
        <fgColor rgb="FF000000"/>
        <bgColor indexed="64"/>
      </patternFill>
    </fill>
  </fills>
  <borders count="9">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top/>
      <bottom style="thin">
        <color theme="1"/>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5">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0" borderId="8" xfId="0" applyFont="1" applyFill="1" applyBorder="1" applyAlignment="1">
      <alignment horizontal="left" vertical="top"/>
    </xf>
    <xf numFmtId="0" fontId="2" fillId="2" borderId="0" xfId="0" applyFont="1" applyFill="1" applyBorder="1" applyAlignment="1">
      <alignment horizontal="left" vertical="top"/>
    </xf>
    <xf numFmtId="2" fontId="21" fillId="17" borderId="3" xfId="0" applyNumberFormat="1" applyFont="1" applyFill="1" applyBorder="1" applyAlignment="1" applyProtection="1">
      <alignment horizontal="left" vertical="top"/>
      <protection locked="0"/>
    </xf>
    <xf numFmtId="0" fontId="21" fillId="17" borderId="3" xfId="0" applyFont="1" applyFill="1" applyBorder="1" applyAlignment="1" applyProtection="1">
      <alignment horizontal="left" vertical="top"/>
      <protection locked="0"/>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3">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top style="thin">
          <color theme="1"/>
        </top>
      </border>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bottom style="thin">
          <color theme="1"/>
        </bottom>
      </border>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09" totalsRowShown="0" headerRowDxfId="22" dataDxfId="20" headerRowBorderDxfId="21" tableBorderDxfId="19">
  <autoFilter ref="A1:A709" xr:uid="{F2A1D372-9E7B-4BDF-B847-E01175FEE0AF}">
    <filterColumn colId="0" hiddenButton="1"/>
  </autoFilter>
  <tableColumns count="1">
    <tableColumn id="1" xr3:uid="{CA3FB516-A18A-40A8-8460-4C8CA0E5ED87}" name="EMPRESA JÚNIOR" dataDxfId="18"/>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335" totalsRowShown="0" headerRowDxfId="10" dataDxfId="9" tableBorderDxfId="8">
  <autoFilter ref="A1:G335"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5.bin"/><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12"/>
  <sheetViews>
    <sheetView zoomScaleNormal="100" workbookViewId="0">
      <pane xSplit="1" ySplit="1" topLeftCell="O633" activePane="bottomRight" state="frozen"/>
      <selection pane="topRight" activeCell="B1" sqref="B1"/>
      <selection pane="bottomLeft" activeCell="A2" sqref="A2"/>
      <selection pane="bottomRight" activeCell="S572" sqref="S572"/>
    </sheetView>
  </sheetViews>
  <sheetFormatPr defaultRowHeight="14.25" x14ac:dyDescent="0.2"/>
  <cols>
    <col min="1" max="1" width="22.6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0.375" style="5" customWidth="1"/>
    <col min="16" max="16" width="16.75" bestFit="1" customWidth="1"/>
    <col min="17" max="17" width="21.25" bestFit="1" customWidth="1"/>
    <col min="18" max="18" width="27.75" bestFit="1" customWidth="1"/>
    <col min="19" max="19" width="32.125" style="87" bestFit="1" customWidth="1"/>
  </cols>
  <sheetData>
    <row r="1" spans="1:21" s="60" customFormat="1" ht="15.75" x14ac:dyDescent="0.25">
      <c r="A1" s="58" t="s">
        <v>0</v>
      </c>
      <c r="B1" s="58" t="s">
        <v>240</v>
      </c>
      <c r="C1" s="58" t="s">
        <v>258</v>
      </c>
      <c r="D1" s="59" t="s">
        <v>259</v>
      </c>
      <c r="E1" s="59" t="s">
        <v>260</v>
      </c>
      <c r="F1" s="59" t="s">
        <v>261</v>
      </c>
      <c r="G1" s="59" t="s">
        <v>262</v>
      </c>
      <c r="H1" s="59" t="s">
        <v>263</v>
      </c>
      <c r="I1" s="59" t="s">
        <v>264</v>
      </c>
      <c r="J1" s="59" t="s">
        <v>265</v>
      </c>
      <c r="K1" s="59" t="s">
        <v>266</v>
      </c>
      <c r="L1" s="58" t="s">
        <v>267</v>
      </c>
      <c r="M1" s="58" t="s">
        <v>268</v>
      </c>
      <c r="N1" s="56" t="s">
        <v>270</v>
      </c>
      <c r="O1" s="56" t="s">
        <v>269</v>
      </c>
      <c r="P1" s="58" t="s">
        <v>280</v>
      </c>
      <c r="Q1" s="58" t="s">
        <v>281</v>
      </c>
      <c r="R1" s="56" t="s">
        <v>282</v>
      </c>
      <c r="S1" s="86" t="s">
        <v>283</v>
      </c>
    </row>
    <row r="2" spans="1:21" x14ac:dyDescent="0.2">
      <c r="A2" s="6" t="s">
        <v>83</v>
      </c>
      <c r="B2" s="92" t="s">
        <v>151</v>
      </c>
      <c r="C2" s="92">
        <v>1</v>
      </c>
      <c r="D2" s="90">
        <v>0</v>
      </c>
      <c r="E2" s="90">
        <v>0</v>
      </c>
      <c r="F2" s="90">
        <f>D2</f>
        <v>0</v>
      </c>
      <c r="G2" s="90">
        <f>E2</f>
        <v>0</v>
      </c>
      <c r="H2" s="91">
        <v>0</v>
      </c>
      <c r="I2" s="91">
        <v>0</v>
      </c>
      <c r="J2" s="91">
        <f>H2</f>
        <v>0</v>
      </c>
      <c r="K2" s="91">
        <f>I2</f>
        <v>0</v>
      </c>
      <c r="L2" s="92">
        <v>2</v>
      </c>
      <c r="M2" s="93">
        <v>4050</v>
      </c>
      <c r="N2" s="94">
        <f>L2</f>
        <v>2</v>
      </c>
      <c r="O2" s="94">
        <f>M2</f>
        <v>4050</v>
      </c>
      <c r="P2">
        <v>4</v>
      </c>
      <c r="Q2">
        <v>1892</v>
      </c>
      <c r="R2">
        <v>4</v>
      </c>
      <c r="S2">
        <v>1892</v>
      </c>
    </row>
    <row r="3" spans="1:21" x14ac:dyDescent="0.2">
      <c r="A3" s="6" t="s">
        <v>83</v>
      </c>
      <c r="B3" s="92" t="s">
        <v>152</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v>5</v>
      </c>
      <c r="Q3">
        <v>5605</v>
      </c>
      <c r="R3">
        <v>9</v>
      </c>
      <c r="S3">
        <v>7497</v>
      </c>
    </row>
    <row r="4" spans="1:21" x14ac:dyDescent="0.2">
      <c r="A4" s="6" t="s">
        <v>83</v>
      </c>
      <c r="B4" s="92" t="s">
        <v>153</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v>0</v>
      </c>
      <c r="Q4">
        <v>0</v>
      </c>
      <c r="R4">
        <v>9</v>
      </c>
      <c r="S4">
        <v>7497</v>
      </c>
    </row>
    <row r="5" spans="1:21" x14ac:dyDescent="0.2">
      <c r="A5" s="6" t="s">
        <v>83</v>
      </c>
      <c r="B5" s="92" t="s">
        <v>154</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v>0</v>
      </c>
      <c r="Q5">
        <v>0</v>
      </c>
      <c r="R5">
        <v>9</v>
      </c>
      <c r="S5">
        <v>7497</v>
      </c>
    </row>
    <row r="6" spans="1:21" x14ac:dyDescent="0.2">
      <c r="A6" s="6" t="s">
        <v>83</v>
      </c>
      <c r="B6" s="92" t="s">
        <v>155</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v>0</v>
      </c>
      <c r="Q6">
        <v>0</v>
      </c>
      <c r="R6">
        <v>9</v>
      </c>
      <c r="S6">
        <v>7497</v>
      </c>
    </row>
    <row r="7" spans="1:21" x14ac:dyDescent="0.2">
      <c r="A7" s="6" t="s">
        <v>83</v>
      </c>
      <c r="B7" s="92" t="s">
        <v>156</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v>1</v>
      </c>
      <c r="Q7">
        <v>2220</v>
      </c>
      <c r="R7">
        <v>10</v>
      </c>
      <c r="S7">
        <v>9717</v>
      </c>
      <c r="U7" t="s">
        <v>289</v>
      </c>
    </row>
    <row r="8" spans="1:21" x14ac:dyDescent="0.2">
      <c r="A8" s="6" t="s">
        <v>83</v>
      </c>
      <c r="B8" s="92" t="s">
        <v>157</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v>0</v>
      </c>
      <c r="Q8">
        <v>0</v>
      </c>
      <c r="R8">
        <v>10</v>
      </c>
      <c r="S8">
        <v>9717</v>
      </c>
    </row>
    <row r="9" spans="1:21" x14ac:dyDescent="0.2">
      <c r="A9" s="6" t="s">
        <v>83</v>
      </c>
      <c r="B9" s="92" t="s">
        <v>158</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2">
      <c r="A10" s="6" t="s">
        <v>83</v>
      </c>
      <c r="B10" s="92" t="s">
        <v>159</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2">
      <c r="A11" s="6" t="s">
        <v>83</v>
      </c>
      <c r="B11" s="92" t="s">
        <v>160</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2">
      <c r="A12" s="6" t="s">
        <v>83</v>
      </c>
      <c r="B12" s="92" t="s">
        <v>161</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2">
      <c r="A13" s="6" t="s">
        <v>83</v>
      </c>
      <c r="B13" s="92" t="s">
        <v>162</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2">
      <c r="A14" s="6" t="s">
        <v>94</v>
      </c>
      <c r="B14" s="92" t="s">
        <v>151</v>
      </c>
      <c r="C14" s="92">
        <v>1</v>
      </c>
      <c r="D14" s="90">
        <v>0</v>
      </c>
      <c r="E14" s="90">
        <v>0</v>
      </c>
      <c r="F14" s="90">
        <f>D14</f>
        <v>0</v>
      </c>
      <c r="G14" s="90">
        <f>E14</f>
        <v>0</v>
      </c>
      <c r="H14" s="90">
        <v>0</v>
      </c>
      <c r="I14" s="90">
        <v>0</v>
      </c>
      <c r="J14" s="90">
        <f>H14</f>
        <v>0</v>
      </c>
      <c r="K14" s="90">
        <f>I14</f>
        <v>0</v>
      </c>
      <c r="L14" s="92">
        <v>0</v>
      </c>
      <c r="M14" s="93">
        <v>0</v>
      </c>
      <c r="N14" s="94">
        <f>L14</f>
        <v>0</v>
      </c>
      <c r="O14" s="94">
        <f>M14</f>
        <v>0</v>
      </c>
      <c r="P14">
        <v>1</v>
      </c>
      <c r="Q14">
        <v>244</v>
      </c>
      <c r="R14">
        <v>1</v>
      </c>
      <c r="S14">
        <v>244</v>
      </c>
    </row>
    <row r="15" spans="1:21" x14ac:dyDescent="0.2">
      <c r="A15" s="6" t="s">
        <v>94</v>
      </c>
      <c r="B15" s="92" t="s">
        <v>152</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v>0</v>
      </c>
      <c r="Q15">
        <v>0</v>
      </c>
      <c r="R15">
        <v>1</v>
      </c>
      <c r="S15">
        <v>244</v>
      </c>
    </row>
    <row r="16" spans="1:21" x14ac:dyDescent="0.2">
      <c r="A16" s="6" t="s">
        <v>94</v>
      </c>
      <c r="B16" s="92" t="s">
        <v>153</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v>0</v>
      </c>
      <c r="Q16">
        <v>0</v>
      </c>
      <c r="R16">
        <v>1</v>
      </c>
      <c r="S16">
        <v>244</v>
      </c>
    </row>
    <row r="17" spans="1:19" x14ac:dyDescent="0.2">
      <c r="A17" s="6" t="s">
        <v>94</v>
      </c>
      <c r="B17" s="92" t="s">
        <v>154</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v>1</v>
      </c>
      <c r="Q17">
        <v>122</v>
      </c>
      <c r="R17">
        <v>2</v>
      </c>
      <c r="S17">
        <v>366</v>
      </c>
    </row>
    <row r="18" spans="1:19" x14ac:dyDescent="0.2">
      <c r="A18" s="6" t="s">
        <v>94</v>
      </c>
      <c r="B18" s="92" t="s">
        <v>155</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v>0</v>
      </c>
      <c r="Q18">
        <v>0</v>
      </c>
      <c r="R18">
        <v>2</v>
      </c>
      <c r="S18">
        <v>366</v>
      </c>
    </row>
    <row r="19" spans="1:19" x14ac:dyDescent="0.2">
      <c r="A19" s="6" t="s">
        <v>94</v>
      </c>
      <c r="B19" s="92" t="s">
        <v>156</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v>2</v>
      </c>
      <c r="Q19">
        <v>1</v>
      </c>
      <c r="R19">
        <v>4</v>
      </c>
      <c r="S19">
        <v>367</v>
      </c>
    </row>
    <row r="20" spans="1:19" x14ac:dyDescent="0.2">
      <c r="A20" s="6" t="s">
        <v>94</v>
      </c>
      <c r="B20" s="92" t="s">
        <v>157</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v>0</v>
      </c>
      <c r="Q20">
        <v>0</v>
      </c>
      <c r="R20">
        <v>4</v>
      </c>
      <c r="S20">
        <v>367</v>
      </c>
    </row>
    <row r="21" spans="1:19" x14ac:dyDescent="0.2">
      <c r="A21" s="6" t="s">
        <v>94</v>
      </c>
      <c r="B21" s="92" t="s">
        <v>158</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2">
      <c r="A22" s="6" t="s">
        <v>94</v>
      </c>
      <c r="B22" s="92" t="s">
        <v>159</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2">
      <c r="A23" s="6" t="s">
        <v>94</v>
      </c>
      <c r="B23" s="92" t="s">
        <v>160</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2">
      <c r="A24" s="6" t="s">
        <v>94</v>
      </c>
      <c r="B24" s="92" t="s">
        <v>161</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2">
      <c r="A25" s="6" t="s">
        <v>94</v>
      </c>
      <c r="B25" s="92" t="s">
        <v>162</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2">
      <c r="A26" s="6" t="s">
        <v>55</v>
      </c>
      <c r="B26" s="92" t="s">
        <v>151</v>
      </c>
      <c r="C26" s="92">
        <v>1</v>
      </c>
      <c r="D26" s="90">
        <v>0</v>
      </c>
      <c r="E26" s="90">
        <v>0</v>
      </c>
      <c r="F26" s="90">
        <f>D26</f>
        <v>0</v>
      </c>
      <c r="G26" s="90">
        <f>E26</f>
        <v>0</v>
      </c>
      <c r="H26" s="91">
        <v>0</v>
      </c>
      <c r="I26" s="91">
        <v>0</v>
      </c>
      <c r="J26" s="91">
        <f>H26</f>
        <v>0</v>
      </c>
      <c r="K26" s="91">
        <f>I26</f>
        <v>0</v>
      </c>
      <c r="L26" s="92">
        <v>0</v>
      </c>
      <c r="M26" s="93">
        <v>0</v>
      </c>
      <c r="N26" s="94">
        <f>L26</f>
        <v>0</v>
      </c>
      <c r="O26" s="94">
        <f>M26</f>
        <v>0</v>
      </c>
      <c r="P26">
        <v>0</v>
      </c>
      <c r="Q26">
        <v>0</v>
      </c>
      <c r="R26">
        <v>0</v>
      </c>
      <c r="S26">
        <v>0</v>
      </c>
    </row>
    <row r="27" spans="1:19" x14ac:dyDescent="0.2">
      <c r="A27" s="6" t="s">
        <v>55</v>
      </c>
      <c r="B27" s="92" t="s">
        <v>152</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v>1</v>
      </c>
      <c r="Q27">
        <v>900</v>
      </c>
      <c r="R27">
        <v>1</v>
      </c>
      <c r="S27">
        <v>900</v>
      </c>
    </row>
    <row r="28" spans="1:19" x14ac:dyDescent="0.2">
      <c r="A28" s="6" t="s">
        <v>55</v>
      </c>
      <c r="B28" s="92" t="s">
        <v>153</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v>2</v>
      </c>
      <c r="Q28">
        <v>3464.08</v>
      </c>
      <c r="R28">
        <v>3</v>
      </c>
      <c r="S28">
        <v>4364.08</v>
      </c>
    </row>
    <row r="29" spans="1:19" x14ac:dyDescent="0.2">
      <c r="A29" s="6" t="s">
        <v>55</v>
      </c>
      <c r="B29" s="92" t="s">
        <v>154</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v>1</v>
      </c>
      <c r="Q29">
        <v>1454</v>
      </c>
      <c r="R29">
        <v>4</v>
      </c>
      <c r="S29">
        <v>5818.08</v>
      </c>
    </row>
    <row r="30" spans="1:19" x14ac:dyDescent="0.2">
      <c r="A30" s="6" t="s">
        <v>55</v>
      </c>
      <c r="B30" s="92" t="s">
        <v>155</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v>0</v>
      </c>
      <c r="Q30">
        <v>0</v>
      </c>
      <c r="R30">
        <v>4</v>
      </c>
      <c r="S30">
        <v>5818.08</v>
      </c>
    </row>
    <row r="31" spans="1:19" x14ac:dyDescent="0.2">
      <c r="A31" s="6" t="s">
        <v>55</v>
      </c>
      <c r="B31" s="92" t="s">
        <v>156</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v>1</v>
      </c>
      <c r="Q31">
        <v>300</v>
      </c>
      <c r="R31">
        <v>5</v>
      </c>
      <c r="S31">
        <v>6118.08</v>
      </c>
    </row>
    <row r="32" spans="1:19" x14ac:dyDescent="0.2">
      <c r="A32" s="6" t="s">
        <v>55</v>
      </c>
      <c r="B32" s="92" t="s">
        <v>157</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v>5</v>
      </c>
      <c r="Q32">
        <v>14140</v>
      </c>
      <c r="R32">
        <v>10</v>
      </c>
      <c r="S32">
        <v>20258.080000000002</v>
      </c>
    </row>
    <row r="33" spans="1:19" x14ac:dyDescent="0.2">
      <c r="A33" s="6" t="s">
        <v>55</v>
      </c>
      <c r="B33" s="92" t="s">
        <v>158</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2">
      <c r="A34" s="6" t="s">
        <v>55</v>
      </c>
      <c r="B34" s="92" t="s">
        <v>159</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2">
      <c r="A35" s="6" t="s">
        <v>55</v>
      </c>
      <c r="B35" s="92" t="s">
        <v>160</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2">
      <c r="A36" s="6" t="s">
        <v>55</v>
      </c>
      <c r="B36" s="92" t="s">
        <v>161</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2">
      <c r="A37" s="6" t="s">
        <v>55</v>
      </c>
      <c r="B37" s="92" t="s">
        <v>162</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2">
      <c r="A38" s="6" t="s">
        <v>142</v>
      </c>
      <c r="B38" s="92" t="s">
        <v>151</v>
      </c>
      <c r="C38" s="92">
        <v>1</v>
      </c>
      <c r="D38" s="95">
        <v>1</v>
      </c>
      <c r="E38" s="95">
        <v>350</v>
      </c>
      <c r="F38" s="90">
        <f>D38</f>
        <v>1</v>
      </c>
      <c r="G38" s="90">
        <f>E38</f>
        <v>350</v>
      </c>
      <c r="H38" s="91">
        <v>0</v>
      </c>
      <c r="I38" s="91">
        <v>0</v>
      </c>
      <c r="J38" s="91">
        <f>H38</f>
        <v>0</v>
      </c>
      <c r="K38" s="91">
        <f>I38</f>
        <v>0</v>
      </c>
      <c r="L38" s="92">
        <v>0</v>
      </c>
      <c r="M38" s="93">
        <v>0</v>
      </c>
      <c r="N38" s="94">
        <f>L38</f>
        <v>0</v>
      </c>
      <c r="O38" s="94">
        <f>M38</f>
        <v>0</v>
      </c>
      <c r="P38">
        <v>1</v>
      </c>
      <c r="Q38">
        <v>1305</v>
      </c>
      <c r="R38">
        <v>1</v>
      </c>
      <c r="S38">
        <v>1305</v>
      </c>
    </row>
    <row r="39" spans="1:19" x14ac:dyDescent="0.2">
      <c r="A39" s="6" t="s">
        <v>142</v>
      </c>
      <c r="B39" s="92" t="s">
        <v>152</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v>3</v>
      </c>
      <c r="Q39">
        <v>6368.8</v>
      </c>
      <c r="R39">
        <v>4</v>
      </c>
      <c r="S39">
        <v>7673.8</v>
      </c>
    </row>
    <row r="40" spans="1:19" x14ac:dyDescent="0.2">
      <c r="A40" s="6" t="s">
        <v>142</v>
      </c>
      <c r="B40" s="92" t="s">
        <v>153</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v>1</v>
      </c>
      <c r="Q40">
        <v>3500</v>
      </c>
      <c r="R40">
        <v>5</v>
      </c>
      <c r="S40">
        <v>11173.8</v>
      </c>
    </row>
    <row r="41" spans="1:19" x14ac:dyDescent="0.2">
      <c r="A41" s="6" t="s">
        <v>142</v>
      </c>
      <c r="B41" s="92" t="s">
        <v>154</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v>0</v>
      </c>
      <c r="Q41">
        <v>0</v>
      </c>
      <c r="R41">
        <v>5</v>
      </c>
      <c r="S41">
        <v>11173.8</v>
      </c>
    </row>
    <row r="42" spans="1:19" x14ac:dyDescent="0.2">
      <c r="A42" s="6" t="s">
        <v>142</v>
      </c>
      <c r="B42" s="92" t="s">
        <v>155</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v>2</v>
      </c>
      <c r="Q42">
        <v>6900</v>
      </c>
      <c r="R42">
        <v>7</v>
      </c>
      <c r="S42">
        <v>18073.8</v>
      </c>
    </row>
    <row r="43" spans="1:19" x14ac:dyDescent="0.2">
      <c r="A43" s="6" t="s">
        <v>142</v>
      </c>
      <c r="B43" s="92" t="s">
        <v>156</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v>1</v>
      </c>
      <c r="Q43">
        <v>2200</v>
      </c>
      <c r="R43">
        <v>8</v>
      </c>
      <c r="S43">
        <v>20273.8</v>
      </c>
    </row>
    <row r="44" spans="1:19" x14ac:dyDescent="0.2">
      <c r="A44" s="6" t="s">
        <v>142</v>
      </c>
      <c r="B44" s="92" t="s">
        <v>157</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v>0</v>
      </c>
      <c r="Q44">
        <v>0</v>
      </c>
      <c r="R44">
        <v>8</v>
      </c>
      <c r="S44">
        <v>20273.8</v>
      </c>
    </row>
    <row r="45" spans="1:19" x14ac:dyDescent="0.2">
      <c r="A45" s="6" t="s">
        <v>142</v>
      </c>
      <c r="B45" s="92" t="s">
        <v>158</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2">
      <c r="A46" s="6" t="s">
        <v>142</v>
      </c>
      <c r="B46" s="92" t="s">
        <v>159</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2">
      <c r="A47" s="6" t="s">
        <v>142</v>
      </c>
      <c r="B47" s="92" t="s">
        <v>160</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2">
      <c r="A48" s="6" t="s">
        <v>142</v>
      </c>
      <c r="B48" s="92" t="s">
        <v>161</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2">
      <c r="A49" s="6" t="s">
        <v>142</v>
      </c>
      <c r="B49" s="92" t="s">
        <v>162</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2">
      <c r="A50" s="6" t="s">
        <v>65</v>
      </c>
      <c r="B50" s="92" t="s">
        <v>151</v>
      </c>
      <c r="C50" s="92">
        <v>1</v>
      </c>
      <c r="D50" s="90">
        <v>0</v>
      </c>
      <c r="E50" s="90">
        <v>0</v>
      </c>
      <c r="F50" s="90">
        <f>D50</f>
        <v>0</v>
      </c>
      <c r="G50" s="90">
        <f>E50</f>
        <v>0</v>
      </c>
      <c r="H50" s="90">
        <v>0</v>
      </c>
      <c r="I50" s="90">
        <v>0</v>
      </c>
      <c r="J50" s="90">
        <f>H50</f>
        <v>0</v>
      </c>
      <c r="K50" s="90">
        <f>I50</f>
        <v>0</v>
      </c>
      <c r="L50" s="92">
        <v>0</v>
      </c>
      <c r="M50" s="93">
        <v>0</v>
      </c>
      <c r="N50" s="94">
        <f>L50</f>
        <v>0</v>
      </c>
      <c r="O50" s="94">
        <f>M50</f>
        <v>0</v>
      </c>
      <c r="P50">
        <v>2</v>
      </c>
      <c r="Q50">
        <v>4500</v>
      </c>
      <c r="R50">
        <v>2</v>
      </c>
      <c r="S50">
        <v>4500</v>
      </c>
    </row>
    <row r="51" spans="1:19" x14ac:dyDescent="0.2">
      <c r="A51" s="6" t="s">
        <v>65</v>
      </c>
      <c r="B51" s="92" t="s">
        <v>152</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v>0</v>
      </c>
      <c r="Q51">
        <v>0</v>
      </c>
      <c r="R51">
        <v>2</v>
      </c>
      <c r="S51">
        <v>4500</v>
      </c>
    </row>
    <row r="52" spans="1:19" x14ac:dyDescent="0.2">
      <c r="A52" s="6" t="s">
        <v>65</v>
      </c>
      <c r="B52" s="92" t="s">
        <v>153</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v>2</v>
      </c>
      <c r="Q52">
        <v>700</v>
      </c>
      <c r="R52">
        <v>4</v>
      </c>
      <c r="S52">
        <v>5200</v>
      </c>
    </row>
    <row r="53" spans="1:19" x14ac:dyDescent="0.2">
      <c r="A53" s="6" t="s">
        <v>65</v>
      </c>
      <c r="B53" s="92" t="s">
        <v>154</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v>0</v>
      </c>
      <c r="Q53">
        <v>0</v>
      </c>
      <c r="R53">
        <v>4</v>
      </c>
      <c r="S53">
        <v>5200</v>
      </c>
    </row>
    <row r="54" spans="1:19" x14ac:dyDescent="0.2">
      <c r="A54" s="6" t="s">
        <v>65</v>
      </c>
      <c r="B54" s="92" t="s">
        <v>155</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v>0</v>
      </c>
      <c r="Q54">
        <v>0</v>
      </c>
      <c r="R54">
        <v>4</v>
      </c>
      <c r="S54">
        <v>5200</v>
      </c>
    </row>
    <row r="55" spans="1:19" x14ac:dyDescent="0.2">
      <c r="A55" s="6" t="s">
        <v>65</v>
      </c>
      <c r="B55" s="92" t="s">
        <v>156</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v>4</v>
      </c>
      <c r="Q55">
        <v>6644</v>
      </c>
      <c r="R55">
        <v>8</v>
      </c>
      <c r="S55">
        <v>11844</v>
      </c>
    </row>
    <row r="56" spans="1:19" x14ac:dyDescent="0.2">
      <c r="A56" s="6" t="s">
        <v>65</v>
      </c>
      <c r="B56" s="92" t="s">
        <v>157</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v>2</v>
      </c>
      <c r="Q56">
        <v>3447.9</v>
      </c>
      <c r="R56">
        <v>10</v>
      </c>
      <c r="S56">
        <v>15291.9</v>
      </c>
    </row>
    <row r="57" spans="1:19" x14ac:dyDescent="0.2">
      <c r="A57" s="6" t="s">
        <v>65</v>
      </c>
      <c r="B57" s="92" t="s">
        <v>158</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2">
      <c r="A58" s="6" t="s">
        <v>65</v>
      </c>
      <c r="B58" s="92" t="s">
        <v>159</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2">
      <c r="A59" s="6" t="s">
        <v>65</v>
      </c>
      <c r="B59" s="92" t="s">
        <v>160</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2">
      <c r="A60" s="6" t="s">
        <v>65</v>
      </c>
      <c r="B60" s="92" t="s">
        <v>161</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2">
      <c r="A61" s="6" t="s">
        <v>65</v>
      </c>
      <c r="B61" s="92" t="s">
        <v>162</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2">
      <c r="A62" s="6" t="s">
        <v>41</v>
      </c>
      <c r="B62" s="92" t="s">
        <v>151</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v>405</v>
      </c>
      <c r="Q62">
        <v>9015</v>
      </c>
      <c r="R62">
        <v>405</v>
      </c>
      <c r="S62">
        <v>9015</v>
      </c>
    </row>
    <row r="63" spans="1:19" x14ac:dyDescent="0.2">
      <c r="A63" s="6" t="s">
        <v>41</v>
      </c>
      <c r="B63" s="92" t="s">
        <v>152</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v>323</v>
      </c>
      <c r="Q63">
        <v>10105</v>
      </c>
      <c r="R63">
        <v>728</v>
      </c>
      <c r="S63">
        <v>19120</v>
      </c>
    </row>
    <row r="64" spans="1:19" x14ac:dyDescent="0.2">
      <c r="A64" s="6" t="s">
        <v>41</v>
      </c>
      <c r="B64" s="92" t="s">
        <v>153</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v>1</v>
      </c>
      <c r="Q64">
        <v>1200</v>
      </c>
      <c r="R64">
        <v>729</v>
      </c>
      <c r="S64">
        <v>20320</v>
      </c>
    </row>
    <row r="65" spans="1:19" x14ac:dyDescent="0.2">
      <c r="A65" s="6" t="s">
        <v>41</v>
      </c>
      <c r="B65" s="92" t="s">
        <v>154</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v>4</v>
      </c>
      <c r="Q65">
        <v>4240</v>
      </c>
      <c r="R65">
        <v>733</v>
      </c>
      <c r="S65">
        <v>24560</v>
      </c>
    </row>
    <row r="66" spans="1:19" x14ac:dyDescent="0.2">
      <c r="A66" s="6" t="s">
        <v>41</v>
      </c>
      <c r="B66" s="92" t="s">
        <v>155</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v>11</v>
      </c>
      <c r="Q66">
        <v>5390</v>
      </c>
      <c r="R66">
        <v>744</v>
      </c>
      <c r="S66">
        <v>29950</v>
      </c>
    </row>
    <row r="67" spans="1:19" x14ac:dyDescent="0.2">
      <c r="A67" s="6" t="s">
        <v>41</v>
      </c>
      <c r="B67" s="92" t="s">
        <v>156</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v>11</v>
      </c>
      <c r="Q67">
        <v>4865</v>
      </c>
      <c r="R67">
        <v>755</v>
      </c>
      <c r="S67">
        <v>34815</v>
      </c>
    </row>
    <row r="68" spans="1:19" x14ac:dyDescent="0.2">
      <c r="A68" s="6" t="s">
        <v>41</v>
      </c>
      <c r="B68" s="92" t="s">
        <v>157</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v>10</v>
      </c>
      <c r="Q68">
        <v>4111.3999999999996</v>
      </c>
      <c r="R68">
        <v>765</v>
      </c>
      <c r="S68">
        <v>38926.400000000001</v>
      </c>
    </row>
    <row r="69" spans="1:19" x14ac:dyDescent="0.2">
      <c r="A69" s="6" t="s">
        <v>41</v>
      </c>
      <c r="B69" s="92" t="s">
        <v>158</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2">
      <c r="A70" s="6" t="s">
        <v>41</v>
      </c>
      <c r="B70" s="92" t="s">
        <v>159</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2">
      <c r="A71" s="6" t="s">
        <v>41</v>
      </c>
      <c r="B71" s="92" t="s">
        <v>160</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2">
      <c r="A72" s="6" t="s">
        <v>41</v>
      </c>
      <c r="B72" s="92" t="s">
        <v>161</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2">
      <c r="A73" s="6" t="s">
        <v>41</v>
      </c>
      <c r="B73" s="92" t="s">
        <v>162</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2">
      <c r="A74" s="6" t="s">
        <v>62</v>
      </c>
      <c r="B74" s="92" t="s">
        <v>151</v>
      </c>
      <c r="C74" s="92">
        <v>1</v>
      </c>
      <c r="D74" s="90">
        <v>0</v>
      </c>
      <c r="E74" s="90">
        <v>0</v>
      </c>
      <c r="F74" s="90">
        <f>D74</f>
        <v>0</v>
      </c>
      <c r="G74" s="90">
        <f>E74</f>
        <v>0</v>
      </c>
      <c r="H74" s="90">
        <v>0</v>
      </c>
      <c r="I74" s="90">
        <v>0</v>
      </c>
      <c r="J74" s="90">
        <f>H74</f>
        <v>0</v>
      </c>
      <c r="K74" s="90">
        <f>I74</f>
        <v>0</v>
      </c>
      <c r="L74" s="92">
        <v>0</v>
      </c>
      <c r="M74" s="93">
        <v>0</v>
      </c>
      <c r="N74" s="94">
        <f>L74</f>
        <v>0</v>
      </c>
      <c r="O74" s="94">
        <f>M74</f>
        <v>0</v>
      </c>
      <c r="P74">
        <v>0</v>
      </c>
      <c r="Q74">
        <v>0</v>
      </c>
      <c r="R74">
        <v>0</v>
      </c>
      <c r="S74">
        <v>0</v>
      </c>
    </row>
    <row r="75" spans="1:19" x14ac:dyDescent="0.2">
      <c r="A75" s="6" t="s">
        <v>62</v>
      </c>
      <c r="B75" s="92" t="s">
        <v>152</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v>1</v>
      </c>
      <c r="Q75">
        <v>600</v>
      </c>
      <c r="R75">
        <v>1</v>
      </c>
      <c r="S75">
        <v>600</v>
      </c>
    </row>
    <row r="76" spans="1:19" x14ac:dyDescent="0.2">
      <c r="A76" s="6" t="s">
        <v>62</v>
      </c>
      <c r="B76" s="92" t="s">
        <v>153</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v>0</v>
      </c>
      <c r="Q76">
        <v>0</v>
      </c>
      <c r="R76">
        <v>1</v>
      </c>
      <c r="S76">
        <v>600</v>
      </c>
    </row>
    <row r="77" spans="1:19" x14ac:dyDescent="0.2">
      <c r="A77" s="6" t="s">
        <v>62</v>
      </c>
      <c r="B77" s="92" t="s">
        <v>154</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v>0</v>
      </c>
      <c r="Q77">
        <v>0</v>
      </c>
      <c r="R77">
        <v>1</v>
      </c>
      <c r="S77">
        <v>600</v>
      </c>
    </row>
    <row r="78" spans="1:19" x14ac:dyDescent="0.2">
      <c r="A78" s="6" t="s">
        <v>62</v>
      </c>
      <c r="B78" s="92" t="s">
        <v>155</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v>0</v>
      </c>
      <c r="Q78">
        <v>0</v>
      </c>
      <c r="R78">
        <v>1</v>
      </c>
      <c r="S78">
        <v>600</v>
      </c>
    </row>
    <row r="79" spans="1:19" x14ac:dyDescent="0.2">
      <c r="A79" s="6" t="s">
        <v>62</v>
      </c>
      <c r="B79" s="92" t="s">
        <v>156</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v>0</v>
      </c>
      <c r="Q79">
        <v>0</v>
      </c>
      <c r="R79">
        <v>1</v>
      </c>
      <c r="S79">
        <v>600</v>
      </c>
    </row>
    <row r="80" spans="1:19" x14ac:dyDescent="0.2">
      <c r="A80" s="6" t="s">
        <v>62</v>
      </c>
      <c r="B80" s="92" t="s">
        <v>157</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v>0</v>
      </c>
      <c r="Q80">
        <v>0</v>
      </c>
      <c r="R80">
        <v>1</v>
      </c>
      <c r="S80">
        <v>600</v>
      </c>
    </row>
    <row r="81" spans="1:19" x14ac:dyDescent="0.2">
      <c r="A81" s="6" t="s">
        <v>62</v>
      </c>
      <c r="B81" s="92" t="s">
        <v>158</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2">
      <c r="A82" s="6" t="s">
        <v>62</v>
      </c>
      <c r="B82" s="92" t="s">
        <v>159</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2">
      <c r="A83" s="6" t="s">
        <v>62</v>
      </c>
      <c r="B83" s="92" t="s">
        <v>160</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2">
      <c r="A84" s="6" t="s">
        <v>62</v>
      </c>
      <c r="B84" s="92" t="s">
        <v>161</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2">
      <c r="A85" s="6" t="s">
        <v>62</v>
      </c>
      <c r="B85" s="92" t="s">
        <v>162</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2">
      <c r="A86" s="6" t="s">
        <v>114</v>
      </c>
      <c r="B86" s="92" t="s">
        <v>151</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v>0</v>
      </c>
      <c r="Q86">
        <v>0</v>
      </c>
      <c r="R86">
        <v>0</v>
      </c>
      <c r="S86">
        <v>0</v>
      </c>
    </row>
    <row r="87" spans="1:19" x14ac:dyDescent="0.2">
      <c r="A87" s="6" t="s">
        <v>114</v>
      </c>
      <c r="B87" s="92" t="s">
        <v>152</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v>2</v>
      </c>
      <c r="Q87">
        <v>4750</v>
      </c>
      <c r="R87">
        <v>2</v>
      </c>
      <c r="S87">
        <v>4750</v>
      </c>
    </row>
    <row r="88" spans="1:19" x14ac:dyDescent="0.2">
      <c r="A88" s="6" t="s">
        <v>114</v>
      </c>
      <c r="B88" s="92" t="s">
        <v>153</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v>0</v>
      </c>
      <c r="Q88">
        <v>0</v>
      </c>
      <c r="R88">
        <v>2</v>
      </c>
      <c r="S88">
        <v>4750</v>
      </c>
    </row>
    <row r="89" spans="1:19" x14ac:dyDescent="0.2">
      <c r="A89" s="6" t="s">
        <v>114</v>
      </c>
      <c r="B89" s="92" t="s">
        <v>154</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v>0</v>
      </c>
      <c r="Q89">
        <v>0</v>
      </c>
      <c r="R89">
        <v>2</v>
      </c>
      <c r="S89">
        <v>4750</v>
      </c>
    </row>
    <row r="90" spans="1:19" x14ac:dyDescent="0.2">
      <c r="A90" s="6" t="s">
        <v>114</v>
      </c>
      <c r="B90" s="92" t="s">
        <v>155</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v>5</v>
      </c>
      <c r="Q90">
        <v>14306.91</v>
      </c>
      <c r="R90">
        <v>7</v>
      </c>
      <c r="S90">
        <v>19056.91</v>
      </c>
    </row>
    <row r="91" spans="1:19" x14ac:dyDescent="0.2">
      <c r="A91" s="6" t="s">
        <v>114</v>
      </c>
      <c r="B91" s="92" t="s">
        <v>156</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v>7</v>
      </c>
      <c r="Q91">
        <v>37297.32</v>
      </c>
      <c r="R91">
        <v>14</v>
      </c>
      <c r="S91">
        <v>56354.23</v>
      </c>
    </row>
    <row r="92" spans="1:19" x14ac:dyDescent="0.2">
      <c r="A92" s="6" t="s">
        <v>114</v>
      </c>
      <c r="B92" s="92" t="s">
        <v>157</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v>0</v>
      </c>
      <c r="Q92">
        <v>0</v>
      </c>
      <c r="R92">
        <v>14</v>
      </c>
      <c r="S92">
        <v>56354.23</v>
      </c>
    </row>
    <row r="93" spans="1:19" x14ac:dyDescent="0.2">
      <c r="A93" s="6" t="s">
        <v>114</v>
      </c>
      <c r="B93" s="92" t="s">
        <v>158</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2">
      <c r="A94" s="6" t="s">
        <v>114</v>
      </c>
      <c r="B94" s="92" t="s">
        <v>159</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2">
      <c r="A95" s="6" t="s">
        <v>114</v>
      </c>
      <c r="B95" s="92" t="s">
        <v>160</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2">
      <c r="A96" s="6" t="s">
        <v>114</v>
      </c>
      <c r="B96" s="92" t="s">
        <v>161</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2">
      <c r="A97" s="6" t="s">
        <v>114</v>
      </c>
      <c r="B97" s="92" t="s">
        <v>162</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2">
      <c r="A98" s="6" t="s">
        <v>47</v>
      </c>
      <c r="B98" s="92" t="s">
        <v>151</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v>9</v>
      </c>
      <c r="Q98">
        <v>2880</v>
      </c>
      <c r="R98">
        <v>9</v>
      </c>
      <c r="S98">
        <v>2880</v>
      </c>
    </row>
    <row r="99" spans="1:19" x14ac:dyDescent="0.2">
      <c r="A99" s="6" t="s">
        <v>47</v>
      </c>
      <c r="B99" s="92" t="s">
        <v>152</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v>25</v>
      </c>
      <c r="Q99">
        <v>3493</v>
      </c>
      <c r="R99">
        <v>34</v>
      </c>
      <c r="S99">
        <v>6373</v>
      </c>
    </row>
    <row r="100" spans="1:19" x14ac:dyDescent="0.2">
      <c r="A100" s="6" t="s">
        <v>47</v>
      </c>
      <c r="B100" s="92" t="s">
        <v>153</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v>2</v>
      </c>
      <c r="Q100">
        <v>240</v>
      </c>
      <c r="R100">
        <v>36</v>
      </c>
      <c r="S100">
        <v>6613</v>
      </c>
    </row>
    <row r="101" spans="1:19" x14ac:dyDescent="0.2">
      <c r="A101" s="6" t="s">
        <v>47</v>
      </c>
      <c r="B101" s="92" t="s">
        <v>154</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v>15</v>
      </c>
      <c r="Q101">
        <v>1425</v>
      </c>
      <c r="R101">
        <v>51</v>
      </c>
      <c r="S101">
        <v>8038</v>
      </c>
    </row>
    <row r="102" spans="1:19" x14ac:dyDescent="0.2">
      <c r="A102" s="6" t="s">
        <v>47</v>
      </c>
      <c r="B102" s="92" t="s">
        <v>155</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v>18</v>
      </c>
      <c r="Q102">
        <v>2668</v>
      </c>
      <c r="R102">
        <v>69</v>
      </c>
      <c r="S102">
        <v>10706</v>
      </c>
    </row>
    <row r="103" spans="1:19" x14ac:dyDescent="0.2">
      <c r="A103" s="6" t="s">
        <v>47</v>
      </c>
      <c r="B103" s="92" t="s">
        <v>156</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v>15</v>
      </c>
      <c r="Q103">
        <v>1844</v>
      </c>
      <c r="R103">
        <v>84</v>
      </c>
      <c r="S103">
        <v>12550</v>
      </c>
    </row>
    <row r="104" spans="1:19" x14ac:dyDescent="0.2">
      <c r="A104" s="6" t="s">
        <v>47</v>
      </c>
      <c r="B104" s="92" t="s">
        <v>157</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v>27</v>
      </c>
      <c r="Q104">
        <v>3750</v>
      </c>
      <c r="R104">
        <v>111</v>
      </c>
      <c r="S104">
        <v>16300</v>
      </c>
    </row>
    <row r="105" spans="1:19" x14ac:dyDescent="0.2">
      <c r="A105" s="6" t="s">
        <v>47</v>
      </c>
      <c r="B105" s="92" t="s">
        <v>158</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2">
      <c r="A106" s="6" t="s">
        <v>47</v>
      </c>
      <c r="B106" s="92" t="s">
        <v>159</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2">
      <c r="A107" s="6" t="s">
        <v>47</v>
      </c>
      <c r="B107" s="92" t="s">
        <v>160</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2">
      <c r="A108" s="6" t="s">
        <v>47</v>
      </c>
      <c r="B108" s="92" t="s">
        <v>161</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2">
      <c r="A109" s="6" t="s">
        <v>47</v>
      </c>
      <c r="B109" s="92" t="s">
        <v>162</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2">
      <c r="A110" t="s">
        <v>303</v>
      </c>
      <c r="B110" s="92"/>
      <c r="C110" s="92"/>
      <c r="D110" s="95"/>
      <c r="E110" s="95"/>
      <c r="F110" s="90"/>
      <c r="G110" s="90"/>
      <c r="H110" s="91"/>
      <c r="I110" s="91"/>
      <c r="J110" s="91"/>
      <c r="K110" s="91"/>
      <c r="L110" s="92"/>
      <c r="M110" s="93"/>
      <c r="N110" s="94"/>
      <c r="O110" s="94"/>
      <c r="P110">
        <v>0</v>
      </c>
      <c r="Q110">
        <v>0</v>
      </c>
      <c r="R110">
        <v>0</v>
      </c>
      <c r="S110">
        <v>0</v>
      </c>
    </row>
    <row r="111" spans="1:19" x14ac:dyDescent="0.2">
      <c r="A111" t="s">
        <v>303</v>
      </c>
      <c r="B111" s="92"/>
      <c r="C111" s="92"/>
      <c r="D111" s="95"/>
      <c r="E111" s="95"/>
      <c r="F111" s="90"/>
      <c r="G111" s="90"/>
      <c r="H111" s="91"/>
      <c r="I111" s="91"/>
      <c r="J111" s="91"/>
      <c r="K111" s="91"/>
      <c r="L111" s="92"/>
      <c r="M111" s="93"/>
      <c r="N111" s="94"/>
      <c r="O111" s="94"/>
      <c r="P111">
        <v>0</v>
      </c>
      <c r="Q111">
        <v>0</v>
      </c>
      <c r="R111">
        <v>0</v>
      </c>
      <c r="S111">
        <v>0</v>
      </c>
    </row>
    <row r="112" spans="1:19" x14ac:dyDescent="0.2">
      <c r="A112" t="s">
        <v>303</v>
      </c>
      <c r="B112" s="92"/>
      <c r="C112" s="92"/>
      <c r="D112" s="95"/>
      <c r="E112" s="95"/>
      <c r="F112" s="90"/>
      <c r="G112" s="90"/>
      <c r="H112" s="91"/>
      <c r="I112" s="91"/>
      <c r="J112" s="91"/>
      <c r="K112" s="91"/>
      <c r="L112" s="92"/>
      <c r="M112" s="93"/>
      <c r="N112" s="94"/>
      <c r="O112" s="94"/>
      <c r="P112">
        <v>0</v>
      </c>
      <c r="Q112">
        <v>0</v>
      </c>
      <c r="R112">
        <v>0</v>
      </c>
      <c r="S112">
        <v>0</v>
      </c>
    </row>
    <row r="113" spans="1:19" x14ac:dyDescent="0.2">
      <c r="A113" t="s">
        <v>303</v>
      </c>
      <c r="B113" s="92"/>
      <c r="C113" s="92"/>
      <c r="D113" s="95"/>
      <c r="E113" s="95"/>
      <c r="F113" s="90"/>
      <c r="G113" s="90"/>
      <c r="H113" s="91"/>
      <c r="I113" s="91"/>
      <c r="J113" s="91"/>
      <c r="K113" s="91"/>
      <c r="L113" s="92"/>
      <c r="M113" s="93"/>
      <c r="N113" s="94"/>
      <c r="O113" s="94"/>
      <c r="P113">
        <v>0</v>
      </c>
      <c r="Q113">
        <v>0</v>
      </c>
      <c r="R113">
        <v>0</v>
      </c>
      <c r="S113">
        <v>0</v>
      </c>
    </row>
    <row r="114" spans="1:19" x14ac:dyDescent="0.2">
      <c r="A114" t="s">
        <v>303</v>
      </c>
      <c r="B114" s="92"/>
      <c r="C114" s="92"/>
      <c r="D114" s="95"/>
      <c r="E114" s="95"/>
      <c r="F114" s="90"/>
      <c r="G114" s="90"/>
      <c r="H114" s="91"/>
      <c r="I114" s="91"/>
      <c r="J114" s="91"/>
      <c r="K114" s="91"/>
      <c r="L114" s="92"/>
      <c r="M114" s="93"/>
      <c r="N114" s="94"/>
      <c r="O114" s="94"/>
      <c r="P114">
        <v>0</v>
      </c>
      <c r="Q114">
        <v>0</v>
      </c>
      <c r="R114">
        <v>0</v>
      </c>
      <c r="S114">
        <v>0</v>
      </c>
    </row>
    <row r="115" spans="1:19" x14ac:dyDescent="0.2">
      <c r="A115" t="s">
        <v>303</v>
      </c>
      <c r="B115" s="92"/>
      <c r="C115" s="92"/>
      <c r="D115" s="95"/>
      <c r="E115" s="95"/>
      <c r="F115" s="90"/>
      <c r="G115" s="90"/>
      <c r="H115" s="91"/>
      <c r="I115" s="91"/>
      <c r="J115" s="91"/>
      <c r="K115" s="91"/>
      <c r="L115" s="92"/>
      <c r="M115" s="93"/>
      <c r="N115" s="94"/>
      <c r="O115" s="94"/>
      <c r="P115">
        <v>0</v>
      </c>
      <c r="Q115">
        <v>0</v>
      </c>
      <c r="R115">
        <v>0</v>
      </c>
      <c r="S115">
        <v>0</v>
      </c>
    </row>
    <row r="116" spans="1:19" x14ac:dyDescent="0.2">
      <c r="A116" t="s">
        <v>303</v>
      </c>
      <c r="B116" s="92"/>
      <c r="C116" s="92"/>
      <c r="D116" s="95"/>
      <c r="E116" s="95"/>
      <c r="F116" s="90"/>
      <c r="G116" s="90"/>
      <c r="H116" s="91"/>
      <c r="I116" s="91"/>
      <c r="J116" s="91"/>
      <c r="K116" s="91"/>
      <c r="L116" s="92"/>
      <c r="M116" s="93"/>
      <c r="N116" s="94"/>
      <c r="O116" s="94"/>
      <c r="P116">
        <v>0</v>
      </c>
      <c r="Q116">
        <v>0</v>
      </c>
      <c r="R116">
        <v>0</v>
      </c>
      <c r="S116">
        <v>0</v>
      </c>
    </row>
    <row r="117" spans="1:19" x14ac:dyDescent="0.2">
      <c r="A117" t="s">
        <v>303</v>
      </c>
      <c r="B117" s="92"/>
      <c r="C117" s="92"/>
      <c r="D117" s="95"/>
      <c r="E117" s="95"/>
      <c r="F117" s="90"/>
      <c r="G117" s="90"/>
      <c r="H117" s="91"/>
      <c r="I117" s="91"/>
      <c r="J117" s="91"/>
      <c r="K117" s="91"/>
      <c r="L117" s="92"/>
      <c r="M117" s="93"/>
      <c r="N117" s="94"/>
      <c r="O117" s="94"/>
      <c r="P117" s="88"/>
      <c r="Q117" s="88"/>
    </row>
    <row r="118" spans="1:19" x14ac:dyDescent="0.2">
      <c r="A118" t="s">
        <v>303</v>
      </c>
      <c r="B118" s="92"/>
      <c r="C118" s="92"/>
      <c r="D118" s="95"/>
      <c r="E118" s="95"/>
      <c r="F118" s="90"/>
      <c r="G118" s="90"/>
      <c r="H118" s="91"/>
      <c r="I118" s="91"/>
      <c r="J118" s="91"/>
      <c r="K118" s="91"/>
      <c r="L118" s="92"/>
      <c r="M118" s="93"/>
      <c r="N118" s="94"/>
      <c r="O118" s="94"/>
      <c r="P118" s="88"/>
      <c r="Q118" s="88"/>
    </row>
    <row r="119" spans="1:19" x14ac:dyDescent="0.2">
      <c r="A119" t="s">
        <v>303</v>
      </c>
      <c r="B119" s="92"/>
      <c r="C119" s="92"/>
      <c r="D119" s="95"/>
      <c r="E119" s="95"/>
      <c r="F119" s="90"/>
      <c r="G119" s="90"/>
      <c r="H119" s="91"/>
      <c r="I119" s="91"/>
      <c r="J119" s="91"/>
      <c r="K119" s="91"/>
      <c r="L119" s="92"/>
      <c r="M119" s="93"/>
      <c r="N119" s="94"/>
      <c r="O119" s="94"/>
      <c r="P119" s="88"/>
      <c r="Q119" s="88"/>
    </row>
    <row r="120" spans="1:19" x14ac:dyDescent="0.2">
      <c r="A120" t="s">
        <v>303</v>
      </c>
      <c r="B120" s="92"/>
      <c r="C120" s="92"/>
      <c r="D120" s="95"/>
      <c r="E120" s="95"/>
      <c r="F120" s="90"/>
      <c r="G120" s="90"/>
      <c r="H120" s="91"/>
      <c r="I120" s="91"/>
      <c r="J120" s="91"/>
      <c r="K120" s="91"/>
      <c r="L120" s="92"/>
      <c r="M120" s="93"/>
      <c r="N120" s="94"/>
      <c r="O120" s="94"/>
      <c r="P120" s="88"/>
      <c r="Q120" s="88"/>
    </row>
    <row r="121" spans="1:19" x14ac:dyDescent="0.2">
      <c r="A121" t="s">
        <v>303</v>
      </c>
      <c r="B121" s="92"/>
      <c r="C121" s="92"/>
      <c r="D121" s="95"/>
      <c r="E121" s="95"/>
      <c r="F121" s="90"/>
      <c r="G121" s="90"/>
      <c r="H121" s="91"/>
      <c r="I121" s="91"/>
      <c r="J121" s="91"/>
      <c r="K121" s="91"/>
      <c r="L121" s="92"/>
      <c r="M121" s="93"/>
      <c r="N121" s="94"/>
      <c r="O121" s="94"/>
      <c r="P121" s="88"/>
      <c r="Q121" s="88"/>
    </row>
    <row r="122" spans="1:19" x14ac:dyDescent="0.2">
      <c r="A122" s="6" t="s">
        <v>89</v>
      </c>
      <c r="B122" s="92" t="s">
        <v>151</v>
      </c>
      <c r="C122" s="92">
        <v>1</v>
      </c>
      <c r="D122" s="90">
        <v>1</v>
      </c>
      <c r="E122" s="90">
        <v>1700</v>
      </c>
      <c r="F122" s="90">
        <f>D122</f>
        <v>1</v>
      </c>
      <c r="G122" s="90">
        <f>E122</f>
        <v>1700</v>
      </c>
      <c r="H122" s="91">
        <v>0</v>
      </c>
      <c r="I122" s="91">
        <v>0</v>
      </c>
      <c r="J122" s="91">
        <f>H122</f>
        <v>0</v>
      </c>
      <c r="K122" s="91">
        <f>I122</f>
        <v>0</v>
      </c>
      <c r="L122" s="92">
        <v>1</v>
      </c>
      <c r="M122" s="93">
        <v>1200</v>
      </c>
      <c r="N122" s="94">
        <f>L122</f>
        <v>1</v>
      </c>
      <c r="O122" s="94">
        <f>M122</f>
        <v>1200</v>
      </c>
      <c r="P122">
        <v>1</v>
      </c>
      <c r="Q122">
        <v>1040</v>
      </c>
      <c r="R122">
        <v>1</v>
      </c>
      <c r="S122">
        <v>1040</v>
      </c>
    </row>
    <row r="123" spans="1:19" x14ac:dyDescent="0.2">
      <c r="A123" s="6" t="s">
        <v>89</v>
      </c>
      <c r="B123" s="92" t="s">
        <v>152</v>
      </c>
      <c r="C123" s="92">
        <v>2</v>
      </c>
      <c r="D123" s="95">
        <v>3</v>
      </c>
      <c r="E123" s="90">
        <v>2899</v>
      </c>
      <c r="F123" s="90">
        <f t="shared" ref="F123:G133" si="41">F122+D123</f>
        <v>4</v>
      </c>
      <c r="G123" s="90">
        <f t="shared" si="41"/>
        <v>4599</v>
      </c>
      <c r="H123" s="91">
        <v>1</v>
      </c>
      <c r="I123" s="91">
        <v>1580</v>
      </c>
      <c r="J123" s="91">
        <f t="shared" ref="J123:K133" si="42">J122+H123</f>
        <v>1</v>
      </c>
      <c r="K123" s="91">
        <f t="shared" si="42"/>
        <v>1580</v>
      </c>
      <c r="L123" s="92">
        <v>2</v>
      </c>
      <c r="M123" s="93">
        <v>1610</v>
      </c>
      <c r="N123" s="94">
        <f t="shared" ref="N123:N133" si="43">N122+L123</f>
        <v>3</v>
      </c>
      <c r="O123" s="94">
        <f t="shared" ref="O123:O133" si="44">O122+M123</f>
        <v>2810</v>
      </c>
      <c r="P123">
        <v>0</v>
      </c>
      <c r="Q123">
        <v>0</v>
      </c>
      <c r="R123">
        <v>1</v>
      </c>
      <c r="S123">
        <v>1040</v>
      </c>
    </row>
    <row r="124" spans="1:19" x14ac:dyDescent="0.2">
      <c r="A124" s="6" t="s">
        <v>89</v>
      </c>
      <c r="B124" s="92" t="s">
        <v>153</v>
      </c>
      <c r="C124" s="92">
        <v>3</v>
      </c>
      <c r="D124" s="95">
        <v>0</v>
      </c>
      <c r="E124" s="90">
        <v>0</v>
      </c>
      <c r="F124" s="90">
        <f t="shared" si="41"/>
        <v>4</v>
      </c>
      <c r="G124" s="90">
        <f t="shared" si="41"/>
        <v>4599</v>
      </c>
      <c r="H124" s="91">
        <v>0</v>
      </c>
      <c r="I124" s="91">
        <v>0</v>
      </c>
      <c r="J124" s="91">
        <f t="shared" si="42"/>
        <v>1</v>
      </c>
      <c r="K124" s="91">
        <f t="shared" si="42"/>
        <v>1580</v>
      </c>
      <c r="L124" s="92">
        <v>1</v>
      </c>
      <c r="M124" s="93">
        <v>1650</v>
      </c>
      <c r="N124" s="94">
        <f t="shared" si="43"/>
        <v>4</v>
      </c>
      <c r="O124" s="94">
        <f t="shared" si="44"/>
        <v>4460</v>
      </c>
      <c r="P124">
        <v>0</v>
      </c>
      <c r="Q124">
        <v>0</v>
      </c>
      <c r="R124">
        <v>1</v>
      </c>
      <c r="S124">
        <v>1040</v>
      </c>
    </row>
    <row r="125" spans="1:19" x14ac:dyDescent="0.2">
      <c r="A125" s="6" t="s">
        <v>89</v>
      </c>
      <c r="B125" s="92" t="s">
        <v>154</v>
      </c>
      <c r="C125" s="92">
        <v>4</v>
      </c>
      <c r="D125" s="90">
        <v>1</v>
      </c>
      <c r="E125" s="90">
        <v>2000</v>
      </c>
      <c r="F125" s="90">
        <f t="shared" si="41"/>
        <v>5</v>
      </c>
      <c r="G125" s="90">
        <f t="shared" si="41"/>
        <v>6599</v>
      </c>
      <c r="H125" s="91">
        <v>2</v>
      </c>
      <c r="I125" s="91">
        <v>6736</v>
      </c>
      <c r="J125" s="91">
        <f t="shared" si="42"/>
        <v>3</v>
      </c>
      <c r="K125" s="91">
        <f t="shared" si="42"/>
        <v>8316</v>
      </c>
      <c r="L125" s="92">
        <v>1</v>
      </c>
      <c r="M125" s="93">
        <v>1380</v>
      </c>
      <c r="N125" s="94">
        <f t="shared" si="43"/>
        <v>5</v>
      </c>
      <c r="O125" s="94">
        <f t="shared" si="44"/>
        <v>5840</v>
      </c>
      <c r="P125">
        <v>0</v>
      </c>
      <c r="Q125">
        <v>0</v>
      </c>
      <c r="R125">
        <v>1</v>
      </c>
      <c r="S125">
        <v>1040</v>
      </c>
    </row>
    <row r="126" spans="1:19" x14ac:dyDescent="0.2">
      <c r="A126" s="6" t="s">
        <v>89</v>
      </c>
      <c r="B126" s="92" t="s">
        <v>155</v>
      </c>
      <c r="C126" s="92">
        <v>5</v>
      </c>
      <c r="D126" s="95">
        <v>4</v>
      </c>
      <c r="E126" s="90">
        <v>2995</v>
      </c>
      <c r="F126" s="90">
        <f t="shared" si="41"/>
        <v>9</v>
      </c>
      <c r="G126" s="90">
        <f t="shared" si="41"/>
        <v>9594</v>
      </c>
      <c r="H126" s="91">
        <v>2</v>
      </c>
      <c r="I126" s="91">
        <v>4446</v>
      </c>
      <c r="J126" s="91">
        <f t="shared" si="42"/>
        <v>5</v>
      </c>
      <c r="K126" s="91">
        <f t="shared" si="42"/>
        <v>12762</v>
      </c>
      <c r="L126" s="92">
        <v>2</v>
      </c>
      <c r="M126" s="93">
        <v>3810</v>
      </c>
      <c r="N126" s="94">
        <f t="shared" si="43"/>
        <v>7</v>
      </c>
      <c r="O126" s="94">
        <f t="shared" si="44"/>
        <v>9650</v>
      </c>
      <c r="P126">
        <v>2</v>
      </c>
      <c r="Q126">
        <v>4100</v>
      </c>
      <c r="R126">
        <v>3</v>
      </c>
      <c r="S126">
        <v>5140</v>
      </c>
    </row>
    <row r="127" spans="1:19" x14ac:dyDescent="0.2">
      <c r="A127" s="6" t="s">
        <v>89</v>
      </c>
      <c r="B127" s="92" t="s">
        <v>156</v>
      </c>
      <c r="C127" s="92">
        <v>6</v>
      </c>
      <c r="D127" s="90">
        <v>1</v>
      </c>
      <c r="E127" s="90">
        <v>3520</v>
      </c>
      <c r="F127" s="90">
        <f t="shared" si="41"/>
        <v>10</v>
      </c>
      <c r="G127" s="90">
        <f t="shared" si="41"/>
        <v>13114</v>
      </c>
      <c r="H127" s="91">
        <v>0</v>
      </c>
      <c r="I127" s="91">
        <v>0</v>
      </c>
      <c r="J127" s="91">
        <f t="shared" si="42"/>
        <v>5</v>
      </c>
      <c r="K127" s="91">
        <f t="shared" si="42"/>
        <v>12762</v>
      </c>
      <c r="L127" s="92">
        <v>0</v>
      </c>
      <c r="M127" s="93">
        <v>0</v>
      </c>
      <c r="N127" s="94">
        <f t="shared" si="43"/>
        <v>7</v>
      </c>
      <c r="O127" s="94">
        <f t="shared" si="44"/>
        <v>9650</v>
      </c>
      <c r="P127">
        <v>0</v>
      </c>
      <c r="Q127">
        <v>0</v>
      </c>
      <c r="R127">
        <v>3</v>
      </c>
      <c r="S127">
        <v>5140</v>
      </c>
    </row>
    <row r="128" spans="1:19" x14ac:dyDescent="0.2">
      <c r="A128" s="6" t="s">
        <v>89</v>
      </c>
      <c r="B128" s="92" t="s">
        <v>157</v>
      </c>
      <c r="C128" s="92">
        <v>7</v>
      </c>
      <c r="D128" s="95">
        <v>2</v>
      </c>
      <c r="E128" s="90">
        <v>2243</v>
      </c>
      <c r="F128" s="90">
        <f t="shared" si="41"/>
        <v>12</v>
      </c>
      <c r="G128" s="90">
        <f t="shared" si="41"/>
        <v>15357</v>
      </c>
      <c r="H128" s="91">
        <v>2</v>
      </c>
      <c r="I128" s="91">
        <v>1890</v>
      </c>
      <c r="J128" s="91">
        <f t="shared" si="42"/>
        <v>7</v>
      </c>
      <c r="K128" s="91">
        <f t="shared" si="42"/>
        <v>14652</v>
      </c>
      <c r="L128" s="92">
        <v>1</v>
      </c>
      <c r="M128" s="93">
        <v>1200</v>
      </c>
      <c r="N128" s="94">
        <f t="shared" si="43"/>
        <v>8</v>
      </c>
      <c r="O128" s="94">
        <f t="shared" si="44"/>
        <v>10850</v>
      </c>
      <c r="P128">
        <v>1</v>
      </c>
      <c r="Q128">
        <v>9500</v>
      </c>
      <c r="R128">
        <v>4</v>
      </c>
      <c r="S128">
        <v>14640</v>
      </c>
    </row>
    <row r="129" spans="1:19" x14ac:dyDescent="0.2">
      <c r="A129" s="6" t="s">
        <v>89</v>
      </c>
      <c r="B129" s="92" t="s">
        <v>158</v>
      </c>
      <c r="C129" s="92">
        <v>8</v>
      </c>
      <c r="D129" s="95">
        <v>1</v>
      </c>
      <c r="E129" s="95">
        <v>8000</v>
      </c>
      <c r="F129" s="90">
        <f t="shared" si="41"/>
        <v>13</v>
      </c>
      <c r="G129" s="90">
        <f t="shared" si="41"/>
        <v>23357</v>
      </c>
      <c r="H129" s="91">
        <v>1</v>
      </c>
      <c r="I129" s="91">
        <v>1000</v>
      </c>
      <c r="J129" s="91">
        <f t="shared" si="42"/>
        <v>8</v>
      </c>
      <c r="K129" s="91">
        <f t="shared" si="42"/>
        <v>15652</v>
      </c>
      <c r="L129" s="92">
        <v>2</v>
      </c>
      <c r="M129" s="93">
        <v>17140</v>
      </c>
      <c r="N129" s="94">
        <f t="shared" si="43"/>
        <v>10</v>
      </c>
      <c r="O129" s="94">
        <f t="shared" si="44"/>
        <v>27990</v>
      </c>
      <c r="P129" s="88"/>
      <c r="Q129" s="88">
        <v>0</v>
      </c>
    </row>
    <row r="130" spans="1:19" x14ac:dyDescent="0.2">
      <c r="A130" s="6" t="s">
        <v>89</v>
      </c>
      <c r="B130" s="92" t="s">
        <v>159</v>
      </c>
      <c r="C130" s="92">
        <v>9</v>
      </c>
      <c r="D130" s="95">
        <v>1</v>
      </c>
      <c r="E130" s="95">
        <v>2433</v>
      </c>
      <c r="F130" s="90">
        <f t="shared" si="41"/>
        <v>14</v>
      </c>
      <c r="G130" s="90">
        <f t="shared" si="41"/>
        <v>25790</v>
      </c>
      <c r="H130" s="91">
        <v>7</v>
      </c>
      <c r="I130" s="91">
        <v>9432</v>
      </c>
      <c r="J130" s="91">
        <f t="shared" si="42"/>
        <v>15</v>
      </c>
      <c r="K130" s="91">
        <f t="shared" si="42"/>
        <v>25084</v>
      </c>
      <c r="L130" s="92">
        <v>0</v>
      </c>
      <c r="M130" s="93">
        <v>0</v>
      </c>
      <c r="N130" s="94">
        <f t="shared" si="43"/>
        <v>10</v>
      </c>
      <c r="O130" s="94">
        <f t="shared" si="44"/>
        <v>27990</v>
      </c>
      <c r="P130" s="88"/>
      <c r="Q130" s="88">
        <v>0</v>
      </c>
    </row>
    <row r="131" spans="1:19" x14ac:dyDescent="0.2">
      <c r="A131" s="6" t="s">
        <v>89</v>
      </c>
      <c r="B131" s="92" t="s">
        <v>160</v>
      </c>
      <c r="C131" s="92">
        <v>10</v>
      </c>
      <c r="D131" s="95">
        <v>2</v>
      </c>
      <c r="E131" s="90">
        <v>11210</v>
      </c>
      <c r="F131" s="90">
        <f t="shared" si="41"/>
        <v>16</v>
      </c>
      <c r="G131" s="90">
        <f t="shared" si="41"/>
        <v>37000</v>
      </c>
      <c r="H131" s="91">
        <v>0</v>
      </c>
      <c r="I131" s="91">
        <v>0</v>
      </c>
      <c r="J131" s="91">
        <f t="shared" si="42"/>
        <v>15</v>
      </c>
      <c r="K131" s="91">
        <f t="shared" si="42"/>
        <v>25084</v>
      </c>
      <c r="L131" s="92">
        <v>1</v>
      </c>
      <c r="M131" s="93">
        <v>790</v>
      </c>
      <c r="N131" s="94">
        <f t="shared" si="43"/>
        <v>11</v>
      </c>
      <c r="O131" s="94">
        <f t="shared" si="44"/>
        <v>28780</v>
      </c>
      <c r="P131" s="88"/>
      <c r="Q131" s="88">
        <v>0</v>
      </c>
    </row>
    <row r="132" spans="1:19" x14ac:dyDescent="0.2">
      <c r="A132" s="6" t="s">
        <v>89</v>
      </c>
      <c r="B132" s="92" t="s">
        <v>161</v>
      </c>
      <c r="C132" s="92">
        <v>11</v>
      </c>
      <c r="D132" s="95">
        <v>1</v>
      </c>
      <c r="E132" s="95">
        <v>2433</v>
      </c>
      <c r="F132" s="90">
        <f t="shared" si="41"/>
        <v>17</v>
      </c>
      <c r="G132" s="90">
        <f t="shared" si="41"/>
        <v>39433</v>
      </c>
      <c r="H132" s="91">
        <v>1</v>
      </c>
      <c r="I132" s="91">
        <v>1500</v>
      </c>
      <c r="J132" s="91">
        <f t="shared" si="42"/>
        <v>16</v>
      </c>
      <c r="K132" s="91">
        <f t="shared" si="42"/>
        <v>26584</v>
      </c>
      <c r="L132" s="92">
        <v>2</v>
      </c>
      <c r="M132" s="93">
        <v>1189</v>
      </c>
      <c r="N132" s="94">
        <f t="shared" si="43"/>
        <v>13</v>
      </c>
      <c r="O132" s="94">
        <f t="shared" si="44"/>
        <v>29969</v>
      </c>
      <c r="P132" s="88"/>
      <c r="Q132" s="88">
        <v>0</v>
      </c>
    </row>
    <row r="133" spans="1:19" x14ac:dyDescent="0.2">
      <c r="A133" s="6" t="s">
        <v>89</v>
      </c>
      <c r="B133" s="92" t="s">
        <v>162</v>
      </c>
      <c r="C133" s="92">
        <v>12</v>
      </c>
      <c r="D133" s="95">
        <v>1</v>
      </c>
      <c r="E133" s="95">
        <v>1064</v>
      </c>
      <c r="F133" s="90">
        <f t="shared" si="41"/>
        <v>18</v>
      </c>
      <c r="G133" s="90">
        <f t="shared" si="41"/>
        <v>40497</v>
      </c>
      <c r="H133" s="91">
        <v>0</v>
      </c>
      <c r="I133" s="91">
        <v>0</v>
      </c>
      <c r="J133" s="91">
        <f t="shared" si="42"/>
        <v>16</v>
      </c>
      <c r="K133" s="91">
        <f t="shared" si="42"/>
        <v>26584</v>
      </c>
      <c r="L133" s="92">
        <v>2</v>
      </c>
      <c r="M133" s="93">
        <v>11210</v>
      </c>
      <c r="N133" s="94">
        <f t="shared" si="43"/>
        <v>15</v>
      </c>
      <c r="O133" s="94">
        <f t="shared" si="44"/>
        <v>41179</v>
      </c>
      <c r="P133" s="88"/>
      <c r="Q133" s="88">
        <v>0</v>
      </c>
    </row>
    <row r="134" spans="1:19" x14ac:dyDescent="0.2">
      <c r="A134" s="6" t="s">
        <v>113</v>
      </c>
      <c r="B134" s="92" t="s">
        <v>151</v>
      </c>
      <c r="C134" s="92">
        <v>1</v>
      </c>
      <c r="D134" s="90">
        <v>0</v>
      </c>
      <c r="E134" s="90">
        <v>0</v>
      </c>
      <c r="F134" s="90">
        <f>D134</f>
        <v>0</v>
      </c>
      <c r="G134" s="90">
        <f>E134</f>
        <v>0</v>
      </c>
      <c r="H134" s="90">
        <v>0</v>
      </c>
      <c r="I134" s="90">
        <v>0</v>
      </c>
      <c r="J134" s="90">
        <f>H134</f>
        <v>0</v>
      </c>
      <c r="K134" s="90">
        <f>I134</f>
        <v>0</v>
      </c>
      <c r="L134" s="92">
        <v>0</v>
      </c>
      <c r="M134" s="93">
        <v>0</v>
      </c>
      <c r="N134" s="94">
        <f>L134</f>
        <v>0</v>
      </c>
      <c r="O134" s="94">
        <f>M134</f>
        <v>0</v>
      </c>
      <c r="P134">
        <v>0</v>
      </c>
      <c r="Q134">
        <v>0</v>
      </c>
      <c r="R134">
        <v>0</v>
      </c>
      <c r="S134" s="87">
        <v>0</v>
      </c>
    </row>
    <row r="135" spans="1:19" x14ac:dyDescent="0.2">
      <c r="A135" s="6" t="s">
        <v>113</v>
      </c>
      <c r="B135" s="92" t="s">
        <v>152</v>
      </c>
      <c r="C135" s="92">
        <v>2</v>
      </c>
      <c r="D135" s="90">
        <v>0</v>
      </c>
      <c r="E135" s="90">
        <v>0</v>
      </c>
      <c r="F135" s="90">
        <f t="shared" ref="F135:F145" si="45">F134+D135</f>
        <v>0</v>
      </c>
      <c r="G135" s="90">
        <f t="shared" ref="G135:G145" si="46">G134+E135</f>
        <v>0</v>
      </c>
      <c r="H135" s="90">
        <v>0</v>
      </c>
      <c r="I135" s="90">
        <v>0</v>
      </c>
      <c r="J135" s="90">
        <f t="shared" ref="J135:J145" si="47">J134+H135</f>
        <v>0</v>
      </c>
      <c r="K135" s="90">
        <f t="shared" ref="K135:K145" si="48">K134+I135</f>
        <v>0</v>
      </c>
      <c r="L135" s="92">
        <v>0</v>
      </c>
      <c r="M135" s="93">
        <v>0</v>
      </c>
      <c r="N135" s="94">
        <f t="shared" ref="N135:N145" si="49">N134+L135</f>
        <v>0</v>
      </c>
      <c r="O135" s="94">
        <f t="shared" ref="O135:O145" si="50">O134+M135</f>
        <v>0</v>
      </c>
      <c r="P135">
        <v>0</v>
      </c>
      <c r="Q135">
        <v>0</v>
      </c>
      <c r="R135">
        <v>0</v>
      </c>
      <c r="S135" s="87">
        <v>0</v>
      </c>
    </row>
    <row r="136" spans="1:19" x14ac:dyDescent="0.2">
      <c r="A136" s="6" t="s">
        <v>113</v>
      </c>
      <c r="B136" s="92" t="s">
        <v>153</v>
      </c>
      <c r="C136" s="92">
        <v>3</v>
      </c>
      <c r="D136" s="90">
        <v>0</v>
      </c>
      <c r="E136" s="90">
        <v>0</v>
      </c>
      <c r="F136" s="90">
        <f t="shared" si="45"/>
        <v>0</v>
      </c>
      <c r="G136" s="90">
        <f t="shared" si="46"/>
        <v>0</v>
      </c>
      <c r="H136" s="90">
        <v>0</v>
      </c>
      <c r="I136" s="90">
        <v>0</v>
      </c>
      <c r="J136" s="90">
        <f t="shared" si="47"/>
        <v>0</v>
      </c>
      <c r="K136" s="90">
        <f t="shared" si="48"/>
        <v>0</v>
      </c>
      <c r="L136" s="92">
        <v>0</v>
      </c>
      <c r="M136" s="93">
        <v>0</v>
      </c>
      <c r="N136" s="94">
        <f t="shared" si="49"/>
        <v>0</v>
      </c>
      <c r="O136" s="94">
        <f t="shared" si="50"/>
        <v>0</v>
      </c>
      <c r="P136">
        <v>0</v>
      </c>
      <c r="Q136">
        <v>0</v>
      </c>
      <c r="R136">
        <v>0</v>
      </c>
      <c r="S136" s="87">
        <v>0</v>
      </c>
    </row>
    <row r="137" spans="1:19" x14ac:dyDescent="0.2">
      <c r="A137" s="6" t="s">
        <v>113</v>
      </c>
      <c r="B137" s="92" t="s">
        <v>154</v>
      </c>
      <c r="C137" s="92">
        <v>4</v>
      </c>
      <c r="D137" s="90">
        <v>0</v>
      </c>
      <c r="E137" s="90">
        <v>0</v>
      </c>
      <c r="F137" s="90">
        <f t="shared" si="45"/>
        <v>0</v>
      </c>
      <c r="G137" s="90">
        <f t="shared" si="46"/>
        <v>0</v>
      </c>
      <c r="H137" s="90">
        <v>0</v>
      </c>
      <c r="I137" s="90">
        <v>0</v>
      </c>
      <c r="J137" s="90">
        <f t="shared" si="47"/>
        <v>0</v>
      </c>
      <c r="K137" s="90">
        <f t="shared" si="48"/>
        <v>0</v>
      </c>
      <c r="L137" s="92">
        <v>3</v>
      </c>
      <c r="M137" s="93">
        <v>285</v>
      </c>
      <c r="N137" s="94">
        <f t="shared" si="49"/>
        <v>3</v>
      </c>
      <c r="O137" s="94">
        <f t="shared" si="50"/>
        <v>285</v>
      </c>
      <c r="P137">
        <v>0</v>
      </c>
      <c r="Q137">
        <v>0</v>
      </c>
      <c r="R137">
        <v>0</v>
      </c>
      <c r="S137" s="87">
        <v>0</v>
      </c>
    </row>
    <row r="138" spans="1:19" x14ac:dyDescent="0.2">
      <c r="A138" s="6" t="s">
        <v>113</v>
      </c>
      <c r="B138" s="92" t="s">
        <v>155</v>
      </c>
      <c r="C138" s="92">
        <v>5</v>
      </c>
      <c r="D138" s="90">
        <v>0</v>
      </c>
      <c r="E138" s="90">
        <v>0</v>
      </c>
      <c r="F138" s="90">
        <f t="shared" si="45"/>
        <v>0</v>
      </c>
      <c r="G138" s="90">
        <f t="shared" si="46"/>
        <v>0</v>
      </c>
      <c r="H138" s="90">
        <v>0</v>
      </c>
      <c r="I138" s="90">
        <v>0</v>
      </c>
      <c r="J138" s="90">
        <f t="shared" si="47"/>
        <v>0</v>
      </c>
      <c r="K138" s="90">
        <f t="shared" si="48"/>
        <v>0</v>
      </c>
      <c r="L138" s="92">
        <v>0</v>
      </c>
      <c r="M138" s="93">
        <v>0</v>
      </c>
      <c r="N138" s="94">
        <f t="shared" si="49"/>
        <v>3</v>
      </c>
      <c r="O138" s="94">
        <f t="shared" si="50"/>
        <v>285</v>
      </c>
      <c r="P138">
        <v>0</v>
      </c>
      <c r="Q138">
        <v>0</v>
      </c>
      <c r="R138">
        <v>0</v>
      </c>
      <c r="S138" s="87">
        <v>0</v>
      </c>
    </row>
    <row r="139" spans="1:19" x14ac:dyDescent="0.2">
      <c r="A139" s="6" t="s">
        <v>113</v>
      </c>
      <c r="B139" s="92" t="s">
        <v>156</v>
      </c>
      <c r="C139" s="92">
        <v>6</v>
      </c>
      <c r="D139" s="90">
        <v>0</v>
      </c>
      <c r="E139" s="90">
        <v>0</v>
      </c>
      <c r="F139" s="90">
        <f t="shared" si="45"/>
        <v>0</v>
      </c>
      <c r="G139" s="90">
        <f t="shared" si="46"/>
        <v>0</v>
      </c>
      <c r="H139" s="90">
        <v>0</v>
      </c>
      <c r="I139" s="90">
        <v>0</v>
      </c>
      <c r="J139" s="90">
        <f t="shared" si="47"/>
        <v>0</v>
      </c>
      <c r="K139" s="90">
        <f t="shared" si="48"/>
        <v>0</v>
      </c>
      <c r="L139" s="92">
        <v>0</v>
      </c>
      <c r="M139" s="93">
        <v>0</v>
      </c>
      <c r="N139" s="94">
        <f t="shared" si="49"/>
        <v>3</v>
      </c>
      <c r="O139" s="94">
        <f t="shared" si="50"/>
        <v>285</v>
      </c>
      <c r="P139">
        <v>0</v>
      </c>
      <c r="Q139">
        <v>0</v>
      </c>
      <c r="R139">
        <v>0</v>
      </c>
      <c r="S139" s="87">
        <v>0</v>
      </c>
    </row>
    <row r="140" spans="1:19" x14ac:dyDescent="0.2">
      <c r="A140" s="6" t="s">
        <v>113</v>
      </c>
      <c r="B140" s="92" t="s">
        <v>157</v>
      </c>
      <c r="C140" s="92">
        <v>7</v>
      </c>
      <c r="D140" s="90">
        <v>0</v>
      </c>
      <c r="E140" s="90">
        <v>0</v>
      </c>
      <c r="F140" s="90">
        <f t="shared" si="45"/>
        <v>0</v>
      </c>
      <c r="G140" s="90">
        <f t="shared" si="46"/>
        <v>0</v>
      </c>
      <c r="H140" s="90">
        <v>0</v>
      </c>
      <c r="I140" s="90">
        <v>0</v>
      </c>
      <c r="J140" s="90">
        <f t="shared" si="47"/>
        <v>0</v>
      </c>
      <c r="K140" s="90">
        <f t="shared" si="48"/>
        <v>0</v>
      </c>
      <c r="L140" s="92">
        <v>0</v>
      </c>
      <c r="M140" s="93">
        <v>0</v>
      </c>
      <c r="N140" s="94">
        <f t="shared" si="49"/>
        <v>3</v>
      </c>
      <c r="O140" s="94">
        <f t="shared" si="50"/>
        <v>285</v>
      </c>
      <c r="P140">
        <v>0</v>
      </c>
      <c r="Q140">
        <v>0</v>
      </c>
      <c r="R140">
        <v>0</v>
      </c>
      <c r="S140" s="87">
        <v>0</v>
      </c>
    </row>
    <row r="141" spans="1:19" x14ac:dyDescent="0.2">
      <c r="A141" s="6" t="s">
        <v>113</v>
      </c>
      <c r="B141" s="92" t="s">
        <v>158</v>
      </c>
      <c r="C141" s="92">
        <v>8</v>
      </c>
      <c r="D141" s="90">
        <v>0</v>
      </c>
      <c r="E141" s="90">
        <v>0</v>
      </c>
      <c r="F141" s="90">
        <f t="shared" si="45"/>
        <v>0</v>
      </c>
      <c r="G141" s="90">
        <f t="shared" si="46"/>
        <v>0</v>
      </c>
      <c r="H141" s="90">
        <v>0</v>
      </c>
      <c r="I141" s="90">
        <v>0</v>
      </c>
      <c r="J141" s="90">
        <f t="shared" si="47"/>
        <v>0</v>
      </c>
      <c r="K141" s="90">
        <f t="shared" si="48"/>
        <v>0</v>
      </c>
      <c r="L141" s="92">
        <v>0</v>
      </c>
      <c r="M141" s="93">
        <v>0</v>
      </c>
      <c r="N141" s="94">
        <f t="shared" si="49"/>
        <v>3</v>
      </c>
      <c r="O141" s="94">
        <f t="shared" si="50"/>
        <v>285</v>
      </c>
      <c r="P141" s="88"/>
      <c r="Q141" s="88">
        <v>0</v>
      </c>
    </row>
    <row r="142" spans="1:19" x14ac:dyDescent="0.2">
      <c r="A142" s="6" t="s">
        <v>113</v>
      </c>
      <c r="B142" s="92" t="s">
        <v>159</v>
      </c>
      <c r="C142" s="92">
        <v>9</v>
      </c>
      <c r="D142" s="90">
        <v>0</v>
      </c>
      <c r="E142" s="90">
        <v>0</v>
      </c>
      <c r="F142" s="90">
        <f t="shared" si="45"/>
        <v>0</v>
      </c>
      <c r="G142" s="90">
        <f t="shared" si="46"/>
        <v>0</v>
      </c>
      <c r="H142" s="90">
        <v>0</v>
      </c>
      <c r="I142" s="90">
        <v>0</v>
      </c>
      <c r="J142" s="90">
        <f t="shared" si="47"/>
        <v>0</v>
      </c>
      <c r="K142" s="90">
        <f t="shared" si="48"/>
        <v>0</v>
      </c>
      <c r="L142" s="92">
        <v>1</v>
      </c>
      <c r="M142" s="93">
        <v>550</v>
      </c>
      <c r="N142" s="94">
        <f t="shared" si="49"/>
        <v>4</v>
      </c>
      <c r="O142" s="94">
        <f t="shared" si="50"/>
        <v>835</v>
      </c>
      <c r="P142" s="88"/>
      <c r="Q142" s="88">
        <v>0</v>
      </c>
    </row>
    <row r="143" spans="1:19" x14ac:dyDescent="0.2">
      <c r="A143" s="6" t="s">
        <v>113</v>
      </c>
      <c r="B143" s="92" t="s">
        <v>160</v>
      </c>
      <c r="C143" s="92">
        <v>10</v>
      </c>
      <c r="D143" s="90">
        <v>0</v>
      </c>
      <c r="E143" s="90">
        <v>0</v>
      </c>
      <c r="F143" s="90">
        <f t="shared" si="45"/>
        <v>0</v>
      </c>
      <c r="G143" s="90">
        <f t="shared" si="46"/>
        <v>0</v>
      </c>
      <c r="H143" s="90">
        <v>0</v>
      </c>
      <c r="I143" s="90">
        <v>0</v>
      </c>
      <c r="J143" s="90">
        <f t="shared" si="47"/>
        <v>0</v>
      </c>
      <c r="K143" s="90">
        <f t="shared" si="48"/>
        <v>0</v>
      </c>
      <c r="L143" s="92">
        <v>4</v>
      </c>
      <c r="M143" s="93">
        <v>500</v>
      </c>
      <c r="N143" s="94">
        <f t="shared" si="49"/>
        <v>8</v>
      </c>
      <c r="O143" s="94">
        <f t="shared" si="50"/>
        <v>1335</v>
      </c>
      <c r="P143" s="88"/>
      <c r="Q143" s="88">
        <v>0</v>
      </c>
    </row>
    <row r="144" spans="1:19" x14ac:dyDescent="0.2">
      <c r="A144" s="6" t="s">
        <v>113</v>
      </c>
      <c r="B144" s="92" t="s">
        <v>161</v>
      </c>
      <c r="C144" s="92">
        <v>11</v>
      </c>
      <c r="D144" s="90">
        <v>0</v>
      </c>
      <c r="E144" s="90">
        <v>0</v>
      </c>
      <c r="F144" s="90">
        <f t="shared" si="45"/>
        <v>0</v>
      </c>
      <c r="G144" s="90">
        <f t="shared" si="46"/>
        <v>0</v>
      </c>
      <c r="H144" s="90">
        <v>0</v>
      </c>
      <c r="I144" s="90">
        <v>0</v>
      </c>
      <c r="J144" s="90">
        <f t="shared" si="47"/>
        <v>0</v>
      </c>
      <c r="K144" s="90">
        <f t="shared" si="48"/>
        <v>0</v>
      </c>
      <c r="L144" s="92">
        <v>0</v>
      </c>
      <c r="M144" s="93">
        <v>0</v>
      </c>
      <c r="N144" s="94">
        <f t="shared" si="49"/>
        <v>8</v>
      </c>
      <c r="O144" s="94">
        <f t="shared" si="50"/>
        <v>1335</v>
      </c>
      <c r="P144" s="88"/>
      <c r="Q144" s="88">
        <v>0</v>
      </c>
    </row>
    <row r="145" spans="1:19" x14ac:dyDescent="0.2">
      <c r="A145" s="6" t="s">
        <v>113</v>
      </c>
      <c r="B145" s="92" t="s">
        <v>162</v>
      </c>
      <c r="C145" s="92">
        <v>12</v>
      </c>
      <c r="D145" s="90">
        <v>0</v>
      </c>
      <c r="E145" s="90">
        <v>0</v>
      </c>
      <c r="F145" s="90">
        <f t="shared" si="45"/>
        <v>0</v>
      </c>
      <c r="G145" s="90">
        <f t="shared" si="46"/>
        <v>0</v>
      </c>
      <c r="H145" s="90">
        <v>0</v>
      </c>
      <c r="I145" s="90">
        <v>0</v>
      </c>
      <c r="J145" s="90">
        <f t="shared" si="47"/>
        <v>0</v>
      </c>
      <c r="K145" s="90">
        <f t="shared" si="48"/>
        <v>0</v>
      </c>
      <c r="L145" s="92">
        <v>1</v>
      </c>
      <c r="M145" s="93">
        <v>300</v>
      </c>
      <c r="N145" s="94">
        <f t="shared" si="49"/>
        <v>9</v>
      </c>
      <c r="O145" s="94">
        <f t="shared" si="50"/>
        <v>1635</v>
      </c>
      <c r="P145" s="88"/>
      <c r="Q145" s="88">
        <v>0</v>
      </c>
    </row>
    <row r="146" spans="1:19" x14ac:dyDescent="0.2">
      <c r="A146" s="6" t="s">
        <v>117</v>
      </c>
      <c r="B146" s="92" t="s">
        <v>151</v>
      </c>
      <c r="C146" s="92">
        <v>1</v>
      </c>
      <c r="D146" s="95">
        <v>1</v>
      </c>
      <c r="E146" s="95">
        <v>240</v>
      </c>
      <c r="F146" s="90">
        <f>D146</f>
        <v>1</v>
      </c>
      <c r="G146" s="90">
        <f>E146</f>
        <v>240</v>
      </c>
      <c r="H146" s="91">
        <v>2</v>
      </c>
      <c r="I146" s="91">
        <v>3000</v>
      </c>
      <c r="J146" s="91">
        <f>H146</f>
        <v>2</v>
      </c>
      <c r="K146" s="91">
        <f>I146</f>
        <v>3000</v>
      </c>
      <c r="L146" s="92">
        <v>1</v>
      </c>
      <c r="M146" s="93">
        <v>1870</v>
      </c>
      <c r="N146" s="94">
        <f>L146</f>
        <v>1</v>
      </c>
      <c r="O146" s="94">
        <f>M146</f>
        <v>1870</v>
      </c>
      <c r="P146">
        <v>0</v>
      </c>
      <c r="Q146">
        <v>0</v>
      </c>
      <c r="R146">
        <v>0</v>
      </c>
      <c r="S146">
        <v>0</v>
      </c>
    </row>
    <row r="147" spans="1:19" x14ac:dyDescent="0.2">
      <c r="A147" s="6" t="s">
        <v>117</v>
      </c>
      <c r="B147" s="92" t="s">
        <v>152</v>
      </c>
      <c r="C147" s="92">
        <v>2</v>
      </c>
      <c r="D147" s="95">
        <v>1</v>
      </c>
      <c r="E147" s="95">
        <v>540</v>
      </c>
      <c r="F147" s="90">
        <f t="shared" ref="F147:G157" si="51">F146+D147</f>
        <v>2</v>
      </c>
      <c r="G147" s="90">
        <f t="shared" si="51"/>
        <v>780</v>
      </c>
      <c r="H147" s="91">
        <v>2</v>
      </c>
      <c r="I147" s="91">
        <v>5100</v>
      </c>
      <c r="J147" s="91">
        <f t="shared" ref="J147:K157" si="52">J146+H147</f>
        <v>4</v>
      </c>
      <c r="K147" s="91">
        <f t="shared" si="52"/>
        <v>8100</v>
      </c>
      <c r="L147" s="92">
        <v>2</v>
      </c>
      <c r="M147" s="93">
        <v>1662</v>
      </c>
      <c r="N147" s="94">
        <f t="shared" ref="N147:N157" si="53">N146+L147</f>
        <v>3</v>
      </c>
      <c r="O147" s="94">
        <f t="shared" ref="O147:O157" si="54">O146+M147</f>
        <v>3532</v>
      </c>
      <c r="P147">
        <v>1</v>
      </c>
      <c r="Q147">
        <v>100</v>
      </c>
      <c r="R147">
        <v>1</v>
      </c>
      <c r="S147">
        <v>100</v>
      </c>
    </row>
    <row r="148" spans="1:19" x14ac:dyDescent="0.2">
      <c r="A148" s="6" t="s">
        <v>117</v>
      </c>
      <c r="B148" s="92" t="s">
        <v>153</v>
      </c>
      <c r="C148" s="92">
        <v>3</v>
      </c>
      <c r="D148" s="95">
        <v>0</v>
      </c>
      <c r="E148" s="95">
        <v>0</v>
      </c>
      <c r="F148" s="90">
        <f t="shared" si="51"/>
        <v>2</v>
      </c>
      <c r="G148" s="90">
        <f t="shared" si="51"/>
        <v>780</v>
      </c>
      <c r="H148" s="91">
        <v>9</v>
      </c>
      <c r="I148" s="91">
        <v>6800</v>
      </c>
      <c r="J148" s="91">
        <f t="shared" si="52"/>
        <v>13</v>
      </c>
      <c r="K148" s="91">
        <f t="shared" si="52"/>
        <v>14900</v>
      </c>
      <c r="L148" s="92">
        <v>3</v>
      </c>
      <c r="M148" s="93">
        <v>3870</v>
      </c>
      <c r="N148" s="94">
        <f t="shared" si="53"/>
        <v>6</v>
      </c>
      <c r="O148" s="94">
        <f t="shared" si="54"/>
        <v>7402</v>
      </c>
      <c r="P148">
        <v>2</v>
      </c>
      <c r="Q148">
        <v>1425.88</v>
      </c>
      <c r="R148">
        <v>3</v>
      </c>
      <c r="S148">
        <v>1525.88</v>
      </c>
    </row>
    <row r="149" spans="1:19" x14ac:dyDescent="0.2">
      <c r="A149" s="6" t="s">
        <v>117</v>
      </c>
      <c r="B149" s="92" t="s">
        <v>154</v>
      </c>
      <c r="C149" s="92">
        <v>4</v>
      </c>
      <c r="D149" s="95">
        <v>1</v>
      </c>
      <c r="E149" s="95">
        <v>2000</v>
      </c>
      <c r="F149" s="90">
        <f t="shared" si="51"/>
        <v>3</v>
      </c>
      <c r="G149" s="90">
        <f t="shared" si="51"/>
        <v>2780</v>
      </c>
      <c r="H149" s="91">
        <v>7</v>
      </c>
      <c r="I149" s="91">
        <v>14200</v>
      </c>
      <c r="J149" s="91">
        <f t="shared" si="52"/>
        <v>20</v>
      </c>
      <c r="K149" s="91">
        <f t="shared" si="52"/>
        <v>29100</v>
      </c>
      <c r="L149" s="92">
        <v>1</v>
      </c>
      <c r="M149" s="93">
        <v>2870</v>
      </c>
      <c r="N149" s="94">
        <f t="shared" si="53"/>
        <v>7</v>
      </c>
      <c r="O149" s="94">
        <f t="shared" si="54"/>
        <v>10272</v>
      </c>
      <c r="P149">
        <v>1</v>
      </c>
      <c r="Q149">
        <v>113</v>
      </c>
      <c r="R149">
        <v>4</v>
      </c>
      <c r="S149">
        <v>1638.88</v>
      </c>
    </row>
    <row r="150" spans="1:19" x14ac:dyDescent="0.2">
      <c r="A150" s="6" t="s">
        <v>117</v>
      </c>
      <c r="B150" s="92" t="s">
        <v>155</v>
      </c>
      <c r="C150" s="92">
        <v>5</v>
      </c>
      <c r="D150" s="95">
        <v>2</v>
      </c>
      <c r="E150" s="90">
        <v>5910</v>
      </c>
      <c r="F150" s="90">
        <f t="shared" si="51"/>
        <v>5</v>
      </c>
      <c r="G150" s="90">
        <f t="shared" si="51"/>
        <v>8690</v>
      </c>
      <c r="H150" s="91">
        <v>32</v>
      </c>
      <c r="I150" s="91">
        <v>7580</v>
      </c>
      <c r="J150" s="91">
        <f t="shared" si="52"/>
        <v>52</v>
      </c>
      <c r="K150" s="91">
        <f t="shared" si="52"/>
        <v>36680</v>
      </c>
      <c r="L150" s="92">
        <v>4</v>
      </c>
      <c r="M150" s="93">
        <v>3800</v>
      </c>
      <c r="N150" s="94">
        <f t="shared" si="53"/>
        <v>11</v>
      </c>
      <c r="O150" s="94">
        <f t="shared" si="54"/>
        <v>14072</v>
      </c>
      <c r="P150">
        <v>2</v>
      </c>
      <c r="Q150">
        <v>1445</v>
      </c>
      <c r="R150">
        <v>6</v>
      </c>
      <c r="S150">
        <v>3083.88</v>
      </c>
    </row>
    <row r="151" spans="1:19" x14ac:dyDescent="0.2">
      <c r="A151" s="6" t="s">
        <v>117</v>
      </c>
      <c r="B151" s="92" t="s">
        <v>156</v>
      </c>
      <c r="C151" s="92">
        <v>6</v>
      </c>
      <c r="D151" s="95">
        <v>0</v>
      </c>
      <c r="E151" s="95">
        <v>0</v>
      </c>
      <c r="F151" s="90">
        <f t="shared" si="51"/>
        <v>5</v>
      </c>
      <c r="G151" s="90">
        <f t="shared" si="51"/>
        <v>8690</v>
      </c>
      <c r="H151" s="91">
        <v>1</v>
      </c>
      <c r="I151" s="91">
        <v>1000</v>
      </c>
      <c r="J151" s="91">
        <f t="shared" si="52"/>
        <v>53</v>
      </c>
      <c r="K151" s="91">
        <f t="shared" si="52"/>
        <v>37680</v>
      </c>
      <c r="L151" s="92">
        <v>3</v>
      </c>
      <c r="M151" s="93">
        <v>2181</v>
      </c>
      <c r="N151" s="94">
        <f t="shared" si="53"/>
        <v>14</v>
      </c>
      <c r="O151" s="94">
        <f t="shared" si="54"/>
        <v>16253</v>
      </c>
      <c r="P151">
        <v>5</v>
      </c>
      <c r="Q151">
        <v>1884</v>
      </c>
      <c r="R151">
        <v>11</v>
      </c>
      <c r="S151">
        <v>4967.88</v>
      </c>
    </row>
    <row r="152" spans="1:19" x14ac:dyDescent="0.2">
      <c r="A152" s="6" t="s">
        <v>117</v>
      </c>
      <c r="B152" s="92" t="s">
        <v>157</v>
      </c>
      <c r="C152" s="92">
        <v>7</v>
      </c>
      <c r="D152" s="95">
        <v>0</v>
      </c>
      <c r="E152" s="95">
        <v>0</v>
      </c>
      <c r="F152" s="90">
        <f t="shared" si="51"/>
        <v>5</v>
      </c>
      <c r="G152" s="90">
        <f t="shared" si="51"/>
        <v>8690</v>
      </c>
      <c r="H152" s="91">
        <v>0</v>
      </c>
      <c r="I152" s="91">
        <v>0</v>
      </c>
      <c r="J152" s="91">
        <f t="shared" si="52"/>
        <v>53</v>
      </c>
      <c r="K152" s="91">
        <f t="shared" si="52"/>
        <v>37680</v>
      </c>
      <c r="L152" s="92">
        <v>1</v>
      </c>
      <c r="M152" s="93">
        <v>2250</v>
      </c>
      <c r="N152" s="94">
        <f t="shared" si="53"/>
        <v>15</v>
      </c>
      <c r="O152" s="94">
        <f t="shared" si="54"/>
        <v>18503</v>
      </c>
      <c r="P152">
        <v>4</v>
      </c>
      <c r="Q152">
        <v>4630</v>
      </c>
      <c r="R152">
        <v>15</v>
      </c>
      <c r="S152">
        <v>9597.8799999999992</v>
      </c>
    </row>
    <row r="153" spans="1:19" x14ac:dyDescent="0.2">
      <c r="A153" s="6" t="s">
        <v>117</v>
      </c>
      <c r="B153" s="92" t="s">
        <v>158</v>
      </c>
      <c r="C153" s="92">
        <v>8</v>
      </c>
      <c r="D153" s="95">
        <v>0</v>
      </c>
      <c r="E153" s="95">
        <v>0</v>
      </c>
      <c r="F153" s="90">
        <f t="shared" si="51"/>
        <v>5</v>
      </c>
      <c r="G153" s="90">
        <f t="shared" si="51"/>
        <v>8690</v>
      </c>
      <c r="H153" s="91">
        <v>8</v>
      </c>
      <c r="I153" s="91">
        <v>1500</v>
      </c>
      <c r="J153" s="91">
        <f t="shared" si="52"/>
        <v>61</v>
      </c>
      <c r="K153" s="91">
        <f t="shared" si="52"/>
        <v>39180</v>
      </c>
      <c r="L153" s="92">
        <v>4</v>
      </c>
      <c r="M153" s="93">
        <v>2570</v>
      </c>
      <c r="N153" s="94">
        <f t="shared" si="53"/>
        <v>19</v>
      </c>
      <c r="O153" s="94">
        <f t="shared" si="54"/>
        <v>21073</v>
      </c>
      <c r="P153" s="88"/>
      <c r="Q153" s="88">
        <v>0</v>
      </c>
    </row>
    <row r="154" spans="1:19" x14ac:dyDescent="0.2">
      <c r="A154" s="6" t="s">
        <v>117</v>
      </c>
      <c r="B154" s="92" t="s">
        <v>159</v>
      </c>
      <c r="C154" s="92">
        <v>9</v>
      </c>
      <c r="D154" s="95">
        <v>8</v>
      </c>
      <c r="E154" s="95">
        <v>4740</v>
      </c>
      <c r="F154" s="90">
        <f t="shared" si="51"/>
        <v>13</v>
      </c>
      <c r="G154" s="90">
        <f t="shared" si="51"/>
        <v>13430</v>
      </c>
      <c r="H154" s="91">
        <v>2</v>
      </c>
      <c r="I154" s="91">
        <v>3000</v>
      </c>
      <c r="J154" s="91">
        <f t="shared" si="52"/>
        <v>63</v>
      </c>
      <c r="K154" s="91">
        <f t="shared" si="52"/>
        <v>42180</v>
      </c>
      <c r="L154" s="92">
        <v>3</v>
      </c>
      <c r="M154" s="93">
        <v>6730</v>
      </c>
      <c r="N154" s="94">
        <f t="shared" si="53"/>
        <v>22</v>
      </c>
      <c r="O154" s="94">
        <f t="shared" si="54"/>
        <v>27803</v>
      </c>
      <c r="P154" s="88"/>
      <c r="Q154" s="88">
        <v>0</v>
      </c>
    </row>
    <row r="155" spans="1:19" x14ac:dyDescent="0.2">
      <c r="A155" s="6" t="s">
        <v>117</v>
      </c>
      <c r="B155" s="92" t="s">
        <v>160</v>
      </c>
      <c r="C155" s="92">
        <v>10</v>
      </c>
      <c r="D155" s="95">
        <v>0</v>
      </c>
      <c r="E155" s="95">
        <v>0</v>
      </c>
      <c r="F155" s="90">
        <f t="shared" si="51"/>
        <v>13</v>
      </c>
      <c r="G155" s="90">
        <f t="shared" si="51"/>
        <v>13430</v>
      </c>
      <c r="H155" s="91">
        <v>0</v>
      </c>
      <c r="I155" s="91">
        <v>0</v>
      </c>
      <c r="J155" s="91">
        <f t="shared" si="52"/>
        <v>63</v>
      </c>
      <c r="K155" s="91">
        <f t="shared" si="52"/>
        <v>42180</v>
      </c>
      <c r="L155" s="92">
        <v>3</v>
      </c>
      <c r="M155" s="93">
        <v>1974</v>
      </c>
      <c r="N155" s="94">
        <f t="shared" si="53"/>
        <v>25</v>
      </c>
      <c r="O155" s="94">
        <f t="shared" si="54"/>
        <v>29777</v>
      </c>
      <c r="P155" s="88"/>
      <c r="Q155" s="88">
        <v>0</v>
      </c>
    </row>
    <row r="156" spans="1:19" x14ac:dyDescent="0.2">
      <c r="A156" s="6" t="s">
        <v>117</v>
      </c>
      <c r="B156" s="92" t="s">
        <v>161</v>
      </c>
      <c r="C156" s="92">
        <v>11</v>
      </c>
      <c r="D156" s="95">
        <v>4</v>
      </c>
      <c r="E156" s="90">
        <v>9560</v>
      </c>
      <c r="F156" s="90">
        <f t="shared" si="51"/>
        <v>17</v>
      </c>
      <c r="G156" s="90">
        <f t="shared" si="51"/>
        <v>22990</v>
      </c>
      <c r="H156" s="91">
        <v>3</v>
      </c>
      <c r="I156" s="91">
        <v>2636</v>
      </c>
      <c r="J156" s="91">
        <f t="shared" si="52"/>
        <v>66</v>
      </c>
      <c r="K156" s="91">
        <f t="shared" si="52"/>
        <v>44816</v>
      </c>
      <c r="L156" s="92">
        <v>10</v>
      </c>
      <c r="M156" s="93">
        <v>19200</v>
      </c>
      <c r="N156" s="94">
        <f t="shared" si="53"/>
        <v>35</v>
      </c>
      <c r="O156" s="94">
        <f t="shared" si="54"/>
        <v>48977</v>
      </c>
      <c r="P156" s="88"/>
      <c r="Q156" s="88">
        <v>0</v>
      </c>
    </row>
    <row r="157" spans="1:19" x14ac:dyDescent="0.2">
      <c r="A157" s="6" t="s">
        <v>117</v>
      </c>
      <c r="B157" s="92" t="s">
        <v>162</v>
      </c>
      <c r="C157" s="92">
        <v>12</v>
      </c>
      <c r="D157" s="95">
        <v>10</v>
      </c>
      <c r="E157" s="90">
        <v>7755</v>
      </c>
      <c r="F157" s="90">
        <f t="shared" si="51"/>
        <v>27</v>
      </c>
      <c r="G157" s="90">
        <f t="shared" si="51"/>
        <v>30745</v>
      </c>
      <c r="H157" s="91">
        <v>2</v>
      </c>
      <c r="I157" s="91">
        <v>6000</v>
      </c>
      <c r="J157" s="91">
        <f t="shared" si="52"/>
        <v>68</v>
      </c>
      <c r="K157" s="91">
        <f t="shared" si="52"/>
        <v>50816</v>
      </c>
      <c r="L157" s="92">
        <v>2</v>
      </c>
      <c r="M157" s="93">
        <v>420</v>
      </c>
      <c r="N157" s="94">
        <f t="shared" si="53"/>
        <v>37</v>
      </c>
      <c r="O157" s="94">
        <f t="shared" si="54"/>
        <v>49397</v>
      </c>
      <c r="P157" s="88"/>
      <c r="Q157" s="88">
        <v>0</v>
      </c>
    </row>
    <row r="158" spans="1:19" x14ac:dyDescent="0.2">
      <c r="A158" s="6" t="s">
        <v>99</v>
      </c>
      <c r="B158" s="92" t="s">
        <v>151</v>
      </c>
      <c r="C158" s="92">
        <v>1</v>
      </c>
      <c r="D158" s="95">
        <v>0</v>
      </c>
      <c r="E158" s="95">
        <v>0</v>
      </c>
      <c r="F158" s="90">
        <f>D158</f>
        <v>0</v>
      </c>
      <c r="G158" s="90">
        <f>E158</f>
        <v>0</v>
      </c>
      <c r="H158" s="90">
        <v>0</v>
      </c>
      <c r="I158" s="90">
        <v>0</v>
      </c>
      <c r="J158" s="90">
        <f>H158</f>
        <v>0</v>
      </c>
      <c r="K158" s="90">
        <f>I158</f>
        <v>0</v>
      </c>
      <c r="L158" s="92">
        <v>0</v>
      </c>
      <c r="M158" s="93">
        <v>0</v>
      </c>
      <c r="N158" s="94">
        <f>L158</f>
        <v>0</v>
      </c>
      <c r="O158" s="94">
        <f>M158</f>
        <v>0</v>
      </c>
      <c r="P158">
        <v>1</v>
      </c>
      <c r="Q158">
        <v>60</v>
      </c>
      <c r="R158">
        <v>1</v>
      </c>
      <c r="S158">
        <v>60</v>
      </c>
    </row>
    <row r="159" spans="1:19" x14ac:dyDescent="0.2">
      <c r="A159" s="6" t="s">
        <v>99</v>
      </c>
      <c r="B159" s="92" t="s">
        <v>152</v>
      </c>
      <c r="C159" s="92">
        <v>2</v>
      </c>
      <c r="D159" s="95">
        <v>0</v>
      </c>
      <c r="E159" s="95">
        <v>0</v>
      </c>
      <c r="F159" s="90">
        <f t="shared" ref="F159:F169" si="55">F158+D159</f>
        <v>0</v>
      </c>
      <c r="G159" s="90">
        <f t="shared" ref="G159:G169" si="56">G158+E159</f>
        <v>0</v>
      </c>
      <c r="H159" s="90">
        <v>0</v>
      </c>
      <c r="I159" s="90">
        <v>0</v>
      </c>
      <c r="J159" s="90">
        <f t="shared" ref="J159:J169" si="57">J158+H159</f>
        <v>0</v>
      </c>
      <c r="K159" s="90">
        <f t="shared" ref="K159:K169" si="58">K158+I159</f>
        <v>0</v>
      </c>
      <c r="L159" s="92">
        <v>0</v>
      </c>
      <c r="M159" s="93">
        <v>0</v>
      </c>
      <c r="N159" s="94">
        <f t="shared" ref="N159:N169" si="59">N158+L159</f>
        <v>0</v>
      </c>
      <c r="O159" s="94">
        <f t="shared" ref="O159:O169" si="60">O158+M159</f>
        <v>0</v>
      </c>
      <c r="P159">
        <v>0</v>
      </c>
      <c r="Q159">
        <v>0</v>
      </c>
      <c r="R159">
        <v>1</v>
      </c>
      <c r="S159">
        <v>60</v>
      </c>
    </row>
    <row r="160" spans="1:19" x14ac:dyDescent="0.2">
      <c r="A160" s="6" t="s">
        <v>99</v>
      </c>
      <c r="B160" s="92" t="s">
        <v>153</v>
      </c>
      <c r="C160" s="92">
        <v>3</v>
      </c>
      <c r="D160" s="95">
        <v>0</v>
      </c>
      <c r="E160" s="95">
        <v>0</v>
      </c>
      <c r="F160" s="90">
        <f t="shared" si="55"/>
        <v>0</v>
      </c>
      <c r="G160" s="90">
        <f t="shared" si="56"/>
        <v>0</v>
      </c>
      <c r="H160" s="90">
        <v>0</v>
      </c>
      <c r="I160" s="90">
        <v>0</v>
      </c>
      <c r="J160" s="90">
        <f t="shared" si="57"/>
        <v>0</v>
      </c>
      <c r="K160" s="90">
        <f t="shared" si="58"/>
        <v>0</v>
      </c>
      <c r="L160" s="92">
        <v>1</v>
      </c>
      <c r="M160" s="93">
        <v>320</v>
      </c>
      <c r="N160" s="94">
        <f t="shared" si="59"/>
        <v>1</v>
      </c>
      <c r="O160" s="94">
        <f t="shared" si="60"/>
        <v>320</v>
      </c>
      <c r="P160">
        <v>0</v>
      </c>
      <c r="Q160">
        <v>0</v>
      </c>
      <c r="R160">
        <v>1</v>
      </c>
      <c r="S160">
        <v>60</v>
      </c>
    </row>
    <row r="161" spans="1:19" x14ac:dyDescent="0.2">
      <c r="A161" s="6" t="s">
        <v>99</v>
      </c>
      <c r="B161" s="92" t="s">
        <v>154</v>
      </c>
      <c r="C161" s="92">
        <v>4</v>
      </c>
      <c r="D161" s="95">
        <v>0</v>
      </c>
      <c r="E161" s="95">
        <v>0</v>
      </c>
      <c r="F161" s="90">
        <f t="shared" si="55"/>
        <v>0</v>
      </c>
      <c r="G161" s="90">
        <f t="shared" si="56"/>
        <v>0</v>
      </c>
      <c r="H161" s="90">
        <v>0</v>
      </c>
      <c r="I161" s="90">
        <v>0</v>
      </c>
      <c r="J161" s="90">
        <f t="shared" si="57"/>
        <v>0</v>
      </c>
      <c r="K161" s="90">
        <f t="shared" si="58"/>
        <v>0</v>
      </c>
      <c r="L161" s="92">
        <v>1</v>
      </c>
      <c r="M161" s="93">
        <v>3300</v>
      </c>
      <c r="N161" s="94">
        <f t="shared" si="59"/>
        <v>2</v>
      </c>
      <c r="O161" s="94">
        <f t="shared" si="60"/>
        <v>3620</v>
      </c>
      <c r="P161">
        <v>4</v>
      </c>
      <c r="Q161">
        <v>245</v>
      </c>
      <c r="R161">
        <v>5</v>
      </c>
      <c r="S161">
        <v>305</v>
      </c>
    </row>
    <row r="162" spans="1:19" x14ac:dyDescent="0.2">
      <c r="A162" s="6" t="s">
        <v>99</v>
      </c>
      <c r="B162" s="92" t="s">
        <v>155</v>
      </c>
      <c r="C162" s="92">
        <v>5</v>
      </c>
      <c r="D162" s="95">
        <v>0</v>
      </c>
      <c r="E162" s="95">
        <v>0</v>
      </c>
      <c r="F162" s="90">
        <f t="shared" si="55"/>
        <v>0</v>
      </c>
      <c r="G162" s="90">
        <f t="shared" si="56"/>
        <v>0</v>
      </c>
      <c r="H162" s="90">
        <v>0</v>
      </c>
      <c r="I162" s="90">
        <v>0</v>
      </c>
      <c r="J162" s="90">
        <f t="shared" si="57"/>
        <v>0</v>
      </c>
      <c r="K162" s="90">
        <f t="shared" si="58"/>
        <v>0</v>
      </c>
      <c r="L162" s="92">
        <v>0</v>
      </c>
      <c r="M162" s="93">
        <v>0</v>
      </c>
      <c r="N162" s="94">
        <f t="shared" si="59"/>
        <v>2</v>
      </c>
      <c r="O162" s="94">
        <f t="shared" si="60"/>
        <v>3620</v>
      </c>
      <c r="P162">
        <v>4</v>
      </c>
      <c r="Q162">
        <v>577.5</v>
      </c>
      <c r="R162">
        <v>9</v>
      </c>
      <c r="S162">
        <v>882.5</v>
      </c>
    </row>
    <row r="163" spans="1:19" x14ac:dyDescent="0.2">
      <c r="A163" s="6" t="s">
        <v>99</v>
      </c>
      <c r="B163" s="92" t="s">
        <v>156</v>
      </c>
      <c r="C163" s="92">
        <v>6</v>
      </c>
      <c r="D163" s="95">
        <v>0</v>
      </c>
      <c r="E163" s="95">
        <v>0</v>
      </c>
      <c r="F163" s="90">
        <f t="shared" si="55"/>
        <v>0</v>
      </c>
      <c r="G163" s="90">
        <f t="shared" si="56"/>
        <v>0</v>
      </c>
      <c r="H163" s="90">
        <v>0</v>
      </c>
      <c r="I163" s="90">
        <v>0</v>
      </c>
      <c r="J163" s="90">
        <f t="shared" si="57"/>
        <v>0</v>
      </c>
      <c r="K163" s="90">
        <f t="shared" si="58"/>
        <v>0</v>
      </c>
      <c r="L163" s="92">
        <v>3</v>
      </c>
      <c r="M163" s="93">
        <v>1580</v>
      </c>
      <c r="N163" s="94">
        <f t="shared" si="59"/>
        <v>5</v>
      </c>
      <c r="O163" s="94">
        <f t="shared" si="60"/>
        <v>5200</v>
      </c>
      <c r="P163">
        <v>2</v>
      </c>
      <c r="Q163">
        <v>350</v>
      </c>
      <c r="R163">
        <v>11</v>
      </c>
      <c r="S163">
        <v>1232.5</v>
      </c>
    </row>
    <row r="164" spans="1:19" x14ac:dyDescent="0.2">
      <c r="A164" s="6" t="s">
        <v>99</v>
      </c>
      <c r="B164" s="92" t="s">
        <v>157</v>
      </c>
      <c r="C164" s="92">
        <v>7</v>
      </c>
      <c r="D164" s="95">
        <v>0</v>
      </c>
      <c r="E164" s="95">
        <v>0</v>
      </c>
      <c r="F164" s="90">
        <f t="shared" si="55"/>
        <v>0</v>
      </c>
      <c r="G164" s="90">
        <f t="shared" si="56"/>
        <v>0</v>
      </c>
      <c r="H164" s="90">
        <v>0</v>
      </c>
      <c r="I164" s="90">
        <v>0</v>
      </c>
      <c r="J164" s="90">
        <f t="shared" si="57"/>
        <v>0</v>
      </c>
      <c r="K164" s="90">
        <f t="shared" si="58"/>
        <v>0</v>
      </c>
      <c r="L164" s="92">
        <v>5</v>
      </c>
      <c r="M164" s="93">
        <v>1300</v>
      </c>
      <c r="N164" s="94">
        <f t="shared" si="59"/>
        <v>10</v>
      </c>
      <c r="O164" s="94">
        <f t="shared" si="60"/>
        <v>6500</v>
      </c>
      <c r="P164">
        <v>3</v>
      </c>
      <c r="Q164">
        <v>1400</v>
      </c>
      <c r="R164">
        <v>14</v>
      </c>
      <c r="S164">
        <v>2632.5</v>
      </c>
    </row>
    <row r="165" spans="1:19" x14ac:dyDescent="0.2">
      <c r="A165" s="6" t="s">
        <v>99</v>
      </c>
      <c r="B165" s="92" t="s">
        <v>158</v>
      </c>
      <c r="C165" s="92">
        <v>8</v>
      </c>
      <c r="D165" s="95">
        <v>0</v>
      </c>
      <c r="E165" s="95">
        <v>0</v>
      </c>
      <c r="F165" s="90">
        <f t="shared" si="55"/>
        <v>0</v>
      </c>
      <c r="G165" s="90">
        <f t="shared" si="56"/>
        <v>0</v>
      </c>
      <c r="H165" s="90">
        <v>0</v>
      </c>
      <c r="I165" s="90">
        <v>0</v>
      </c>
      <c r="J165" s="90">
        <f t="shared" si="57"/>
        <v>0</v>
      </c>
      <c r="K165" s="90">
        <f t="shared" si="58"/>
        <v>0</v>
      </c>
      <c r="L165" s="92">
        <v>0</v>
      </c>
      <c r="M165" s="93">
        <v>0</v>
      </c>
      <c r="N165" s="94">
        <f t="shared" si="59"/>
        <v>10</v>
      </c>
      <c r="O165" s="94">
        <f t="shared" si="60"/>
        <v>6500</v>
      </c>
      <c r="P165" s="88"/>
      <c r="Q165" s="88">
        <v>0</v>
      </c>
    </row>
    <row r="166" spans="1:19" x14ac:dyDescent="0.2">
      <c r="A166" s="6" t="s">
        <v>99</v>
      </c>
      <c r="B166" s="92" t="s">
        <v>159</v>
      </c>
      <c r="C166" s="92">
        <v>9</v>
      </c>
      <c r="D166" s="95">
        <v>0</v>
      </c>
      <c r="E166" s="95">
        <v>0</v>
      </c>
      <c r="F166" s="90">
        <f t="shared" si="55"/>
        <v>0</v>
      </c>
      <c r="G166" s="90">
        <f t="shared" si="56"/>
        <v>0</v>
      </c>
      <c r="H166" s="90">
        <v>0</v>
      </c>
      <c r="I166" s="90">
        <v>0</v>
      </c>
      <c r="J166" s="90">
        <f t="shared" si="57"/>
        <v>0</v>
      </c>
      <c r="K166" s="90">
        <f t="shared" si="58"/>
        <v>0</v>
      </c>
      <c r="L166" s="92">
        <v>0</v>
      </c>
      <c r="M166" s="93">
        <v>0</v>
      </c>
      <c r="N166" s="94">
        <f t="shared" si="59"/>
        <v>10</v>
      </c>
      <c r="O166" s="94">
        <f t="shared" si="60"/>
        <v>6500</v>
      </c>
      <c r="P166" s="88"/>
      <c r="Q166" s="88">
        <v>0</v>
      </c>
    </row>
    <row r="167" spans="1:19" x14ac:dyDescent="0.2">
      <c r="A167" s="6" t="s">
        <v>99</v>
      </c>
      <c r="B167" s="92" t="s">
        <v>160</v>
      </c>
      <c r="C167" s="92">
        <v>10</v>
      </c>
      <c r="D167" s="95">
        <v>0</v>
      </c>
      <c r="E167" s="95">
        <v>0</v>
      </c>
      <c r="F167" s="90">
        <f t="shared" si="55"/>
        <v>0</v>
      </c>
      <c r="G167" s="90">
        <f t="shared" si="56"/>
        <v>0</v>
      </c>
      <c r="H167" s="90">
        <v>0</v>
      </c>
      <c r="I167" s="90">
        <v>0</v>
      </c>
      <c r="J167" s="90">
        <f t="shared" si="57"/>
        <v>0</v>
      </c>
      <c r="K167" s="90">
        <f t="shared" si="58"/>
        <v>0</v>
      </c>
      <c r="L167" s="92">
        <v>0</v>
      </c>
      <c r="M167" s="93">
        <v>0</v>
      </c>
      <c r="N167" s="94">
        <f t="shared" si="59"/>
        <v>10</v>
      </c>
      <c r="O167" s="94">
        <f t="shared" si="60"/>
        <v>6500</v>
      </c>
      <c r="P167" s="88"/>
      <c r="Q167" s="88">
        <v>0</v>
      </c>
    </row>
    <row r="168" spans="1:19" x14ac:dyDescent="0.2">
      <c r="A168" s="6" t="s">
        <v>99</v>
      </c>
      <c r="B168" s="92" t="s">
        <v>161</v>
      </c>
      <c r="C168" s="92">
        <v>11</v>
      </c>
      <c r="D168" s="95">
        <v>0</v>
      </c>
      <c r="E168" s="95">
        <v>0</v>
      </c>
      <c r="F168" s="90">
        <f t="shared" si="55"/>
        <v>0</v>
      </c>
      <c r="G168" s="90">
        <f t="shared" si="56"/>
        <v>0</v>
      </c>
      <c r="H168" s="90">
        <v>0</v>
      </c>
      <c r="I168" s="90">
        <v>0</v>
      </c>
      <c r="J168" s="90">
        <f t="shared" si="57"/>
        <v>0</v>
      </c>
      <c r="K168" s="90">
        <f t="shared" si="58"/>
        <v>0</v>
      </c>
      <c r="L168" s="92">
        <v>2</v>
      </c>
      <c r="M168" s="93">
        <v>514</v>
      </c>
      <c r="N168" s="94">
        <f t="shared" si="59"/>
        <v>12</v>
      </c>
      <c r="O168" s="94">
        <f t="shared" si="60"/>
        <v>7014</v>
      </c>
      <c r="P168" s="88"/>
      <c r="Q168" s="88">
        <v>0</v>
      </c>
    </row>
    <row r="169" spans="1:19" x14ac:dyDescent="0.2">
      <c r="A169" s="6" t="s">
        <v>99</v>
      </c>
      <c r="B169" s="92" t="s">
        <v>162</v>
      </c>
      <c r="C169" s="92">
        <v>12</v>
      </c>
      <c r="D169" s="95">
        <v>0</v>
      </c>
      <c r="E169" s="95">
        <v>0</v>
      </c>
      <c r="F169" s="90">
        <f t="shared" si="55"/>
        <v>0</v>
      </c>
      <c r="G169" s="90">
        <f t="shared" si="56"/>
        <v>0</v>
      </c>
      <c r="H169" s="90">
        <v>0</v>
      </c>
      <c r="I169" s="90">
        <v>0</v>
      </c>
      <c r="J169" s="90">
        <f t="shared" si="57"/>
        <v>0</v>
      </c>
      <c r="K169" s="90">
        <f t="shared" si="58"/>
        <v>0</v>
      </c>
      <c r="L169" s="92">
        <v>2</v>
      </c>
      <c r="M169" s="93">
        <v>140</v>
      </c>
      <c r="N169" s="94">
        <f t="shared" si="59"/>
        <v>14</v>
      </c>
      <c r="O169" s="94">
        <f t="shared" si="60"/>
        <v>7154</v>
      </c>
      <c r="P169" s="88"/>
      <c r="Q169" s="88">
        <v>0</v>
      </c>
    </row>
    <row r="170" spans="1:19" x14ac:dyDescent="0.2">
      <c r="A170" s="6" t="s">
        <v>123</v>
      </c>
      <c r="B170" s="92" t="s">
        <v>151</v>
      </c>
      <c r="C170" s="92">
        <v>1</v>
      </c>
      <c r="D170" s="95">
        <v>0</v>
      </c>
      <c r="E170" s="95">
        <v>0</v>
      </c>
      <c r="F170" s="90">
        <f>D170</f>
        <v>0</v>
      </c>
      <c r="G170" s="90">
        <f>E170</f>
        <v>0</v>
      </c>
      <c r="H170" s="91">
        <v>0</v>
      </c>
      <c r="I170" s="91">
        <v>0</v>
      </c>
      <c r="J170" s="91">
        <f>H170</f>
        <v>0</v>
      </c>
      <c r="K170" s="91">
        <f>I170</f>
        <v>0</v>
      </c>
      <c r="L170" s="92">
        <v>0</v>
      </c>
      <c r="M170" s="93">
        <v>0</v>
      </c>
      <c r="N170" s="94">
        <f>L170</f>
        <v>0</v>
      </c>
      <c r="O170" s="94">
        <f>M170</f>
        <v>0</v>
      </c>
      <c r="P170">
        <v>1</v>
      </c>
      <c r="Q170">
        <v>1400</v>
      </c>
      <c r="R170">
        <v>1</v>
      </c>
      <c r="S170">
        <v>1400</v>
      </c>
    </row>
    <row r="171" spans="1:19" x14ac:dyDescent="0.2">
      <c r="A171" s="6" t="s">
        <v>123</v>
      </c>
      <c r="B171" s="92" t="s">
        <v>152</v>
      </c>
      <c r="C171" s="92">
        <v>2</v>
      </c>
      <c r="D171" s="95">
        <v>0</v>
      </c>
      <c r="E171" s="95">
        <v>0</v>
      </c>
      <c r="F171" s="90">
        <f t="shared" ref="F171:G181" si="61">F170+D171</f>
        <v>0</v>
      </c>
      <c r="G171" s="90">
        <f t="shared" si="61"/>
        <v>0</v>
      </c>
      <c r="H171" s="91">
        <v>0</v>
      </c>
      <c r="I171" s="91">
        <v>0</v>
      </c>
      <c r="J171" s="91">
        <f t="shared" ref="J171:K181" si="62">J170+H171</f>
        <v>0</v>
      </c>
      <c r="K171" s="91">
        <f t="shared" si="62"/>
        <v>0</v>
      </c>
      <c r="L171" s="92">
        <v>1</v>
      </c>
      <c r="M171" s="93">
        <v>17540</v>
      </c>
      <c r="N171" s="94">
        <f t="shared" ref="N171:N181" si="63">N170+L171</f>
        <v>1</v>
      </c>
      <c r="O171" s="94">
        <f t="shared" ref="O171:O181" si="64">O170+M171</f>
        <v>17540</v>
      </c>
      <c r="P171">
        <v>0</v>
      </c>
      <c r="Q171">
        <v>0</v>
      </c>
      <c r="R171">
        <v>1</v>
      </c>
      <c r="S171">
        <v>1400</v>
      </c>
    </row>
    <row r="172" spans="1:19" x14ac:dyDescent="0.2">
      <c r="A172" s="6" t="s">
        <v>123</v>
      </c>
      <c r="B172" s="92" t="s">
        <v>153</v>
      </c>
      <c r="C172" s="92">
        <v>3</v>
      </c>
      <c r="D172" s="95">
        <v>0</v>
      </c>
      <c r="E172" s="95">
        <v>0</v>
      </c>
      <c r="F172" s="90">
        <f t="shared" si="61"/>
        <v>0</v>
      </c>
      <c r="G172" s="90">
        <f t="shared" si="61"/>
        <v>0</v>
      </c>
      <c r="H172" s="91">
        <v>0</v>
      </c>
      <c r="I172" s="91">
        <v>0</v>
      </c>
      <c r="J172" s="91">
        <f t="shared" si="62"/>
        <v>0</v>
      </c>
      <c r="K172" s="91">
        <f t="shared" si="62"/>
        <v>0</v>
      </c>
      <c r="L172" s="92">
        <v>0</v>
      </c>
      <c r="M172" s="93">
        <v>0</v>
      </c>
      <c r="N172" s="94">
        <f t="shared" si="63"/>
        <v>1</v>
      </c>
      <c r="O172" s="94">
        <f t="shared" si="64"/>
        <v>17540</v>
      </c>
      <c r="P172">
        <v>0</v>
      </c>
      <c r="Q172">
        <v>0</v>
      </c>
      <c r="R172">
        <v>1</v>
      </c>
      <c r="S172">
        <v>1400</v>
      </c>
    </row>
    <row r="173" spans="1:19" x14ac:dyDescent="0.2">
      <c r="A173" s="6" t="s">
        <v>123</v>
      </c>
      <c r="B173" s="92" t="s">
        <v>154</v>
      </c>
      <c r="C173" s="92">
        <v>4</v>
      </c>
      <c r="D173" s="95">
        <v>0</v>
      </c>
      <c r="E173" s="95">
        <v>0</v>
      </c>
      <c r="F173" s="90">
        <f t="shared" si="61"/>
        <v>0</v>
      </c>
      <c r="G173" s="90">
        <f t="shared" si="61"/>
        <v>0</v>
      </c>
      <c r="H173" s="91">
        <v>0</v>
      </c>
      <c r="I173" s="91">
        <v>0</v>
      </c>
      <c r="J173" s="91">
        <f t="shared" si="62"/>
        <v>0</v>
      </c>
      <c r="K173" s="91">
        <f t="shared" si="62"/>
        <v>0</v>
      </c>
      <c r="L173" s="92">
        <v>0</v>
      </c>
      <c r="M173" s="93">
        <v>0</v>
      </c>
      <c r="N173" s="94">
        <f t="shared" si="63"/>
        <v>1</v>
      </c>
      <c r="O173" s="94">
        <f t="shared" si="64"/>
        <v>17540</v>
      </c>
      <c r="P173">
        <v>0</v>
      </c>
      <c r="Q173">
        <v>0</v>
      </c>
      <c r="R173">
        <v>1</v>
      </c>
      <c r="S173">
        <v>1400</v>
      </c>
    </row>
    <row r="174" spans="1:19" x14ac:dyDescent="0.2">
      <c r="A174" s="6" t="s">
        <v>123</v>
      </c>
      <c r="B174" s="92" t="s">
        <v>155</v>
      </c>
      <c r="C174" s="92">
        <v>5</v>
      </c>
      <c r="D174" s="95">
        <v>0</v>
      </c>
      <c r="E174" s="95">
        <v>0</v>
      </c>
      <c r="F174" s="90">
        <f t="shared" si="61"/>
        <v>0</v>
      </c>
      <c r="G174" s="90">
        <f t="shared" si="61"/>
        <v>0</v>
      </c>
      <c r="H174" s="91">
        <v>3</v>
      </c>
      <c r="I174" s="91">
        <v>15000</v>
      </c>
      <c r="J174" s="91">
        <f t="shared" si="62"/>
        <v>3</v>
      </c>
      <c r="K174" s="91">
        <f t="shared" si="62"/>
        <v>15000</v>
      </c>
      <c r="L174" s="92">
        <v>2</v>
      </c>
      <c r="M174" s="93">
        <v>1350</v>
      </c>
      <c r="N174" s="94">
        <f t="shared" si="63"/>
        <v>3</v>
      </c>
      <c r="O174" s="94">
        <f t="shared" si="64"/>
        <v>18890</v>
      </c>
      <c r="P174">
        <v>0</v>
      </c>
      <c r="Q174">
        <v>0</v>
      </c>
      <c r="R174">
        <v>1</v>
      </c>
      <c r="S174">
        <v>1400</v>
      </c>
    </row>
    <row r="175" spans="1:19" x14ac:dyDescent="0.2">
      <c r="A175" s="6" t="s">
        <v>123</v>
      </c>
      <c r="B175" s="92" t="s">
        <v>156</v>
      </c>
      <c r="C175" s="92">
        <v>6</v>
      </c>
      <c r="D175" s="95">
        <v>0</v>
      </c>
      <c r="E175" s="95">
        <v>0</v>
      </c>
      <c r="F175" s="90">
        <f t="shared" si="61"/>
        <v>0</v>
      </c>
      <c r="G175" s="90">
        <f t="shared" si="61"/>
        <v>0</v>
      </c>
      <c r="H175" s="91">
        <v>0</v>
      </c>
      <c r="I175" s="91">
        <v>0</v>
      </c>
      <c r="J175" s="91">
        <f t="shared" si="62"/>
        <v>3</v>
      </c>
      <c r="K175" s="91">
        <f t="shared" si="62"/>
        <v>15000</v>
      </c>
      <c r="L175" s="92">
        <v>1</v>
      </c>
      <c r="M175" s="93">
        <v>6000</v>
      </c>
      <c r="N175" s="94">
        <f t="shared" si="63"/>
        <v>4</v>
      </c>
      <c r="O175" s="94">
        <f t="shared" si="64"/>
        <v>24890</v>
      </c>
      <c r="P175">
        <v>0</v>
      </c>
      <c r="Q175">
        <v>0</v>
      </c>
      <c r="R175">
        <v>1</v>
      </c>
      <c r="S175">
        <v>1400</v>
      </c>
    </row>
    <row r="176" spans="1:19" x14ac:dyDescent="0.2">
      <c r="A176" s="6" t="s">
        <v>123</v>
      </c>
      <c r="B176" s="92" t="s">
        <v>157</v>
      </c>
      <c r="C176" s="92">
        <v>7</v>
      </c>
      <c r="D176" s="95">
        <v>0</v>
      </c>
      <c r="E176" s="95">
        <v>0</v>
      </c>
      <c r="F176" s="90">
        <f t="shared" si="61"/>
        <v>0</v>
      </c>
      <c r="G176" s="90">
        <f t="shared" si="61"/>
        <v>0</v>
      </c>
      <c r="H176" s="91">
        <v>0</v>
      </c>
      <c r="I176" s="91">
        <v>0</v>
      </c>
      <c r="J176" s="91">
        <f t="shared" si="62"/>
        <v>3</v>
      </c>
      <c r="K176" s="91">
        <f t="shared" si="62"/>
        <v>15000</v>
      </c>
      <c r="L176" s="92">
        <v>2</v>
      </c>
      <c r="M176" s="93">
        <v>2488</v>
      </c>
      <c r="N176" s="94">
        <f t="shared" si="63"/>
        <v>6</v>
      </c>
      <c r="O176" s="94">
        <f t="shared" si="64"/>
        <v>27378</v>
      </c>
      <c r="P176">
        <v>1</v>
      </c>
      <c r="Q176">
        <v>10500</v>
      </c>
      <c r="R176">
        <v>2</v>
      </c>
      <c r="S176">
        <v>11900</v>
      </c>
    </row>
    <row r="177" spans="1:19" x14ac:dyDescent="0.2">
      <c r="A177" s="6" t="s">
        <v>123</v>
      </c>
      <c r="B177" s="92" t="s">
        <v>158</v>
      </c>
      <c r="C177" s="92">
        <v>8</v>
      </c>
      <c r="D177" s="95">
        <v>0</v>
      </c>
      <c r="E177" s="95">
        <v>0</v>
      </c>
      <c r="F177" s="90">
        <f t="shared" si="61"/>
        <v>0</v>
      </c>
      <c r="G177" s="90">
        <f t="shared" si="61"/>
        <v>0</v>
      </c>
      <c r="H177" s="91">
        <v>1</v>
      </c>
      <c r="I177" s="91">
        <v>676.31</v>
      </c>
      <c r="J177" s="91">
        <f t="shared" si="62"/>
        <v>4</v>
      </c>
      <c r="K177" s="91">
        <f t="shared" si="62"/>
        <v>15676.31</v>
      </c>
      <c r="L177" s="92">
        <v>2</v>
      </c>
      <c r="M177" s="93">
        <v>1650</v>
      </c>
      <c r="N177" s="94">
        <f t="shared" si="63"/>
        <v>8</v>
      </c>
      <c r="O177" s="94">
        <f t="shared" si="64"/>
        <v>29028</v>
      </c>
      <c r="P177" s="88"/>
      <c r="Q177" s="88">
        <v>0</v>
      </c>
    </row>
    <row r="178" spans="1:19" x14ac:dyDescent="0.2">
      <c r="A178" s="6" t="s">
        <v>123</v>
      </c>
      <c r="B178" s="92" t="s">
        <v>159</v>
      </c>
      <c r="C178" s="92">
        <v>9</v>
      </c>
      <c r="D178" s="95">
        <v>0</v>
      </c>
      <c r="E178" s="95">
        <v>0</v>
      </c>
      <c r="F178" s="90">
        <f t="shared" si="61"/>
        <v>0</v>
      </c>
      <c r="G178" s="90">
        <f t="shared" si="61"/>
        <v>0</v>
      </c>
      <c r="H178" s="91">
        <v>0</v>
      </c>
      <c r="I178" s="91">
        <v>0</v>
      </c>
      <c r="J178" s="91">
        <f t="shared" si="62"/>
        <v>4</v>
      </c>
      <c r="K178" s="91">
        <f t="shared" si="62"/>
        <v>15676.31</v>
      </c>
      <c r="L178" s="92">
        <v>1</v>
      </c>
      <c r="M178" s="93">
        <v>1404</v>
      </c>
      <c r="N178" s="94">
        <f t="shared" si="63"/>
        <v>9</v>
      </c>
      <c r="O178" s="94">
        <f t="shared" si="64"/>
        <v>30432</v>
      </c>
      <c r="P178" s="88"/>
      <c r="Q178" s="88">
        <v>0</v>
      </c>
    </row>
    <row r="179" spans="1:19" x14ac:dyDescent="0.2">
      <c r="A179" s="6" t="s">
        <v>123</v>
      </c>
      <c r="B179" s="92" t="s">
        <v>160</v>
      </c>
      <c r="C179" s="92">
        <v>10</v>
      </c>
      <c r="D179" s="95">
        <v>0</v>
      </c>
      <c r="E179" s="95">
        <v>0</v>
      </c>
      <c r="F179" s="90">
        <f t="shared" si="61"/>
        <v>0</v>
      </c>
      <c r="G179" s="90">
        <f t="shared" si="61"/>
        <v>0</v>
      </c>
      <c r="H179" s="91">
        <v>1</v>
      </c>
      <c r="I179" s="91">
        <v>1167.99</v>
      </c>
      <c r="J179" s="91">
        <f t="shared" si="62"/>
        <v>5</v>
      </c>
      <c r="K179" s="91">
        <f t="shared" si="62"/>
        <v>16844.3</v>
      </c>
      <c r="L179" s="92">
        <v>2</v>
      </c>
      <c r="M179" s="93">
        <v>11600</v>
      </c>
      <c r="N179" s="94">
        <f t="shared" si="63"/>
        <v>11</v>
      </c>
      <c r="O179" s="94">
        <f t="shared" si="64"/>
        <v>42032</v>
      </c>
      <c r="P179" s="88"/>
      <c r="Q179" s="88">
        <v>0</v>
      </c>
    </row>
    <row r="180" spans="1:19" x14ac:dyDescent="0.2">
      <c r="A180" s="6" t="s">
        <v>123</v>
      </c>
      <c r="B180" s="92" t="s">
        <v>161</v>
      </c>
      <c r="C180" s="92">
        <v>11</v>
      </c>
      <c r="D180" s="95">
        <v>0</v>
      </c>
      <c r="E180" s="95">
        <v>0</v>
      </c>
      <c r="F180" s="90">
        <f t="shared" si="61"/>
        <v>0</v>
      </c>
      <c r="G180" s="90">
        <f t="shared" si="61"/>
        <v>0</v>
      </c>
      <c r="H180" s="91">
        <v>4</v>
      </c>
      <c r="I180" s="91">
        <v>7034.4000000000005</v>
      </c>
      <c r="J180" s="91">
        <f t="shared" si="62"/>
        <v>9</v>
      </c>
      <c r="K180" s="91">
        <f t="shared" si="62"/>
        <v>23878.7</v>
      </c>
      <c r="L180" s="92">
        <v>1</v>
      </c>
      <c r="M180" s="93">
        <v>160</v>
      </c>
      <c r="N180" s="94">
        <f t="shared" si="63"/>
        <v>12</v>
      </c>
      <c r="O180" s="94">
        <f t="shared" si="64"/>
        <v>42192</v>
      </c>
      <c r="P180" s="88"/>
      <c r="Q180" s="88">
        <v>0</v>
      </c>
    </row>
    <row r="181" spans="1:19" x14ac:dyDescent="0.2">
      <c r="A181" s="6" t="s">
        <v>123</v>
      </c>
      <c r="B181" s="92" t="s">
        <v>162</v>
      </c>
      <c r="C181" s="92">
        <v>12</v>
      </c>
      <c r="D181" s="95">
        <v>0</v>
      </c>
      <c r="E181" s="95">
        <v>0</v>
      </c>
      <c r="F181" s="90">
        <f t="shared" si="61"/>
        <v>0</v>
      </c>
      <c r="G181" s="90">
        <f t="shared" si="61"/>
        <v>0</v>
      </c>
      <c r="H181" s="91">
        <v>3</v>
      </c>
      <c r="I181" s="91">
        <v>6997.5</v>
      </c>
      <c r="J181" s="91">
        <f t="shared" si="62"/>
        <v>12</v>
      </c>
      <c r="K181" s="91">
        <f t="shared" si="62"/>
        <v>30876.2</v>
      </c>
      <c r="L181" s="92">
        <v>0</v>
      </c>
      <c r="M181" s="93">
        <v>0</v>
      </c>
      <c r="N181" s="94">
        <f t="shared" si="63"/>
        <v>12</v>
      </c>
      <c r="O181" s="94">
        <f t="shared" si="64"/>
        <v>42192</v>
      </c>
      <c r="P181" s="88"/>
      <c r="Q181" s="88">
        <v>0</v>
      </c>
    </row>
    <row r="182" spans="1:19" x14ac:dyDescent="0.2">
      <c r="A182" s="6" t="s">
        <v>92</v>
      </c>
      <c r="B182" s="92" t="s">
        <v>151</v>
      </c>
      <c r="C182" s="92">
        <v>1</v>
      </c>
      <c r="D182" s="90">
        <v>12</v>
      </c>
      <c r="E182" s="90">
        <v>14057</v>
      </c>
      <c r="F182" s="90">
        <f>D182</f>
        <v>12</v>
      </c>
      <c r="G182" s="90">
        <f>E182</f>
        <v>14057</v>
      </c>
      <c r="H182" s="91">
        <v>6</v>
      </c>
      <c r="I182" s="91">
        <v>5110</v>
      </c>
      <c r="J182" s="91">
        <f>H182</f>
        <v>6</v>
      </c>
      <c r="K182" s="91">
        <f>I182</f>
        <v>5110</v>
      </c>
      <c r="L182" s="92">
        <v>2</v>
      </c>
      <c r="M182" s="93">
        <v>4900</v>
      </c>
      <c r="N182" s="94">
        <f>L182</f>
        <v>2</v>
      </c>
      <c r="O182" s="94">
        <f>M182</f>
        <v>4900</v>
      </c>
      <c r="P182">
        <v>0</v>
      </c>
      <c r="Q182">
        <v>0</v>
      </c>
      <c r="R182">
        <v>0</v>
      </c>
      <c r="S182">
        <v>0</v>
      </c>
    </row>
    <row r="183" spans="1:19" x14ac:dyDescent="0.2">
      <c r="A183" s="6" t="s">
        <v>92</v>
      </c>
      <c r="B183" s="92" t="s">
        <v>152</v>
      </c>
      <c r="C183" s="92">
        <v>2</v>
      </c>
      <c r="D183" s="95">
        <v>0</v>
      </c>
      <c r="E183" s="95">
        <v>0</v>
      </c>
      <c r="F183" s="90">
        <f t="shared" ref="F183:G193" si="65">F182+D183</f>
        <v>12</v>
      </c>
      <c r="G183" s="90">
        <f t="shared" si="65"/>
        <v>14057</v>
      </c>
      <c r="H183" s="91">
        <v>4</v>
      </c>
      <c r="I183" s="91">
        <v>5100</v>
      </c>
      <c r="J183" s="91">
        <f t="shared" ref="J183:K193" si="66">J182+H183</f>
        <v>10</v>
      </c>
      <c r="K183" s="91">
        <f t="shared" si="66"/>
        <v>10210</v>
      </c>
      <c r="L183" s="92">
        <v>3</v>
      </c>
      <c r="M183" s="93">
        <v>6770</v>
      </c>
      <c r="N183" s="94">
        <f t="shared" ref="N183:N193" si="67">N182+L183</f>
        <v>5</v>
      </c>
      <c r="O183" s="94">
        <f t="shared" ref="O183:O193" si="68">O182+M183</f>
        <v>11670</v>
      </c>
      <c r="P183">
        <v>0</v>
      </c>
      <c r="Q183">
        <v>0</v>
      </c>
      <c r="R183">
        <v>0</v>
      </c>
      <c r="S183">
        <v>0</v>
      </c>
    </row>
    <row r="184" spans="1:19" x14ac:dyDescent="0.2">
      <c r="A184" s="6" t="s">
        <v>92</v>
      </c>
      <c r="B184" s="92" t="s">
        <v>153</v>
      </c>
      <c r="C184" s="92">
        <v>3</v>
      </c>
      <c r="D184" s="95">
        <v>6</v>
      </c>
      <c r="E184" s="95">
        <v>9775</v>
      </c>
      <c r="F184" s="90">
        <f t="shared" si="65"/>
        <v>18</v>
      </c>
      <c r="G184" s="90">
        <f t="shared" si="65"/>
        <v>23832</v>
      </c>
      <c r="H184" s="91">
        <v>3</v>
      </c>
      <c r="I184" s="91">
        <v>6250</v>
      </c>
      <c r="J184" s="91">
        <f t="shared" si="66"/>
        <v>13</v>
      </c>
      <c r="K184" s="91">
        <f t="shared" si="66"/>
        <v>16460</v>
      </c>
      <c r="L184" s="92">
        <v>0</v>
      </c>
      <c r="M184" s="93">
        <v>0</v>
      </c>
      <c r="N184" s="94">
        <f t="shared" si="67"/>
        <v>5</v>
      </c>
      <c r="O184" s="94">
        <f t="shared" si="68"/>
        <v>11670</v>
      </c>
      <c r="P184">
        <v>2</v>
      </c>
      <c r="Q184">
        <v>4275</v>
      </c>
      <c r="R184">
        <v>2</v>
      </c>
      <c r="S184">
        <v>4275</v>
      </c>
    </row>
    <row r="185" spans="1:19" x14ac:dyDescent="0.2">
      <c r="A185" s="6" t="s">
        <v>92</v>
      </c>
      <c r="B185" s="92" t="s">
        <v>154</v>
      </c>
      <c r="C185" s="92">
        <v>4</v>
      </c>
      <c r="D185" s="95">
        <v>2</v>
      </c>
      <c r="E185" s="90">
        <v>2380</v>
      </c>
      <c r="F185" s="90">
        <f t="shared" si="65"/>
        <v>20</v>
      </c>
      <c r="G185" s="90">
        <f t="shared" si="65"/>
        <v>26212</v>
      </c>
      <c r="H185" s="91">
        <v>1</v>
      </c>
      <c r="I185" s="91">
        <v>1100</v>
      </c>
      <c r="J185" s="91">
        <f t="shared" si="66"/>
        <v>14</v>
      </c>
      <c r="K185" s="91">
        <f t="shared" si="66"/>
        <v>17560</v>
      </c>
      <c r="L185" s="92">
        <v>2</v>
      </c>
      <c r="M185" s="93">
        <v>2700</v>
      </c>
      <c r="N185" s="94">
        <f t="shared" si="67"/>
        <v>7</v>
      </c>
      <c r="O185" s="94">
        <f t="shared" si="68"/>
        <v>14370</v>
      </c>
      <c r="P185">
        <v>0</v>
      </c>
      <c r="Q185">
        <v>0</v>
      </c>
      <c r="R185">
        <v>2</v>
      </c>
      <c r="S185">
        <v>4275</v>
      </c>
    </row>
    <row r="186" spans="1:19" x14ac:dyDescent="0.2">
      <c r="A186" s="6" t="s">
        <v>92</v>
      </c>
      <c r="B186" s="92" t="s">
        <v>155</v>
      </c>
      <c r="C186" s="92">
        <v>5</v>
      </c>
      <c r="D186" s="95">
        <v>0</v>
      </c>
      <c r="E186" s="90">
        <v>0</v>
      </c>
      <c r="F186" s="90">
        <f t="shared" si="65"/>
        <v>20</v>
      </c>
      <c r="G186" s="90">
        <f t="shared" si="65"/>
        <v>26212</v>
      </c>
      <c r="H186" s="91">
        <v>0</v>
      </c>
      <c r="I186" s="91">
        <v>0</v>
      </c>
      <c r="J186" s="91">
        <f t="shared" si="66"/>
        <v>14</v>
      </c>
      <c r="K186" s="91">
        <f t="shared" si="66"/>
        <v>17560</v>
      </c>
      <c r="L186" s="92">
        <v>3</v>
      </c>
      <c r="M186" s="93">
        <v>4900</v>
      </c>
      <c r="N186" s="94">
        <f t="shared" si="67"/>
        <v>10</v>
      </c>
      <c r="O186" s="94">
        <f t="shared" si="68"/>
        <v>19270</v>
      </c>
      <c r="P186">
        <v>2</v>
      </c>
      <c r="Q186">
        <v>6600</v>
      </c>
      <c r="R186">
        <v>4</v>
      </c>
      <c r="S186">
        <v>10875</v>
      </c>
    </row>
    <row r="187" spans="1:19" x14ac:dyDescent="0.2">
      <c r="A187" s="6" t="s">
        <v>92</v>
      </c>
      <c r="B187" s="92" t="s">
        <v>156</v>
      </c>
      <c r="C187" s="92">
        <v>6</v>
      </c>
      <c r="D187" s="95">
        <v>0</v>
      </c>
      <c r="E187" s="90">
        <v>0</v>
      </c>
      <c r="F187" s="90">
        <f t="shared" si="65"/>
        <v>20</v>
      </c>
      <c r="G187" s="90">
        <f t="shared" si="65"/>
        <v>26212</v>
      </c>
      <c r="H187" s="91">
        <v>4</v>
      </c>
      <c r="I187" s="91">
        <v>2900</v>
      </c>
      <c r="J187" s="91">
        <f t="shared" si="66"/>
        <v>18</v>
      </c>
      <c r="K187" s="91">
        <f t="shared" si="66"/>
        <v>20460</v>
      </c>
      <c r="L187" s="92">
        <v>9</v>
      </c>
      <c r="M187" s="93">
        <v>15980</v>
      </c>
      <c r="N187" s="94">
        <f t="shared" si="67"/>
        <v>19</v>
      </c>
      <c r="O187" s="94">
        <f t="shared" si="68"/>
        <v>35250</v>
      </c>
      <c r="P187">
        <v>0</v>
      </c>
      <c r="Q187">
        <v>0</v>
      </c>
      <c r="R187">
        <v>4</v>
      </c>
      <c r="S187">
        <v>10875</v>
      </c>
    </row>
    <row r="188" spans="1:19" x14ac:dyDescent="0.2">
      <c r="A188" s="6" t="s">
        <v>92</v>
      </c>
      <c r="B188" s="92" t="s">
        <v>157</v>
      </c>
      <c r="C188" s="92">
        <v>7</v>
      </c>
      <c r="D188" s="95">
        <v>6</v>
      </c>
      <c r="E188" s="90">
        <v>2320</v>
      </c>
      <c r="F188" s="90">
        <f t="shared" si="65"/>
        <v>26</v>
      </c>
      <c r="G188" s="90">
        <f t="shared" si="65"/>
        <v>28532</v>
      </c>
      <c r="H188" s="91">
        <v>2</v>
      </c>
      <c r="I188" s="91">
        <v>1700</v>
      </c>
      <c r="J188" s="91">
        <f t="shared" si="66"/>
        <v>20</v>
      </c>
      <c r="K188" s="91">
        <f t="shared" si="66"/>
        <v>22160</v>
      </c>
      <c r="L188" s="92">
        <v>3</v>
      </c>
      <c r="M188" s="93">
        <v>4585</v>
      </c>
      <c r="N188" s="94">
        <f t="shared" si="67"/>
        <v>22</v>
      </c>
      <c r="O188" s="94">
        <f t="shared" si="68"/>
        <v>39835</v>
      </c>
      <c r="P188">
        <v>1</v>
      </c>
      <c r="Q188">
        <v>2750</v>
      </c>
      <c r="R188">
        <v>5</v>
      </c>
      <c r="S188">
        <v>13625</v>
      </c>
    </row>
    <row r="189" spans="1:19" x14ac:dyDescent="0.2">
      <c r="A189" s="6" t="s">
        <v>92</v>
      </c>
      <c r="B189" s="92" t="s">
        <v>158</v>
      </c>
      <c r="C189" s="92">
        <v>8</v>
      </c>
      <c r="D189" s="95">
        <v>0</v>
      </c>
      <c r="E189" s="90">
        <v>0</v>
      </c>
      <c r="F189" s="90">
        <f t="shared" si="65"/>
        <v>26</v>
      </c>
      <c r="G189" s="90">
        <f t="shared" si="65"/>
        <v>28532</v>
      </c>
      <c r="H189" s="91">
        <v>3</v>
      </c>
      <c r="I189" s="91">
        <v>4600</v>
      </c>
      <c r="J189" s="91">
        <f t="shared" si="66"/>
        <v>23</v>
      </c>
      <c r="K189" s="91">
        <f t="shared" si="66"/>
        <v>26760</v>
      </c>
      <c r="L189" s="92">
        <v>1</v>
      </c>
      <c r="M189" s="93">
        <v>1500</v>
      </c>
      <c r="N189" s="94">
        <f t="shared" si="67"/>
        <v>23</v>
      </c>
      <c r="O189" s="94">
        <f t="shared" si="68"/>
        <v>41335</v>
      </c>
      <c r="P189" s="88"/>
      <c r="Q189" s="88">
        <v>0</v>
      </c>
    </row>
    <row r="190" spans="1:19" x14ac:dyDescent="0.2">
      <c r="A190" s="6" t="s">
        <v>92</v>
      </c>
      <c r="B190" s="92" t="s">
        <v>159</v>
      </c>
      <c r="C190" s="92">
        <v>9</v>
      </c>
      <c r="D190" s="95">
        <v>1</v>
      </c>
      <c r="E190" s="95">
        <v>1500</v>
      </c>
      <c r="F190" s="90">
        <f t="shared" si="65"/>
        <v>27</v>
      </c>
      <c r="G190" s="90">
        <f t="shared" si="65"/>
        <v>30032</v>
      </c>
      <c r="H190" s="91">
        <v>1</v>
      </c>
      <c r="I190" s="91">
        <v>860</v>
      </c>
      <c r="J190" s="91">
        <f t="shared" si="66"/>
        <v>24</v>
      </c>
      <c r="K190" s="91">
        <f t="shared" si="66"/>
        <v>27620</v>
      </c>
      <c r="L190" s="92">
        <v>3</v>
      </c>
      <c r="M190" s="93">
        <v>4940</v>
      </c>
      <c r="N190" s="94">
        <f t="shared" si="67"/>
        <v>26</v>
      </c>
      <c r="O190" s="94">
        <f t="shared" si="68"/>
        <v>46275</v>
      </c>
      <c r="P190" s="88"/>
      <c r="Q190" s="88">
        <v>0</v>
      </c>
    </row>
    <row r="191" spans="1:19" x14ac:dyDescent="0.2">
      <c r="A191" s="6" t="s">
        <v>92</v>
      </c>
      <c r="B191" s="92" t="s">
        <v>160</v>
      </c>
      <c r="C191" s="92">
        <v>10</v>
      </c>
      <c r="D191" s="95">
        <v>4</v>
      </c>
      <c r="E191" s="95">
        <v>17354.62</v>
      </c>
      <c r="F191" s="90">
        <f t="shared" si="65"/>
        <v>31</v>
      </c>
      <c r="G191" s="90">
        <f t="shared" si="65"/>
        <v>47386.619999999995</v>
      </c>
      <c r="H191" s="91">
        <v>23</v>
      </c>
      <c r="I191" s="91">
        <v>17280</v>
      </c>
      <c r="J191" s="91">
        <f t="shared" si="66"/>
        <v>47</v>
      </c>
      <c r="K191" s="91">
        <f t="shared" si="66"/>
        <v>44900</v>
      </c>
      <c r="L191" s="92">
        <v>6</v>
      </c>
      <c r="M191" s="93">
        <v>15095</v>
      </c>
      <c r="N191" s="94">
        <f t="shared" si="67"/>
        <v>32</v>
      </c>
      <c r="O191" s="94">
        <f t="shared" si="68"/>
        <v>61370</v>
      </c>
      <c r="P191" s="88"/>
      <c r="Q191" s="88">
        <v>0</v>
      </c>
    </row>
    <row r="192" spans="1:19" x14ac:dyDescent="0.2">
      <c r="A192" s="6" t="s">
        <v>92</v>
      </c>
      <c r="B192" s="92" t="s">
        <v>161</v>
      </c>
      <c r="C192" s="92">
        <v>11</v>
      </c>
      <c r="D192" s="95">
        <v>0</v>
      </c>
      <c r="E192" s="90">
        <v>0</v>
      </c>
      <c r="F192" s="90">
        <f t="shared" si="65"/>
        <v>31</v>
      </c>
      <c r="G192" s="90">
        <f t="shared" si="65"/>
        <v>47386.619999999995</v>
      </c>
      <c r="H192" s="91">
        <v>6</v>
      </c>
      <c r="I192" s="91">
        <v>10050</v>
      </c>
      <c r="J192" s="91">
        <f t="shared" si="66"/>
        <v>53</v>
      </c>
      <c r="K192" s="91">
        <f t="shared" si="66"/>
        <v>54950</v>
      </c>
      <c r="L192" s="92">
        <v>9</v>
      </c>
      <c r="M192" s="93">
        <v>25200</v>
      </c>
      <c r="N192" s="94">
        <f t="shared" si="67"/>
        <v>41</v>
      </c>
      <c r="O192" s="94">
        <f t="shared" si="68"/>
        <v>86570</v>
      </c>
      <c r="P192" s="88"/>
      <c r="Q192" s="88">
        <v>0</v>
      </c>
    </row>
    <row r="193" spans="1:19" x14ac:dyDescent="0.2">
      <c r="A193" s="6" t="s">
        <v>92</v>
      </c>
      <c r="B193" s="92" t="s">
        <v>162</v>
      </c>
      <c r="C193" s="92">
        <v>12</v>
      </c>
      <c r="D193" s="95">
        <v>0</v>
      </c>
      <c r="E193" s="90">
        <v>0</v>
      </c>
      <c r="F193" s="90">
        <f t="shared" si="65"/>
        <v>31</v>
      </c>
      <c r="G193" s="90">
        <f t="shared" si="65"/>
        <v>47386.619999999995</v>
      </c>
      <c r="H193" s="91">
        <v>6</v>
      </c>
      <c r="I193" s="91">
        <v>12637.5</v>
      </c>
      <c r="J193" s="91">
        <f t="shared" si="66"/>
        <v>59</v>
      </c>
      <c r="K193" s="91">
        <f t="shared" si="66"/>
        <v>67587.5</v>
      </c>
      <c r="L193" s="92">
        <v>5</v>
      </c>
      <c r="M193" s="93">
        <v>21680</v>
      </c>
      <c r="N193" s="94">
        <f t="shared" si="67"/>
        <v>46</v>
      </c>
      <c r="O193" s="94">
        <f t="shared" si="68"/>
        <v>108250</v>
      </c>
      <c r="P193" s="88"/>
      <c r="Q193" s="88">
        <v>0</v>
      </c>
    </row>
    <row r="194" spans="1:19" x14ac:dyDescent="0.2">
      <c r="A194" s="6" t="s">
        <v>37</v>
      </c>
      <c r="B194" s="92" t="s">
        <v>151</v>
      </c>
      <c r="C194" s="92">
        <v>1</v>
      </c>
      <c r="D194" s="95">
        <v>0</v>
      </c>
      <c r="E194" s="95">
        <v>0</v>
      </c>
      <c r="F194" s="90">
        <f>D194</f>
        <v>0</v>
      </c>
      <c r="G194" s="90">
        <f>E194</f>
        <v>0</v>
      </c>
      <c r="H194" s="91">
        <v>1</v>
      </c>
      <c r="I194" s="91">
        <v>1030</v>
      </c>
      <c r="J194" s="91">
        <f>H194</f>
        <v>1</v>
      </c>
      <c r="K194" s="91">
        <f>I194</f>
        <v>1030</v>
      </c>
      <c r="L194" s="92">
        <v>0</v>
      </c>
      <c r="M194" s="93">
        <v>0</v>
      </c>
      <c r="N194" s="94">
        <f>L194</f>
        <v>0</v>
      </c>
      <c r="O194" s="94">
        <f>M194</f>
        <v>0</v>
      </c>
      <c r="P194">
        <v>0</v>
      </c>
      <c r="Q194">
        <v>0</v>
      </c>
      <c r="R194">
        <v>0</v>
      </c>
      <c r="S194">
        <v>0</v>
      </c>
    </row>
    <row r="195" spans="1:19" x14ac:dyDescent="0.2">
      <c r="A195" s="6" t="s">
        <v>37</v>
      </c>
      <c r="B195" s="92" t="s">
        <v>152</v>
      </c>
      <c r="C195" s="92">
        <v>2</v>
      </c>
      <c r="D195" s="95">
        <v>0</v>
      </c>
      <c r="E195" s="95">
        <v>0</v>
      </c>
      <c r="F195" s="90">
        <f t="shared" ref="F195:G205" si="69">F194+D195</f>
        <v>0</v>
      </c>
      <c r="G195" s="90">
        <f t="shared" si="69"/>
        <v>0</v>
      </c>
      <c r="H195" s="91">
        <v>0</v>
      </c>
      <c r="I195" s="91">
        <v>0</v>
      </c>
      <c r="J195" s="91">
        <f t="shared" ref="J195:K205" si="70">J194+H195</f>
        <v>1</v>
      </c>
      <c r="K195" s="91">
        <f t="shared" si="70"/>
        <v>1030</v>
      </c>
      <c r="L195" s="92">
        <v>0</v>
      </c>
      <c r="M195" s="93">
        <v>0</v>
      </c>
      <c r="N195" s="94">
        <f t="shared" ref="N195:N205" si="71">N194+L195</f>
        <v>0</v>
      </c>
      <c r="O195" s="94">
        <f t="shared" ref="O195:O205" si="72">O194+M195</f>
        <v>0</v>
      </c>
      <c r="P195">
        <v>0</v>
      </c>
      <c r="Q195">
        <v>0</v>
      </c>
      <c r="R195">
        <v>0</v>
      </c>
      <c r="S195">
        <v>0</v>
      </c>
    </row>
    <row r="196" spans="1:19" x14ac:dyDescent="0.2">
      <c r="A196" s="6" t="s">
        <v>37</v>
      </c>
      <c r="B196" s="92" t="s">
        <v>153</v>
      </c>
      <c r="C196" s="92">
        <v>3</v>
      </c>
      <c r="D196" s="95">
        <v>0</v>
      </c>
      <c r="E196" s="95">
        <v>0</v>
      </c>
      <c r="F196" s="90">
        <f t="shared" si="69"/>
        <v>0</v>
      </c>
      <c r="G196" s="90">
        <f t="shared" si="69"/>
        <v>0</v>
      </c>
      <c r="H196" s="91">
        <v>0</v>
      </c>
      <c r="I196" s="91">
        <v>0</v>
      </c>
      <c r="J196" s="91">
        <f t="shared" si="70"/>
        <v>1</v>
      </c>
      <c r="K196" s="91">
        <f t="shared" si="70"/>
        <v>1030</v>
      </c>
      <c r="L196" s="92">
        <v>0</v>
      </c>
      <c r="M196" s="93">
        <v>0</v>
      </c>
      <c r="N196" s="94">
        <f t="shared" si="71"/>
        <v>0</v>
      </c>
      <c r="O196" s="94">
        <f t="shared" si="72"/>
        <v>0</v>
      </c>
      <c r="P196">
        <v>2</v>
      </c>
      <c r="Q196">
        <v>1800</v>
      </c>
      <c r="R196">
        <v>2</v>
      </c>
      <c r="S196">
        <v>1800</v>
      </c>
    </row>
    <row r="197" spans="1:19" x14ac:dyDescent="0.2">
      <c r="A197" s="6" t="s">
        <v>37</v>
      </c>
      <c r="B197" s="92" t="s">
        <v>154</v>
      </c>
      <c r="C197" s="92">
        <v>4</v>
      </c>
      <c r="D197" s="95">
        <v>0</v>
      </c>
      <c r="E197" s="95">
        <v>0</v>
      </c>
      <c r="F197" s="90">
        <f t="shared" si="69"/>
        <v>0</v>
      </c>
      <c r="G197" s="90">
        <f t="shared" si="69"/>
        <v>0</v>
      </c>
      <c r="H197" s="91">
        <v>1</v>
      </c>
      <c r="I197" s="91">
        <v>550</v>
      </c>
      <c r="J197" s="91">
        <f t="shared" si="70"/>
        <v>2</v>
      </c>
      <c r="K197" s="91">
        <f t="shared" si="70"/>
        <v>1580</v>
      </c>
      <c r="L197" s="92">
        <v>0</v>
      </c>
      <c r="M197" s="93">
        <v>0</v>
      </c>
      <c r="N197" s="94">
        <f t="shared" si="71"/>
        <v>0</v>
      </c>
      <c r="O197" s="94">
        <f t="shared" si="72"/>
        <v>0</v>
      </c>
      <c r="P197">
        <v>0</v>
      </c>
      <c r="Q197">
        <v>0</v>
      </c>
      <c r="R197">
        <v>2</v>
      </c>
      <c r="S197">
        <v>1800</v>
      </c>
    </row>
    <row r="198" spans="1:19" x14ac:dyDescent="0.2">
      <c r="A198" s="6" t="s">
        <v>37</v>
      </c>
      <c r="B198" s="92" t="s">
        <v>155</v>
      </c>
      <c r="C198" s="92">
        <v>5</v>
      </c>
      <c r="D198" s="95">
        <v>0</v>
      </c>
      <c r="E198" s="95">
        <v>0</v>
      </c>
      <c r="F198" s="90">
        <f t="shared" si="69"/>
        <v>0</v>
      </c>
      <c r="G198" s="90">
        <f t="shared" si="69"/>
        <v>0</v>
      </c>
      <c r="H198" s="91">
        <v>0</v>
      </c>
      <c r="I198" s="91">
        <v>0</v>
      </c>
      <c r="J198" s="91">
        <f t="shared" si="70"/>
        <v>2</v>
      </c>
      <c r="K198" s="91">
        <f t="shared" si="70"/>
        <v>1580</v>
      </c>
      <c r="L198" s="92">
        <v>0</v>
      </c>
      <c r="M198" s="93">
        <v>0</v>
      </c>
      <c r="N198" s="94">
        <f t="shared" si="71"/>
        <v>0</v>
      </c>
      <c r="O198" s="94">
        <f t="shared" si="72"/>
        <v>0</v>
      </c>
      <c r="P198">
        <v>0</v>
      </c>
      <c r="Q198">
        <v>0</v>
      </c>
      <c r="R198">
        <v>2</v>
      </c>
      <c r="S198">
        <v>1800</v>
      </c>
    </row>
    <row r="199" spans="1:19" x14ac:dyDescent="0.2">
      <c r="A199" s="6" t="s">
        <v>37</v>
      </c>
      <c r="B199" s="92" t="s">
        <v>156</v>
      </c>
      <c r="C199" s="92">
        <v>6</v>
      </c>
      <c r="D199" s="95">
        <v>0</v>
      </c>
      <c r="E199" s="95">
        <v>0</v>
      </c>
      <c r="F199" s="90">
        <f t="shared" si="69"/>
        <v>0</v>
      </c>
      <c r="G199" s="90">
        <f t="shared" si="69"/>
        <v>0</v>
      </c>
      <c r="H199" s="91">
        <v>4</v>
      </c>
      <c r="I199" s="91">
        <v>21500</v>
      </c>
      <c r="J199" s="91">
        <f t="shared" si="70"/>
        <v>6</v>
      </c>
      <c r="K199" s="91">
        <f t="shared" si="70"/>
        <v>23080</v>
      </c>
      <c r="L199" s="92">
        <v>1</v>
      </c>
      <c r="M199" s="93">
        <v>2200</v>
      </c>
      <c r="N199" s="94">
        <f t="shared" si="71"/>
        <v>1</v>
      </c>
      <c r="O199" s="94">
        <f t="shared" si="72"/>
        <v>2200</v>
      </c>
      <c r="P199">
        <v>1</v>
      </c>
      <c r="Q199">
        <v>1180</v>
      </c>
      <c r="R199">
        <v>3</v>
      </c>
      <c r="S199">
        <v>2980</v>
      </c>
    </row>
    <row r="200" spans="1:19" x14ac:dyDescent="0.2">
      <c r="A200" s="6" t="s">
        <v>37</v>
      </c>
      <c r="B200" s="92" t="s">
        <v>157</v>
      </c>
      <c r="C200" s="92">
        <v>7</v>
      </c>
      <c r="D200" s="95">
        <v>1</v>
      </c>
      <c r="E200" s="95">
        <v>1200</v>
      </c>
      <c r="F200" s="90">
        <f t="shared" si="69"/>
        <v>1</v>
      </c>
      <c r="G200" s="90">
        <f t="shared" si="69"/>
        <v>1200</v>
      </c>
      <c r="H200" s="91">
        <v>1</v>
      </c>
      <c r="I200" s="91">
        <v>600</v>
      </c>
      <c r="J200" s="91">
        <f t="shared" si="70"/>
        <v>7</v>
      </c>
      <c r="K200" s="91">
        <f t="shared" si="70"/>
        <v>23680</v>
      </c>
      <c r="L200" s="92">
        <v>0</v>
      </c>
      <c r="M200" s="93">
        <v>0</v>
      </c>
      <c r="N200" s="94">
        <f t="shared" si="71"/>
        <v>1</v>
      </c>
      <c r="O200" s="94">
        <f t="shared" si="72"/>
        <v>2200</v>
      </c>
      <c r="P200">
        <v>1</v>
      </c>
      <c r="Q200">
        <v>6960</v>
      </c>
      <c r="R200">
        <v>4</v>
      </c>
      <c r="S200">
        <v>9940</v>
      </c>
    </row>
    <row r="201" spans="1:19" x14ac:dyDescent="0.2">
      <c r="A201" s="6" t="s">
        <v>37</v>
      </c>
      <c r="B201" s="92" t="s">
        <v>158</v>
      </c>
      <c r="C201" s="92">
        <v>8</v>
      </c>
      <c r="D201" s="95">
        <v>1</v>
      </c>
      <c r="E201" s="95">
        <v>7061.35</v>
      </c>
      <c r="F201" s="90">
        <f t="shared" si="69"/>
        <v>2</v>
      </c>
      <c r="G201" s="90">
        <f t="shared" si="69"/>
        <v>8261.35</v>
      </c>
      <c r="H201" s="91">
        <v>0</v>
      </c>
      <c r="I201" s="91">
        <v>0</v>
      </c>
      <c r="J201" s="91">
        <f t="shared" si="70"/>
        <v>7</v>
      </c>
      <c r="K201" s="91">
        <f t="shared" si="70"/>
        <v>23680</v>
      </c>
      <c r="L201" s="92">
        <v>0</v>
      </c>
      <c r="M201" s="93">
        <v>0</v>
      </c>
      <c r="N201" s="94">
        <f t="shared" si="71"/>
        <v>1</v>
      </c>
      <c r="O201" s="94">
        <f t="shared" si="72"/>
        <v>2200</v>
      </c>
      <c r="P201" s="88"/>
      <c r="Q201" s="88">
        <v>0</v>
      </c>
    </row>
    <row r="202" spans="1:19" x14ac:dyDescent="0.2">
      <c r="A202" s="6" t="s">
        <v>37</v>
      </c>
      <c r="B202" s="92" t="s">
        <v>159</v>
      </c>
      <c r="C202" s="92">
        <v>9</v>
      </c>
      <c r="D202" s="95">
        <v>1</v>
      </c>
      <c r="E202" s="95">
        <v>400</v>
      </c>
      <c r="F202" s="90">
        <f t="shared" si="69"/>
        <v>3</v>
      </c>
      <c r="G202" s="90">
        <f t="shared" si="69"/>
        <v>8661.35</v>
      </c>
      <c r="H202" s="91">
        <v>0</v>
      </c>
      <c r="I202" s="91">
        <v>0</v>
      </c>
      <c r="J202" s="91">
        <f t="shared" si="70"/>
        <v>7</v>
      </c>
      <c r="K202" s="91">
        <f t="shared" si="70"/>
        <v>23680</v>
      </c>
      <c r="L202" s="92">
        <v>0</v>
      </c>
      <c r="M202" s="93">
        <v>0</v>
      </c>
      <c r="N202" s="94">
        <f t="shared" si="71"/>
        <v>1</v>
      </c>
      <c r="O202" s="94">
        <f t="shared" si="72"/>
        <v>2200</v>
      </c>
      <c r="P202" s="88"/>
      <c r="Q202" s="88">
        <v>0</v>
      </c>
    </row>
    <row r="203" spans="1:19" x14ac:dyDescent="0.2">
      <c r="A203" s="6" t="s">
        <v>37</v>
      </c>
      <c r="B203" s="92" t="s">
        <v>160</v>
      </c>
      <c r="C203" s="92">
        <v>10</v>
      </c>
      <c r="D203" s="95">
        <v>0</v>
      </c>
      <c r="E203" s="95">
        <v>0</v>
      </c>
      <c r="F203" s="90">
        <f t="shared" si="69"/>
        <v>3</v>
      </c>
      <c r="G203" s="90">
        <f t="shared" si="69"/>
        <v>8661.35</v>
      </c>
      <c r="H203" s="91">
        <v>0</v>
      </c>
      <c r="I203" s="91">
        <v>0</v>
      </c>
      <c r="J203" s="91">
        <f t="shared" si="70"/>
        <v>7</v>
      </c>
      <c r="K203" s="91">
        <f t="shared" si="70"/>
        <v>23680</v>
      </c>
      <c r="L203" s="92">
        <v>1</v>
      </c>
      <c r="M203" s="93">
        <v>550</v>
      </c>
      <c r="N203" s="94">
        <f t="shared" si="71"/>
        <v>2</v>
      </c>
      <c r="O203" s="94">
        <f t="shared" si="72"/>
        <v>2750</v>
      </c>
      <c r="P203" s="88"/>
      <c r="Q203" s="88">
        <v>0</v>
      </c>
    </row>
    <row r="204" spans="1:19" x14ac:dyDescent="0.2">
      <c r="A204" s="6" t="s">
        <v>37</v>
      </c>
      <c r="B204" s="92" t="s">
        <v>161</v>
      </c>
      <c r="C204" s="92">
        <v>11</v>
      </c>
      <c r="D204" s="95">
        <v>2</v>
      </c>
      <c r="E204" s="95">
        <v>14820</v>
      </c>
      <c r="F204" s="90">
        <f t="shared" si="69"/>
        <v>5</v>
      </c>
      <c r="G204" s="90">
        <f t="shared" si="69"/>
        <v>23481.35</v>
      </c>
      <c r="H204" s="91">
        <v>1</v>
      </c>
      <c r="I204" s="91">
        <v>1750</v>
      </c>
      <c r="J204" s="91">
        <f t="shared" si="70"/>
        <v>8</v>
      </c>
      <c r="K204" s="91">
        <f t="shared" si="70"/>
        <v>25430</v>
      </c>
      <c r="L204" s="92">
        <v>2</v>
      </c>
      <c r="M204" s="93">
        <v>1170</v>
      </c>
      <c r="N204" s="94">
        <f t="shared" si="71"/>
        <v>4</v>
      </c>
      <c r="O204" s="94">
        <f t="shared" si="72"/>
        <v>3920</v>
      </c>
      <c r="P204" s="88"/>
      <c r="Q204" s="88">
        <v>0</v>
      </c>
    </row>
    <row r="205" spans="1:19" x14ac:dyDescent="0.2">
      <c r="A205" s="6" t="s">
        <v>37</v>
      </c>
      <c r="B205" s="92" t="s">
        <v>162</v>
      </c>
      <c r="C205" s="92">
        <v>12</v>
      </c>
      <c r="D205" s="95">
        <v>1</v>
      </c>
      <c r="E205" s="90">
        <v>3550</v>
      </c>
      <c r="F205" s="90">
        <f t="shared" si="69"/>
        <v>6</v>
      </c>
      <c r="G205" s="90">
        <f t="shared" si="69"/>
        <v>27031.35</v>
      </c>
      <c r="H205" s="91">
        <v>0</v>
      </c>
      <c r="I205" s="91">
        <v>0</v>
      </c>
      <c r="J205" s="91">
        <f t="shared" si="70"/>
        <v>8</v>
      </c>
      <c r="K205" s="91">
        <f t="shared" si="70"/>
        <v>25430</v>
      </c>
      <c r="L205" s="92">
        <v>1</v>
      </c>
      <c r="M205" s="93">
        <v>580</v>
      </c>
      <c r="N205" s="94">
        <f t="shared" si="71"/>
        <v>5</v>
      </c>
      <c r="O205" s="94">
        <f t="shared" si="72"/>
        <v>4500</v>
      </c>
      <c r="P205" s="88"/>
      <c r="Q205" s="88">
        <v>0</v>
      </c>
    </row>
    <row r="206" spans="1:19" x14ac:dyDescent="0.2">
      <c r="A206" s="6" t="s">
        <v>91</v>
      </c>
      <c r="B206" s="92" t="s">
        <v>151</v>
      </c>
      <c r="C206" s="92">
        <v>1</v>
      </c>
      <c r="D206" s="95">
        <v>0</v>
      </c>
      <c r="E206" s="95">
        <v>0</v>
      </c>
      <c r="F206" s="90">
        <f>D206</f>
        <v>0</v>
      </c>
      <c r="G206" s="90">
        <f>E206</f>
        <v>0</v>
      </c>
      <c r="H206" s="91">
        <v>1</v>
      </c>
      <c r="I206" s="91">
        <v>3042</v>
      </c>
      <c r="J206" s="91">
        <f>H206</f>
        <v>1</v>
      </c>
      <c r="K206" s="91">
        <f>I206</f>
        <v>3042</v>
      </c>
      <c r="L206" s="92">
        <v>1</v>
      </c>
      <c r="M206" s="93">
        <v>2463</v>
      </c>
      <c r="N206" s="94">
        <f>L206</f>
        <v>1</v>
      </c>
      <c r="O206" s="94">
        <f>M206</f>
        <v>2463</v>
      </c>
      <c r="P206">
        <v>4</v>
      </c>
      <c r="Q206">
        <v>4057</v>
      </c>
      <c r="R206">
        <v>4</v>
      </c>
      <c r="S206">
        <v>4057</v>
      </c>
    </row>
    <row r="207" spans="1:19" x14ac:dyDescent="0.2">
      <c r="A207" s="6" t="s">
        <v>91</v>
      </c>
      <c r="B207" s="92" t="s">
        <v>152</v>
      </c>
      <c r="C207" s="92">
        <v>2</v>
      </c>
      <c r="D207" s="95">
        <v>1</v>
      </c>
      <c r="E207" s="95">
        <v>800</v>
      </c>
      <c r="F207" s="90">
        <f t="shared" ref="F207:G217" si="73">F206+D207</f>
        <v>1</v>
      </c>
      <c r="G207" s="90">
        <f t="shared" si="73"/>
        <v>800</v>
      </c>
      <c r="H207" s="91">
        <v>0</v>
      </c>
      <c r="I207" s="91">
        <v>0</v>
      </c>
      <c r="J207" s="91">
        <f t="shared" ref="J207:K217" si="74">J206+H207</f>
        <v>1</v>
      </c>
      <c r="K207" s="91">
        <f t="shared" si="74"/>
        <v>3042</v>
      </c>
      <c r="L207" s="92">
        <v>1</v>
      </c>
      <c r="M207" s="93">
        <v>870</v>
      </c>
      <c r="N207" s="94">
        <f t="shared" ref="N207:N217" si="75">N206+L207</f>
        <v>2</v>
      </c>
      <c r="O207" s="94">
        <f t="shared" ref="O207:O217" si="76">O206+M207</f>
        <v>3333</v>
      </c>
      <c r="P207">
        <v>0</v>
      </c>
      <c r="Q207">
        <v>0</v>
      </c>
      <c r="R207">
        <v>4</v>
      </c>
      <c r="S207">
        <v>4057</v>
      </c>
    </row>
    <row r="208" spans="1:19" x14ac:dyDescent="0.2">
      <c r="A208" s="6" t="s">
        <v>91</v>
      </c>
      <c r="B208" s="92" t="s">
        <v>153</v>
      </c>
      <c r="C208" s="92">
        <v>3</v>
      </c>
      <c r="D208" s="95">
        <v>0</v>
      </c>
      <c r="E208" s="95">
        <v>0</v>
      </c>
      <c r="F208" s="90">
        <f t="shared" si="73"/>
        <v>1</v>
      </c>
      <c r="G208" s="90">
        <f t="shared" si="73"/>
        <v>800</v>
      </c>
      <c r="H208" s="91">
        <v>0</v>
      </c>
      <c r="I208" s="91">
        <v>0</v>
      </c>
      <c r="J208" s="91">
        <f t="shared" si="74"/>
        <v>1</v>
      </c>
      <c r="K208" s="91">
        <f t="shared" si="74"/>
        <v>3042</v>
      </c>
      <c r="L208" s="92">
        <v>0</v>
      </c>
      <c r="M208" s="93">
        <v>0</v>
      </c>
      <c r="N208" s="94">
        <f t="shared" si="75"/>
        <v>2</v>
      </c>
      <c r="O208" s="94">
        <f t="shared" si="76"/>
        <v>3333</v>
      </c>
      <c r="P208">
        <v>1</v>
      </c>
      <c r="Q208">
        <v>1750</v>
      </c>
      <c r="R208">
        <v>5</v>
      </c>
      <c r="S208">
        <v>5807</v>
      </c>
    </row>
    <row r="209" spans="1:19" x14ac:dyDescent="0.2">
      <c r="A209" s="6" t="s">
        <v>91</v>
      </c>
      <c r="B209" s="92" t="s">
        <v>154</v>
      </c>
      <c r="C209" s="92">
        <v>4</v>
      </c>
      <c r="D209" s="95">
        <v>0</v>
      </c>
      <c r="E209" s="95">
        <v>0</v>
      </c>
      <c r="F209" s="90">
        <f t="shared" si="73"/>
        <v>1</v>
      </c>
      <c r="G209" s="90">
        <f t="shared" si="73"/>
        <v>800</v>
      </c>
      <c r="H209" s="91">
        <v>0</v>
      </c>
      <c r="I209" s="91">
        <v>0</v>
      </c>
      <c r="J209" s="91">
        <f t="shared" si="74"/>
        <v>1</v>
      </c>
      <c r="K209" s="91">
        <f t="shared" si="74"/>
        <v>3042</v>
      </c>
      <c r="L209" s="92">
        <v>0</v>
      </c>
      <c r="M209" s="93">
        <v>0</v>
      </c>
      <c r="N209" s="94">
        <f t="shared" si="75"/>
        <v>2</v>
      </c>
      <c r="O209" s="94">
        <f t="shared" si="76"/>
        <v>3333</v>
      </c>
      <c r="P209">
        <v>0</v>
      </c>
      <c r="Q209">
        <v>0</v>
      </c>
      <c r="R209">
        <v>5</v>
      </c>
      <c r="S209">
        <v>5807</v>
      </c>
    </row>
    <row r="210" spans="1:19" x14ac:dyDescent="0.2">
      <c r="A210" s="6" t="s">
        <v>91</v>
      </c>
      <c r="B210" s="92" t="s">
        <v>155</v>
      </c>
      <c r="C210" s="92">
        <v>5</v>
      </c>
      <c r="D210" s="95">
        <v>0</v>
      </c>
      <c r="E210" s="95">
        <v>0</v>
      </c>
      <c r="F210" s="90">
        <f t="shared" si="73"/>
        <v>1</v>
      </c>
      <c r="G210" s="90">
        <f t="shared" si="73"/>
        <v>800</v>
      </c>
      <c r="H210" s="91">
        <v>0</v>
      </c>
      <c r="I210" s="91">
        <v>0</v>
      </c>
      <c r="J210" s="91">
        <f t="shared" si="74"/>
        <v>1</v>
      </c>
      <c r="K210" s="91">
        <f t="shared" si="74"/>
        <v>3042</v>
      </c>
      <c r="L210" s="92">
        <v>0</v>
      </c>
      <c r="M210" s="93">
        <v>0</v>
      </c>
      <c r="N210" s="94">
        <f t="shared" si="75"/>
        <v>2</v>
      </c>
      <c r="O210" s="94">
        <f t="shared" si="76"/>
        <v>3333</v>
      </c>
      <c r="P210">
        <v>1</v>
      </c>
      <c r="Q210">
        <v>2000</v>
      </c>
      <c r="R210">
        <v>6</v>
      </c>
      <c r="S210">
        <v>7807</v>
      </c>
    </row>
    <row r="211" spans="1:19" x14ac:dyDescent="0.2">
      <c r="A211" s="6" t="s">
        <v>91</v>
      </c>
      <c r="B211" s="92" t="s">
        <v>156</v>
      </c>
      <c r="C211" s="92">
        <v>6</v>
      </c>
      <c r="D211" s="95">
        <v>0</v>
      </c>
      <c r="E211" s="95">
        <v>0</v>
      </c>
      <c r="F211" s="90">
        <f t="shared" si="73"/>
        <v>1</v>
      </c>
      <c r="G211" s="90">
        <f t="shared" si="73"/>
        <v>800</v>
      </c>
      <c r="H211" s="91">
        <v>1</v>
      </c>
      <c r="I211" s="91">
        <v>942.5</v>
      </c>
      <c r="J211" s="91">
        <f t="shared" si="74"/>
        <v>2</v>
      </c>
      <c r="K211" s="91">
        <f t="shared" si="74"/>
        <v>3984.5</v>
      </c>
      <c r="L211" s="92">
        <v>0</v>
      </c>
      <c r="M211" s="93">
        <v>0</v>
      </c>
      <c r="N211" s="94">
        <f t="shared" si="75"/>
        <v>2</v>
      </c>
      <c r="O211" s="94">
        <f t="shared" si="76"/>
        <v>3333</v>
      </c>
      <c r="P211">
        <v>5</v>
      </c>
      <c r="Q211">
        <v>5145</v>
      </c>
      <c r="R211">
        <v>11</v>
      </c>
      <c r="S211">
        <v>12952</v>
      </c>
    </row>
    <row r="212" spans="1:19" x14ac:dyDescent="0.2">
      <c r="A212" s="6" t="s">
        <v>91</v>
      </c>
      <c r="B212" s="92" t="s">
        <v>157</v>
      </c>
      <c r="C212" s="92">
        <v>7</v>
      </c>
      <c r="D212" s="95">
        <v>0</v>
      </c>
      <c r="E212" s="95">
        <v>0</v>
      </c>
      <c r="F212" s="90">
        <f t="shared" si="73"/>
        <v>1</v>
      </c>
      <c r="G212" s="90">
        <f t="shared" si="73"/>
        <v>800</v>
      </c>
      <c r="H212" s="91">
        <v>0</v>
      </c>
      <c r="I212" s="91">
        <v>0</v>
      </c>
      <c r="J212" s="91">
        <f t="shared" si="74"/>
        <v>2</v>
      </c>
      <c r="K212" s="91">
        <f t="shared" si="74"/>
        <v>3984.5</v>
      </c>
      <c r="L212" s="92">
        <v>0</v>
      </c>
      <c r="M212" s="93">
        <v>0</v>
      </c>
      <c r="N212" s="94">
        <f t="shared" si="75"/>
        <v>2</v>
      </c>
      <c r="O212" s="94">
        <f t="shared" si="76"/>
        <v>3333</v>
      </c>
      <c r="P212">
        <v>3</v>
      </c>
      <c r="Q212">
        <v>5119.8</v>
      </c>
      <c r="R212">
        <v>14</v>
      </c>
      <c r="S212">
        <v>18071.8</v>
      </c>
    </row>
    <row r="213" spans="1:19" x14ac:dyDescent="0.2">
      <c r="A213" s="6" t="s">
        <v>91</v>
      </c>
      <c r="B213" s="92" t="s">
        <v>158</v>
      </c>
      <c r="C213" s="92">
        <v>8</v>
      </c>
      <c r="D213" s="95">
        <v>0</v>
      </c>
      <c r="E213" s="95">
        <v>0</v>
      </c>
      <c r="F213" s="90">
        <f t="shared" si="73"/>
        <v>1</v>
      </c>
      <c r="G213" s="90">
        <f t="shared" si="73"/>
        <v>800</v>
      </c>
      <c r="H213" s="91">
        <v>1</v>
      </c>
      <c r="I213" s="91">
        <v>826</v>
      </c>
      <c r="J213" s="91">
        <f t="shared" si="74"/>
        <v>3</v>
      </c>
      <c r="K213" s="91">
        <f t="shared" si="74"/>
        <v>4810.5</v>
      </c>
      <c r="L213" s="92">
        <v>2</v>
      </c>
      <c r="M213" s="93">
        <v>4500</v>
      </c>
      <c r="N213" s="94">
        <f t="shared" si="75"/>
        <v>4</v>
      </c>
      <c r="O213" s="94">
        <f t="shared" si="76"/>
        <v>7833</v>
      </c>
      <c r="P213" s="88"/>
      <c r="Q213" s="88">
        <v>0</v>
      </c>
    </row>
    <row r="214" spans="1:19" x14ac:dyDescent="0.2">
      <c r="A214" s="6" t="s">
        <v>91</v>
      </c>
      <c r="B214" s="92" t="s">
        <v>159</v>
      </c>
      <c r="C214" s="92">
        <v>9</v>
      </c>
      <c r="D214" s="90">
        <v>2</v>
      </c>
      <c r="E214" s="90">
        <v>24472</v>
      </c>
      <c r="F214" s="90">
        <f t="shared" si="73"/>
        <v>3</v>
      </c>
      <c r="G214" s="90">
        <f t="shared" si="73"/>
        <v>25272</v>
      </c>
      <c r="H214" s="91">
        <v>0</v>
      </c>
      <c r="I214" s="91">
        <v>0</v>
      </c>
      <c r="J214" s="91">
        <f t="shared" si="74"/>
        <v>3</v>
      </c>
      <c r="K214" s="91">
        <f t="shared" si="74"/>
        <v>4810.5</v>
      </c>
      <c r="L214" s="92">
        <v>1</v>
      </c>
      <c r="M214" s="93">
        <v>800</v>
      </c>
      <c r="N214" s="94">
        <f t="shared" si="75"/>
        <v>5</v>
      </c>
      <c r="O214" s="94">
        <f t="shared" si="76"/>
        <v>8633</v>
      </c>
      <c r="P214" s="88"/>
      <c r="Q214" s="88">
        <v>0</v>
      </c>
    </row>
    <row r="215" spans="1:19" x14ac:dyDescent="0.2">
      <c r="A215" s="6" t="s">
        <v>91</v>
      </c>
      <c r="B215" s="92" t="s">
        <v>160</v>
      </c>
      <c r="C215" s="92">
        <v>10</v>
      </c>
      <c r="D215" s="95">
        <v>0</v>
      </c>
      <c r="E215" s="95">
        <v>0</v>
      </c>
      <c r="F215" s="90">
        <f t="shared" si="73"/>
        <v>3</v>
      </c>
      <c r="G215" s="90">
        <f t="shared" si="73"/>
        <v>25272</v>
      </c>
      <c r="H215" s="91">
        <v>2</v>
      </c>
      <c r="I215" s="91">
        <v>2248</v>
      </c>
      <c r="J215" s="91">
        <f t="shared" si="74"/>
        <v>5</v>
      </c>
      <c r="K215" s="91">
        <f t="shared" si="74"/>
        <v>7058.5</v>
      </c>
      <c r="L215" s="92">
        <v>2</v>
      </c>
      <c r="M215" s="93">
        <v>23500</v>
      </c>
      <c r="N215" s="94">
        <f t="shared" si="75"/>
        <v>7</v>
      </c>
      <c r="O215" s="94">
        <f t="shared" si="76"/>
        <v>32133</v>
      </c>
      <c r="P215" s="88"/>
      <c r="Q215" s="88">
        <v>0</v>
      </c>
    </row>
    <row r="216" spans="1:19" x14ac:dyDescent="0.2">
      <c r="A216" s="6" t="s">
        <v>91</v>
      </c>
      <c r="B216" s="92" t="s">
        <v>161</v>
      </c>
      <c r="C216" s="92">
        <v>11</v>
      </c>
      <c r="D216" s="95">
        <v>0</v>
      </c>
      <c r="E216" s="95">
        <v>0</v>
      </c>
      <c r="F216" s="90">
        <f t="shared" si="73"/>
        <v>3</v>
      </c>
      <c r="G216" s="90">
        <f t="shared" si="73"/>
        <v>25272</v>
      </c>
      <c r="H216" s="91">
        <v>1</v>
      </c>
      <c r="I216" s="91">
        <v>440</v>
      </c>
      <c r="J216" s="91">
        <f t="shared" si="74"/>
        <v>6</v>
      </c>
      <c r="K216" s="91">
        <f t="shared" si="74"/>
        <v>7498.5</v>
      </c>
      <c r="L216" s="92">
        <v>2</v>
      </c>
      <c r="M216" s="93">
        <v>801</v>
      </c>
      <c r="N216" s="94">
        <f t="shared" si="75"/>
        <v>9</v>
      </c>
      <c r="O216" s="94">
        <f t="shared" si="76"/>
        <v>32934</v>
      </c>
      <c r="P216" s="88"/>
      <c r="Q216" s="88">
        <v>0</v>
      </c>
    </row>
    <row r="217" spans="1:19" x14ac:dyDescent="0.2">
      <c r="A217" s="6" t="s">
        <v>91</v>
      </c>
      <c r="B217" s="92" t="s">
        <v>162</v>
      </c>
      <c r="C217" s="92">
        <v>12</v>
      </c>
      <c r="D217" s="95">
        <v>0</v>
      </c>
      <c r="E217" s="95">
        <v>0</v>
      </c>
      <c r="F217" s="90">
        <f t="shared" si="73"/>
        <v>3</v>
      </c>
      <c r="G217" s="90">
        <f t="shared" si="73"/>
        <v>25272</v>
      </c>
      <c r="H217" s="91">
        <v>3</v>
      </c>
      <c r="I217" s="91">
        <v>39849</v>
      </c>
      <c r="J217" s="91">
        <f t="shared" si="74"/>
        <v>9</v>
      </c>
      <c r="K217" s="91">
        <f t="shared" si="74"/>
        <v>47347.5</v>
      </c>
      <c r="L217" s="92">
        <v>2</v>
      </c>
      <c r="M217" s="93">
        <v>3997</v>
      </c>
      <c r="N217" s="94">
        <f t="shared" si="75"/>
        <v>11</v>
      </c>
      <c r="O217" s="94">
        <f t="shared" si="76"/>
        <v>36931</v>
      </c>
      <c r="P217" s="88"/>
      <c r="Q217" s="88">
        <v>0</v>
      </c>
    </row>
    <row r="218" spans="1:19" x14ac:dyDescent="0.2">
      <c r="A218" s="6" t="s">
        <v>126</v>
      </c>
      <c r="B218" s="92" t="s">
        <v>151</v>
      </c>
      <c r="C218" s="92">
        <v>1</v>
      </c>
      <c r="D218" s="95">
        <v>1</v>
      </c>
      <c r="E218" s="95">
        <v>10207.99</v>
      </c>
      <c r="F218" s="90">
        <f>D218</f>
        <v>1</v>
      </c>
      <c r="G218" s="90">
        <f>E218</f>
        <v>10207.99</v>
      </c>
      <c r="H218" s="91">
        <v>1</v>
      </c>
      <c r="I218" s="91">
        <v>6100</v>
      </c>
      <c r="J218" s="91">
        <f>H218</f>
        <v>1</v>
      </c>
      <c r="K218" s="91">
        <f>I218</f>
        <v>6100</v>
      </c>
      <c r="L218" s="92">
        <v>2</v>
      </c>
      <c r="M218" s="93">
        <v>14200</v>
      </c>
      <c r="N218" s="94">
        <f>L218</f>
        <v>2</v>
      </c>
      <c r="O218" s="94">
        <f>M218</f>
        <v>14200</v>
      </c>
      <c r="P218">
        <v>2</v>
      </c>
      <c r="Q218">
        <v>11050</v>
      </c>
      <c r="R218">
        <v>2</v>
      </c>
      <c r="S218">
        <v>11050</v>
      </c>
    </row>
    <row r="219" spans="1:19" x14ac:dyDescent="0.2">
      <c r="A219" s="6" t="s">
        <v>126</v>
      </c>
      <c r="B219" s="92" t="s">
        <v>152</v>
      </c>
      <c r="C219" s="92">
        <v>2</v>
      </c>
      <c r="D219" s="95">
        <v>0</v>
      </c>
      <c r="E219" s="95">
        <v>0</v>
      </c>
      <c r="F219" s="90">
        <f t="shared" ref="F219:G229" si="77">F218+D219</f>
        <v>1</v>
      </c>
      <c r="G219" s="90">
        <f t="shared" si="77"/>
        <v>10207.99</v>
      </c>
      <c r="H219" s="91">
        <v>1</v>
      </c>
      <c r="I219" s="91">
        <v>1800</v>
      </c>
      <c r="J219" s="91">
        <f t="shared" ref="J219:K229" si="78">J218+H219</f>
        <v>2</v>
      </c>
      <c r="K219" s="91">
        <f t="shared" si="78"/>
        <v>7900</v>
      </c>
      <c r="L219" s="92">
        <v>2</v>
      </c>
      <c r="M219" s="93">
        <v>13500</v>
      </c>
      <c r="N219" s="94">
        <f t="shared" ref="N219:N229" si="79">N218+L219</f>
        <v>4</v>
      </c>
      <c r="O219" s="94">
        <f t="shared" ref="O219:O229" si="80">O218+M219</f>
        <v>27700</v>
      </c>
      <c r="P219">
        <v>2</v>
      </c>
      <c r="Q219">
        <v>7500</v>
      </c>
      <c r="R219">
        <v>4</v>
      </c>
      <c r="S219">
        <v>18550</v>
      </c>
    </row>
    <row r="220" spans="1:19" x14ac:dyDescent="0.2">
      <c r="A220" s="6" t="s">
        <v>126</v>
      </c>
      <c r="B220" s="92" t="s">
        <v>153</v>
      </c>
      <c r="C220" s="92">
        <v>3</v>
      </c>
      <c r="D220" s="95">
        <v>1</v>
      </c>
      <c r="E220" s="95">
        <v>8837.9500000000007</v>
      </c>
      <c r="F220" s="90">
        <f t="shared" si="77"/>
        <v>2</v>
      </c>
      <c r="G220" s="90">
        <f t="shared" si="77"/>
        <v>19045.940000000002</v>
      </c>
      <c r="H220" s="91">
        <v>0</v>
      </c>
      <c r="I220" s="91">
        <v>0</v>
      </c>
      <c r="J220" s="91">
        <f t="shared" si="78"/>
        <v>2</v>
      </c>
      <c r="K220" s="91">
        <f t="shared" si="78"/>
        <v>7900</v>
      </c>
      <c r="L220" s="92">
        <v>1</v>
      </c>
      <c r="M220" s="93">
        <v>13000</v>
      </c>
      <c r="N220" s="94">
        <f t="shared" si="79"/>
        <v>5</v>
      </c>
      <c r="O220" s="94">
        <f t="shared" si="80"/>
        <v>40700</v>
      </c>
      <c r="P220">
        <v>3</v>
      </c>
      <c r="Q220">
        <v>18100</v>
      </c>
      <c r="R220">
        <v>7</v>
      </c>
      <c r="S220">
        <v>36650</v>
      </c>
    </row>
    <row r="221" spans="1:19" x14ac:dyDescent="0.2">
      <c r="A221" s="6" t="s">
        <v>126</v>
      </c>
      <c r="B221" s="92" t="s">
        <v>154</v>
      </c>
      <c r="C221" s="92">
        <v>4</v>
      </c>
      <c r="D221" s="95">
        <v>1</v>
      </c>
      <c r="E221" s="95">
        <v>3000</v>
      </c>
      <c r="F221" s="90">
        <f t="shared" si="77"/>
        <v>3</v>
      </c>
      <c r="G221" s="90">
        <f t="shared" si="77"/>
        <v>22045.940000000002</v>
      </c>
      <c r="H221" s="91">
        <v>3</v>
      </c>
      <c r="I221" s="91">
        <v>7800</v>
      </c>
      <c r="J221" s="91">
        <f t="shared" si="78"/>
        <v>5</v>
      </c>
      <c r="K221" s="91">
        <f t="shared" si="78"/>
        <v>15700</v>
      </c>
      <c r="L221" s="92">
        <v>2</v>
      </c>
      <c r="M221" s="93">
        <v>20864</v>
      </c>
      <c r="N221" s="94">
        <f t="shared" si="79"/>
        <v>7</v>
      </c>
      <c r="O221" s="94">
        <f t="shared" si="80"/>
        <v>61564</v>
      </c>
      <c r="P221">
        <v>0</v>
      </c>
      <c r="Q221">
        <v>0</v>
      </c>
      <c r="R221">
        <v>7</v>
      </c>
      <c r="S221">
        <v>36650</v>
      </c>
    </row>
    <row r="222" spans="1:19" x14ac:dyDescent="0.2">
      <c r="A222" s="6" t="s">
        <v>126</v>
      </c>
      <c r="B222" s="92" t="s">
        <v>155</v>
      </c>
      <c r="C222" s="92">
        <v>5</v>
      </c>
      <c r="D222" s="95">
        <v>0</v>
      </c>
      <c r="E222" s="95">
        <v>0</v>
      </c>
      <c r="F222" s="90">
        <f t="shared" si="77"/>
        <v>3</v>
      </c>
      <c r="G222" s="90">
        <f t="shared" si="77"/>
        <v>22045.940000000002</v>
      </c>
      <c r="H222" s="91">
        <v>3</v>
      </c>
      <c r="I222" s="91">
        <v>20920</v>
      </c>
      <c r="J222" s="91">
        <f t="shared" si="78"/>
        <v>8</v>
      </c>
      <c r="K222" s="91">
        <f t="shared" si="78"/>
        <v>36620</v>
      </c>
      <c r="L222" s="92">
        <v>0</v>
      </c>
      <c r="M222" s="93">
        <v>0</v>
      </c>
      <c r="N222" s="94">
        <f t="shared" si="79"/>
        <v>7</v>
      </c>
      <c r="O222" s="94">
        <f t="shared" si="80"/>
        <v>61564</v>
      </c>
      <c r="P222">
        <v>1</v>
      </c>
      <c r="Q222">
        <v>14760</v>
      </c>
      <c r="R222">
        <v>8</v>
      </c>
      <c r="S222">
        <v>51410</v>
      </c>
    </row>
    <row r="223" spans="1:19" x14ac:dyDescent="0.2">
      <c r="A223" s="6" t="s">
        <v>126</v>
      </c>
      <c r="B223" s="92" t="s">
        <v>156</v>
      </c>
      <c r="C223" s="92">
        <v>6</v>
      </c>
      <c r="D223" s="95">
        <v>2</v>
      </c>
      <c r="E223" s="90">
        <v>22795</v>
      </c>
      <c r="F223" s="90">
        <f t="shared" si="77"/>
        <v>5</v>
      </c>
      <c r="G223" s="90">
        <f t="shared" si="77"/>
        <v>44840.94</v>
      </c>
      <c r="H223" s="91">
        <v>1</v>
      </c>
      <c r="I223" s="91">
        <v>3500</v>
      </c>
      <c r="J223" s="91">
        <f t="shared" si="78"/>
        <v>9</v>
      </c>
      <c r="K223" s="91">
        <f t="shared" si="78"/>
        <v>40120</v>
      </c>
      <c r="L223" s="92">
        <v>2</v>
      </c>
      <c r="M223" s="93">
        <v>13600</v>
      </c>
      <c r="N223" s="94">
        <f t="shared" si="79"/>
        <v>9</v>
      </c>
      <c r="O223" s="94">
        <f t="shared" si="80"/>
        <v>75164</v>
      </c>
      <c r="P223">
        <v>2</v>
      </c>
      <c r="Q223">
        <v>20710</v>
      </c>
      <c r="R223">
        <v>10</v>
      </c>
      <c r="S223">
        <v>72120</v>
      </c>
    </row>
    <row r="224" spans="1:19" x14ac:dyDescent="0.2">
      <c r="A224" s="6" t="s">
        <v>126</v>
      </c>
      <c r="B224" s="92" t="s">
        <v>157</v>
      </c>
      <c r="C224" s="92">
        <v>7</v>
      </c>
      <c r="D224" s="95">
        <v>2</v>
      </c>
      <c r="E224" s="95">
        <v>10000</v>
      </c>
      <c r="F224" s="90">
        <f t="shared" si="77"/>
        <v>7</v>
      </c>
      <c r="G224" s="90">
        <f t="shared" si="77"/>
        <v>54840.94</v>
      </c>
      <c r="H224" s="91">
        <v>1</v>
      </c>
      <c r="I224" s="91">
        <v>600</v>
      </c>
      <c r="J224" s="91">
        <f t="shared" si="78"/>
        <v>10</v>
      </c>
      <c r="K224" s="91">
        <f t="shared" si="78"/>
        <v>40720</v>
      </c>
      <c r="L224" s="92">
        <v>3</v>
      </c>
      <c r="M224" s="93">
        <v>11600</v>
      </c>
      <c r="N224" s="94">
        <f t="shared" si="79"/>
        <v>12</v>
      </c>
      <c r="O224" s="94">
        <f t="shared" si="80"/>
        <v>86764</v>
      </c>
      <c r="P224">
        <v>1</v>
      </c>
      <c r="Q224">
        <v>1350</v>
      </c>
      <c r="R224">
        <v>11</v>
      </c>
      <c r="S224">
        <v>73470</v>
      </c>
    </row>
    <row r="225" spans="1:19" x14ac:dyDescent="0.2">
      <c r="A225" s="6" t="s">
        <v>126</v>
      </c>
      <c r="B225" s="92" t="s">
        <v>158</v>
      </c>
      <c r="C225" s="92">
        <v>8</v>
      </c>
      <c r="D225" s="95">
        <v>4</v>
      </c>
      <c r="E225" s="90">
        <v>46069.919999999998</v>
      </c>
      <c r="F225" s="90">
        <f t="shared" si="77"/>
        <v>11</v>
      </c>
      <c r="G225" s="90">
        <f t="shared" si="77"/>
        <v>100910.86</v>
      </c>
      <c r="H225" s="91">
        <v>2</v>
      </c>
      <c r="I225" s="91">
        <v>13200</v>
      </c>
      <c r="J225" s="91">
        <f t="shared" si="78"/>
        <v>12</v>
      </c>
      <c r="K225" s="91">
        <f t="shared" si="78"/>
        <v>53920</v>
      </c>
      <c r="L225" s="92">
        <v>1</v>
      </c>
      <c r="M225" s="93">
        <v>1200</v>
      </c>
      <c r="N225" s="94">
        <f t="shared" si="79"/>
        <v>13</v>
      </c>
      <c r="O225" s="94">
        <f t="shared" si="80"/>
        <v>87964</v>
      </c>
      <c r="P225" s="88"/>
      <c r="Q225" s="88">
        <v>0</v>
      </c>
    </row>
    <row r="226" spans="1:19" x14ac:dyDescent="0.2">
      <c r="A226" s="6" t="s">
        <v>126</v>
      </c>
      <c r="B226" s="92" t="s">
        <v>159</v>
      </c>
      <c r="C226" s="92">
        <v>9</v>
      </c>
      <c r="D226" s="95">
        <v>1</v>
      </c>
      <c r="E226" s="95">
        <v>9000</v>
      </c>
      <c r="F226" s="90">
        <f t="shared" si="77"/>
        <v>12</v>
      </c>
      <c r="G226" s="90">
        <f t="shared" si="77"/>
        <v>109910.86</v>
      </c>
      <c r="H226" s="91">
        <v>4</v>
      </c>
      <c r="I226" s="91">
        <v>28300</v>
      </c>
      <c r="J226" s="91">
        <f t="shared" si="78"/>
        <v>16</v>
      </c>
      <c r="K226" s="91">
        <f t="shared" si="78"/>
        <v>82220</v>
      </c>
      <c r="L226" s="92">
        <v>2</v>
      </c>
      <c r="M226" s="93">
        <v>9100</v>
      </c>
      <c r="N226" s="94">
        <f t="shared" si="79"/>
        <v>15</v>
      </c>
      <c r="O226" s="94">
        <f t="shared" si="80"/>
        <v>97064</v>
      </c>
      <c r="P226" s="88"/>
      <c r="Q226" s="88">
        <v>0</v>
      </c>
    </row>
    <row r="227" spans="1:19" x14ac:dyDescent="0.2">
      <c r="A227" s="6" t="s">
        <v>126</v>
      </c>
      <c r="B227" s="92" t="s">
        <v>160</v>
      </c>
      <c r="C227" s="92">
        <v>10</v>
      </c>
      <c r="D227" s="95">
        <v>5</v>
      </c>
      <c r="E227" s="90">
        <v>41696</v>
      </c>
      <c r="F227" s="90">
        <f t="shared" si="77"/>
        <v>17</v>
      </c>
      <c r="G227" s="90">
        <f t="shared" si="77"/>
        <v>151606.85999999999</v>
      </c>
      <c r="H227" s="91">
        <v>2</v>
      </c>
      <c r="I227" s="91">
        <v>53800</v>
      </c>
      <c r="J227" s="91">
        <f t="shared" si="78"/>
        <v>18</v>
      </c>
      <c r="K227" s="91">
        <f t="shared" si="78"/>
        <v>136020</v>
      </c>
      <c r="L227" s="92">
        <v>2</v>
      </c>
      <c r="M227" s="93">
        <v>2100</v>
      </c>
      <c r="N227" s="94">
        <f t="shared" si="79"/>
        <v>17</v>
      </c>
      <c r="O227" s="94">
        <f t="shared" si="80"/>
        <v>99164</v>
      </c>
      <c r="P227" s="88"/>
      <c r="Q227" s="88">
        <v>0</v>
      </c>
    </row>
    <row r="228" spans="1:19" x14ac:dyDescent="0.2">
      <c r="A228" s="6" t="s">
        <v>126</v>
      </c>
      <c r="B228" s="92" t="s">
        <v>161</v>
      </c>
      <c r="C228" s="92">
        <v>11</v>
      </c>
      <c r="D228" s="95">
        <v>7</v>
      </c>
      <c r="E228" s="90">
        <v>36260</v>
      </c>
      <c r="F228" s="90">
        <f t="shared" si="77"/>
        <v>24</v>
      </c>
      <c r="G228" s="90">
        <f t="shared" si="77"/>
        <v>187866.86</v>
      </c>
      <c r="H228" s="91">
        <v>2</v>
      </c>
      <c r="I228" s="91">
        <v>8200</v>
      </c>
      <c r="J228" s="91">
        <f t="shared" si="78"/>
        <v>20</v>
      </c>
      <c r="K228" s="91">
        <f t="shared" si="78"/>
        <v>144220</v>
      </c>
      <c r="L228" s="92">
        <v>0</v>
      </c>
      <c r="M228" s="93">
        <v>0</v>
      </c>
      <c r="N228" s="94">
        <f t="shared" si="79"/>
        <v>17</v>
      </c>
      <c r="O228" s="94">
        <f t="shared" si="80"/>
        <v>99164</v>
      </c>
      <c r="P228" s="88"/>
      <c r="Q228" s="88">
        <v>0</v>
      </c>
    </row>
    <row r="229" spans="1:19" x14ac:dyDescent="0.2">
      <c r="A229" s="6" t="s">
        <v>126</v>
      </c>
      <c r="B229" s="92" t="s">
        <v>162</v>
      </c>
      <c r="C229" s="92">
        <v>12</v>
      </c>
      <c r="D229" s="95">
        <v>1</v>
      </c>
      <c r="E229" s="95">
        <v>11591.9</v>
      </c>
      <c r="F229" s="90">
        <f t="shared" si="77"/>
        <v>25</v>
      </c>
      <c r="G229" s="90">
        <f t="shared" si="77"/>
        <v>199458.75999999998</v>
      </c>
      <c r="H229" s="91">
        <v>1</v>
      </c>
      <c r="I229" s="91">
        <v>12400</v>
      </c>
      <c r="J229" s="91">
        <f t="shared" si="78"/>
        <v>21</v>
      </c>
      <c r="K229" s="91">
        <f t="shared" si="78"/>
        <v>156620</v>
      </c>
      <c r="L229" s="92">
        <v>0</v>
      </c>
      <c r="M229" s="93">
        <v>0</v>
      </c>
      <c r="N229" s="94">
        <f t="shared" si="79"/>
        <v>17</v>
      </c>
      <c r="O229" s="94">
        <f t="shared" si="80"/>
        <v>99164</v>
      </c>
      <c r="P229" s="88"/>
      <c r="Q229" s="88">
        <v>0</v>
      </c>
    </row>
    <row r="230" spans="1:19" x14ac:dyDescent="0.2">
      <c r="A230" s="6" t="s">
        <v>73</v>
      </c>
      <c r="B230" s="92" t="s">
        <v>151</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v>0</v>
      </c>
      <c r="Q230">
        <v>0</v>
      </c>
      <c r="R230">
        <v>0</v>
      </c>
      <c r="S230">
        <v>0</v>
      </c>
    </row>
    <row r="231" spans="1:19" x14ac:dyDescent="0.2">
      <c r="A231" s="6" t="s">
        <v>73</v>
      </c>
      <c r="B231" s="92" t="s">
        <v>152</v>
      </c>
      <c r="C231" s="92">
        <v>2</v>
      </c>
      <c r="D231" s="95">
        <v>0</v>
      </c>
      <c r="E231" s="95">
        <v>0</v>
      </c>
      <c r="F231" s="90">
        <f t="shared" ref="F231:G241" si="81">F230+D231</f>
        <v>0</v>
      </c>
      <c r="G231" s="90">
        <f t="shared" si="81"/>
        <v>0</v>
      </c>
      <c r="H231" s="91">
        <v>0</v>
      </c>
      <c r="I231" s="91">
        <v>0</v>
      </c>
      <c r="J231" s="91">
        <f t="shared" ref="J231:K241" si="82">J230+H231</f>
        <v>0</v>
      </c>
      <c r="K231" s="91">
        <f t="shared" si="82"/>
        <v>0</v>
      </c>
      <c r="L231" s="92">
        <v>1</v>
      </c>
      <c r="M231" s="93">
        <v>35</v>
      </c>
      <c r="N231" s="94">
        <f t="shared" ref="N231:N241" si="83">N230+L231</f>
        <v>1</v>
      </c>
      <c r="O231" s="94">
        <f t="shared" ref="O231:O241" si="84">O230+M231</f>
        <v>35</v>
      </c>
      <c r="P231">
        <v>0</v>
      </c>
      <c r="Q231">
        <v>0</v>
      </c>
      <c r="R231">
        <v>0</v>
      </c>
      <c r="S231">
        <v>0</v>
      </c>
    </row>
    <row r="232" spans="1:19" x14ac:dyDescent="0.2">
      <c r="A232" s="6" t="s">
        <v>73</v>
      </c>
      <c r="B232" s="92" t="s">
        <v>153</v>
      </c>
      <c r="C232" s="92">
        <v>3</v>
      </c>
      <c r="D232" s="95">
        <v>0</v>
      </c>
      <c r="E232" s="95">
        <v>0</v>
      </c>
      <c r="F232" s="90">
        <f t="shared" si="81"/>
        <v>0</v>
      </c>
      <c r="G232" s="90">
        <f t="shared" si="81"/>
        <v>0</v>
      </c>
      <c r="H232" s="91">
        <v>0</v>
      </c>
      <c r="I232" s="91">
        <v>0</v>
      </c>
      <c r="J232" s="91">
        <f t="shared" si="82"/>
        <v>0</v>
      </c>
      <c r="K232" s="91">
        <f t="shared" si="82"/>
        <v>0</v>
      </c>
      <c r="L232" s="92">
        <v>0</v>
      </c>
      <c r="M232" s="93">
        <v>0</v>
      </c>
      <c r="N232" s="94">
        <f t="shared" si="83"/>
        <v>1</v>
      </c>
      <c r="O232" s="94">
        <f t="shared" si="84"/>
        <v>35</v>
      </c>
      <c r="P232">
        <v>0</v>
      </c>
      <c r="Q232">
        <v>0</v>
      </c>
      <c r="R232">
        <v>0</v>
      </c>
      <c r="S232">
        <v>0</v>
      </c>
    </row>
    <row r="233" spans="1:19" x14ac:dyDescent="0.2">
      <c r="A233" s="6" t="s">
        <v>73</v>
      </c>
      <c r="B233" s="92" t="s">
        <v>154</v>
      </c>
      <c r="C233" s="92">
        <v>4</v>
      </c>
      <c r="D233" s="95">
        <v>0</v>
      </c>
      <c r="E233" s="95">
        <v>0</v>
      </c>
      <c r="F233" s="90">
        <f t="shared" si="81"/>
        <v>0</v>
      </c>
      <c r="G233" s="90">
        <f t="shared" si="81"/>
        <v>0</v>
      </c>
      <c r="H233" s="91">
        <v>1</v>
      </c>
      <c r="I233" s="91">
        <v>700</v>
      </c>
      <c r="J233" s="91">
        <f t="shared" si="82"/>
        <v>1</v>
      </c>
      <c r="K233" s="91">
        <f t="shared" si="82"/>
        <v>700</v>
      </c>
      <c r="L233" s="92">
        <v>1</v>
      </c>
      <c r="M233" s="93">
        <v>35</v>
      </c>
      <c r="N233" s="94">
        <f t="shared" si="83"/>
        <v>2</v>
      </c>
      <c r="O233" s="94">
        <f t="shared" si="84"/>
        <v>70</v>
      </c>
      <c r="P233">
        <v>0</v>
      </c>
      <c r="Q233">
        <v>0</v>
      </c>
      <c r="R233">
        <v>0</v>
      </c>
      <c r="S233">
        <v>0</v>
      </c>
    </row>
    <row r="234" spans="1:19" x14ac:dyDescent="0.2">
      <c r="A234" s="6" t="s">
        <v>73</v>
      </c>
      <c r="B234" s="92" t="s">
        <v>155</v>
      </c>
      <c r="C234" s="92">
        <v>5</v>
      </c>
      <c r="D234" s="95">
        <v>0</v>
      </c>
      <c r="E234" s="95">
        <v>0</v>
      </c>
      <c r="F234" s="90">
        <f t="shared" si="81"/>
        <v>0</v>
      </c>
      <c r="G234" s="90">
        <f t="shared" si="81"/>
        <v>0</v>
      </c>
      <c r="H234" s="91">
        <v>4</v>
      </c>
      <c r="I234" s="91">
        <v>15650</v>
      </c>
      <c r="J234" s="91">
        <f t="shared" si="82"/>
        <v>5</v>
      </c>
      <c r="K234" s="91">
        <f t="shared" si="82"/>
        <v>16350</v>
      </c>
      <c r="L234" s="92">
        <v>1</v>
      </c>
      <c r="M234" s="93">
        <v>1260</v>
      </c>
      <c r="N234" s="94">
        <f t="shared" si="83"/>
        <v>3</v>
      </c>
      <c r="O234" s="94">
        <f t="shared" si="84"/>
        <v>1330</v>
      </c>
      <c r="P234">
        <v>0</v>
      </c>
      <c r="Q234">
        <v>0</v>
      </c>
      <c r="R234">
        <v>0</v>
      </c>
      <c r="S234">
        <v>0</v>
      </c>
    </row>
    <row r="235" spans="1:19" x14ac:dyDescent="0.2">
      <c r="A235" s="6" t="s">
        <v>73</v>
      </c>
      <c r="B235" s="92" t="s">
        <v>156</v>
      </c>
      <c r="C235" s="92">
        <v>6</v>
      </c>
      <c r="D235" s="95">
        <v>0</v>
      </c>
      <c r="E235" s="95">
        <v>0</v>
      </c>
      <c r="F235" s="90">
        <f t="shared" si="81"/>
        <v>0</v>
      </c>
      <c r="G235" s="90">
        <f t="shared" si="81"/>
        <v>0</v>
      </c>
      <c r="H235" s="91">
        <v>0</v>
      </c>
      <c r="I235" s="91">
        <v>0</v>
      </c>
      <c r="J235" s="91">
        <f t="shared" si="82"/>
        <v>5</v>
      </c>
      <c r="K235" s="91">
        <f t="shared" si="82"/>
        <v>16350</v>
      </c>
      <c r="L235" s="92">
        <v>0</v>
      </c>
      <c r="M235" s="93">
        <v>0</v>
      </c>
      <c r="N235" s="94">
        <f t="shared" si="83"/>
        <v>3</v>
      </c>
      <c r="O235" s="94">
        <f t="shared" si="84"/>
        <v>1330</v>
      </c>
      <c r="P235">
        <v>0</v>
      </c>
      <c r="Q235">
        <v>0</v>
      </c>
      <c r="R235">
        <v>0</v>
      </c>
      <c r="S235">
        <v>0</v>
      </c>
    </row>
    <row r="236" spans="1:19" x14ac:dyDescent="0.2">
      <c r="A236" s="6" t="s">
        <v>73</v>
      </c>
      <c r="B236" s="92" t="s">
        <v>157</v>
      </c>
      <c r="C236" s="92">
        <v>7</v>
      </c>
      <c r="D236" s="95">
        <v>0</v>
      </c>
      <c r="E236" s="95">
        <v>0</v>
      </c>
      <c r="F236" s="90">
        <f t="shared" si="81"/>
        <v>0</v>
      </c>
      <c r="G236" s="90">
        <f t="shared" si="81"/>
        <v>0</v>
      </c>
      <c r="H236" s="91">
        <v>0</v>
      </c>
      <c r="I236" s="91">
        <v>0</v>
      </c>
      <c r="J236" s="91">
        <f t="shared" si="82"/>
        <v>5</v>
      </c>
      <c r="K236" s="91">
        <f t="shared" si="82"/>
        <v>16350</v>
      </c>
      <c r="L236" s="92">
        <v>0</v>
      </c>
      <c r="M236" s="93">
        <v>0</v>
      </c>
      <c r="N236" s="94">
        <f t="shared" si="83"/>
        <v>3</v>
      </c>
      <c r="O236" s="94">
        <f t="shared" si="84"/>
        <v>1330</v>
      </c>
      <c r="P236">
        <v>1</v>
      </c>
      <c r="Q236">
        <v>810</v>
      </c>
      <c r="R236">
        <v>1</v>
      </c>
      <c r="S236">
        <v>810</v>
      </c>
    </row>
    <row r="237" spans="1:19" x14ac:dyDescent="0.2">
      <c r="A237" s="6" t="s">
        <v>73</v>
      </c>
      <c r="B237" s="92" t="s">
        <v>158</v>
      </c>
      <c r="C237" s="92">
        <v>8</v>
      </c>
      <c r="D237" s="95">
        <v>0</v>
      </c>
      <c r="E237" s="95">
        <v>0</v>
      </c>
      <c r="F237" s="90">
        <f t="shared" si="81"/>
        <v>0</v>
      </c>
      <c r="G237" s="90">
        <f t="shared" si="81"/>
        <v>0</v>
      </c>
      <c r="H237" s="91">
        <v>1</v>
      </c>
      <c r="I237" s="91">
        <v>2500</v>
      </c>
      <c r="J237" s="91">
        <f t="shared" si="82"/>
        <v>6</v>
      </c>
      <c r="K237" s="91">
        <f t="shared" si="82"/>
        <v>18850</v>
      </c>
      <c r="L237" s="92">
        <v>0</v>
      </c>
      <c r="M237" s="93">
        <v>0</v>
      </c>
      <c r="N237" s="94">
        <f t="shared" si="83"/>
        <v>3</v>
      </c>
      <c r="O237" s="94">
        <f t="shared" si="84"/>
        <v>1330</v>
      </c>
      <c r="P237" s="88"/>
      <c r="Q237" s="88">
        <v>0</v>
      </c>
    </row>
    <row r="238" spans="1:19" x14ac:dyDescent="0.2">
      <c r="A238" s="6" t="s">
        <v>73</v>
      </c>
      <c r="B238" s="92" t="s">
        <v>159</v>
      </c>
      <c r="C238" s="92">
        <v>9</v>
      </c>
      <c r="D238" s="95">
        <v>0</v>
      </c>
      <c r="E238" s="95">
        <v>0</v>
      </c>
      <c r="F238" s="90">
        <f t="shared" si="81"/>
        <v>0</v>
      </c>
      <c r="G238" s="90">
        <f t="shared" si="81"/>
        <v>0</v>
      </c>
      <c r="H238" s="91">
        <v>0</v>
      </c>
      <c r="I238" s="91">
        <v>0</v>
      </c>
      <c r="J238" s="91">
        <f t="shared" si="82"/>
        <v>6</v>
      </c>
      <c r="K238" s="91">
        <f t="shared" si="82"/>
        <v>18850</v>
      </c>
      <c r="L238" s="92">
        <v>2</v>
      </c>
      <c r="M238" s="93">
        <v>900</v>
      </c>
      <c r="N238" s="94">
        <f t="shared" si="83"/>
        <v>5</v>
      </c>
      <c r="O238" s="94">
        <f t="shared" si="84"/>
        <v>2230</v>
      </c>
      <c r="P238" s="88"/>
      <c r="Q238" s="88">
        <v>0</v>
      </c>
    </row>
    <row r="239" spans="1:19" x14ac:dyDescent="0.2">
      <c r="A239" s="6" t="s">
        <v>73</v>
      </c>
      <c r="B239" s="92" t="s">
        <v>160</v>
      </c>
      <c r="C239" s="92">
        <v>10</v>
      </c>
      <c r="D239" s="95">
        <v>0</v>
      </c>
      <c r="E239" s="95">
        <v>0</v>
      </c>
      <c r="F239" s="90">
        <f t="shared" si="81"/>
        <v>0</v>
      </c>
      <c r="G239" s="90">
        <f t="shared" si="81"/>
        <v>0</v>
      </c>
      <c r="H239" s="91">
        <v>0</v>
      </c>
      <c r="I239" s="91">
        <v>0</v>
      </c>
      <c r="J239" s="91">
        <f t="shared" si="82"/>
        <v>6</v>
      </c>
      <c r="K239" s="91">
        <f t="shared" si="82"/>
        <v>18850</v>
      </c>
      <c r="L239" s="92">
        <v>0</v>
      </c>
      <c r="M239" s="93">
        <v>0</v>
      </c>
      <c r="N239" s="94">
        <f t="shared" si="83"/>
        <v>5</v>
      </c>
      <c r="O239" s="94">
        <f t="shared" si="84"/>
        <v>2230</v>
      </c>
      <c r="P239" s="88"/>
      <c r="Q239" s="88">
        <v>0</v>
      </c>
    </row>
    <row r="240" spans="1:19" x14ac:dyDescent="0.2">
      <c r="A240" s="6" t="s">
        <v>73</v>
      </c>
      <c r="B240" s="92" t="s">
        <v>161</v>
      </c>
      <c r="C240" s="92">
        <v>11</v>
      </c>
      <c r="D240" s="95">
        <v>0</v>
      </c>
      <c r="E240" s="95">
        <v>0</v>
      </c>
      <c r="F240" s="90">
        <f t="shared" si="81"/>
        <v>0</v>
      </c>
      <c r="G240" s="90">
        <f t="shared" si="81"/>
        <v>0</v>
      </c>
      <c r="H240" s="91">
        <v>0</v>
      </c>
      <c r="I240" s="91">
        <v>0</v>
      </c>
      <c r="J240" s="91">
        <f t="shared" si="82"/>
        <v>6</v>
      </c>
      <c r="K240" s="91">
        <f t="shared" si="82"/>
        <v>18850</v>
      </c>
      <c r="L240" s="92">
        <v>0</v>
      </c>
      <c r="M240" s="93">
        <v>0</v>
      </c>
      <c r="N240" s="94">
        <f t="shared" si="83"/>
        <v>5</v>
      </c>
      <c r="O240" s="94">
        <f t="shared" si="84"/>
        <v>2230</v>
      </c>
      <c r="P240" s="88"/>
      <c r="Q240" s="88">
        <v>0</v>
      </c>
    </row>
    <row r="241" spans="1:19" x14ac:dyDescent="0.2">
      <c r="A241" s="6" t="s">
        <v>73</v>
      </c>
      <c r="B241" s="92" t="s">
        <v>162</v>
      </c>
      <c r="C241" s="92">
        <v>12</v>
      </c>
      <c r="D241" s="95">
        <v>0</v>
      </c>
      <c r="E241" s="95">
        <v>0</v>
      </c>
      <c r="F241" s="90">
        <f t="shared" si="81"/>
        <v>0</v>
      </c>
      <c r="G241" s="90">
        <f t="shared" si="81"/>
        <v>0</v>
      </c>
      <c r="H241" s="91">
        <v>0</v>
      </c>
      <c r="I241" s="91">
        <v>0</v>
      </c>
      <c r="J241" s="91">
        <f t="shared" si="82"/>
        <v>6</v>
      </c>
      <c r="K241" s="91">
        <f t="shared" si="82"/>
        <v>18850</v>
      </c>
      <c r="L241" s="92">
        <v>0</v>
      </c>
      <c r="M241" s="93">
        <v>0</v>
      </c>
      <c r="N241" s="94">
        <f t="shared" si="83"/>
        <v>5</v>
      </c>
      <c r="O241" s="94">
        <f t="shared" si="84"/>
        <v>2230</v>
      </c>
      <c r="P241" s="88"/>
      <c r="Q241" s="88">
        <v>0</v>
      </c>
    </row>
    <row r="242" spans="1:19" x14ac:dyDescent="0.2">
      <c r="A242" s="6" t="s">
        <v>56</v>
      </c>
      <c r="B242" s="92" t="s">
        <v>151</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2">
      <c r="A243" s="6" t="s">
        <v>56</v>
      </c>
      <c r="B243" s="92" t="s">
        <v>152</v>
      </c>
      <c r="C243" s="92">
        <v>2</v>
      </c>
      <c r="D243" s="95">
        <v>0</v>
      </c>
      <c r="E243" s="95">
        <v>0</v>
      </c>
      <c r="F243" s="90">
        <f t="shared" ref="F243:G253" si="85">F242+D243</f>
        <v>0</v>
      </c>
      <c r="G243" s="90">
        <f t="shared" si="85"/>
        <v>0</v>
      </c>
      <c r="H243" s="91">
        <v>0</v>
      </c>
      <c r="I243" s="91">
        <v>0</v>
      </c>
      <c r="J243" s="91">
        <f t="shared" ref="J243:K253" si="86">J242+H243</f>
        <v>0</v>
      </c>
      <c r="K243" s="91">
        <f t="shared" si="86"/>
        <v>0</v>
      </c>
      <c r="L243" s="92">
        <v>1</v>
      </c>
      <c r="M243" s="93">
        <v>500</v>
      </c>
      <c r="N243" s="94">
        <f t="shared" ref="N243:N253" si="87">N242+L243</f>
        <v>1</v>
      </c>
      <c r="O243" s="94">
        <f t="shared" ref="O243:O253" si="88">O242+M243</f>
        <v>500</v>
      </c>
      <c r="P243">
        <v>1</v>
      </c>
      <c r="Q243">
        <v>2700</v>
      </c>
      <c r="R243">
        <v>1</v>
      </c>
      <c r="S243">
        <v>2700</v>
      </c>
    </row>
    <row r="244" spans="1:19" x14ac:dyDescent="0.2">
      <c r="A244" s="6" t="s">
        <v>56</v>
      </c>
      <c r="B244" s="92" t="s">
        <v>153</v>
      </c>
      <c r="C244" s="92">
        <v>3</v>
      </c>
      <c r="D244" s="95">
        <v>0</v>
      </c>
      <c r="E244" s="95">
        <v>0</v>
      </c>
      <c r="F244" s="90">
        <f t="shared" si="85"/>
        <v>0</v>
      </c>
      <c r="G244" s="90">
        <f t="shared" si="85"/>
        <v>0</v>
      </c>
      <c r="H244" s="91">
        <v>1</v>
      </c>
      <c r="I244" s="91">
        <v>0.01</v>
      </c>
      <c r="J244" s="91">
        <f t="shared" si="86"/>
        <v>1</v>
      </c>
      <c r="K244" s="91">
        <f t="shared" si="86"/>
        <v>0.01</v>
      </c>
      <c r="L244" s="92">
        <v>0</v>
      </c>
      <c r="M244" s="93">
        <v>0</v>
      </c>
      <c r="N244" s="94">
        <f t="shared" si="87"/>
        <v>1</v>
      </c>
      <c r="O244" s="94">
        <f t="shared" si="88"/>
        <v>500</v>
      </c>
      <c r="P244">
        <v>0</v>
      </c>
      <c r="Q244">
        <v>0</v>
      </c>
      <c r="R244">
        <v>1</v>
      </c>
      <c r="S244">
        <v>2700</v>
      </c>
    </row>
    <row r="245" spans="1:19" x14ac:dyDescent="0.2">
      <c r="A245" s="6" t="s">
        <v>56</v>
      </c>
      <c r="B245" s="92" t="s">
        <v>154</v>
      </c>
      <c r="C245" s="92">
        <v>4</v>
      </c>
      <c r="D245" s="95">
        <v>0</v>
      </c>
      <c r="E245" s="95">
        <v>0</v>
      </c>
      <c r="F245" s="90">
        <f t="shared" si="85"/>
        <v>0</v>
      </c>
      <c r="G245" s="90">
        <f t="shared" si="85"/>
        <v>0</v>
      </c>
      <c r="H245" s="91">
        <v>0</v>
      </c>
      <c r="I245" s="91">
        <v>0</v>
      </c>
      <c r="J245" s="91">
        <f t="shared" si="86"/>
        <v>1</v>
      </c>
      <c r="K245" s="91">
        <f t="shared" si="86"/>
        <v>0.01</v>
      </c>
      <c r="L245" s="92">
        <v>2</v>
      </c>
      <c r="M245" s="93">
        <v>1580</v>
      </c>
      <c r="N245" s="94">
        <f t="shared" si="87"/>
        <v>3</v>
      </c>
      <c r="O245" s="94">
        <f t="shared" si="88"/>
        <v>2080</v>
      </c>
      <c r="P245">
        <v>0</v>
      </c>
      <c r="Q245">
        <v>0</v>
      </c>
      <c r="R245">
        <v>1</v>
      </c>
      <c r="S245">
        <v>2700</v>
      </c>
    </row>
    <row r="246" spans="1:19" x14ac:dyDescent="0.2">
      <c r="A246" s="6" t="s">
        <v>56</v>
      </c>
      <c r="B246" s="92" t="s">
        <v>155</v>
      </c>
      <c r="C246" s="92">
        <v>5</v>
      </c>
      <c r="D246" s="95">
        <v>0</v>
      </c>
      <c r="E246" s="95">
        <v>0</v>
      </c>
      <c r="F246" s="90">
        <f t="shared" si="85"/>
        <v>0</v>
      </c>
      <c r="G246" s="90">
        <f t="shared" si="85"/>
        <v>0</v>
      </c>
      <c r="H246" s="91">
        <v>5</v>
      </c>
      <c r="I246" s="91">
        <v>5207</v>
      </c>
      <c r="J246" s="91">
        <f t="shared" si="86"/>
        <v>6</v>
      </c>
      <c r="K246" s="91">
        <f t="shared" si="86"/>
        <v>5207.01</v>
      </c>
      <c r="L246" s="92">
        <v>3</v>
      </c>
      <c r="M246" s="93">
        <v>9240</v>
      </c>
      <c r="N246" s="94">
        <f t="shared" si="87"/>
        <v>6</v>
      </c>
      <c r="O246" s="94">
        <f t="shared" si="88"/>
        <v>11320</v>
      </c>
      <c r="P246">
        <v>0</v>
      </c>
      <c r="Q246">
        <v>0</v>
      </c>
      <c r="R246">
        <v>1</v>
      </c>
      <c r="S246">
        <v>2700</v>
      </c>
    </row>
    <row r="247" spans="1:19" x14ac:dyDescent="0.2">
      <c r="A247" s="6" t="s">
        <v>56</v>
      </c>
      <c r="B247" s="92" t="s">
        <v>156</v>
      </c>
      <c r="C247" s="92">
        <v>6</v>
      </c>
      <c r="D247" s="95">
        <v>0</v>
      </c>
      <c r="E247" s="95">
        <v>0</v>
      </c>
      <c r="F247" s="90">
        <f t="shared" si="85"/>
        <v>0</v>
      </c>
      <c r="G247" s="90">
        <f t="shared" si="85"/>
        <v>0</v>
      </c>
      <c r="H247" s="91">
        <v>0</v>
      </c>
      <c r="I247" s="91">
        <v>0</v>
      </c>
      <c r="J247" s="91">
        <f t="shared" si="86"/>
        <v>6</v>
      </c>
      <c r="K247" s="91">
        <f t="shared" si="86"/>
        <v>5207.01</v>
      </c>
      <c r="L247" s="92">
        <v>0</v>
      </c>
      <c r="M247" s="93">
        <v>0</v>
      </c>
      <c r="N247" s="94">
        <f t="shared" si="87"/>
        <v>6</v>
      </c>
      <c r="O247" s="94">
        <f t="shared" si="88"/>
        <v>11320</v>
      </c>
      <c r="P247">
        <v>0</v>
      </c>
      <c r="Q247">
        <v>0</v>
      </c>
      <c r="R247">
        <v>1</v>
      </c>
      <c r="S247">
        <v>2700</v>
      </c>
    </row>
    <row r="248" spans="1:19" x14ac:dyDescent="0.2">
      <c r="A248" s="6" t="s">
        <v>56</v>
      </c>
      <c r="B248" s="92" t="s">
        <v>157</v>
      </c>
      <c r="C248" s="92">
        <v>7</v>
      </c>
      <c r="D248" s="95">
        <v>0</v>
      </c>
      <c r="E248" s="95">
        <v>0</v>
      </c>
      <c r="F248" s="90">
        <f t="shared" si="85"/>
        <v>0</v>
      </c>
      <c r="G248" s="90">
        <f t="shared" si="85"/>
        <v>0</v>
      </c>
      <c r="H248" s="91">
        <v>0</v>
      </c>
      <c r="I248" s="91">
        <v>0</v>
      </c>
      <c r="J248" s="91">
        <f t="shared" si="86"/>
        <v>6</v>
      </c>
      <c r="K248" s="91">
        <f t="shared" si="86"/>
        <v>5207.01</v>
      </c>
      <c r="L248" s="92">
        <v>2</v>
      </c>
      <c r="M248" s="93">
        <v>10223.16</v>
      </c>
      <c r="N248" s="94">
        <f t="shared" si="87"/>
        <v>8</v>
      </c>
      <c r="O248" s="94">
        <f t="shared" si="88"/>
        <v>21543.16</v>
      </c>
      <c r="P248">
        <v>0</v>
      </c>
      <c r="Q248">
        <v>0</v>
      </c>
      <c r="R248">
        <v>1</v>
      </c>
      <c r="S248">
        <v>2700</v>
      </c>
    </row>
    <row r="249" spans="1:19" x14ac:dyDescent="0.2">
      <c r="A249" s="6" t="s">
        <v>56</v>
      </c>
      <c r="B249" s="92" t="s">
        <v>158</v>
      </c>
      <c r="C249" s="92">
        <v>8</v>
      </c>
      <c r="D249" s="95">
        <v>0</v>
      </c>
      <c r="E249" s="95">
        <v>0</v>
      </c>
      <c r="F249" s="90">
        <f t="shared" si="85"/>
        <v>0</v>
      </c>
      <c r="G249" s="90">
        <f t="shared" si="85"/>
        <v>0</v>
      </c>
      <c r="H249" s="91">
        <v>0</v>
      </c>
      <c r="I249" s="91">
        <v>0</v>
      </c>
      <c r="J249" s="91">
        <f t="shared" si="86"/>
        <v>6</v>
      </c>
      <c r="K249" s="91">
        <f t="shared" si="86"/>
        <v>5207.01</v>
      </c>
      <c r="L249" s="92">
        <v>1</v>
      </c>
      <c r="M249" s="93">
        <v>9000</v>
      </c>
      <c r="N249" s="94">
        <f t="shared" si="87"/>
        <v>9</v>
      </c>
      <c r="O249" s="94">
        <f t="shared" si="88"/>
        <v>30543.16</v>
      </c>
      <c r="P249" s="88"/>
      <c r="Q249" s="88">
        <v>0</v>
      </c>
    </row>
    <row r="250" spans="1:19" x14ac:dyDescent="0.2">
      <c r="A250" s="6" t="s">
        <v>56</v>
      </c>
      <c r="B250" s="92" t="s">
        <v>159</v>
      </c>
      <c r="C250" s="92">
        <v>9</v>
      </c>
      <c r="D250" s="95">
        <v>1</v>
      </c>
      <c r="E250" s="95">
        <v>1600</v>
      </c>
      <c r="F250" s="90">
        <f t="shared" si="85"/>
        <v>1</v>
      </c>
      <c r="G250" s="90">
        <f t="shared" si="85"/>
        <v>1600</v>
      </c>
      <c r="H250" s="91">
        <v>0</v>
      </c>
      <c r="I250" s="91">
        <v>0</v>
      </c>
      <c r="J250" s="91">
        <f t="shared" si="86"/>
        <v>6</v>
      </c>
      <c r="K250" s="91">
        <f t="shared" si="86"/>
        <v>5207.01</v>
      </c>
      <c r="L250" s="92">
        <v>0</v>
      </c>
      <c r="M250" s="93">
        <v>0</v>
      </c>
      <c r="N250" s="94">
        <f t="shared" si="87"/>
        <v>9</v>
      </c>
      <c r="O250" s="94">
        <f t="shared" si="88"/>
        <v>30543.16</v>
      </c>
      <c r="P250" s="88"/>
      <c r="Q250" s="88">
        <v>0</v>
      </c>
    </row>
    <row r="251" spans="1:19" x14ac:dyDescent="0.2">
      <c r="A251" s="6" t="s">
        <v>56</v>
      </c>
      <c r="B251" s="92" t="s">
        <v>160</v>
      </c>
      <c r="C251" s="92">
        <v>10</v>
      </c>
      <c r="D251" s="95">
        <v>0</v>
      </c>
      <c r="E251" s="95">
        <v>0</v>
      </c>
      <c r="F251" s="90">
        <f t="shared" si="85"/>
        <v>1</v>
      </c>
      <c r="G251" s="90">
        <f t="shared" si="85"/>
        <v>1600</v>
      </c>
      <c r="H251" s="91">
        <v>0</v>
      </c>
      <c r="I251" s="91">
        <v>0</v>
      </c>
      <c r="J251" s="91">
        <f t="shared" si="86"/>
        <v>6</v>
      </c>
      <c r="K251" s="91">
        <f t="shared" si="86"/>
        <v>5207.01</v>
      </c>
      <c r="L251" s="92">
        <v>1</v>
      </c>
      <c r="M251" s="93">
        <v>5000</v>
      </c>
      <c r="N251" s="94">
        <f t="shared" si="87"/>
        <v>10</v>
      </c>
      <c r="O251" s="94">
        <f t="shared" si="88"/>
        <v>35543.160000000003</v>
      </c>
      <c r="P251" s="88"/>
      <c r="Q251" s="88">
        <v>0</v>
      </c>
    </row>
    <row r="252" spans="1:19" x14ac:dyDescent="0.2">
      <c r="A252" s="6" t="s">
        <v>56</v>
      </c>
      <c r="B252" s="92" t="s">
        <v>161</v>
      </c>
      <c r="C252" s="92">
        <v>11</v>
      </c>
      <c r="D252" s="95">
        <v>1</v>
      </c>
      <c r="E252" s="95">
        <v>1970</v>
      </c>
      <c r="F252" s="90">
        <f t="shared" si="85"/>
        <v>2</v>
      </c>
      <c r="G252" s="90">
        <f t="shared" si="85"/>
        <v>3570</v>
      </c>
      <c r="H252" s="91">
        <v>0</v>
      </c>
      <c r="I252" s="91">
        <v>0</v>
      </c>
      <c r="J252" s="91">
        <f t="shared" si="86"/>
        <v>6</v>
      </c>
      <c r="K252" s="91">
        <f t="shared" si="86"/>
        <v>5207.01</v>
      </c>
      <c r="L252" s="92">
        <v>1</v>
      </c>
      <c r="M252" s="93">
        <v>600</v>
      </c>
      <c r="N252" s="94">
        <f t="shared" si="87"/>
        <v>11</v>
      </c>
      <c r="O252" s="94">
        <f t="shared" si="88"/>
        <v>36143.160000000003</v>
      </c>
      <c r="P252" s="88"/>
      <c r="Q252" s="88">
        <v>0</v>
      </c>
    </row>
    <row r="253" spans="1:19" x14ac:dyDescent="0.2">
      <c r="A253" s="6" t="s">
        <v>56</v>
      </c>
      <c r="B253" s="92" t="s">
        <v>162</v>
      </c>
      <c r="C253" s="92">
        <v>12</v>
      </c>
      <c r="D253" s="95">
        <v>0</v>
      </c>
      <c r="E253" s="95">
        <v>0</v>
      </c>
      <c r="F253" s="90">
        <f t="shared" si="85"/>
        <v>2</v>
      </c>
      <c r="G253" s="90">
        <f t="shared" si="85"/>
        <v>3570</v>
      </c>
      <c r="H253" s="91">
        <v>0</v>
      </c>
      <c r="I253" s="91">
        <v>0</v>
      </c>
      <c r="J253" s="91">
        <f t="shared" si="86"/>
        <v>6</v>
      </c>
      <c r="K253" s="91">
        <f t="shared" si="86"/>
        <v>5207.01</v>
      </c>
      <c r="L253" s="92">
        <v>0</v>
      </c>
      <c r="M253" s="93">
        <v>0</v>
      </c>
      <c r="N253" s="94">
        <f t="shared" si="87"/>
        <v>11</v>
      </c>
      <c r="O253" s="94">
        <f t="shared" si="88"/>
        <v>36143.160000000003</v>
      </c>
      <c r="P253" s="88"/>
      <c r="Q253" s="88">
        <v>0</v>
      </c>
    </row>
    <row r="254" spans="1:19" x14ac:dyDescent="0.2">
      <c r="A254" t="s">
        <v>300</v>
      </c>
      <c r="B254" s="92"/>
      <c r="C254" s="92"/>
      <c r="D254" s="95"/>
      <c r="E254" s="95"/>
      <c r="F254" s="90"/>
      <c r="G254" s="90"/>
      <c r="H254" s="91"/>
      <c r="I254" s="91"/>
      <c r="J254" s="91"/>
      <c r="K254" s="91"/>
      <c r="L254" s="92"/>
      <c r="M254" s="93"/>
      <c r="N254" s="94"/>
      <c r="O254" s="94"/>
      <c r="P254">
        <v>0</v>
      </c>
      <c r="Q254">
        <v>0</v>
      </c>
      <c r="R254">
        <v>0</v>
      </c>
      <c r="S254">
        <v>0</v>
      </c>
    </row>
    <row r="255" spans="1:19" x14ac:dyDescent="0.2">
      <c r="A255" t="s">
        <v>300</v>
      </c>
      <c r="B255" s="92"/>
      <c r="C255" s="92"/>
      <c r="D255" s="95"/>
      <c r="E255" s="95"/>
      <c r="F255" s="90"/>
      <c r="G255" s="90"/>
      <c r="H255" s="91"/>
      <c r="I255" s="91"/>
      <c r="J255" s="91"/>
      <c r="K255" s="91"/>
      <c r="L255" s="92"/>
      <c r="M255" s="93"/>
      <c r="N255" s="94"/>
      <c r="O255" s="94"/>
      <c r="P255">
        <v>0</v>
      </c>
      <c r="Q255">
        <v>0</v>
      </c>
      <c r="R255">
        <v>0</v>
      </c>
      <c r="S255">
        <v>0</v>
      </c>
    </row>
    <row r="256" spans="1:19" x14ac:dyDescent="0.2">
      <c r="A256" t="s">
        <v>300</v>
      </c>
      <c r="B256" s="92"/>
      <c r="C256" s="92"/>
      <c r="D256" s="95"/>
      <c r="E256" s="95"/>
      <c r="F256" s="90"/>
      <c r="G256" s="90"/>
      <c r="H256" s="91"/>
      <c r="I256" s="91"/>
      <c r="J256" s="91"/>
      <c r="K256" s="91"/>
      <c r="L256" s="92"/>
      <c r="M256" s="93"/>
      <c r="N256" s="94"/>
      <c r="O256" s="94"/>
      <c r="P256">
        <v>0</v>
      </c>
      <c r="Q256">
        <v>0</v>
      </c>
      <c r="R256">
        <v>4</v>
      </c>
      <c r="S256">
        <v>840</v>
      </c>
    </row>
    <row r="257" spans="1:19" x14ac:dyDescent="0.2">
      <c r="A257" t="s">
        <v>300</v>
      </c>
      <c r="B257" s="92"/>
      <c r="C257" s="92"/>
      <c r="D257" s="95"/>
      <c r="E257" s="95"/>
      <c r="F257" s="90"/>
      <c r="G257" s="90"/>
      <c r="H257" s="91"/>
      <c r="I257" s="91"/>
      <c r="J257" s="91"/>
      <c r="K257" s="91"/>
      <c r="L257" s="92"/>
      <c r="M257" s="93"/>
      <c r="N257" s="94"/>
      <c r="O257" s="94"/>
      <c r="P257">
        <v>0</v>
      </c>
      <c r="Q257">
        <v>0</v>
      </c>
      <c r="R257">
        <v>4</v>
      </c>
      <c r="S257">
        <v>840</v>
      </c>
    </row>
    <row r="258" spans="1:19" x14ac:dyDescent="0.2">
      <c r="A258" t="s">
        <v>300</v>
      </c>
      <c r="B258" s="92"/>
      <c r="C258" s="92"/>
      <c r="D258" s="95"/>
      <c r="E258" s="95"/>
      <c r="F258" s="90"/>
      <c r="G258" s="90"/>
      <c r="H258" s="91"/>
      <c r="I258" s="91"/>
      <c r="J258" s="91"/>
      <c r="K258" s="91"/>
      <c r="L258" s="92"/>
      <c r="M258" s="93"/>
      <c r="N258" s="94"/>
      <c r="O258" s="94"/>
      <c r="P258">
        <v>0</v>
      </c>
      <c r="Q258">
        <v>0</v>
      </c>
      <c r="R258">
        <v>4</v>
      </c>
      <c r="S258">
        <v>840</v>
      </c>
    </row>
    <row r="259" spans="1:19" x14ac:dyDescent="0.2">
      <c r="A259" t="s">
        <v>300</v>
      </c>
      <c r="B259" s="92"/>
      <c r="C259" s="92"/>
      <c r="D259" s="95"/>
      <c r="E259" s="95"/>
      <c r="F259" s="90"/>
      <c r="G259" s="90"/>
      <c r="H259" s="91"/>
      <c r="I259" s="91"/>
      <c r="J259" s="91"/>
      <c r="K259" s="91"/>
      <c r="L259" s="92"/>
      <c r="M259" s="93"/>
      <c r="N259" s="94"/>
      <c r="O259" s="94"/>
      <c r="P259">
        <v>0</v>
      </c>
      <c r="Q259">
        <v>0</v>
      </c>
      <c r="R259">
        <v>4</v>
      </c>
      <c r="S259">
        <v>840</v>
      </c>
    </row>
    <row r="260" spans="1:19" x14ac:dyDescent="0.2">
      <c r="A260" t="s">
        <v>300</v>
      </c>
      <c r="B260" s="92"/>
      <c r="C260" s="92"/>
      <c r="D260" s="95"/>
      <c r="E260" s="95"/>
      <c r="F260" s="90"/>
      <c r="G260" s="90"/>
      <c r="H260" s="91"/>
      <c r="I260" s="91"/>
      <c r="J260" s="91"/>
      <c r="K260" s="91"/>
      <c r="L260" s="92"/>
      <c r="M260" s="93"/>
      <c r="N260" s="94"/>
      <c r="O260" s="94"/>
      <c r="P260">
        <v>5</v>
      </c>
      <c r="Q260">
        <v>262</v>
      </c>
      <c r="R260">
        <v>9</v>
      </c>
      <c r="S260">
        <v>1102</v>
      </c>
    </row>
    <row r="261" spans="1:19" x14ac:dyDescent="0.2">
      <c r="A261" t="s">
        <v>300</v>
      </c>
      <c r="B261" s="92"/>
      <c r="C261" s="92"/>
      <c r="D261" s="95"/>
      <c r="E261" s="95"/>
      <c r="F261" s="90"/>
      <c r="G261" s="90"/>
      <c r="H261" s="91"/>
      <c r="I261" s="91"/>
      <c r="J261" s="91"/>
      <c r="K261" s="91"/>
      <c r="L261" s="92"/>
      <c r="M261" s="93"/>
      <c r="N261" s="94"/>
      <c r="O261" s="94"/>
      <c r="P261" s="88"/>
      <c r="Q261" s="88"/>
    </row>
    <row r="262" spans="1:19" x14ac:dyDescent="0.2">
      <c r="A262" t="s">
        <v>300</v>
      </c>
      <c r="B262" s="92"/>
      <c r="C262" s="92"/>
      <c r="D262" s="95"/>
      <c r="E262" s="95"/>
      <c r="F262" s="90"/>
      <c r="G262" s="90"/>
      <c r="H262" s="91"/>
      <c r="I262" s="91"/>
      <c r="J262" s="91"/>
      <c r="K262" s="91"/>
      <c r="L262" s="92"/>
      <c r="M262" s="93"/>
      <c r="N262" s="94"/>
      <c r="O262" s="94"/>
      <c r="P262" s="88"/>
      <c r="Q262" s="88"/>
    </row>
    <row r="263" spans="1:19" x14ac:dyDescent="0.2">
      <c r="A263" t="s">
        <v>300</v>
      </c>
      <c r="B263" s="92"/>
      <c r="C263" s="92"/>
      <c r="D263" s="95"/>
      <c r="E263" s="95"/>
      <c r="F263" s="90"/>
      <c r="G263" s="90"/>
      <c r="H263" s="91"/>
      <c r="I263" s="91"/>
      <c r="J263" s="91"/>
      <c r="K263" s="91"/>
      <c r="L263" s="92"/>
      <c r="M263" s="93"/>
      <c r="N263" s="94"/>
      <c r="O263" s="94"/>
      <c r="P263" s="88"/>
      <c r="Q263" s="88"/>
    </row>
    <row r="264" spans="1:19" x14ac:dyDescent="0.2">
      <c r="A264" t="s">
        <v>300</v>
      </c>
      <c r="B264" s="92"/>
      <c r="C264" s="92"/>
      <c r="D264" s="95"/>
      <c r="E264" s="95"/>
      <c r="F264" s="90"/>
      <c r="G264" s="90"/>
      <c r="H264" s="91"/>
      <c r="I264" s="91"/>
      <c r="J264" s="91"/>
      <c r="K264" s="91"/>
      <c r="L264" s="92"/>
      <c r="M264" s="93"/>
      <c r="N264" s="94"/>
      <c r="O264" s="94"/>
      <c r="P264" s="88"/>
      <c r="Q264" s="88"/>
    </row>
    <row r="265" spans="1:19" x14ac:dyDescent="0.2">
      <c r="A265" t="s">
        <v>300</v>
      </c>
      <c r="B265" s="92"/>
      <c r="C265" s="92"/>
      <c r="D265" s="95"/>
      <c r="E265" s="95"/>
      <c r="F265" s="90"/>
      <c r="G265" s="90"/>
      <c r="H265" s="91"/>
      <c r="I265" s="91"/>
      <c r="J265" s="91"/>
      <c r="K265" s="91"/>
      <c r="L265" s="92"/>
      <c r="M265" s="93"/>
      <c r="N265" s="94"/>
      <c r="O265" s="94"/>
      <c r="P265" s="88"/>
      <c r="Q265" s="88"/>
    </row>
    <row r="266" spans="1:19" x14ac:dyDescent="0.2">
      <c r="A266" s="6" t="s">
        <v>90</v>
      </c>
      <c r="B266" s="92" t="s">
        <v>151</v>
      </c>
      <c r="C266" s="92">
        <v>1</v>
      </c>
      <c r="D266" s="95">
        <v>0</v>
      </c>
      <c r="E266" s="95">
        <v>0</v>
      </c>
      <c r="F266" s="90">
        <f>D266</f>
        <v>0</v>
      </c>
      <c r="G266" s="90">
        <f>E266</f>
        <v>0</v>
      </c>
      <c r="H266" s="91">
        <v>1</v>
      </c>
      <c r="I266" s="91">
        <v>10013.44</v>
      </c>
      <c r="J266" s="91">
        <f>H266</f>
        <v>1</v>
      </c>
      <c r="K266" s="91">
        <f>I266</f>
        <v>10013.44</v>
      </c>
      <c r="L266" s="92">
        <v>0</v>
      </c>
      <c r="M266" s="93">
        <v>0</v>
      </c>
      <c r="N266" s="94">
        <f>L266</f>
        <v>0</v>
      </c>
      <c r="O266" s="94">
        <f>M266</f>
        <v>0</v>
      </c>
      <c r="P266">
        <v>1</v>
      </c>
      <c r="Q266">
        <v>13500</v>
      </c>
      <c r="R266">
        <v>1</v>
      </c>
      <c r="S266">
        <v>13500</v>
      </c>
    </row>
    <row r="267" spans="1:19" x14ac:dyDescent="0.2">
      <c r="A267" s="6" t="s">
        <v>90</v>
      </c>
      <c r="B267" s="92" t="s">
        <v>152</v>
      </c>
      <c r="C267" s="92">
        <v>2</v>
      </c>
      <c r="D267" s="95">
        <v>0</v>
      </c>
      <c r="E267" s="95">
        <v>0</v>
      </c>
      <c r="F267" s="90">
        <f t="shared" ref="F267:G277" si="89">F266+D267</f>
        <v>0</v>
      </c>
      <c r="G267" s="90">
        <f t="shared" si="89"/>
        <v>0</v>
      </c>
      <c r="H267" s="91">
        <v>3</v>
      </c>
      <c r="I267" s="91">
        <v>35500</v>
      </c>
      <c r="J267" s="91">
        <f t="shared" ref="J267:K277" si="90">J266+H267</f>
        <v>4</v>
      </c>
      <c r="K267" s="91">
        <f t="shared" si="90"/>
        <v>45513.440000000002</v>
      </c>
      <c r="L267" s="92">
        <v>3</v>
      </c>
      <c r="M267" s="93">
        <v>59420</v>
      </c>
      <c r="N267" s="94">
        <f t="shared" ref="N267:N277" si="91">N266+L267</f>
        <v>3</v>
      </c>
      <c r="O267" s="94">
        <f t="shared" ref="O267:O277" si="92">O266+M267</f>
        <v>59420</v>
      </c>
      <c r="P267">
        <v>3</v>
      </c>
      <c r="Q267">
        <v>78932</v>
      </c>
      <c r="R267">
        <v>4</v>
      </c>
      <c r="S267">
        <v>92432</v>
      </c>
    </row>
    <row r="268" spans="1:19" x14ac:dyDescent="0.2">
      <c r="A268" s="6" t="s">
        <v>90</v>
      </c>
      <c r="B268" s="92" t="s">
        <v>153</v>
      </c>
      <c r="C268" s="92">
        <v>3</v>
      </c>
      <c r="D268" s="95">
        <v>1</v>
      </c>
      <c r="E268" s="90">
        <v>6049.93</v>
      </c>
      <c r="F268" s="90">
        <f t="shared" si="89"/>
        <v>1</v>
      </c>
      <c r="G268" s="90">
        <f t="shared" si="89"/>
        <v>6049.93</v>
      </c>
      <c r="H268" s="91">
        <v>2</v>
      </c>
      <c r="I268" s="91">
        <v>17974.95</v>
      </c>
      <c r="J268" s="91">
        <f t="shared" si="90"/>
        <v>6</v>
      </c>
      <c r="K268" s="91">
        <f t="shared" si="90"/>
        <v>63488.39</v>
      </c>
      <c r="L268" s="92">
        <v>2</v>
      </c>
      <c r="M268" s="93">
        <v>25500</v>
      </c>
      <c r="N268" s="94">
        <f t="shared" si="91"/>
        <v>5</v>
      </c>
      <c r="O268" s="94">
        <f t="shared" si="92"/>
        <v>84920</v>
      </c>
      <c r="P268">
        <v>3</v>
      </c>
      <c r="Q268">
        <v>42100</v>
      </c>
      <c r="R268">
        <v>7</v>
      </c>
      <c r="S268">
        <v>134532</v>
      </c>
    </row>
    <row r="269" spans="1:19" x14ac:dyDescent="0.2">
      <c r="A269" s="6" t="s">
        <v>90</v>
      </c>
      <c r="B269" s="92" t="s">
        <v>154</v>
      </c>
      <c r="C269" s="92">
        <v>4</v>
      </c>
      <c r="D269" s="95">
        <v>0</v>
      </c>
      <c r="E269" s="95">
        <v>0</v>
      </c>
      <c r="F269" s="90">
        <f t="shared" si="89"/>
        <v>1</v>
      </c>
      <c r="G269" s="90">
        <f t="shared" si="89"/>
        <v>6049.93</v>
      </c>
      <c r="H269" s="91">
        <v>1</v>
      </c>
      <c r="I269" s="91">
        <v>15000</v>
      </c>
      <c r="J269" s="91">
        <f t="shared" si="90"/>
        <v>7</v>
      </c>
      <c r="K269" s="91">
        <f t="shared" si="90"/>
        <v>78488.39</v>
      </c>
      <c r="L269" s="92">
        <v>1</v>
      </c>
      <c r="M269" s="93">
        <v>9900</v>
      </c>
      <c r="N269" s="94">
        <f t="shared" si="91"/>
        <v>6</v>
      </c>
      <c r="O269" s="94">
        <f t="shared" si="92"/>
        <v>94820</v>
      </c>
      <c r="P269">
        <v>0</v>
      </c>
      <c r="Q269">
        <v>0</v>
      </c>
      <c r="R269">
        <v>7</v>
      </c>
      <c r="S269">
        <v>134532</v>
      </c>
    </row>
    <row r="270" spans="1:19" x14ac:dyDescent="0.2">
      <c r="A270" s="6" t="s">
        <v>90</v>
      </c>
      <c r="B270" s="92" t="s">
        <v>155</v>
      </c>
      <c r="C270" s="92">
        <v>5</v>
      </c>
      <c r="D270" s="95">
        <v>1</v>
      </c>
      <c r="E270" s="95">
        <v>10000</v>
      </c>
      <c r="F270" s="90">
        <f t="shared" si="89"/>
        <v>2</v>
      </c>
      <c r="G270" s="90">
        <f t="shared" si="89"/>
        <v>16049.93</v>
      </c>
      <c r="H270" s="91">
        <v>0</v>
      </c>
      <c r="I270" s="91">
        <v>0</v>
      </c>
      <c r="J270" s="91">
        <f t="shared" si="90"/>
        <v>7</v>
      </c>
      <c r="K270" s="91">
        <f t="shared" si="90"/>
        <v>78488.39</v>
      </c>
      <c r="L270" s="92">
        <v>2</v>
      </c>
      <c r="M270" s="93">
        <v>36300</v>
      </c>
      <c r="N270" s="94">
        <f t="shared" si="91"/>
        <v>8</v>
      </c>
      <c r="O270" s="94">
        <f t="shared" si="92"/>
        <v>131120</v>
      </c>
      <c r="P270">
        <v>1</v>
      </c>
      <c r="Q270">
        <v>41739.129999999997</v>
      </c>
      <c r="R270">
        <v>8</v>
      </c>
      <c r="S270">
        <v>176271.13</v>
      </c>
    </row>
    <row r="271" spans="1:19" x14ac:dyDescent="0.2">
      <c r="A271" s="6" t="s">
        <v>90</v>
      </c>
      <c r="B271" s="92" t="s">
        <v>156</v>
      </c>
      <c r="C271" s="92">
        <v>6</v>
      </c>
      <c r="D271" s="95">
        <v>1</v>
      </c>
      <c r="E271" s="95">
        <v>32760.36</v>
      </c>
      <c r="F271" s="90">
        <f t="shared" si="89"/>
        <v>3</v>
      </c>
      <c r="G271" s="90">
        <f t="shared" si="89"/>
        <v>48810.29</v>
      </c>
      <c r="H271" s="91">
        <v>3</v>
      </c>
      <c r="I271" s="91">
        <v>50710</v>
      </c>
      <c r="J271" s="91">
        <f t="shared" si="90"/>
        <v>10</v>
      </c>
      <c r="K271" s="91">
        <f t="shared" si="90"/>
        <v>129198.39</v>
      </c>
      <c r="L271" s="92">
        <v>4</v>
      </c>
      <c r="M271" s="93">
        <v>91100</v>
      </c>
      <c r="N271" s="94">
        <f t="shared" si="91"/>
        <v>12</v>
      </c>
      <c r="O271" s="94">
        <f t="shared" si="92"/>
        <v>222220</v>
      </c>
      <c r="P271">
        <v>5</v>
      </c>
      <c r="Q271">
        <v>31448.31</v>
      </c>
      <c r="R271">
        <v>13</v>
      </c>
      <c r="S271">
        <v>207719.44</v>
      </c>
    </row>
    <row r="272" spans="1:19" x14ac:dyDescent="0.2">
      <c r="A272" s="6" t="s">
        <v>90</v>
      </c>
      <c r="B272" s="92" t="s">
        <v>157</v>
      </c>
      <c r="C272" s="92">
        <v>7</v>
      </c>
      <c r="D272" s="95">
        <v>1</v>
      </c>
      <c r="E272" s="95">
        <v>10058.42</v>
      </c>
      <c r="F272" s="90">
        <f t="shared" si="89"/>
        <v>4</v>
      </c>
      <c r="G272" s="90">
        <f t="shared" si="89"/>
        <v>58868.71</v>
      </c>
      <c r="H272" s="91">
        <v>1</v>
      </c>
      <c r="I272" s="91">
        <v>20000</v>
      </c>
      <c r="J272" s="91">
        <f t="shared" si="90"/>
        <v>11</v>
      </c>
      <c r="K272" s="91">
        <f t="shared" si="90"/>
        <v>149198.39000000001</v>
      </c>
      <c r="L272" s="92">
        <v>0</v>
      </c>
      <c r="M272" s="93">
        <v>0</v>
      </c>
      <c r="N272" s="94">
        <f t="shared" si="91"/>
        <v>12</v>
      </c>
      <c r="O272" s="94">
        <f t="shared" si="92"/>
        <v>222220</v>
      </c>
      <c r="P272">
        <v>3</v>
      </c>
      <c r="Q272">
        <v>25250</v>
      </c>
      <c r="R272">
        <v>16</v>
      </c>
      <c r="S272">
        <v>232969.44</v>
      </c>
    </row>
    <row r="273" spans="1:19" x14ac:dyDescent="0.2">
      <c r="A273" s="6" t="s">
        <v>90</v>
      </c>
      <c r="B273" s="92" t="s">
        <v>158</v>
      </c>
      <c r="C273" s="92">
        <v>8</v>
      </c>
      <c r="D273" s="95">
        <v>2</v>
      </c>
      <c r="E273" s="95">
        <v>33321</v>
      </c>
      <c r="F273" s="90">
        <f t="shared" si="89"/>
        <v>6</v>
      </c>
      <c r="G273" s="90">
        <f t="shared" si="89"/>
        <v>92189.709999999992</v>
      </c>
      <c r="H273" s="91">
        <v>0</v>
      </c>
      <c r="I273" s="91">
        <v>0</v>
      </c>
      <c r="J273" s="91">
        <f t="shared" si="90"/>
        <v>11</v>
      </c>
      <c r="K273" s="91">
        <f t="shared" si="90"/>
        <v>149198.39000000001</v>
      </c>
      <c r="L273" s="92">
        <v>1</v>
      </c>
      <c r="M273" s="93">
        <v>18700</v>
      </c>
      <c r="N273" s="94">
        <f t="shared" si="91"/>
        <v>13</v>
      </c>
      <c r="O273" s="94">
        <f t="shared" si="92"/>
        <v>240920</v>
      </c>
      <c r="P273" s="88"/>
      <c r="Q273" s="88">
        <v>0</v>
      </c>
    </row>
    <row r="274" spans="1:19" x14ac:dyDescent="0.2">
      <c r="A274" s="6" t="s">
        <v>90</v>
      </c>
      <c r="B274" s="92" t="s">
        <v>159</v>
      </c>
      <c r="C274" s="92">
        <v>9</v>
      </c>
      <c r="D274" s="95">
        <v>3</v>
      </c>
      <c r="E274" s="90">
        <v>41258.67</v>
      </c>
      <c r="F274" s="90">
        <f t="shared" si="89"/>
        <v>9</v>
      </c>
      <c r="G274" s="90">
        <f t="shared" si="89"/>
        <v>133448.38</v>
      </c>
      <c r="H274" s="91">
        <v>3</v>
      </c>
      <c r="I274" s="91">
        <v>28180</v>
      </c>
      <c r="J274" s="91">
        <f t="shared" si="90"/>
        <v>14</v>
      </c>
      <c r="K274" s="91">
        <f t="shared" si="90"/>
        <v>177378.39</v>
      </c>
      <c r="L274" s="92">
        <v>4</v>
      </c>
      <c r="M274" s="93">
        <v>54200</v>
      </c>
      <c r="N274" s="94">
        <f t="shared" si="91"/>
        <v>17</v>
      </c>
      <c r="O274" s="94">
        <f t="shared" si="92"/>
        <v>295120</v>
      </c>
      <c r="P274" s="88"/>
      <c r="Q274" s="88">
        <v>0</v>
      </c>
    </row>
    <row r="275" spans="1:19" x14ac:dyDescent="0.2">
      <c r="A275" s="6" t="s">
        <v>90</v>
      </c>
      <c r="B275" s="92" t="s">
        <v>160</v>
      </c>
      <c r="C275" s="92">
        <v>10</v>
      </c>
      <c r="D275" s="95">
        <v>5</v>
      </c>
      <c r="E275" s="90">
        <v>40835.770000000004</v>
      </c>
      <c r="F275" s="90">
        <f t="shared" si="89"/>
        <v>14</v>
      </c>
      <c r="G275" s="90">
        <f t="shared" si="89"/>
        <v>174284.15000000002</v>
      </c>
      <c r="H275" s="91">
        <v>2</v>
      </c>
      <c r="I275" s="91">
        <v>33300</v>
      </c>
      <c r="J275" s="91">
        <f t="shared" si="90"/>
        <v>16</v>
      </c>
      <c r="K275" s="91">
        <f t="shared" si="90"/>
        <v>210678.39</v>
      </c>
      <c r="L275" s="92">
        <v>3</v>
      </c>
      <c r="M275" s="93">
        <v>25700</v>
      </c>
      <c r="N275" s="94">
        <f t="shared" si="91"/>
        <v>20</v>
      </c>
      <c r="O275" s="94">
        <f t="shared" si="92"/>
        <v>320820</v>
      </c>
      <c r="P275" s="88"/>
      <c r="Q275" s="88">
        <v>0</v>
      </c>
    </row>
    <row r="276" spans="1:19" x14ac:dyDescent="0.2">
      <c r="A276" s="6" t="s">
        <v>90</v>
      </c>
      <c r="B276" s="92" t="s">
        <v>161</v>
      </c>
      <c r="C276" s="92">
        <v>11</v>
      </c>
      <c r="D276" s="95">
        <v>5</v>
      </c>
      <c r="E276" s="90">
        <v>35469.64</v>
      </c>
      <c r="F276" s="90">
        <f t="shared" si="89"/>
        <v>19</v>
      </c>
      <c r="G276" s="90">
        <f t="shared" si="89"/>
        <v>209753.79000000004</v>
      </c>
      <c r="H276" s="91">
        <v>4</v>
      </c>
      <c r="I276" s="91">
        <v>61845</v>
      </c>
      <c r="J276" s="91">
        <f t="shared" si="90"/>
        <v>20</v>
      </c>
      <c r="K276" s="91">
        <f t="shared" si="90"/>
        <v>272523.39</v>
      </c>
      <c r="L276" s="92">
        <v>2</v>
      </c>
      <c r="M276" s="93">
        <v>27400</v>
      </c>
      <c r="N276" s="94">
        <f t="shared" si="91"/>
        <v>22</v>
      </c>
      <c r="O276" s="94">
        <f t="shared" si="92"/>
        <v>348220</v>
      </c>
      <c r="P276" s="88"/>
      <c r="Q276" s="88">
        <v>0</v>
      </c>
    </row>
    <row r="277" spans="1:19" x14ac:dyDescent="0.2">
      <c r="A277" s="6" t="s">
        <v>90</v>
      </c>
      <c r="B277" s="92" t="s">
        <v>162</v>
      </c>
      <c r="C277" s="92">
        <v>12</v>
      </c>
      <c r="D277" s="95">
        <v>2</v>
      </c>
      <c r="E277" s="90">
        <v>22052.27</v>
      </c>
      <c r="F277" s="90">
        <f t="shared" si="89"/>
        <v>21</v>
      </c>
      <c r="G277" s="90">
        <f t="shared" si="89"/>
        <v>231806.06000000003</v>
      </c>
      <c r="H277" s="91">
        <v>3</v>
      </c>
      <c r="I277" s="91">
        <v>25495</v>
      </c>
      <c r="J277" s="91">
        <f t="shared" si="90"/>
        <v>23</v>
      </c>
      <c r="K277" s="91">
        <f t="shared" si="90"/>
        <v>298018.39</v>
      </c>
      <c r="L277" s="92">
        <v>3</v>
      </c>
      <c r="M277" s="93">
        <v>83450</v>
      </c>
      <c r="N277" s="94">
        <f t="shared" si="91"/>
        <v>25</v>
      </c>
      <c r="O277" s="94">
        <f t="shared" si="92"/>
        <v>431670</v>
      </c>
      <c r="P277" s="88"/>
      <c r="Q277" s="88">
        <v>0</v>
      </c>
    </row>
    <row r="278" spans="1:19" x14ac:dyDescent="0.2">
      <c r="A278" s="6" t="s">
        <v>54</v>
      </c>
      <c r="B278" s="92" t="s">
        <v>151</v>
      </c>
      <c r="C278" s="92">
        <v>1</v>
      </c>
      <c r="D278" s="95">
        <v>0</v>
      </c>
      <c r="E278" s="95">
        <v>0</v>
      </c>
      <c r="F278" s="90">
        <f>D278</f>
        <v>0</v>
      </c>
      <c r="G278" s="90">
        <f>E278</f>
        <v>0</v>
      </c>
      <c r="H278" s="91">
        <v>9</v>
      </c>
      <c r="I278" s="91">
        <v>145</v>
      </c>
      <c r="J278" s="91">
        <f>H278</f>
        <v>9</v>
      </c>
      <c r="K278" s="91">
        <f>I278</f>
        <v>145</v>
      </c>
      <c r="L278" s="92">
        <v>28</v>
      </c>
      <c r="M278" s="93">
        <v>6475</v>
      </c>
      <c r="N278" s="94">
        <f>L278</f>
        <v>28</v>
      </c>
      <c r="O278" s="94">
        <f>M278</f>
        <v>6475</v>
      </c>
      <c r="P278">
        <v>1</v>
      </c>
      <c r="Q278">
        <v>40</v>
      </c>
      <c r="R278">
        <v>1</v>
      </c>
      <c r="S278">
        <v>40</v>
      </c>
    </row>
    <row r="279" spans="1:19" x14ac:dyDescent="0.2">
      <c r="A279" s="6" t="s">
        <v>54</v>
      </c>
      <c r="B279" s="92" t="s">
        <v>152</v>
      </c>
      <c r="C279" s="92">
        <v>2</v>
      </c>
      <c r="D279" s="95">
        <v>0</v>
      </c>
      <c r="E279" s="95">
        <v>0</v>
      </c>
      <c r="F279" s="90">
        <f t="shared" ref="F279:G289" si="93">F278+D279</f>
        <v>0</v>
      </c>
      <c r="G279" s="90">
        <f t="shared" si="93"/>
        <v>0</v>
      </c>
      <c r="H279" s="91">
        <v>0</v>
      </c>
      <c r="I279" s="91">
        <v>0</v>
      </c>
      <c r="J279" s="91">
        <f t="shared" ref="J279:K289" si="94">J278+H279</f>
        <v>9</v>
      </c>
      <c r="K279" s="91">
        <f t="shared" si="94"/>
        <v>145</v>
      </c>
      <c r="L279" s="92">
        <v>25</v>
      </c>
      <c r="M279" s="93">
        <v>9405</v>
      </c>
      <c r="N279" s="94">
        <f t="shared" ref="N279:N289" si="95">N278+L279</f>
        <v>53</v>
      </c>
      <c r="O279" s="94">
        <f t="shared" ref="O279:O289" si="96">O278+M279</f>
        <v>15880</v>
      </c>
      <c r="P279">
        <v>0</v>
      </c>
      <c r="Q279">
        <v>0</v>
      </c>
      <c r="R279">
        <v>1</v>
      </c>
      <c r="S279">
        <v>40</v>
      </c>
    </row>
    <row r="280" spans="1:19" x14ac:dyDescent="0.2">
      <c r="A280" s="6" t="s">
        <v>54</v>
      </c>
      <c r="B280" s="92" t="s">
        <v>153</v>
      </c>
      <c r="C280" s="92">
        <v>3</v>
      </c>
      <c r="D280" s="95">
        <v>1</v>
      </c>
      <c r="E280" s="95">
        <v>855</v>
      </c>
      <c r="F280" s="90">
        <f t="shared" si="93"/>
        <v>1</v>
      </c>
      <c r="G280" s="90">
        <f t="shared" si="93"/>
        <v>855</v>
      </c>
      <c r="H280" s="91">
        <v>10</v>
      </c>
      <c r="I280" s="91">
        <v>580</v>
      </c>
      <c r="J280" s="91">
        <f t="shared" si="94"/>
        <v>19</v>
      </c>
      <c r="K280" s="91">
        <f t="shared" si="94"/>
        <v>725</v>
      </c>
      <c r="L280" s="92">
        <v>35</v>
      </c>
      <c r="M280" s="93">
        <v>3350</v>
      </c>
      <c r="N280" s="94">
        <f t="shared" si="95"/>
        <v>88</v>
      </c>
      <c r="O280" s="94">
        <f t="shared" si="96"/>
        <v>19230</v>
      </c>
      <c r="P280">
        <v>9</v>
      </c>
      <c r="Q280">
        <v>720</v>
      </c>
      <c r="R280">
        <v>10</v>
      </c>
      <c r="S280">
        <v>760</v>
      </c>
    </row>
    <row r="281" spans="1:19" x14ac:dyDescent="0.2">
      <c r="A281" s="6" t="s">
        <v>54</v>
      </c>
      <c r="B281" s="92" t="s">
        <v>154</v>
      </c>
      <c r="C281" s="92">
        <v>4</v>
      </c>
      <c r="D281" s="95">
        <v>0</v>
      </c>
      <c r="E281" s="95">
        <v>0</v>
      </c>
      <c r="F281" s="90">
        <f t="shared" si="93"/>
        <v>1</v>
      </c>
      <c r="G281" s="90">
        <f t="shared" si="93"/>
        <v>855</v>
      </c>
      <c r="H281" s="91">
        <v>15</v>
      </c>
      <c r="I281" s="91">
        <v>960</v>
      </c>
      <c r="J281" s="91">
        <f t="shared" si="94"/>
        <v>34</v>
      </c>
      <c r="K281" s="91">
        <f t="shared" si="94"/>
        <v>1685</v>
      </c>
      <c r="L281" s="92">
        <v>53</v>
      </c>
      <c r="M281" s="93">
        <v>4825</v>
      </c>
      <c r="N281" s="94">
        <f t="shared" si="95"/>
        <v>141</v>
      </c>
      <c r="O281" s="94">
        <f t="shared" si="96"/>
        <v>24055</v>
      </c>
      <c r="P281">
        <v>0</v>
      </c>
      <c r="Q281">
        <v>0</v>
      </c>
      <c r="R281">
        <v>10</v>
      </c>
      <c r="S281">
        <v>760</v>
      </c>
    </row>
    <row r="282" spans="1:19" x14ac:dyDescent="0.2">
      <c r="A282" s="6" t="s">
        <v>54</v>
      </c>
      <c r="B282" s="92" t="s">
        <v>155</v>
      </c>
      <c r="C282" s="92">
        <v>5</v>
      </c>
      <c r="D282" s="95">
        <v>0</v>
      </c>
      <c r="E282" s="95">
        <v>0</v>
      </c>
      <c r="F282" s="90">
        <f t="shared" si="93"/>
        <v>1</v>
      </c>
      <c r="G282" s="90">
        <f t="shared" si="93"/>
        <v>855</v>
      </c>
      <c r="H282" s="91">
        <v>9</v>
      </c>
      <c r="I282" s="91">
        <v>13482.369999999999</v>
      </c>
      <c r="J282" s="91">
        <f t="shared" si="94"/>
        <v>43</v>
      </c>
      <c r="K282" s="91">
        <f t="shared" si="94"/>
        <v>15167.369999999999</v>
      </c>
      <c r="L282" s="92">
        <v>7</v>
      </c>
      <c r="M282" s="93">
        <v>400</v>
      </c>
      <c r="N282" s="94">
        <f t="shared" si="95"/>
        <v>148</v>
      </c>
      <c r="O282" s="94">
        <f t="shared" si="96"/>
        <v>24455</v>
      </c>
      <c r="P282">
        <v>0</v>
      </c>
      <c r="Q282">
        <v>0</v>
      </c>
      <c r="R282">
        <v>10</v>
      </c>
      <c r="S282">
        <v>760</v>
      </c>
    </row>
    <row r="283" spans="1:19" x14ac:dyDescent="0.2">
      <c r="A283" s="6" t="s">
        <v>54</v>
      </c>
      <c r="B283" s="92" t="s">
        <v>156</v>
      </c>
      <c r="C283" s="92">
        <v>6</v>
      </c>
      <c r="D283" s="95">
        <v>4</v>
      </c>
      <c r="E283" s="90">
        <v>6250</v>
      </c>
      <c r="F283" s="90">
        <f t="shared" si="93"/>
        <v>5</v>
      </c>
      <c r="G283" s="90">
        <f t="shared" si="93"/>
        <v>7105</v>
      </c>
      <c r="H283" s="91">
        <v>11</v>
      </c>
      <c r="I283" s="91">
        <v>260</v>
      </c>
      <c r="J283" s="91">
        <f t="shared" si="94"/>
        <v>54</v>
      </c>
      <c r="K283" s="91">
        <f t="shared" si="94"/>
        <v>15427.369999999999</v>
      </c>
      <c r="L283" s="92">
        <v>4</v>
      </c>
      <c r="M283" s="93">
        <v>385</v>
      </c>
      <c r="N283" s="94">
        <f t="shared" si="95"/>
        <v>152</v>
      </c>
      <c r="O283" s="94">
        <f t="shared" si="96"/>
        <v>24840</v>
      </c>
      <c r="P283">
        <v>3</v>
      </c>
      <c r="Q283">
        <v>20955.73</v>
      </c>
      <c r="R283">
        <v>13</v>
      </c>
      <c r="S283">
        <v>21715.73</v>
      </c>
    </row>
    <row r="284" spans="1:19" x14ac:dyDescent="0.2">
      <c r="A284" s="6" t="s">
        <v>54</v>
      </c>
      <c r="B284" s="92" t="s">
        <v>157</v>
      </c>
      <c r="C284" s="92">
        <v>7</v>
      </c>
      <c r="D284" s="95">
        <v>1</v>
      </c>
      <c r="E284" s="95">
        <v>3300</v>
      </c>
      <c r="F284" s="90">
        <f t="shared" si="93"/>
        <v>6</v>
      </c>
      <c r="G284" s="90">
        <f t="shared" si="93"/>
        <v>10405</v>
      </c>
      <c r="H284" s="91">
        <v>12</v>
      </c>
      <c r="I284" s="91">
        <v>7595</v>
      </c>
      <c r="J284" s="91">
        <f t="shared" si="94"/>
        <v>66</v>
      </c>
      <c r="K284" s="91">
        <f t="shared" si="94"/>
        <v>23022.37</v>
      </c>
      <c r="L284" s="92">
        <v>19</v>
      </c>
      <c r="M284" s="93">
        <v>11555</v>
      </c>
      <c r="N284" s="94">
        <f t="shared" si="95"/>
        <v>171</v>
      </c>
      <c r="O284" s="94">
        <f t="shared" si="96"/>
        <v>36395</v>
      </c>
      <c r="P284">
        <v>1</v>
      </c>
      <c r="Q284">
        <v>3160</v>
      </c>
      <c r="R284">
        <v>14</v>
      </c>
      <c r="S284">
        <v>24875.73</v>
      </c>
    </row>
    <row r="285" spans="1:19" x14ac:dyDescent="0.2">
      <c r="A285" s="6" t="s">
        <v>54</v>
      </c>
      <c r="B285" s="92" t="s">
        <v>158</v>
      </c>
      <c r="C285" s="92">
        <v>8</v>
      </c>
      <c r="D285" s="95">
        <v>2</v>
      </c>
      <c r="E285" s="90">
        <v>7250</v>
      </c>
      <c r="F285" s="90">
        <f t="shared" si="93"/>
        <v>8</v>
      </c>
      <c r="G285" s="90">
        <f t="shared" si="93"/>
        <v>17655</v>
      </c>
      <c r="H285" s="91">
        <v>20</v>
      </c>
      <c r="I285" s="91">
        <v>4720</v>
      </c>
      <c r="J285" s="91">
        <f t="shared" si="94"/>
        <v>86</v>
      </c>
      <c r="K285" s="91">
        <f t="shared" si="94"/>
        <v>27742.37</v>
      </c>
      <c r="L285" s="92">
        <v>22</v>
      </c>
      <c r="M285" s="93">
        <v>2280</v>
      </c>
      <c r="N285" s="94">
        <f t="shared" si="95"/>
        <v>193</v>
      </c>
      <c r="O285" s="94">
        <f t="shared" si="96"/>
        <v>38675</v>
      </c>
      <c r="P285" s="88"/>
      <c r="Q285" s="88">
        <v>0</v>
      </c>
    </row>
    <row r="286" spans="1:19" x14ac:dyDescent="0.2">
      <c r="A286" s="6" t="s">
        <v>54</v>
      </c>
      <c r="B286" s="92" t="s">
        <v>159</v>
      </c>
      <c r="C286" s="92">
        <v>9</v>
      </c>
      <c r="D286" s="95">
        <v>3</v>
      </c>
      <c r="E286" s="95">
        <v>2315</v>
      </c>
      <c r="F286" s="90">
        <f t="shared" si="93"/>
        <v>11</v>
      </c>
      <c r="G286" s="90">
        <f t="shared" si="93"/>
        <v>19970</v>
      </c>
      <c r="H286" s="91">
        <v>19</v>
      </c>
      <c r="I286" s="91">
        <v>4250</v>
      </c>
      <c r="J286" s="91">
        <f t="shared" si="94"/>
        <v>105</v>
      </c>
      <c r="K286" s="91">
        <f t="shared" si="94"/>
        <v>31992.37</v>
      </c>
      <c r="L286" s="92">
        <v>21</v>
      </c>
      <c r="M286" s="93">
        <v>3955</v>
      </c>
      <c r="N286" s="94">
        <f t="shared" si="95"/>
        <v>214</v>
      </c>
      <c r="O286" s="94">
        <f t="shared" si="96"/>
        <v>42630</v>
      </c>
      <c r="P286" s="88"/>
      <c r="Q286" s="88">
        <v>0</v>
      </c>
    </row>
    <row r="287" spans="1:19" x14ac:dyDescent="0.2">
      <c r="A287" s="6" t="s">
        <v>54</v>
      </c>
      <c r="B287" s="92" t="s">
        <v>160</v>
      </c>
      <c r="C287" s="92">
        <v>10</v>
      </c>
      <c r="D287" s="95">
        <v>1</v>
      </c>
      <c r="E287" s="95">
        <v>15</v>
      </c>
      <c r="F287" s="90">
        <f t="shared" si="93"/>
        <v>12</v>
      </c>
      <c r="G287" s="90">
        <f t="shared" si="93"/>
        <v>19985</v>
      </c>
      <c r="H287" s="91">
        <v>13</v>
      </c>
      <c r="I287" s="91">
        <v>4380</v>
      </c>
      <c r="J287" s="91">
        <f t="shared" si="94"/>
        <v>118</v>
      </c>
      <c r="K287" s="91">
        <f t="shared" si="94"/>
        <v>36372.369999999995</v>
      </c>
      <c r="L287" s="92">
        <v>9</v>
      </c>
      <c r="M287" s="93">
        <v>1235</v>
      </c>
      <c r="N287" s="94">
        <f t="shared" si="95"/>
        <v>223</v>
      </c>
      <c r="O287" s="94">
        <f t="shared" si="96"/>
        <v>43865</v>
      </c>
      <c r="P287" s="88"/>
      <c r="Q287" s="88">
        <v>0</v>
      </c>
    </row>
    <row r="288" spans="1:19" x14ac:dyDescent="0.2">
      <c r="A288" s="6" t="s">
        <v>54</v>
      </c>
      <c r="B288" s="92" t="s">
        <v>161</v>
      </c>
      <c r="C288" s="92">
        <v>11</v>
      </c>
      <c r="D288" s="95">
        <v>14</v>
      </c>
      <c r="E288" s="90">
        <v>730</v>
      </c>
      <c r="F288" s="90">
        <f t="shared" si="93"/>
        <v>26</v>
      </c>
      <c r="G288" s="90">
        <f t="shared" si="93"/>
        <v>20715</v>
      </c>
      <c r="H288" s="91">
        <v>7</v>
      </c>
      <c r="I288" s="91">
        <v>3065</v>
      </c>
      <c r="J288" s="91">
        <f t="shared" si="94"/>
        <v>125</v>
      </c>
      <c r="K288" s="91">
        <f t="shared" si="94"/>
        <v>39437.369999999995</v>
      </c>
      <c r="L288" s="92">
        <v>7</v>
      </c>
      <c r="M288" s="93">
        <v>11500</v>
      </c>
      <c r="N288" s="94">
        <f t="shared" si="95"/>
        <v>230</v>
      </c>
      <c r="O288" s="94">
        <f t="shared" si="96"/>
        <v>55365</v>
      </c>
      <c r="P288" s="88"/>
      <c r="Q288" s="88">
        <v>0</v>
      </c>
    </row>
    <row r="289" spans="1:19" x14ac:dyDescent="0.2">
      <c r="A289" s="6" t="s">
        <v>54</v>
      </c>
      <c r="B289" s="92" t="s">
        <v>162</v>
      </c>
      <c r="C289" s="92">
        <v>12</v>
      </c>
      <c r="D289" s="90">
        <v>11</v>
      </c>
      <c r="E289" s="90">
        <v>5395</v>
      </c>
      <c r="F289" s="90">
        <f t="shared" si="93"/>
        <v>37</v>
      </c>
      <c r="G289" s="90">
        <f t="shared" si="93"/>
        <v>26110</v>
      </c>
      <c r="H289" s="91">
        <v>24</v>
      </c>
      <c r="I289" s="91">
        <v>4510</v>
      </c>
      <c r="J289" s="91">
        <f t="shared" si="94"/>
        <v>149</v>
      </c>
      <c r="K289" s="91">
        <f t="shared" si="94"/>
        <v>43947.369999999995</v>
      </c>
      <c r="L289" s="92">
        <v>1</v>
      </c>
      <c r="M289" s="93">
        <v>720</v>
      </c>
      <c r="N289" s="94">
        <f t="shared" si="95"/>
        <v>231</v>
      </c>
      <c r="O289" s="94">
        <f t="shared" si="96"/>
        <v>56085</v>
      </c>
      <c r="P289" s="88"/>
      <c r="Q289" s="88">
        <v>0</v>
      </c>
    </row>
    <row r="290" spans="1:19" x14ac:dyDescent="0.2">
      <c r="A290" t="s">
        <v>301</v>
      </c>
      <c r="B290" s="92"/>
      <c r="C290" s="92"/>
      <c r="D290" s="90"/>
      <c r="E290" s="90"/>
      <c r="F290" s="90"/>
      <c r="G290" s="90"/>
      <c r="H290" s="91"/>
      <c r="I290" s="91"/>
      <c r="J290" s="91"/>
      <c r="K290" s="91"/>
      <c r="L290" s="92"/>
      <c r="M290" s="93"/>
      <c r="N290" s="94"/>
      <c r="O290" s="94"/>
      <c r="P290">
        <v>0</v>
      </c>
      <c r="Q290">
        <v>0</v>
      </c>
      <c r="R290">
        <v>0</v>
      </c>
      <c r="S290">
        <v>0</v>
      </c>
    </row>
    <row r="291" spans="1:19" x14ac:dyDescent="0.2">
      <c r="A291" t="s">
        <v>301</v>
      </c>
      <c r="B291" s="92"/>
      <c r="C291" s="92"/>
      <c r="D291" s="90"/>
      <c r="E291" s="90"/>
      <c r="F291" s="90"/>
      <c r="G291" s="90"/>
      <c r="H291" s="91"/>
      <c r="I291" s="91"/>
      <c r="J291" s="91"/>
      <c r="K291" s="91"/>
      <c r="L291" s="92"/>
      <c r="M291" s="93"/>
      <c r="N291" s="94"/>
      <c r="O291" s="94"/>
      <c r="P291">
        <v>0</v>
      </c>
      <c r="Q291">
        <v>0</v>
      </c>
      <c r="R291">
        <v>0</v>
      </c>
      <c r="S291">
        <v>0</v>
      </c>
    </row>
    <row r="292" spans="1:19" x14ac:dyDescent="0.2">
      <c r="A292" t="s">
        <v>301</v>
      </c>
      <c r="B292" s="92"/>
      <c r="C292" s="92"/>
      <c r="D292" s="90"/>
      <c r="E292" s="90"/>
      <c r="F292" s="90"/>
      <c r="G292" s="90"/>
      <c r="H292" s="91"/>
      <c r="I292" s="91"/>
      <c r="J292" s="91"/>
      <c r="K292" s="91"/>
      <c r="L292" s="92"/>
      <c r="M292" s="93"/>
      <c r="N292" s="94"/>
      <c r="O292" s="94"/>
      <c r="P292">
        <v>0</v>
      </c>
      <c r="Q292">
        <v>0</v>
      </c>
      <c r="R292">
        <v>0</v>
      </c>
      <c r="S292">
        <v>0</v>
      </c>
    </row>
    <row r="293" spans="1:19" x14ac:dyDescent="0.2">
      <c r="A293" t="s">
        <v>301</v>
      </c>
      <c r="B293" s="92"/>
      <c r="C293" s="92"/>
      <c r="D293" s="90"/>
      <c r="E293" s="90"/>
      <c r="F293" s="90"/>
      <c r="G293" s="90"/>
      <c r="H293" s="91"/>
      <c r="I293" s="91"/>
      <c r="J293" s="91"/>
      <c r="K293" s="91"/>
      <c r="L293" s="92"/>
      <c r="M293" s="93"/>
      <c r="N293" s="94"/>
      <c r="O293" s="94"/>
      <c r="P293">
        <v>0</v>
      </c>
      <c r="Q293">
        <v>0</v>
      </c>
      <c r="R293">
        <v>0</v>
      </c>
      <c r="S293">
        <v>0</v>
      </c>
    </row>
    <row r="294" spans="1:19" x14ac:dyDescent="0.2">
      <c r="A294" t="s">
        <v>301</v>
      </c>
      <c r="B294" s="92"/>
      <c r="C294" s="92"/>
      <c r="D294" s="90"/>
      <c r="E294" s="90"/>
      <c r="F294" s="90"/>
      <c r="G294" s="90"/>
      <c r="H294" s="91"/>
      <c r="I294" s="91"/>
      <c r="J294" s="91"/>
      <c r="K294" s="91"/>
      <c r="L294" s="92"/>
      <c r="M294" s="93"/>
      <c r="N294" s="94"/>
      <c r="O294" s="94"/>
      <c r="P294">
        <v>0</v>
      </c>
      <c r="Q294">
        <v>0</v>
      </c>
      <c r="R294">
        <v>0</v>
      </c>
      <c r="S294">
        <v>0</v>
      </c>
    </row>
    <row r="295" spans="1:19" x14ac:dyDescent="0.2">
      <c r="A295" t="s">
        <v>301</v>
      </c>
      <c r="B295" s="92"/>
      <c r="C295" s="92"/>
      <c r="D295" s="90"/>
      <c r="E295" s="90"/>
      <c r="F295" s="90"/>
      <c r="G295" s="90"/>
      <c r="H295" s="91"/>
      <c r="I295" s="91"/>
      <c r="J295" s="91"/>
      <c r="K295" s="91"/>
      <c r="L295" s="92"/>
      <c r="M295" s="93"/>
      <c r="N295" s="94"/>
      <c r="O295" s="94"/>
      <c r="P295">
        <v>0</v>
      </c>
      <c r="Q295">
        <v>0</v>
      </c>
      <c r="R295">
        <v>7</v>
      </c>
      <c r="S295">
        <v>3573</v>
      </c>
    </row>
    <row r="296" spans="1:19" x14ac:dyDescent="0.2">
      <c r="A296" t="s">
        <v>301</v>
      </c>
      <c r="B296" s="92"/>
      <c r="C296" s="92"/>
      <c r="D296" s="90"/>
      <c r="E296" s="90"/>
      <c r="F296" s="90"/>
      <c r="G296" s="90"/>
      <c r="H296" s="91"/>
      <c r="I296" s="91"/>
      <c r="J296" s="91"/>
      <c r="K296" s="91"/>
      <c r="L296" s="92"/>
      <c r="M296" s="93"/>
      <c r="N296" s="94"/>
      <c r="O296" s="94"/>
      <c r="P296">
        <v>0</v>
      </c>
      <c r="Q296">
        <v>0</v>
      </c>
      <c r="R296">
        <v>7</v>
      </c>
      <c r="S296">
        <v>3573</v>
      </c>
    </row>
    <row r="297" spans="1:19" x14ac:dyDescent="0.2">
      <c r="A297" t="s">
        <v>301</v>
      </c>
      <c r="B297" s="92"/>
      <c r="C297" s="92"/>
      <c r="D297" s="90"/>
      <c r="E297" s="90"/>
      <c r="F297" s="90"/>
      <c r="G297" s="90"/>
      <c r="H297" s="91"/>
      <c r="I297" s="91"/>
      <c r="J297" s="91"/>
      <c r="K297" s="91"/>
      <c r="L297" s="92"/>
      <c r="M297" s="93"/>
      <c r="N297" s="94"/>
      <c r="O297" s="94"/>
      <c r="P297" s="88"/>
      <c r="Q297" s="88"/>
    </row>
    <row r="298" spans="1:19" x14ac:dyDescent="0.2">
      <c r="A298" t="s">
        <v>301</v>
      </c>
      <c r="B298" s="92"/>
      <c r="C298" s="92"/>
      <c r="D298" s="90"/>
      <c r="E298" s="90"/>
      <c r="F298" s="90"/>
      <c r="G298" s="90"/>
      <c r="H298" s="91"/>
      <c r="I298" s="91"/>
      <c r="J298" s="91"/>
      <c r="K298" s="91"/>
      <c r="L298" s="92"/>
      <c r="M298" s="93"/>
      <c r="N298" s="94"/>
      <c r="O298" s="94"/>
      <c r="P298" s="88"/>
      <c r="Q298" s="88"/>
    </row>
    <row r="299" spans="1:19" x14ac:dyDescent="0.2">
      <c r="A299" t="s">
        <v>301</v>
      </c>
      <c r="B299" s="92"/>
      <c r="C299" s="92"/>
      <c r="D299" s="90"/>
      <c r="E299" s="90"/>
      <c r="F299" s="90"/>
      <c r="G299" s="90"/>
      <c r="H299" s="91"/>
      <c r="I299" s="91"/>
      <c r="J299" s="91"/>
      <c r="K299" s="91"/>
      <c r="L299" s="92"/>
      <c r="M299" s="93"/>
      <c r="N299" s="94"/>
      <c r="O299" s="94"/>
      <c r="P299" s="88"/>
      <c r="Q299" s="88"/>
    </row>
    <row r="300" spans="1:19" x14ac:dyDescent="0.2">
      <c r="A300" t="s">
        <v>301</v>
      </c>
      <c r="B300" s="92"/>
      <c r="C300" s="92"/>
      <c r="D300" s="90"/>
      <c r="E300" s="90"/>
      <c r="F300" s="90"/>
      <c r="G300" s="90"/>
      <c r="H300" s="91"/>
      <c r="I300" s="91"/>
      <c r="J300" s="91"/>
      <c r="K300" s="91"/>
      <c r="L300" s="92"/>
      <c r="M300" s="93"/>
      <c r="N300" s="94"/>
      <c r="O300" s="94"/>
      <c r="P300" s="88"/>
      <c r="Q300" s="88"/>
    </row>
    <row r="301" spans="1:19" x14ac:dyDescent="0.2">
      <c r="A301" t="s">
        <v>301</v>
      </c>
      <c r="B301" s="92"/>
      <c r="C301" s="92"/>
      <c r="D301" s="90"/>
      <c r="E301" s="90"/>
      <c r="F301" s="90"/>
      <c r="G301" s="90"/>
      <c r="H301" s="91"/>
      <c r="I301" s="91"/>
      <c r="J301" s="91"/>
      <c r="K301" s="91"/>
      <c r="L301" s="92"/>
      <c r="M301" s="93"/>
      <c r="N301" s="94"/>
      <c r="O301" s="94"/>
      <c r="P301" s="88"/>
      <c r="Q301" s="88"/>
    </row>
    <row r="302" spans="1:19" x14ac:dyDescent="0.2">
      <c r="A302" s="6" t="s">
        <v>147</v>
      </c>
      <c r="B302" s="92" t="s">
        <v>151</v>
      </c>
      <c r="C302" s="92">
        <v>1</v>
      </c>
      <c r="D302" s="95">
        <v>0</v>
      </c>
      <c r="E302" s="95">
        <v>0</v>
      </c>
      <c r="F302" s="90">
        <f>D302</f>
        <v>0</v>
      </c>
      <c r="G302" s="90">
        <f>E302</f>
        <v>0</v>
      </c>
      <c r="H302" s="90">
        <v>0</v>
      </c>
      <c r="I302" s="90">
        <v>0</v>
      </c>
      <c r="J302" s="90">
        <f>H302</f>
        <v>0</v>
      </c>
      <c r="K302" s="90">
        <f>I302</f>
        <v>0</v>
      </c>
      <c r="L302" s="92">
        <v>0</v>
      </c>
      <c r="M302" s="93">
        <v>0</v>
      </c>
      <c r="N302" s="94">
        <f>L302</f>
        <v>0</v>
      </c>
      <c r="O302" s="94">
        <f>M302</f>
        <v>0</v>
      </c>
      <c r="P302">
        <v>0</v>
      </c>
      <c r="Q302">
        <v>0</v>
      </c>
      <c r="R302">
        <v>0</v>
      </c>
      <c r="S302">
        <v>0</v>
      </c>
    </row>
    <row r="303" spans="1:19" x14ac:dyDescent="0.2">
      <c r="A303" s="6" t="s">
        <v>147</v>
      </c>
      <c r="B303" s="92" t="s">
        <v>152</v>
      </c>
      <c r="C303" s="92">
        <v>2</v>
      </c>
      <c r="D303" s="95">
        <v>0</v>
      </c>
      <c r="E303" s="95">
        <v>0</v>
      </c>
      <c r="F303" s="90">
        <f t="shared" ref="F303:F313" si="97">F302+D303</f>
        <v>0</v>
      </c>
      <c r="G303" s="90">
        <f t="shared" ref="G303:G313" si="98">G302+E303</f>
        <v>0</v>
      </c>
      <c r="H303" s="90">
        <v>0</v>
      </c>
      <c r="I303" s="90">
        <v>0</v>
      </c>
      <c r="J303" s="90">
        <f t="shared" ref="J303:J313" si="99">J302+H303</f>
        <v>0</v>
      </c>
      <c r="K303" s="90">
        <f t="shared" ref="K303:K313" si="100">K302+I303</f>
        <v>0</v>
      </c>
      <c r="L303" s="92">
        <v>0</v>
      </c>
      <c r="M303" s="93">
        <v>0</v>
      </c>
      <c r="N303" s="94">
        <f t="shared" ref="N303:N313" si="101">N302+L303</f>
        <v>0</v>
      </c>
      <c r="O303" s="94">
        <f t="shared" ref="O303:O313" si="102">O302+M303</f>
        <v>0</v>
      </c>
      <c r="P303">
        <v>0</v>
      </c>
      <c r="Q303">
        <v>0</v>
      </c>
      <c r="R303">
        <v>0</v>
      </c>
      <c r="S303">
        <v>0</v>
      </c>
    </row>
    <row r="304" spans="1:19" x14ac:dyDescent="0.2">
      <c r="A304" s="6" t="s">
        <v>147</v>
      </c>
      <c r="B304" s="92" t="s">
        <v>153</v>
      </c>
      <c r="C304" s="92">
        <v>3</v>
      </c>
      <c r="D304" s="95">
        <v>0</v>
      </c>
      <c r="E304" s="95">
        <v>0</v>
      </c>
      <c r="F304" s="90">
        <f t="shared" si="97"/>
        <v>0</v>
      </c>
      <c r="G304" s="90">
        <f t="shared" si="98"/>
        <v>0</v>
      </c>
      <c r="H304" s="90">
        <v>0</v>
      </c>
      <c r="I304" s="90">
        <v>0</v>
      </c>
      <c r="J304" s="90">
        <f t="shared" si="99"/>
        <v>0</v>
      </c>
      <c r="K304" s="90">
        <f t="shared" si="100"/>
        <v>0</v>
      </c>
      <c r="L304" s="92">
        <v>0</v>
      </c>
      <c r="M304" s="93">
        <v>0</v>
      </c>
      <c r="N304" s="94">
        <f t="shared" si="101"/>
        <v>0</v>
      </c>
      <c r="O304" s="94">
        <f t="shared" si="102"/>
        <v>0</v>
      </c>
      <c r="P304">
        <v>0</v>
      </c>
      <c r="Q304">
        <v>0</v>
      </c>
      <c r="R304">
        <v>0</v>
      </c>
      <c r="S304">
        <v>0</v>
      </c>
    </row>
    <row r="305" spans="1:19" x14ac:dyDescent="0.2">
      <c r="A305" s="6" t="s">
        <v>147</v>
      </c>
      <c r="B305" s="92" t="s">
        <v>154</v>
      </c>
      <c r="C305" s="92">
        <v>4</v>
      </c>
      <c r="D305" s="95">
        <v>0</v>
      </c>
      <c r="E305" s="95">
        <v>0</v>
      </c>
      <c r="F305" s="90">
        <f t="shared" si="97"/>
        <v>0</v>
      </c>
      <c r="G305" s="90">
        <f t="shared" si="98"/>
        <v>0</v>
      </c>
      <c r="H305" s="90">
        <v>0</v>
      </c>
      <c r="I305" s="90">
        <v>0</v>
      </c>
      <c r="J305" s="90">
        <f t="shared" si="99"/>
        <v>0</v>
      </c>
      <c r="K305" s="90">
        <f t="shared" si="100"/>
        <v>0</v>
      </c>
      <c r="L305" s="92">
        <v>0</v>
      </c>
      <c r="M305" s="93">
        <v>0</v>
      </c>
      <c r="N305" s="94">
        <f t="shared" si="101"/>
        <v>0</v>
      </c>
      <c r="O305" s="94">
        <f t="shared" si="102"/>
        <v>0</v>
      </c>
      <c r="P305">
        <v>0</v>
      </c>
      <c r="Q305">
        <v>0</v>
      </c>
      <c r="R305">
        <v>0</v>
      </c>
      <c r="S305">
        <v>0</v>
      </c>
    </row>
    <row r="306" spans="1:19" x14ac:dyDescent="0.2">
      <c r="A306" s="6" t="s">
        <v>147</v>
      </c>
      <c r="B306" s="92" t="s">
        <v>155</v>
      </c>
      <c r="C306" s="92">
        <v>5</v>
      </c>
      <c r="D306" s="95">
        <v>0</v>
      </c>
      <c r="E306" s="95">
        <v>0</v>
      </c>
      <c r="F306" s="90">
        <f t="shared" si="97"/>
        <v>0</v>
      </c>
      <c r="G306" s="90">
        <f t="shared" si="98"/>
        <v>0</v>
      </c>
      <c r="H306" s="90">
        <v>0</v>
      </c>
      <c r="I306" s="90">
        <v>0</v>
      </c>
      <c r="J306" s="90">
        <f t="shared" si="99"/>
        <v>0</v>
      </c>
      <c r="K306" s="90">
        <f t="shared" si="100"/>
        <v>0</v>
      </c>
      <c r="L306" s="92">
        <v>0</v>
      </c>
      <c r="M306" s="93">
        <v>0</v>
      </c>
      <c r="N306" s="94">
        <f t="shared" si="101"/>
        <v>0</v>
      </c>
      <c r="O306" s="94">
        <f t="shared" si="102"/>
        <v>0</v>
      </c>
      <c r="P306">
        <v>0</v>
      </c>
      <c r="Q306">
        <v>0</v>
      </c>
      <c r="R306">
        <v>0</v>
      </c>
      <c r="S306">
        <v>0</v>
      </c>
    </row>
    <row r="307" spans="1:19" x14ac:dyDescent="0.2">
      <c r="A307" s="6" t="s">
        <v>147</v>
      </c>
      <c r="B307" s="92" t="s">
        <v>156</v>
      </c>
      <c r="C307" s="92">
        <v>6</v>
      </c>
      <c r="D307" s="95">
        <v>0</v>
      </c>
      <c r="E307" s="95">
        <v>0</v>
      </c>
      <c r="F307" s="90">
        <f t="shared" si="97"/>
        <v>0</v>
      </c>
      <c r="G307" s="90">
        <f t="shared" si="98"/>
        <v>0</v>
      </c>
      <c r="H307" s="90">
        <v>0</v>
      </c>
      <c r="I307" s="90">
        <v>0</v>
      </c>
      <c r="J307" s="90">
        <f t="shared" si="99"/>
        <v>0</v>
      </c>
      <c r="K307" s="90">
        <f t="shared" si="100"/>
        <v>0</v>
      </c>
      <c r="L307" s="92">
        <v>0</v>
      </c>
      <c r="M307" s="93">
        <v>0</v>
      </c>
      <c r="N307" s="94">
        <f t="shared" si="101"/>
        <v>0</v>
      </c>
      <c r="O307" s="94">
        <f t="shared" si="102"/>
        <v>0</v>
      </c>
      <c r="P307">
        <v>0</v>
      </c>
      <c r="Q307">
        <v>0</v>
      </c>
      <c r="R307">
        <v>0</v>
      </c>
      <c r="S307">
        <v>0</v>
      </c>
    </row>
    <row r="308" spans="1:19" x14ac:dyDescent="0.2">
      <c r="A308" s="6" t="s">
        <v>147</v>
      </c>
      <c r="B308" s="92" t="s">
        <v>157</v>
      </c>
      <c r="C308" s="92">
        <v>7</v>
      </c>
      <c r="D308" s="95">
        <v>0</v>
      </c>
      <c r="E308" s="95">
        <v>0</v>
      </c>
      <c r="F308" s="90">
        <f t="shared" si="97"/>
        <v>0</v>
      </c>
      <c r="G308" s="90">
        <f t="shared" si="98"/>
        <v>0</v>
      </c>
      <c r="H308" s="90">
        <v>0</v>
      </c>
      <c r="I308" s="90">
        <v>0</v>
      </c>
      <c r="J308" s="90">
        <f t="shared" si="99"/>
        <v>0</v>
      </c>
      <c r="K308" s="90">
        <f t="shared" si="100"/>
        <v>0</v>
      </c>
      <c r="L308" s="92">
        <v>0</v>
      </c>
      <c r="M308" s="93">
        <v>0</v>
      </c>
      <c r="N308" s="94">
        <f t="shared" si="101"/>
        <v>0</v>
      </c>
      <c r="O308" s="94">
        <f t="shared" si="102"/>
        <v>0</v>
      </c>
      <c r="P308">
        <v>0</v>
      </c>
      <c r="Q308">
        <v>0</v>
      </c>
      <c r="R308">
        <v>0</v>
      </c>
      <c r="S308">
        <v>0</v>
      </c>
    </row>
    <row r="309" spans="1:19" x14ac:dyDescent="0.2">
      <c r="A309" s="6" t="s">
        <v>147</v>
      </c>
      <c r="B309" s="92" t="s">
        <v>158</v>
      </c>
      <c r="C309" s="92">
        <v>8</v>
      </c>
      <c r="D309" s="95">
        <v>0</v>
      </c>
      <c r="E309" s="95">
        <v>0</v>
      </c>
      <c r="F309" s="90">
        <f t="shared" si="97"/>
        <v>0</v>
      </c>
      <c r="G309" s="90">
        <f t="shared" si="98"/>
        <v>0</v>
      </c>
      <c r="H309" s="90">
        <v>0</v>
      </c>
      <c r="I309" s="90">
        <v>0</v>
      </c>
      <c r="J309" s="90">
        <f t="shared" si="99"/>
        <v>0</v>
      </c>
      <c r="K309" s="90">
        <f t="shared" si="100"/>
        <v>0</v>
      </c>
      <c r="L309" s="92">
        <v>0</v>
      </c>
      <c r="M309" s="93">
        <v>0</v>
      </c>
      <c r="N309" s="94">
        <f t="shared" si="101"/>
        <v>0</v>
      </c>
      <c r="O309" s="94">
        <f t="shared" si="102"/>
        <v>0</v>
      </c>
      <c r="P309" s="88"/>
      <c r="Q309" s="88">
        <v>0</v>
      </c>
    </row>
    <row r="310" spans="1:19" x14ac:dyDescent="0.2">
      <c r="A310" s="6" t="s">
        <v>147</v>
      </c>
      <c r="B310" s="92" t="s">
        <v>159</v>
      </c>
      <c r="C310" s="92">
        <v>9</v>
      </c>
      <c r="D310" s="95">
        <v>0</v>
      </c>
      <c r="E310" s="95">
        <v>0</v>
      </c>
      <c r="F310" s="90">
        <f t="shared" si="97"/>
        <v>0</v>
      </c>
      <c r="G310" s="90">
        <f t="shared" si="98"/>
        <v>0</v>
      </c>
      <c r="H310" s="90">
        <v>0</v>
      </c>
      <c r="I310" s="90">
        <v>0</v>
      </c>
      <c r="J310" s="90">
        <f t="shared" si="99"/>
        <v>0</v>
      </c>
      <c r="K310" s="90">
        <f t="shared" si="100"/>
        <v>0</v>
      </c>
      <c r="L310" s="92">
        <v>0</v>
      </c>
      <c r="M310" s="93">
        <v>0</v>
      </c>
      <c r="N310" s="94">
        <f t="shared" si="101"/>
        <v>0</v>
      </c>
      <c r="O310" s="94">
        <f t="shared" si="102"/>
        <v>0</v>
      </c>
      <c r="P310" s="88"/>
      <c r="Q310" s="88">
        <v>0</v>
      </c>
    </row>
    <row r="311" spans="1:19" x14ac:dyDescent="0.2">
      <c r="A311" s="6" t="s">
        <v>147</v>
      </c>
      <c r="B311" s="92" t="s">
        <v>160</v>
      </c>
      <c r="C311" s="92">
        <v>10</v>
      </c>
      <c r="D311" s="95">
        <v>0</v>
      </c>
      <c r="E311" s="95">
        <v>0</v>
      </c>
      <c r="F311" s="90">
        <f t="shared" si="97"/>
        <v>0</v>
      </c>
      <c r="G311" s="90">
        <f t="shared" si="98"/>
        <v>0</v>
      </c>
      <c r="H311" s="90">
        <v>0</v>
      </c>
      <c r="I311" s="90">
        <v>0</v>
      </c>
      <c r="J311" s="90">
        <f t="shared" si="99"/>
        <v>0</v>
      </c>
      <c r="K311" s="90">
        <f t="shared" si="100"/>
        <v>0</v>
      </c>
      <c r="L311" s="92">
        <v>0</v>
      </c>
      <c r="M311" s="93">
        <v>0</v>
      </c>
      <c r="N311" s="94">
        <f t="shared" si="101"/>
        <v>0</v>
      </c>
      <c r="O311" s="94">
        <f t="shared" si="102"/>
        <v>0</v>
      </c>
      <c r="P311" s="88"/>
      <c r="Q311" s="88">
        <v>0</v>
      </c>
    </row>
    <row r="312" spans="1:19" x14ac:dyDescent="0.2">
      <c r="A312" s="6" t="s">
        <v>147</v>
      </c>
      <c r="B312" s="92" t="s">
        <v>161</v>
      </c>
      <c r="C312" s="92">
        <v>11</v>
      </c>
      <c r="D312" s="95">
        <v>0</v>
      </c>
      <c r="E312" s="95">
        <v>0</v>
      </c>
      <c r="F312" s="90">
        <f t="shared" si="97"/>
        <v>0</v>
      </c>
      <c r="G312" s="90">
        <f t="shared" si="98"/>
        <v>0</v>
      </c>
      <c r="H312" s="90">
        <v>0</v>
      </c>
      <c r="I312" s="90">
        <v>0</v>
      </c>
      <c r="J312" s="90">
        <f t="shared" si="99"/>
        <v>0</v>
      </c>
      <c r="K312" s="90">
        <f t="shared" si="100"/>
        <v>0</v>
      </c>
      <c r="L312" s="92">
        <v>0</v>
      </c>
      <c r="M312" s="93">
        <v>0</v>
      </c>
      <c r="N312" s="94">
        <f t="shared" si="101"/>
        <v>0</v>
      </c>
      <c r="O312" s="94">
        <f t="shared" si="102"/>
        <v>0</v>
      </c>
      <c r="P312" s="88"/>
      <c r="Q312" s="88">
        <v>0</v>
      </c>
    </row>
    <row r="313" spans="1:19" x14ac:dyDescent="0.2">
      <c r="A313" s="6" t="s">
        <v>147</v>
      </c>
      <c r="B313" s="92" t="s">
        <v>162</v>
      </c>
      <c r="C313" s="92">
        <v>12</v>
      </c>
      <c r="D313" s="95">
        <v>0</v>
      </c>
      <c r="E313" s="95">
        <v>0</v>
      </c>
      <c r="F313" s="90">
        <f t="shared" si="97"/>
        <v>0</v>
      </c>
      <c r="G313" s="90">
        <f t="shared" si="98"/>
        <v>0</v>
      </c>
      <c r="H313" s="90">
        <v>0</v>
      </c>
      <c r="I313" s="90">
        <v>0</v>
      </c>
      <c r="J313" s="90">
        <f t="shared" si="99"/>
        <v>0</v>
      </c>
      <c r="K313" s="90">
        <f t="shared" si="100"/>
        <v>0</v>
      </c>
      <c r="L313" s="92">
        <v>0</v>
      </c>
      <c r="M313" s="93">
        <v>0</v>
      </c>
      <c r="N313" s="94">
        <f t="shared" si="101"/>
        <v>0</v>
      </c>
      <c r="O313" s="94">
        <f t="shared" si="102"/>
        <v>0</v>
      </c>
      <c r="P313" s="88"/>
      <c r="Q313" s="88">
        <v>0</v>
      </c>
    </row>
    <row r="314" spans="1:19" x14ac:dyDescent="0.2">
      <c r="A314" s="6" t="s">
        <v>71</v>
      </c>
      <c r="B314" s="92" t="s">
        <v>151</v>
      </c>
      <c r="C314" s="92">
        <v>1</v>
      </c>
      <c r="D314" s="95">
        <v>0</v>
      </c>
      <c r="E314" s="95">
        <v>0</v>
      </c>
      <c r="F314" s="90">
        <f>D314</f>
        <v>0</v>
      </c>
      <c r="G314" s="90">
        <f>E314</f>
        <v>0</v>
      </c>
      <c r="H314" s="91">
        <v>0</v>
      </c>
      <c r="I314" s="91">
        <v>0</v>
      </c>
      <c r="J314" s="91">
        <f>H314</f>
        <v>0</v>
      </c>
      <c r="K314" s="91">
        <f>I314</f>
        <v>0</v>
      </c>
      <c r="L314" s="92">
        <v>0</v>
      </c>
      <c r="M314" s="93">
        <v>0</v>
      </c>
      <c r="N314" s="94">
        <f>L314</f>
        <v>0</v>
      </c>
      <c r="O314" s="94">
        <f>M314</f>
        <v>0</v>
      </c>
      <c r="P314">
        <v>0</v>
      </c>
      <c r="Q314">
        <v>0</v>
      </c>
      <c r="R314">
        <v>0</v>
      </c>
      <c r="S314">
        <v>0</v>
      </c>
    </row>
    <row r="315" spans="1:19" x14ac:dyDescent="0.2">
      <c r="A315" s="6" t="s">
        <v>71</v>
      </c>
      <c r="B315" s="92" t="s">
        <v>152</v>
      </c>
      <c r="C315" s="92">
        <v>2</v>
      </c>
      <c r="D315" s="95">
        <v>0</v>
      </c>
      <c r="E315" s="95">
        <v>0</v>
      </c>
      <c r="F315" s="90">
        <f t="shared" ref="F315:G325" si="103">F314+D315</f>
        <v>0</v>
      </c>
      <c r="G315" s="90">
        <f t="shared" si="103"/>
        <v>0</v>
      </c>
      <c r="H315" s="91">
        <v>0</v>
      </c>
      <c r="I315" s="91">
        <v>0</v>
      </c>
      <c r="J315" s="91">
        <f t="shared" ref="J315:K325" si="104">J314+H315</f>
        <v>0</v>
      </c>
      <c r="K315" s="91">
        <f t="shared" si="104"/>
        <v>0</v>
      </c>
      <c r="L315" s="92">
        <v>0</v>
      </c>
      <c r="M315" s="93">
        <v>0</v>
      </c>
      <c r="N315" s="94">
        <f t="shared" ref="N315:N325" si="105">N314+L315</f>
        <v>0</v>
      </c>
      <c r="O315" s="94">
        <f t="shared" ref="O315:O325" si="106">O314+M315</f>
        <v>0</v>
      </c>
      <c r="P315">
        <v>0</v>
      </c>
      <c r="Q315">
        <v>0</v>
      </c>
      <c r="R315">
        <v>0</v>
      </c>
      <c r="S315">
        <v>0</v>
      </c>
    </row>
    <row r="316" spans="1:19" x14ac:dyDescent="0.2">
      <c r="A316" s="6" t="s">
        <v>71</v>
      </c>
      <c r="B316" s="92" t="s">
        <v>153</v>
      </c>
      <c r="C316" s="92">
        <v>3</v>
      </c>
      <c r="D316" s="95">
        <v>0</v>
      </c>
      <c r="E316" s="95">
        <v>0</v>
      </c>
      <c r="F316" s="90">
        <f t="shared" si="103"/>
        <v>0</v>
      </c>
      <c r="G316" s="90">
        <f t="shared" si="103"/>
        <v>0</v>
      </c>
      <c r="H316" s="91">
        <v>0</v>
      </c>
      <c r="I316" s="91">
        <v>0</v>
      </c>
      <c r="J316" s="91">
        <f t="shared" si="104"/>
        <v>0</v>
      </c>
      <c r="K316" s="91">
        <f t="shared" si="104"/>
        <v>0</v>
      </c>
      <c r="L316" s="92">
        <v>0</v>
      </c>
      <c r="M316" s="93">
        <v>0</v>
      </c>
      <c r="N316" s="94">
        <f t="shared" si="105"/>
        <v>0</v>
      </c>
      <c r="O316" s="94">
        <f t="shared" si="106"/>
        <v>0</v>
      </c>
      <c r="P316">
        <v>1</v>
      </c>
      <c r="Q316">
        <v>1855</v>
      </c>
      <c r="R316">
        <v>1</v>
      </c>
      <c r="S316">
        <v>1855</v>
      </c>
    </row>
    <row r="317" spans="1:19" x14ac:dyDescent="0.2">
      <c r="A317" s="6" t="s">
        <v>71</v>
      </c>
      <c r="B317" s="92" t="s">
        <v>154</v>
      </c>
      <c r="C317" s="92">
        <v>4</v>
      </c>
      <c r="D317" s="95">
        <v>0</v>
      </c>
      <c r="E317" s="95">
        <v>0</v>
      </c>
      <c r="F317" s="90">
        <f t="shared" si="103"/>
        <v>0</v>
      </c>
      <c r="G317" s="90">
        <f t="shared" si="103"/>
        <v>0</v>
      </c>
      <c r="H317" s="91">
        <v>0</v>
      </c>
      <c r="I317" s="91">
        <v>0</v>
      </c>
      <c r="J317" s="91">
        <f t="shared" si="104"/>
        <v>0</v>
      </c>
      <c r="K317" s="91">
        <f t="shared" si="104"/>
        <v>0</v>
      </c>
      <c r="L317" s="92">
        <v>3</v>
      </c>
      <c r="M317" s="93">
        <v>960</v>
      </c>
      <c r="N317" s="94">
        <f t="shared" si="105"/>
        <v>3</v>
      </c>
      <c r="O317" s="94">
        <f t="shared" si="106"/>
        <v>960</v>
      </c>
      <c r="P317">
        <v>1</v>
      </c>
      <c r="Q317">
        <v>2655</v>
      </c>
      <c r="R317">
        <v>2</v>
      </c>
      <c r="S317">
        <v>4510</v>
      </c>
    </row>
    <row r="318" spans="1:19" x14ac:dyDescent="0.2">
      <c r="A318" s="6" t="s">
        <v>71</v>
      </c>
      <c r="B318" s="92" t="s">
        <v>155</v>
      </c>
      <c r="C318" s="92">
        <v>5</v>
      </c>
      <c r="D318" s="95">
        <v>0</v>
      </c>
      <c r="E318" s="95">
        <v>0</v>
      </c>
      <c r="F318" s="90">
        <f t="shared" si="103"/>
        <v>0</v>
      </c>
      <c r="G318" s="90">
        <f t="shared" si="103"/>
        <v>0</v>
      </c>
      <c r="H318" s="91">
        <v>3</v>
      </c>
      <c r="I318" s="91">
        <v>4871</v>
      </c>
      <c r="J318" s="91">
        <f t="shared" si="104"/>
        <v>3</v>
      </c>
      <c r="K318" s="91">
        <f t="shared" si="104"/>
        <v>4871</v>
      </c>
      <c r="L318" s="92">
        <v>0</v>
      </c>
      <c r="M318" s="93">
        <v>0</v>
      </c>
      <c r="N318" s="94">
        <f t="shared" si="105"/>
        <v>3</v>
      </c>
      <c r="O318" s="94">
        <f t="shared" si="106"/>
        <v>960</v>
      </c>
      <c r="P318">
        <v>3</v>
      </c>
      <c r="Q318">
        <v>1</v>
      </c>
      <c r="R318">
        <v>5</v>
      </c>
      <c r="S318">
        <v>4511</v>
      </c>
    </row>
    <row r="319" spans="1:19" x14ac:dyDescent="0.2">
      <c r="A319" s="6" t="s">
        <v>71</v>
      </c>
      <c r="B319" s="92" t="s">
        <v>156</v>
      </c>
      <c r="C319" s="92">
        <v>6</v>
      </c>
      <c r="D319" s="95">
        <v>0</v>
      </c>
      <c r="E319" s="95">
        <v>0</v>
      </c>
      <c r="F319" s="90">
        <f t="shared" si="103"/>
        <v>0</v>
      </c>
      <c r="G319" s="90">
        <f t="shared" si="103"/>
        <v>0</v>
      </c>
      <c r="H319" s="91">
        <v>0</v>
      </c>
      <c r="I319" s="91">
        <v>0</v>
      </c>
      <c r="J319" s="91">
        <f t="shared" si="104"/>
        <v>3</v>
      </c>
      <c r="K319" s="91">
        <f t="shared" si="104"/>
        <v>4871</v>
      </c>
      <c r="L319" s="92">
        <v>0</v>
      </c>
      <c r="M319" s="93">
        <v>0</v>
      </c>
      <c r="N319" s="94">
        <f t="shared" si="105"/>
        <v>3</v>
      </c>
      <c r="O319" s="94">
        <f t="shared" si="106"/>
        <v>960</v>
      </c>
      <c r="P319">
        <v>0</v>
      </c>
      <c r="Q319">
        <v>0</v>
      </c>
      <c r="R319">
        <v>5</v>
      </c>
      <c r="S319">
        <v>4511</v>
      </c>
    </row>
    <row r="320" spans="1:19" x14ac:dyDescent="0.2">
      <c r="A320" s="6" t="s">
        <v>71</v>
      </c>
      <c r="B320" s="92" t="s">
        <v>157</v>
      </c>
      <c r="C320" s="92">
        <v>7</v>
      </c>
      <c r="D320" s="95">
        <v>0</v>
      </c>
      <c r="E320" s="95">
        <v>0</v>
      </c>
      <c r="F320" s="90">
        <f t="shared" si="103"/>
        <v>0</v>
      </c>
      <c r="G320" s="90">
        <f t="shared" si="103"/>
        <v>0</v>
      </c>
      <c r="H320" s="91">
        <v>0</v>
      </c>
      <c r="I320" s="91">
        <v>0</v>
      </c>
      <c r="J320" s="91">
        <f t="shared" si="104"/>
        <v>3</v>
      </c>
      <c r="K320" s="91">
        <f t="shared" si="104"/>
        <v>4871</v>
      </c>
      <c r="L320" s="92">
        <v>0</v>
      </c>
      <c r="M320" s="93">
        <v>0</v>
      </c>
      <c r="N320" s="94">
        <f t="shared" si="105"/>
        <v>3</v>
      </c>
      <c r="O320" s="94">
        <f t="shared" si="106"/>
        <v>960</v>
      </c>
      <c r="P320">
        <v>0</v>
      </c>
      <c r="Q320">
        <v>0</v>
      </c>
      <c r="R320">
        <v>5</v>
      </c>
      <c r="S320">
        <v>4511</v>
      </c>
    </row>
    <row r="321" spans="1:19" x14ac:dyDescent="0.2">
      <c r="A321" s="6" t="s">
        <v>71</v>
      </c>
      <c r="B321" s="92" t="s">
        <v>158</v>
      </c>
      <c r="C321" s="92">
        <v>8</v>
      </c>
      <c r="D321" s="95">
        <v>0</v>
      </c>
      <c r="E321" s="95">
        <v>0</v>
      </c>
      <c r="F321" s="90">
        <f t="shared" si="103"/>
        <v>0</v>
      </c>
      <c r="G321" s="90">
        <f t="shared" si="103"/>
        <v>0</v>
      </c>
      <c r="H321" s="91">
        <v>0</v>
      </c>
      <c r="I321" s="91">
        <v>0</v>
      </c>
      <c r="J321" s="91">
        <f t="shared" si="104"/>
        <v>3</v>
      </c>
      <c r="K321" s="91">
        <f t="shared" si="104"/>
        <v>4871</v>
      </c>
      <c r="L321" s="92">
        <v>2</v>
      </c>
      <c r="M321" s="93">
        <v>1290</v>
      </c>
      <c r="N321" s="94">
        <f t="shared" si="105"/>
        <v>5</v>
      </c>
      <c r="O321" s="94">
        <f t="shared" si="106"/>
        <v>2250</v>
      </c>
      <c r="P321" s="88"/>
      <c r="Q321" s="88">
        <v>0</v>
      </c>
    </row>
    <row r="322" spans="1:19" x14ac:dyDescent="0.2">
      <c r="A322" s="6" t="s">
        <v>71</v>
      </c>
      <c r="B322" s="92" t="s">
        <v>159</v>
      </c>
      <c r="C322" s="92">
        <v>9</v>
      </c>
      <c r="D322" s="95">
        <v>0</v>
      </c>
      <c r="E322" s="95">
        <v>0</v>
      </c>
      <c r="F322" s="90">
        <f t="shared" si="103"/>
        <v>0</v>
      </c>
      <c r="G322" s="90">
        <f t="shared" si="103"/>
        <v>0</v>
      </c>
      <c r="H322" s="91">
        <v>0</v>
      </c>
      <c r="I322" s="91">
        <v>0</v>
      </c>
      <c r="J322" s="91">
        <f t="shared" si="104"/>
        <v>3</v>
      </c>
      <c r="K322" s="91">
        <f t="shared" si="104"/>
        <v>4871</v>
      </c>
      <c r="L322" s="92">
        <v>0</v>
      </c>
      <c r="M322" s="93">
        <v>0</v>
      </c>
      <c r="N322" s="94">
        <f t="shared" si="105"/>
        <v>5</v>
      </c>
      <c r="O322" s="94">
        <f t="shared" si="106"/>
        <v>2250</v>
      </c>
      <c r="P322" s="88"/>
      <c r="Q322" s="88">
        <v>0</v>
      </c>
    </row>
    <row r="323" spans="1:19" x14ac:dyDescent="0.2">
      <c r="A323" s="6" t="s">
        <v>71</v>
      </c>
      <c r="B323" s="92" t="s">
        <v>160</v>
      </c>
      <c r="C323" s="92">
        <v>10</v>
      </c>
      <c r="D323" s="95">
        <v>0</v>
      </c>
      <c r="E323" s="95">
        <v>0</v>
      </c>
      <c r="F323" s="90">
        <f t="shared" si="103"/>
        <v>0</v>
      </c>
      <c r="G323" s="90">
        <f t="shared" si="103"/>
        <v>0</v>
      </c>
      <c r="H323" s="91">
        <v>1</v>
      </c>
      <c r="I323" s="91">
        <v>50</v>
      </c>
      <c r="J323" s="91">
        <f t="shared" si="104"/>
        <v>4</v>
      </c>
      <c r="K323" s="91">
        <f t="shared" si="104"/>
        <v>4921</v>
      </c>
      <c r="L323" s="92">
        <v>0</v>
      </c>
      <c r="M323" s="93">
        <v>0</v>
      </c>
      <c r="N323" s="94">
        <f t="shared" si="105"/>
        <v>5</v>
      </c>
      <c r="O323" s="94">
        <f t="shared" si="106"/>
        <v>2250</v>
      </c>
      <c r="P323" s="88"/>
      <c r="Q323" s="88">
        <v>0</v>
      </c>
    </row>
    <row r="324" spans="1:19" x14ac:dyDescent="0.2">
      <c r="A324" s="6" t="s">
        <v>71</v>
      </c>
      <c r="B324" s="92" t="s">
        <v>161</v>
      </c>
      <c r="C324" s="92">
        <v>11</v>
      </c>
      <c r="D324" s="95">
        <v>0</v>
      </c>
      <c r="E324" s="95">
        <v>0</v>
      </c>
      <c r="F324" s="90">
        <f t="shared" si="103"/>
        <v>0</v>
      </c>
      <c r="G324" s="90">
        <f t="shared" si="103"/>
        <v>0</v>
      </c>
      <c r="H324" s="91">
        <v>0</v>
      </c>
      <c r="I324" s="91">
        <v>0</v>
      </c>
      <c r="J324" s="91">
        <f t="shared" si="104"/>
        <v>4</v>
      </c>
      <c r="K324" s="91">
        <f t="shared" si="104"/>
        <v>4921</v>
      </c>
      <c r="L324" s="92">
        <v>0</v>
      </c>
      <c r="M324" s="93">
        <v>0</v>
      </c>
      <c r="N324" s="94">
        <f t="shared" si="105"/>
        <v>5</v>
      </c>
      <c r="O324" s="94">
        <f t="shared" si="106"/>
        <v>2250</v>
      </c>
      <c r="P324" s="88"/>
      <c r="Q324" s="88">
        <v>0</v>
      </c>
    </row>
    <row r="325" spans="1:19" x14ac:dyDescent="0.2">
      <c r="A325" s="6" t="s">
        <v>71</v>
      </c>
      <c r="B325" s="92" t="s">
        <v>162</v>
      </c>
      <c r="C325" s="92">
        <v>12</v>
      </c>
      <c r="D325" s="95">
        <v>0</v>
      </c>
      <c r="E325" s="95">
        <v>0</v>
      </c>
      <c r="F325" s="90">
        <f t="shared" si="103"/>
        <v>0</v>
      </c>
      <c r="G325" s="90">
        <f t="shared" si="103"/>
        <v>0</v>
      </c>
      <c r="H325" s="91">
        <v>0</v>
      </c>
      <c r="I325" s="91">
        <v>0</v>
      </c>
      <c r="J325" s="91">
        <f t="shared" si="104"/>
        <v>4</v>
      </c>
      <c r="K325" s="91">
        <f t="shared" si="104"/>
        <v>4921</v>
      </c>
      <c r="L325" s="92">
        <v>0</v>
      </c>
      <c r="M325" s="93">
        <v>0</v>
      </c>
      <c r="N325" s="94">
        <f t="shared" si="105"/>
        <v>5</v>
      </c>
      <c r="O325" s="94">
        <f t="shared" si="106"/>
        <v>2250</v>
      </c>
      <c r="P325" s="88"/>
      <c r="Q325" s="88">
        <v>0</v>
      </c>
    </row>
    <row r="326" spans="1:19" x14ac:dyDescent="0.2">
      <c r="A326" s="6" t="s">
        <v>75</v>
      </c>
      <c r="B326" s="92" t="s">
        <v>151</v>
      </c>
      <c r="C326" s="92">
        <v>1</v>
      </c>
      <c r="D326" s="95">
        <v>2</v>
      </c>
      <c r="E326" s="95">
        <v>1340</v>
      </c>
      <c r="F326" s="90">
        <f>D326</f>
        <v>2</v>
      </c>
      <c r="G326" s="90">
        <f>E326</f>
        <v>1340</v>
      </c>
      <c r="H326" s="91">
        <v>1</v>
      </c>
      <c r="I326" s="91">
        <v>1050</v>
      </c>
      <c r="J326" s="91">
        <f>H326</f>
        <v>1</v>
      </c>
      <c r="K326" s="91">
        <f>I326</f>
        <v>1050</v>
      </c>
      <c r="L326" s="92">
        <v>5</v>
      </c>
      <c r="M326" s="93">
        <v>6410.18</v>
      </c>
      <c r="N326" s="94">
        <f>L326</f>
        <v>5</v>
      </c>
      <c r="O326" s="94">
        <f>M326</f>
        <v>6410.18</v>
      </c>
      <c r="P326">
        <v>3</v>
      </c>
      <c r="Q326">
        <v>541</v>
      </c>
      <c r="R326">
        <v>3</v>
      </c>
      <c r="S326">
        <v>541</v>
      </c>
    </row>
    <row r="327" spans="1:19" x14ac:dyDescent="0.2">
      <c r="A327" s="6" t="s">
        <v>75</v>
      </c>
      <c r="B327" s="92" t="s">
        <v>152</v>
      </c>
      <c r="C327" s="92">
        <v>2</v>
      </c>
      <c r="D327" s="95">
        <v>0</v>
      </c>
      <c r="E327" s="95">
        <v>0</v>
      </c>
      <c r="F327" s="90">
        <f t="shared" ref="F327:G337" si="107">F326+D327</f>
        <v>2</v>
      </c>
      <c r="G327" s="90">
        <f t="shared" si="107"/>
        <v>1340</v>
      </c>
      <c r="H327" s="91">
        <v>1</v>
      </c>
      <c r="I327" s="91">
        <v>700</v>
      </c>
      <c r="J327" s="91">
        <f t="shared" ref="J327:K337" si="108">J326+H327</f>
        <v>2</v>
      </c>
      <c r="K327" s="91">
        <f t="shared" si="108"/>
        <v>1750</v>
      </c>
      <c r="L327" s="92">
        <v>3</v>
      </c>
      <c r="M327" s="93">
        <v>1200</v>
      </c>
      <c r="N327" s="94">
        <f t="shared" ref="N327:N337" si="109">N326+L327</f>
        <v>8</v>
      </c>
      <c r="O327" s="94">
        <f t="shared" ref="O327:O337" si="110">O326+M327</f>
        <v>7610.18</v>
      </c>
      <c r="P327">
        <v>3</v>
      </c>
      <c r="Q327">
        <v>3499.8</v>
      </c>
      <c r="R327">
        <v>6</v>
      </c>
      <c r="S327">
        <v>4040.8</v>
      </c>
    </row>
    <row r="328" spans="1:19" x14ac:dyDescent="0.2">
      <c r="A328" s="6" t="s">
        <v>75</v>
      </c>
      <c r="B328" s="92" t="s">
        <v>153</v>
      </c>
      <c r="C328" s="92">
        <v>3</v>
      </c>
      <c r="D328" s="95">
        <v>0</v>
      </c>
      <c r="E328" s="95">
        <v>0</v>
      </c>
      <c r="F328" s="90">
        <f t="shared" si="107"/>
        <v>2</v>
      </c>
      <c r="G328" s="90">
        <f t="shared" si="107"/>
        <v>1340</v>
      </c>
      <c r="H328" s="91">
        <v>0</v>
      </c>
      <c r="I328" s="91">
        <v>0</v>
      </c>
      <c r="J328" s="91">
        <f t="shared" si="108"/>
        <v>2</v>
      </c>
      <c r="K328" s="91">
        <f t="shared" si="108"/>
        <v>1750</v>
      </c>
      <c r="L328" s="92">
        <v>2</v>
      </c>
      <c r="M328" s="93">
        <v>1530</v>
      </c>
      <c r="N328" s="94">
        <f t="shared" si="109"/>
        <v>10</v>
      </c>
      <c r="O328" s="94">
        <f t="shared" si="110"/>
        <v>9140.18</v>
      </c>
      <c r="P328">
        <v>2</v>
      </c>
      <c r="Q328">
        <v>2744</v>
      </c>
      <c r="R328">
        <v>8</v>
      </c>
      <c r="S328">
        <v>6784.8</v>
      </c>
    </row>
    <row r="329" spans="1:19" x14ac:dyDescent="0.2">
      <c r="A329" s="6" t="s">
        <v>75</v>
      </c>
      <c r="B329" s="92" t="s">
        <v>154</v>
      </c>
      <c r="C329" s="92">
        <v>4</v>
      </c>
      <c r="D329" s="95">
        <v>1</v>
      </c>
      <c r="E329" s="95">
        <v>750</v>
      </c>
      <c r="F329" s="90">
        <f t="shared" si="107"/>
        <v>3</v>
      </c>
      <c r="G329" s="90">
        <f t="shared" si="107"/>
        <v>2090</v>
      </c>
      <c r="H329" s="91">
        <v>5</v>
      </c>
      <c r="I329" s="91">
        <v>5050</v>
      </c>
      <c r="J329" s="91">
        <f t="shared" si="108"/>
        <v>7</v>
      </c>
      <c r="K329" s="91">
        <f t="shared" si="108"/>
        <v>6800</v>
      </c>
      <c r="L329" s="92">
        <v>4</v>
      </c>
      <c r="M329" s="93">
        <v>4</v>
      </c>
      <c r="N329" s="94">
        <f t="shared" si="109"/>
        <v>14</v>
      </c>
      <c r="O329" s="94">
        <f t="shared" si="110"/>
        <v>9144.18</v>
      </c>
      <c r="P329">
        <v>5</v>
      </c>
      <c r="Q329">
        <v>4745</v>
      </c>
      <c r="R329">
        <v>13</v>
      </c>
      <c r="S329">
        <v>11529.8</v>
      </c>
    </row>
    <row r="330" spans="1:19" x14ac:dyDescent="0.2">
      <c r="A330" s="6" t="s">
        <v>75</v>
      </c>
      <c r="B330" s="92" t="s">
        <v>155</v>
      </c>
      <c r="C330" s="92">
        <v>5</v>
      </c>
      <c r="D330" s="95">
        <v>1</v>
      </c>
      <c r="E330" s="95">
        <v>900</v>
      </c>
      <c r="F330" s="90">
        <f t="shared" si="107"/>
        <v>4</v>
      </c>
      <c r="G330" s="90">
        <f t="shared" si="107"/>
        <v>2990</v>
      </c>
      <c r="H330" s="91">
        <v>2</v>
      </c>
      <c r="I330" s="91">
        <v>900</v>
      </c>
      <c r="J330" s="91">
        <f t="shared" si="108"/>
        <v>9</v>
      </c>
      <c r="K330" s="91">
        <f t="shared" si="108"/>
        <v>7700</v>
      </c>
      <c r="L330" s="92">
        <v>2</v>
      </c>
      <c r="M330" s="93">
        <v>2628</v>
      </c>
      <c r="N330" s="94">
        <f t="shared" si="109"/>
        <v>16</v>
      </c>
      <c r="O330" s="94">
        <f t="shared" si="110"/>
        <v>11772.18</v>
      </c>
      <c r="P330">
        <v>4</v>
      </c>
      <c r="Q330">
        <v>4251</v>
      </c>
      <c r="R330">
        <v>17</v>
      </c>
      <c r="S330">
        <v>15780.8</v>
      </c>
    </row>
    <row r="331" spans="1:19" x14ac:dyDescent="0.2">
      <c r="A331" s="6" t="s">
        <v>75</v>
      </c>
      <c r="B331" s="92" t="s">
        <v>156</v>
      </c>
      <c r="C331" s="92">
        <v>6</v>
      </c>
      <c r="D331" s="95">
        <v>0</v>
      </c>
      <c r="E331" s="95">
        <v>0</v>
      </c>
      <c r="F331" s="90">
        <f t="shared" si="107"/>
        <v>4</v>
      </c>
      <c r="G331" s="90">
        <f t="shared" si="107"/>
        <v>2990</v>
      </c>
      <c r="H331" s="91">
        <v>5</v>
      </c>
      <c r="I331" s="91">
        <v>5385</v>
      </c>
      <c r="J331" s="91">
        <f t="shared" si="108"/>
        <v>14</v>
      </c>
      <c r="K331" s="91">
        <f t="shared" si="108"/>
        <v>13085</v>
      </c>
      <c r="L331" s="92">
        <v>1</v>
      </c>
      <c r="M331" s="93">
        <v>710</v>
      </c>
      <c r="N331" s="94">
        <f t="shared" si="109"/>
        <v>17</v>
      </c>
      <c r="O331" s="94">
        <f t="shared" si="110"/>
        <v>12482.18</v>
      </c>
      <c r="P331">
        <v>3</v>
      </c>
      <c r="Q331">
        <v>1501</v>
      </c>
      <c r="R331">
        <v>20</v>
      </c>
      <c r="S331">
        <v>17281.8</v>
      </c>
    </row>
    <row r="332" spans="1:19" x14ac:dyDescent="0.2">
      <c r="A332" s="6" t="s">
        <v>75</v>
      </c>
      <c r="B332" s="92" t="s">
        <v>157</v>
      </c>
      <c r="C332" s="92">
        <v>7</v>
      </c>
      <c r="D332" s="95">
        <v>0</v>
      </c>
      <c r="E332" s="95">
        <v>0</v>
      </c>
      <c r="F332" s="90">
        <f t="shared" si="107"/>
        <v>4</v>
      </c>
      <c r="G332" s="90">
        <f t="shared" si="107"/>
        <v>2990</v>
      </c>
      <c r="H332" s="91">
        <v>1</v>
      </c>
      <c r="I332" s="91">
        <v>1620</v>
      </c>
      <c r="J332" s="91">
        <f t="shared" si="108"/>
        <v>15</v>
      </c>
      <c r="K332" s="91">
        <f t="shared" si="108"/>
        <v>14705</v>
      </c>
      <c r="L332" s="92">
        <v>2</v>
      </c>
      <c r="M332" s="93">
        <v>3306</v>
      </c>
      <c r="N332" s="94">
        <f t="shared" si="109"/>
        <v>19</v>
      </c>
      <c r="O332" s="94">
        <f t="shared" si="110"/>
        <v>15788.18</v>
      </c>
      <c r="P332">
        <v>7</v>
      </c>
      <c r="Q332">
        <v>9204.7999999999993</v>
      </c>
      <c r="R332">
        <v>27</v>
      </c>
      <c r="S332">
        <v>26486.6</v>
      </c>
    </row>
    <row r="333" spans="1:19" x14ac:dyDescent="0.2">
      <c r="A333" s="6" t="s">
        <v>75</v>
      </c>
      <c r="B333" s="92" t="s">
        <v>158</v>
      </c>
      <c r="C333" s="92">
        <v>8</v>
      </c>
      <c r="D333" s="90">
        <v>3</v>
      </c>
      <c r="E333" s="90">
        <v>4350</v>
      </c>
      <c r="F333" s="90">
        <f t="shared" si="107"/>
        <v>7</v>
      </c>
      <c r="G333" s="90">
        <f t="shared" si="107"/>
        <v>7340</v>
      </c>
      <c r="H333" s="91">
        <v>3</v>
      </c>
      <c r="I333" s="91">
        <v>4044</v>
      </c>
      <c r="J333" s="91">
        <f t="shared" si="108"/>
        <v>18</v>
      </c>
      <c r="K333" s="91">
        <f t="shared" si="108"/>
        <v>18749</v>
      </c>
      <c r="L333" s="92">
        <v>3</v>
      </c>
      <c r="M333" s="93">
        <v>3300</v>
      </c>
      <c r="N333" s="94">
        <f t="shared" si="109"/>
        <v>22</v>
      </c>
      <c r="O333" s="94">
        <f t="shared" si="110"/>
        <v>19088.18</v>
      </c>
      <c r="P333" s="88"/>
      <c r="Q333" s="88">
        <v>0</v>
      </c>
    </row>
    <row r="334" spans="1:19" x14ac:dyDescent="0.2">
      <c r="A334" s="6" t="s">
        <v>75</v>
      </c>
      <c r="B334" s="92" t="s">
        <v>159</v>
      </c>
      <c r="C334" s="92">
        <v>9</v>
      </c>
      <c r="D334" s="95">
        <v>2</v>
      </c>
      <c r="E334" s="95">
        <v>1350</v>
      </c>
      <c r="F334" s="90">
        <f t="shared" si="107"/>
        <v>9</v>
      </c>
      <c r="G334" s="90">
        <f t="shared" si="107"/>
        <v>8690</v>
      </c>
      <c r="H334" s="91">
        <v>4</v>
      </c>
      <c r="I334" s="91">
        <v>3960.1</v>
      </c>
      <c r="J334" s="91">
        <f t="shared" si="108"/>
        <v>22</v>
      </c>
      <c r="K334" s="91">
        <f t="shared" si="108"/>
        <v>22709.1</v>
      </c>
      <c r="L334" s="92">
        <v>1</v>
      </c>
      <c r="M334" s="93">
        <v>1</v>
      </c>
      <c r="N334" s="94">
        <f t="shared" si="109"/>
        <v>23</v>
      </c>
      <c r="O334" s="94">
        <f t="shared" si="110"/>
        <v>19089.18</v>
      </c>
      <c r="P334" s="88"/>
      <c r="Q334" s="88">
        <v>0</v>
      </c>
    </row>
    <row r="335" spans="1:19" x14ac:dyDescent="0.2">
      <c r="A335" s="6" t="s">
        <v>75</v>
      </c>
      <c r="B335" s="92" t="s">
        <v>160</v>
      </c>
      <c r="C335" s="92">
        <v>10</v>
      </c>
      <c r="D335" s="95">
        <v>4</v>
      </c>
      <c r="E335" s="95">
        <v>6813.19</v>
      </c>
      <c r="F335" s="90">
        <f t="shared" si="107"/>
        <v>13</v>
      </c>
      <c r="G335" s="90">
        <f t="shared" si="107"/>
        <v>15503.189999999999</v>
      </c>
      <c r="H335" s="91">
        <v>1</v>
      </c>
      <c r="I335" s="91">
        <v>403.2</v>
      </c>
      <c r="J335" s="91">
        <f t="shared" si="108"/>
        <v>23</v>
      </c>
      <c r="K335" s="91">
        <f t="shared" si="108"/>
        <v>23112.3</v>
      </c>
      <c r="L335" s="92">
        <v>4</v>
      </c>
      <c r="M335" s="93">
        <v>1847</v>
      </c>
      <c r="N335" s="94">
        <f t="shared" si="109"/>
        <v>27</v>
      </c>
      <c r="O335" s="94">
        <f t="shared" si="110"/>
        <v>20936.18</v>
      </c>
      <c r="P335" s="88"/>
      <c r="Q335" s="88">
        <v>0</v>
      </c>
    </row>
    <row r="336" spans="1:19" x14ac:dyDescent="0.2">
      <c r="A336" s="6" t="s">
        <v>75</v>
      </c>
      <c r="B336" s="92" t="s">
        <v>161</v>
      </c>
      <c r="C336" s="92">
        <v>11</v>
      </c>
      <c r="D336" s="95">
        <v>1</v>
      </c>
      <c r="E336" s="95">
        <v>860</v>
      </c>
      <c r="F336" s="90">
        <f t="shared" si="107"/>
        <v>14</v>
      </c>
      <c r="G336" s="90">
        <f t="shared" si="107"/>
        <v>16363.189999999999</v>
      </c>
      <c r="H336" s="91">
        <v>4</v>
      </c>
      <c r="I336" s="91">
        <v>6217</v>
      </c>
      <c r="J336" s="91">
        <f t="shared" si="108"/>
        <v>27</v>
      </c>
      <c r="K336" s="91">
        <f t="shared" si="108"/>
        <v>29329.3</v>
      </c>
      <c r="L336" s="92">
        <v>10</v>
      </c>
      <c r="M336" s="93">
        <v>14197.19</v>
      </c>
      <c r="N336" s="94">
        <f t="shared" si="109"/>
        <v>37</v>
      </c>
      <c r="O336" s="94">
        <f t="shared" si="110"/>
        <v>35133.370000000003</v>
      </c>
      <c r="P336" s="88"/>
      <c r="Q336" s="88">
        <v>0</v>
      </c>
    </row>
    <row r="337" spans="1:19" x14ac:dyDescent="0.2">
      <c r="A337" s="6" t="s">
        <v>75</v>
      </c>
      <c r="B337" s="92" t="s">
        <v>162</v>
      </c>
      <c r="C337" s="92">
        <v>12</v>
      </c>
      <c r="D337" s="95">
        <v>0</v>
      </c>
      <c r="E337" s="95">
        <v>0</v>
      </c>
      <c r="F337" s="90">
        <f t="shared" si="107"/>
        <v>14</v>
      </c>
      <c r="G337" s="90">
        <f t="shared" si="107"/>
        <v>16363.189999999999</v>
      </c>
      <c r="H337" s="91">
        <v>0</v>
      </c>
      <c r="I337" s="91">
        <v>0</v>
      </c>
      <c r="J337" s="91">
        <f t="shared" si="108"/>
        <v>27</v>
      </c>
      <c r="K337" s="91">
        <f t="shared" si="108"/>
        <v>29329.3</v>
      </c>
      <c r="L337" s="92">
        <v>4</v>
      </c>
      <c r="M337" s="93">
        <v>11000</v>
      </c>
      <c r="N337" s="94">
        <f t="shared" si="109"/>
        <v>41</v>
      </c>
      <c r="O337" s="94">
        <f t="shared" si="110"/>
        <v>46133.37</v>
      </c>
      <c r="P337" s="88"/>
      <c r="Q337" s="88">
        <v>0</v>
      </c>
    </row>
    <row r="338" spans="1:19" x14ac:dyDescent="0.2">
      <c r="A338" s="6" t="s">
        <v>46</v>
      </c>
      <c r="B338" s="92" t="s">
        <v>151</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v>0</v>
      </c>
      <c r="Q338">
        <v>0</v>
      </c>
      <c r="R338">
        <v>0</v>
      </c>
      <c r="S338" s="87">
        <v>0</v>
      </c>
    </row>
    <row r="339" spans="1:19" x14ac:dyDescent="0.2">
      <c r="A339" s="6" t="s">
        <v>46</v>
      </c>
      <c r="B339" s="92" t="s">
        <v>152</v>
      </c>
      <c r="C339" s="92">
        <v>2</v>
      </c>
      <c r="D339" s="95">
        <v>0</v>
      </c>
      <c r="E339" s="95">
        <v>0</v>
      </c>
      <c r="F339" s="90">
        <f t="shared" ref="F339:G349" si="111">F338+D339</f>
        <v>0</v>
      </c>
      <c r="G339" s="90">
        <f t="shared" si="111"/>
        <v>0</v>
      </c>
      <c r="H339" s="91">
        <v>0</v>
      </c>
      <c r="I339" s="91">
        <v>0</v>
      </c>
      <c r="J339" s="91">
        <f t="shared" ref="J339:K349" si="112">J338+H339</f>
        <v>0</v>
      </c>
      <c r="K339" s="91">
        <f t="shared" si="112"/>
        <v>0</v>
      </c>
      <c r="L339" s="92">
        <v>0</v>
      </c>
      <c r="M339" s="93">
        <v>0</v>
      </c>
      <c r="N339" s="94">
        <f t="shared" ref="N339:N349" si="113">N338+L339</f>
        <v>0</v>
      </c>
      <c r="O339" s="94">
        <f t="shared" ref="O339:O349" si="114">O338+M339</f>
        <v>0</v>
      </c>
      <c r="P339">
        <v>0</v>
      </c>
      <c r="Q339">
        <v>0</v>
      </c>
      <c r="R339">
        <v>0</v>
      </c>
      <c r="S339" s="87">
        <v>0</v>
      </c>
    </row>
    <row r="340" spans="1:19" x14ac:dyDescent="0.2">
      <c r="A340" s="6" t="s">
        <v>46</v>
      </c>
      <c r="B340" s="92" t="s">
        <v>153</v>
      </c>
      <c r="C340" s="92">
        <v>3</v>
      </c>
      <c r="D340" s="95">
        <v>0</v>
      </c>
      <c r="E340" s="95">
        <v>0</v>
      </c>
      <c r="F340" s="90">
        <f t="shared" si="111"/>
        <v>0</v>
      </c>
      <c r="G340" s="90">
        <f t="shared" si="111"/>
        <v>0</v>
      </c>
      <c r="H340" s="91">
        <v>2</v>
      </c>
      <c r="I340" s="91">
        <v>700.94</v>
      </c>
      <c r="J340" s="91">
        <f t="shared" si="112"/>
        <v>2</v>
      </c>
      <c r="K340" s="91">
        <f t="shared" si="112"/>
        <v>700.94</v>
      </c>
      <c r="L340" s="92">
        <v>3</v>
      </c>
      <c r="M340" s="93">
        <v>1813.63</v>
      </c>
      <c r="N340" s="94">
        <f t="shared" si="113"/>
        <v>3</v>
      </c>
      <c r="O340" s="94">
        <f t="shared" si="114"/>
        <v>1813.63</v>
      </c>
      <c r="P340">
        <v>0</v>
      </c>
      <c r="Q340">
        <v>0</v>
      </c>
      <c r="R340">
        <v>0</v>
      </c>
      <c r="S340" s="87">
        <v>0</v>
      </c>
    </row>
    <row r="341" spans="1:19" x14ac:dyDescent="0.2">
      <c r="A341" s="6" t="s">
        <v>46</v>
      </c>
      <c r="B341" s="92" t="s">
        <v>154</v>
      </c>
      <c r="C341" s="92">
        <v>4</v>
      </c>
      <c r="D341" s="95">
        <v>0</v>
      </c>
      <c r="E341" s="95">
        <v>0</v>
      </c>
      <c r="F341" s="90">
        <f t="shared" si="111"/>
        <v>0</v>
      </c>
      <c r="G341" s="90">
        <f t="shared" si="111"/>
        <v>0</v>
      </c>
      <c r="H341" s="91">
        <v>0</v>
      </c>
      <c r="I341" s="91">
        <v>0</v>
      </c>
      <c r="J341" s="91">
        <f t="shared" si="112"/>
        <v>2</v>
      </c>
      <c r="K341" s="91">
        <f t="shared" si="112"/>
        <v>700.94</v>
      </c>
      <c r="L341" s="92">
        <v>0</v>
      </c>
      <c r="M341" s="93">
        <v>0</v>
      </c>
      <c r="N341" s="94">
        <f t="shared" si="113"/>
        <v>3</v>
      </c>
      <c r="O341" s="94">
        <f t="shared" si="114"/>
        <v>1813.63</v>
      </c>
      <c r="P341">
        <v>0</v>
      </c>
      <c r="Q341">
        <v>0</v>
      </c>
      <c r="R341">
        <v>0</v>
      </c>
      <c r="S341" s="87">
        <v>0</v>
      </c>
    </row>
    <row r="342" spans="1:19" x14ac:dyDescent="0.2">
      <c r="A342" s="6" t="s">
        <v>46</v>
      </c>
      <c r="B342" s="92" t="s">
        <v>155</v>
      </c>
      <c r="C342" s="92">
        <v>5</v>
      </c>
      <c r="D342" s="95">
        <v>0</v>
      </c>
      <c r="E342" s="95">
        <v>0</v>
      </c>
      <c r="F342" s="90">
        <f t="shared" si="111"/>
        <v>0</v>
      </c>
      <c r="G342" s="90">
        <f t="shared" si="111"/>
        <v>0</v>
      </c>
      <c r="H342" s="91">
        <v>11</v>
      </c>
      <c r="I342" s="91">
        <v>1721.75</v>
      </c>
      <c r="J342" s="91">
        <f t="shared" si="112"/>
        <v>13</v>
      </c>
      <c r="K342" s="91">
        <f t="shared" si="112"/>
        <v>2422.69</v>
      </c>
      <c r="L342" s="92">
        <v>0</v>
      </c>
      <c r="M342" s="93">
        <v>0</v>
      </c>
      <c r="N342" s="94">
        <f t="shared" si="113"/>
        <v>3</v>
      </c>
      <c r="O342" s="94">
        <f t="shared" si="114"/>
        <v>1813.63</v>
      </c>
      <c r="P342">
        <v>0</v>
      </c>
      <c r="Q342">
        <v>0</v>
      </c>
      <c r="R342">
        <v>0</v>
      </c>
      <c r="S342" s="87">
        <v>0</v>
      </c>
    </row>
    <row r="343" spans="1:19" x14ac:dyDescent="0.2">
      <c r="A343" s="6" t="s">
        <v>46</v>
      </c>
      <c r="B343" s="92" t="s">
        <v>156</v>
      </c>
      <c r="C343" s="92">
        <v>6</v>
      </c>
      <c r="D343" s="95">
        <v>0</v>
      </c>
      <c r="E343" s="95">
        <v>0</v>
      </c>
      <c r="F343" s="90">
        <f t="shared" si="111"/>
        <v>0</v>
      </c>
      <c r="G343" s="90">
        <f t="shared" si="111"/>
        <v>0</v>
      </c>
      <c r="H343" s="91">
        <v>2</v>
      </c>
      <c r="I343" s="91">
        <v>58.989999999999995</v>
      </c>
      <c r="J343" s="91">
        <f t="shared" si="112"/>
        <v>15</v>
      </c>
      <c r="K343" s="91">
        <f t="shared" si="112"/>
        <v>2481.6799999999998</v>
      </c>
      <c r="L343" s="92">
        <v>0</v>
      </c>
      <c r="M343" s="93">
        <v>0</v>
      </c>
      <c r="N343" s="94">
        <f t="shared" si="113"/>
        <v>3</v>
      </c>
      <c r="O343" s="94">
        <f t="shared" si="114"/>
        <v>1813.63</v>
      </c>
      <c r="P343">
        <v>0</v>
      </c>
      <c r="Q343">
        <v>0</v>
      </c>
      <c r="R343">
        <v>0</v>
      </c>
      <c r="S343" s="87">
        <v>0</v>
      </c>
    </row>
    <row r="344" spans="1:19" x14ac:dyDescent="0.2">
      <c r="A344" s="6" t="s">
        <v>46</v>
      </c>
      <c r="B344" s="92" t="s">
        <v>157</v>
      </c>
      <c r="C344" s="92">
        <v>7</v>
      </c>
      <c r="D344" s="95">
        <v>0</v>
      </c>
      <c r="E344" s="95">
        <v>0</v>
      </c>
      <c r="F344" s="90">
        <f t="shared" si="111"/>
        <v>0</v>
      </c>
      <c r="G344" s="90">
        <f t="shared" si="111"/>
        <v>0</v>
      </c>
      <c r="H344" s="91">
        <v>1</v>
      </c>
      <c r="I344" s="91">
        <v>3998.12</v>
      </c>
      <c r="J344" s="91">
        <f t="shared" si="112"/>
        <v>16</v>
      </c>
      <c r="K344" s="91">
        <f t="shared" si="112"/>
        <v>6479.7999999999993</v>
      </c>
      <c r="L344" s="92">
        <v>3</v>
      </c>
      <c r="M344" s="93">
        <v>515</v>
      </c>
      <c r="N344" s="94">
        <f t="shared" si="113"/>
        <v>6</v>
      </c>
      <c r="O344" s="94">
        <f t="shared" si="114"/>
        <v>2328.63</v>
      </c>
      <c r="P344">
        <v>0</v>
      </c>
      <c r="Q344">
        <v>0</v>
      </c>
      <c r="R344">
        <v>0</v>
      </c>
      <c r="S344" s="87">
        <v>0</v>
      </c>
    </row>
    <row r="345" spans="1:19" x14ac:dyDescent="0.2">
      <c r="A345" s="6" t="s">
        <v>46</v>
      </c>
      <c r="B345" s="92" t="s">
        <v>158</v>
      </c>
      <c r="C345" s="92">
        <v>8</v>
      </c>
      <c r="D345" s="95">
        <v>0</v>
      </c>
      <c r="E345" s="95">
        <v>0</v>
      </c>
      <c r="F345" s="90">
        <f t="shared" si="111"/>
        <v>0</v>
      </c>
      <c r="G345" s="90">
        <f t="shared" si="111"/>
        <v>0</v>
      </c>
      <c r="H345" s="91">
        <v>1</v>
      </c>
      <c r="I345" s="91">
        <v>799.4</v>
      </c>
      <c r="J345" s="91">
        <f t="shared" si="112"/>
        <v>17</v>
      </c>
      <c r="K345" s="91">
        <f t="shared" si="112"/>
        <v>7279.1999999999989</v>
      </c>
      <c r="L345" s="92">
        <v>5</v>
      </c>
      <c r="M345" s="93">
        <v>2097</v>
      </c>
      <c r="N345" s="94">
        <f t="shared" si="113"/>
        <v>11</v>
      </c>
      <c r="O345" s="94">
        <f t="shared" si="114"/>
        <v>4425.63</v>
      </c>
      <c r="P345" s="88"/>
      <c r="Q345" s="88">
        <v>0</v>
      </c>
    </row>
    <row r="346" spans="1:19" x14ac:dyDescent="0.2">
      <c r="A346" s="6" t="s">
        <v>46</v>
      </c>
      <c r="B346" s="92" t="s">
        <v>159</v>
      </c>
      <c r="C346" s="92">
        <v>9</v>
      </c>
      <c r="D346" s="95">
        <v>0</v>
      </c>
      <c r="E346" s="95">
        <v>0</v>
      </c>
      <c r="F346" s="90">
        <f t="shared" si="111"/>
        <v>0</v>
      </c>
      <c r="G346" s="90">
        <f t="shared" si="111"/>
        <v>0</v>
      </c>
      <c r="H346" s="91">
        <v>0</v>
      </c>
      <c r="I346" s="91">
        <v>0</v>
      </c>
      <c r="J346" s="91">
        <f t="shared" si="112"/>
        <v>17</v>
      </c>
      <c r="K346" s="91">
        <f t="shared" si="112"/>
        <v>7279.1999999999989</v>
      </c>
      <c r="L346" s="92">
        <v>0</v>
      </c>
      <c r="M346" s="93">
        <v>0</v>
      </c>
      <c r="N346" s="94">
        <f t="shared" si="113"/>
        <v>11</v>
      </c>
      <c r="O346" s="94">
        <f t="shared" si="114"/>
        <v>4425.63</v>
      </c>
      <c r="P346" s="88"/>
      <c r="Q346" s="88">
        <v>0</v>
      </c>
    </row>
    <row r="347" spans="1:19" x14ac:dyDescent="0.2">
      <c r="A347" s="6" t="s">
        <v>46</v>
      </c>
      <c r="B347" s="92" t="s">
        <v>160</v>
      </c>
      <c r="C347" s="92">
        <v>10</v>
      </c>
      <c r="D347" s="95">
        <v>0</v>
      </c>
      <c r="E347" s="95">
        <v>0</v>
      </c>
      <c r="F347" s="90">
        <f t="shared" si="111"/>
        <v>0</v>
      </c>
      <c r="G347" s="90">
        <f t="shared" si="111"/>
        <v>0</v>
      </c>
      <c r="H347" s="91">
        <v>0</v>
      </c>
      <c r="I347" s="91">
        <v>0</v>
      </c>
      <c r="J347" s="91">
        <f t="shared" si="112"/>
        <v>17</v>
      </c>
      <c r="K347" s="91">
        <f t="shared" si="112"/>
        <v>7279.1999999999989</v>
      </c>
      <c r="L347" s="92">
        <v>0</v>
      </c>
      <c r="M347" s="93">
        <v>0</v>
      </c>
      <c r="N347" s="94">
        <f t="shared" si="113"/>
        <v>11</v>
      </c>
      <c r="O347" s="94">
        <f t="shared" si="114"/>
        <v>4425.63</v>
      </c>
      <c r="P347" s="88"/>
      <c r="Q347" s="88">
        <v>0</v>
      </c>
    </row>
    <row r="348" spans="1:19" x14ac:dyDescent="0.2">
      <c r="A348" s="6" t="s">
        <v>46</v>
      </c>
      <c r="B348" s="92" t="s">
        <v>161</v>
      </c>
      <c r="C348" s="92">
        <v>11</v>
      </c>
      <c r="D348" s="95">
        <v>0</v>
      </c>
      <c r="E348" s="95">
        <v>0</v>
      </c>
      <c r="F348" s="90">
        <f t="shared" si="111"/>
        <v>0</v>
      </c>
      <c r="G348" s="90">
        <f t="shared" si="111"/>
        <v>0</v>
      </c>
      <c r="H348" s="91">
        <v>1</v>
      </c>
      <c r="I348" s="91">
        <v>376</v>
      </c>
      <c r="J348" s="91">
        <f t="shared" si="112"/>
        <v>18</v>
      </c>
      <c r="K348" s="91">
        <f t="shared" si="112"/>
        <v>7655.1999999999989</v>
      </c>
      <c r="L348" s="92">
        <v>3</v>
      </c>
      <c r="M348" s="93">
        <v>4330</v>
      </c>
      <c r="N348" s="94">
        <f t="shared" si="113"/>
        <v>14</v>
      </c>
      <c r="O348" s="94">
        <f t="shared" si="114"/>
        <v>8755.630000000001</v>
      </c>
      <c r="P348" s="88"/>
      <c r="Q348" s="88">
        <v>0</v>
      </c>
    </row>
    <row r="349" spans="1:19" x14ac:dyDescent="0.2">
      <c r="A349" s="6" t="s">
        <v>46</v>
      </c>
      <c r="B349" s="92" t="s">
        <v>162</v>
      </c>
      <c r="C349" s="92">
        <v>12</v>
      </c>
      <c r="D349" s="95">
        <v>0</v>
      </c>
      <c r="E349" s="95">
        <v>0</v>
      </c>
      <c r="F349" s="90">
        <f t="shared" si="111"/>
        <v>0</v>
      </c>
      <c r="G349" s="90">
        <f t="shared" si="111"/>
        <v>0</v>
      </c>
      <c r="H349" s="91">
        <v>1</v>
      </c>
      <c r="I349" s="91">
        <v>962.44</v>
      </c>
      <c r="J349" s="91">
        <f t="shared" si="112"/>
        <v>19</v>
      </c>
      <c r="K349" s="91">
        <f t="shared" si="112"/>
        <v>8617.64</v>
      </c>
      <c r="L349" s="92">
        <v>2</v>
      </c>
      <c r="M349" s="93">
        <v>3450.15</v>
      </c>
      <c r="N349" s="94">
        <f t="shared" si="113"/>
        <v>16</v>
      </c>
      <c r="O349" s="94">
        <f t="shared" si="114"/>
        <v>12205.78</v>
      </c>
      <c r="P349" s="88"/>
      <c r="Q349" s="88">
        <v>0</v>
      </c>
    </row>
    <row r="350" spans="1:19" x14ac:dyDescent="0.2">
      <c r="A350" s="6" t="s">
        <v>36</v>
      </c>
      <c r="B350" s="92" t="s">
        <v>151</v>
      </c>
      <c r="C350" s="92">
        <v>1</v>
      </c>
      <c r="D350" s="95">
        <v>1</v>
      </c>
      <c r="E350" s="95">
        <v>6300</v>
      </c>
      <c r="F350" s="90">
        <f>D350</f>
        <v>1</v>
      </c>
      <c r="G350" s="90">
        <f>E350</f>
        <v>6300</v>
      </c>
      <c r="H350" s="91">
        <v>3</v>
      </c>
      <c r="I350" s="91">
        <v>11240</v>
      </c>
      <c r="J350" s="91">
        <f>H350</f>
        <v>3</v>
      </c>
      <c r="K350" s="91">
        <f>I350</f>
        <v>11240</v>
      </c>
      <c r="L350" s="92">
        <v>1</v>
      </c>
      <c r="M350" s="93">
        <v>7000</v>
      </c>
      <c r="N350" s="94">
        <f>L350</f>
        <v>1</v>
      </c>
      <c r="O350" s="94">
        <f>M350</f>
        <v>7000</v>
      </c>
      <c r="P350">
        <v>0</v>
      </c>
      <c r="Q350" s="88">
        <v>0</v>
      </c>
      <c r="R350">
        <v>0</v>
      </c>
      <c r="S350">
        <v>0</v>
      </c>
    </row>
    <row r="351" spans="1:19" x14ac:dyDescent="0.2">
      <c r="A351" s="6" t="s">
        <v>36</v>
      </c>
      <c r="B351" s="92" t="s">
        <v>152</v>
      </c>
      <c r="C351" s="92">
        <v>2</v>
      </c>
      <c r="D351" s="95">
        <v>0</v>
      </c>
      <c r="E351" s="95">
        <v>0</v>
      </c>
      <c r="F351" s="90">
        <f t="shared" ref="F351:G361" si="115">F350+D351</f>
        <v>1</v>
      </c>
      <c r="G351" s="90">
        <f t="shared" si="115"/>
        <v>6300</v>
      </c>
      <c r="H351" s="91">
        <v>0</v>
      </c>
      <c r="I351" s="91">
        <v>0</v>
      </c>
      <c r="J351" s="91">
        <f t="shared" ref="J351:K361" si="116">J350+H351</f>
        <v>3</v>
      </c>
      <c r="K351" s="91">
        <f t="shared" si="116"/>
        <v>11240</v>
      </c>
      <c r="L351" s="92">
        <v>0</v>
      </c>
      <c r="M351" s="93">
        <v>0</v>
      </c>
      <c r="N351" s="94">
        <f t="shared" ref="N351:N361" si="117">N350+L351</f>
        <v>1</v>
      </c>
      <c r="O351" s="94">
        <f t="shared" ref="O351:O361" si="118">O350+M351</f>
        <v>7000</v>
      </c>
      <c r="P351">
        <v>0</v>
      </c>
      <c r="Q351" s="88">
        <v>0</v>
      </c>
      <c r="R351">
        <v>0</v>
      </c>
      <c r="S351">
        <v>0</v>
      </c>
    </row>
    <row r="352" spans="1:19" x14ac:dyDescent="0.2">
      <c r="A352" s="6" t="s">
        <v>36</v>
      </c>
      <c r="B352" s="92" t="s">
        <v>153</v>
      </c>
      <c r="C352" s="92">
        <v>3</v>
      </c>
      <c r="D352" s="95">
        <v>0</v>
      </c>
      <c r="E352" s="95">
        <v>0</v>
      </c>
      <c r="F352" s="90">
        <f t="shared" si="115"/>
        <v>1</v>
      </c>
      <c r="G352" s="90">
        <f t="shared" si="115"/>
        <v>6300</v>
      </c>
      <c r="H352" s="91">
        <v>0</v>
      </c>
      <c r="I352" s="91">
        <v>0</v>
      </c>
      <c r="J352" s="91">
        <f t="shared" si="116"/>
        <v>3</v>
      </c>
      <c r="K352" s="91">
        <f t="shared" si="116"/>
        <v>11240</v>
      </c>
      <c r="L352" s="92">
        <v>0</v>
      </c>
      <c r="M352" s="93">
        <v>0</v>
      </c>
      <c r="N352" s="94">
        <f t="shared" si="117"/>
        <v>1</v>
      </c>
      <c r="O352" s="94">
        <f t="shared" si="118"/>
        <v>7000</v>
      </c>
      <c r="P352">
        <v>0</v>
      </c>
      <c r="Q352" s="88">
        <v>0</v>
      </c>
      <c r="R352">
        <v>0</v>
      </c>
      <c r="S352">
        <v>0</v>
      </c>
    </row>
    <row r="353" spans="1:19" x14ac:dyDescent="0.2">
      <c r="A353" s="6" t="s">
        <v>36</v>
      </c>
      <c r="B353" s="92" t="s">
        <v>154</v>
      </c>
      <c r="C353" s="92">
        <v>4</v>
      </c>
      <c r="D353" s="95">
        <v>0</v>
      </c>
      <c r="E353" s="95">
        <v>0</v>
      </c>
      <c r="F353" s="90">
        <f t="shared" si="115"/>
        <v>1</v>
      </c>
      <c r="G353" s="90">
        <f t="shared" si="115"/>
        <v>6300</v>
      </c>
      <c r="H353" s="91">
        <v>0</v>
      </c>
      <c r="I353" s="91">
        <v>0</v>
      </c>
      <c r="J353" s="91">
        <f t="shared" si="116"/>
        <v>3</v>
      </c>
      <c r="K353" s="91">
        <f t="shared" si="116"/>
        <v>11240</v>
      </c>
      <c r="L353" s="92">
        <v>0</v>
      </c>
      <c r="M353" s="93">
        <v>0</v>
      </c>
      <c r="N353" s="94">
        <f t="shared" si="117"/>
        <v>1</v>
      </c>
      <c r="O353" s="94">
        <f t="shared" si="118"/>
        <v>7000</v>
      </c>
      <c r="P353">
        <v>0</v>
      </c>
      <c r="Q353" s="88">
        <v>0</v>
      </c>
      <c r="R353">
        <v>0</v>
      </c>
      <c r="S353">
        <v>0</v>
      </c>
    </row>
    <row r="354" spans="1:19" x14ac:dyDescent="0.2">
      <c r="A354" s="6" t="s">
        <v>36</v>
      </c>
      <c r="B354" s="92" t="s">
        <v>155</v>
      </c>
      <c r="C354" s="92">
        <v>5</v>
      </c>
      <c r="D354" s="95">
        <v>0</v>
      </c>
      <c r="E354" s="95">
        <v>0</v>
      </c>
      <c r="F354" s="90">
        <f t="shared" si="115"/>
        <v>1</v>
      </c>
      <c r="G354" s="90">
        <f t="shared" si="115"/>
        <v>6300</v>
      </c>
      <c r="H354" s="91">
        <v>0</v>
      </c>
      <c r="I354" s="91">
        <v>0</v>
      </c>
      <c r="J354" s="91">
        <f t="shared" si="116"/>
        <v>3</v>
      </c>
      <c r="K354" s="91">
        <f t="shared" si="116"/>
        <v>11240</v>
      </c>
      <c r="L354" s="92">
        <v>0</v>
      </c>
      <c r="M354" s="93">
        <v>0</v>
      </c>
      <c r="N354" s="94">
        <f t="shared" si="117"/>
        <v>1</v>
      </c>
      <c r="O354" s="94">
        <f t="shared" si="118"/>
        <v>7000</v>
      </c>
      <c r="P354">
        <v>0</v>
      </c>
      <c r="Q354" s="88">
        <v>0</v>
      </c>
      <c r="R354">
        <v>0</v>
      </c>
      <c r="S354">
        <v>0</v>
      </c>
    </row>
    <row r="355" spans="1:19" x14ac:dyDescent="0.2">
      <c r="A355" s="6" t="s">
        <v>36</v>
      </c>
      <c r="B355" s="92" t="s">
        <v>156</v>
      </c>
      <c r="C355" s="92">
        <v>6</v>
      </c>
      <c r="D355" s="95">
        <v>0</v>
      </c>
      <c r="E355" s="95">
        <v>0</v>
      </c>
      <c r="F355" s="90">
        <f t="shared" si="115"/>
        <v>1</v>
      </c>
      <c r="G355" s="90">
        <f t="shared" si="115"/>
        <v>6300</v>
      </c>
      <c r="H355" s="91">
        <v>0</v>
      </c>
      <c r="I355" s="91">
        <v>0</v>
      </c>
      <c r="J355" s="91">
        <f t="shared" si="116"/>
        <v>3</v>
      </c>
      <c r="K355" s="91">
        <f t="shared" si="116"/>
        <v>11240</v>
      </c>
      <c r="L355" s="92">
        <v>1</v>
      </c>
      <c r="M355" s="93">
        <v>4800</v>
      </c>
      <c r="N355" s="94">
        <f t="shared" si="117"/>
        <v>2</v>
      </c>
      <c r="O355" s="94">
        <f t="shared" si="118"/>
        <v>11800</v>
      </c>
      <c r="P355">
        <v>0</v>
      </c>
      <c r="Q355" s="88">
        <v>0</v>
      </c>
      <c r="R355">
        <v>0</v>
      </c>
      <c r="S355">
        <v>0</v>
      </c>
    </row>
    <row r="356" spans="1:19" x14ac:dyDescent="0.2">
      <c r="A356" s="6" t="s">
        <v>36</v>
      </c>
      <c r="B356" s="92" t="s">
        <v>157</v>
      </c>
      <c r="C356" s="92">
        <v>7</v>
      </c>
      <c r="D356" s="95">
        <v>0</v>
      </c>
      <c r="E356" s="95">
        <v>0</v>
      </c>
      <c r="F356" s="90">
        <f t="shared" si="115"/>
        <v>1</v>
      </c>
      <c r="G356" s="90">
        <f t="shared" si="115"/>
        <v>6300</v>
      </c>
      <c r="H356" s="91">
        <v>1</v>
      </c>
      <c r="I356" s="91">
        <v>5100</v>
      </c>
      <c r="J356" s="91">
        <f t="shared" si="116"/>
        <v>4</v>
      </c>
      <c r="K356" s="91">
        <f t="shared" si="116"/>
        <v>16340</v>
      </c>
      <c r="L356" s="92">
        <v>0</v>
      </c>
      <c r="M356" s="93">
        <v>0</v>
      </c>
      <c r="N356" s="94">
        <f t="shared" si="117"/>
        <v>2</v>
      </c>
      <c r="O356" s="94">
        <f t="shared" si="118"/>
        <v>11800</v>
      </c>
      <c r="P356">
        <v>0</v>
      </c>
      <c r="Q356" s="88">
        <v>0</v>
      </c>
      <c r="R356">
        <v>0</v>
      </c>
      <c r="S356">
        <v>0</v>
      </c>
    </row>
    <row r="357" spans="1:19" x14ac:dyDescent="0.2">
      <c r="A357" s="6" t="s">
        <v>36</v>
      </c>
      <c r="B357" s="92" t="s">
        <v>158</v>
      </c>
      <c r="C357" s="92">
        <v>8</v>
      </c>
      <c r="D357" s="95">
        <v>0</v>
      </c>
      <c r="E357" s="95">
        <v>0</v>
      </c>
      <c r="F357" s="90">
        <f t="shared" si="115"/>
        <v>1</v>
      </c>
      <c r="G357" s="90">
        <f t="shared" si="115"/>
        <v>6300</v>
      </c>
      <c r="H357" s="91">
        <v>0</v>
      </c>
      <c r="I357" s="91">
        <v>0</v>
      </c>
      <c r="J357" s="91">
        <f t="shared" si="116"/>
        <v>4</v>
      </c>
      <c r="K357" s="91">
        <f t="shared" si="116"/>
        <v>16340</v>
      </c>
      <c r="L357" s="92">
        <v>1</v>
      </c>
      <c r="M357" s="93">
        <v>479.16</v>
      </c>
      <c r="N357" s="94">
        <f t="shared" si="117"/>
        <v>3</v>
      </c>
      <c r="O357" s="94">
        <f t="shared" si="118"/>
        <v>12279.16</v>
      </c>
      <c r="P357" s="88"/>
      <c r="Q357" s="88">
        <v>0</v>
      </c>
    </row>
    <row r="358" spans="1:19" x14ac:dyDescent="0.2">
      <c r="A358" s="6" t="s">
        <v>36</v>
      </c>
      <c r="B358" s="92" t="s">
        <v>159</v>
      </c>
      <c r="C358" s="92">
        <v>9</v>
      </c>
      <c r="D358" s="95">
        <v>1</v>
      </c>
      <c r="E358" s="95">
        <v>2160</v>
      </c>
      <c r="F358" s="90">
        <f t="shared" si="115"/>
        <v>2</v>
      </c>
      <c r="G358" s="90">
        <f t="shared" si="115"/>
        <v>8460</v>
      </c>
      <c r="H358" s="91">
        <v>0</v>
      </c>
      <c r="I358" s="91">
        <v>0</v>
      </c>
      <c r="J358" s="91">
        <f t="shared" si="116"/>
        <v>4</v>
      </c>
      <c r="K358" s="91">
        <f t="shared" si="116"/>
        <v>16340</v>
      </c>
      <c r="L358" s="92">
        <v>0</v>
      </c>
      <c r="M358" s="93">
        <v>0</v>
      </c>
      <c r="N358" s="94">
        <f t="shared" si="117"/>
        <v>3</v>
      </c>
      <c r="O358" s="94">
        <f t="shared" si="118"/>
        <v>12279.16</v>
      </c>
      <c r="P358" s="88"/>
      <c r="Q358" s="88">
        <v>0</v>
      </c>
    </row>
    <row r="359" spans="1:19" x14ac:dyDescent="0.2">
      <c r="A359" s="6" t="s">
        <v>36</v>
      </c>
      <c r="B359" s="92" t="s">
        <v>160</v>
      </c>
      <c r="C359" s="92">
        <v>10</v>
      </c>
      <c r="D359" s="95">
        <v>0</v>
      </c>
      <c r="E359" s="95">
        <v>0</v>
      </c>
      <c r="F359" s="90">
        <f t="shared" si="115"/>
        <v>2</v>
      </c>
      <c r="G359" s="90">
        <f t="shared" si="115"/>
        <v>8460</v>
      </c>
      <c r="H359" s="91">
        <v>2</v>
      </c>
      <c r="I359" s="91">
        <v>13000</v>
      </c>
      <c r="J359" s="91">
        <f t="shared" si="116"/>
        <v>6</v>
      </c>
      <c r="K359" s="91">
        <f t="shared" si="116"/>
        <v>29340</v>
      </c>
      <c r="L359" s="92">
        <v>0</v>
      </c>
      <c r="M359" s="93">
        <v>0</v>
      </c>
      <c r="N359" s="94">
        <f t="shared" si="117"/>
        <v>3</v>
      </c>
      <c r="O359" s="94">
        <f t="shared" si="118"/>
        <v>12279.16</v>
      </c>
      <c r="P359" s="88"/>
      <c r="Q359" s="88">
        <v>0</v>
      </c>
    </row>
    <row r="360" spans="1:19" x14ac:dyDescent="0.2">
      <c r="A360" s="6" t="s">
        <v>36</v>
      </c>
      <c r="B360" s="92" t="s">
        <v>161</v>
      </c>
      <c r="C360" s="92">
        <v>11</v>
      </c>
      <c r="D360" s="95">
        <v>0</v>
      </c>
      <c r="E360" s="95">
        <v>0</v>
      </c>
      <c r="F360" s="90">
        <f t="shared" si="115"/>
        <v>2</v>
      </c>
      <c r="G360" s="90">
        <f t="shared" si="115"/>
        <v>8460</v>
      </c>
      <c r="H360" s="91">
        <v>1</v>
      </c>
      <c r="I360" s="91">
        <v>2306</v>
      </c>
      <c r="J360" s="91">
        <f t="shared" si="116"/>
        <v>7</v>
      </c>
      <c r="K360" s="91">
        <f t="shared" si="116"/>
        <v>31646</v>
      </c>
      <c r="L360" s="92">
        <v>0</v>
      </c>
      <c r="M360" s="93">
        <v>0</v>
      </c>
      <c r="N360" s="94">
        <f t="shared" si="117"/>
        <v>3</v>
      </c>
      <c r="O360" s="94">
        <f t="shared" si="118"/>
        <v>12279.16</v>
      </c>
      <c r="P360" s="88"/>
      <c r="Q360" s="88">
        <v>0</v>
      </c>
    </row>
    <row r="361" spans="1:19" x14ac:dyDescent="0.2">
      <c r="A361" s="6" t="s">
        <v>36</v>
      </c>
      <c r="B361" s="92" t="s">
        <v>162</v>
      </c>
      <c r="C361" s="92">
        <v>12</v>
      </c>
      <c r="D361" s="95">
        <v>0</v>
      </c>
      <c r="E361" s="95">
        <v>0</v>
      </c>
      <c r="F361" s="90">
        <f t="shared" si="115"/>
        <v>2</v>
      </c>
      <c r="G361" s="90">
        <f t="shared" si="115"/>
        <v>8460</v>
      </c>
      <c r="H361" s="91">
        <v>1</v>
      </c>
      <c r="I361" s="91">
        <v>4762</v>
      </c>
      <c r="J361" s="91">
        <f t="shared" si="116"/>
        <v>8</v>
      </c>
      <c r="K361" s="91">
        <f t="shared" si="116"/>
        <v>36408</v>
      </c>
      <c r="L361" s="92">
        <v>0</v>
      </c>
      <c r="M361" s="93">
        <v>0</v>
      </c>
      <c r="N361" s="94">
        <f t="shared" si="117"/>
        <v>3</v>
      </c>
      <c r="O361" s="94">
        <f t="shared" si="118"/>
        <v>12279.16</v>
      </c>
      <c r="P361" s="88"/>
      <c r="Q361" s="88">
        <v>0</v>
      </c>
    </row>
    <row r="362" spans="1:19" x14ac:dyDescent="0.2">
      <c r="A362" s="6" t="s">
        <v>82</v>
      </c>
      <c r="B362" s="92" t="s">
        <v>151</v>
      </c>
      <c r="C362" s="92">
        <v>1</v>
      </c>
      <c r="D362" s="95">
        <v>0</v>
      </c>
      <c r="E362" s="95">
        <v>0</v>
      </c>
      <c r="F362" s="90">
        <f>D362</f>
        <v>0</v>
      </c>
      <c r="G362" s="90">
        <f>E362</f>
        <v>0</v>
      </c>
      <c r="H362" s="90">
        <v>0</v>
      </c>
      <c r="I362" s="90">
        <v>0</v>
      </c>
      <c r="J362" s="90">
        <f>H362</f>
        <v>0</v>
      </c>
      <c r="K362" s="90">
        <f>I362</f>
        <v>0</v>
      </c>
      <c r="L362" s="92">
        <v>0</v>
      </c>
      <c r="M362" s="93">
        <v>0</v>
      </c>
      <c r="N362" s="94">
        <f>L362</f>
        <v>0</v>
      </c>
      <c r="O362" s="94">
        <f>M362</f>
        <v>0</v>
      </c>
      <c r="P362">
        <v>0</v>
      </c>
      <c r="Q362">
        <v>0</v>
      </c>
      <c r="R362">
        <v>0</v>
      </c>
      <c r="S362">
        <v>0</v>
      </c>
    </row>
    <row r="363" spans="1:19" x14ac:dyDescent="0.2">
      <c r="A363" s="6" t="s">
        <v>82</v>
      </c>
      <c r="B363" s="92" t="s">
        <v>152</v>
      </c>
      <c r="C363" s="92">
        <v>2</v>
      </c>
      <c r="D363" s="95">
        <v>0</v>
      </c>
      <c r="E363" s="95">
        <v>0</v>
      </c>
      <c r="F363" s="90">
        <f t="shared" ref="F363:G373" si="119">F362+D363</f>
        <v>0</v>
      </c>
      <c r="G363" s="90">
        <f t="shared" si="119"/>
        <v>0</v>
      </c>
      <c r="H363" s="90">
        <v>0</v>
      </c>
      <c r="I363" s="90">
        <v>0</v>
      </c>
      <c r="J363" s="90">
        <f t="shared" ref="J363:J373" si="120">J362+H363</f>
        <v>0</v>
      </c>
      <c r="K363" s="90">
        <f t="shared" ref="K363:K373" si="121">K362+I363</f>
        <v>0</v>
      </c>
      <c r="L363" s="92">
        <v>0</v>
      </c>
      <c r="M363" s="93">
        <v>0</v>
      </c>
      <c r="N363" s="94">
        <f t="shared" ref="N363:N373" si="122">N362+L363</f>
        <v>0</v>
      </c>
      <c r="O363" s="94">
        <f t="shared" ref="O363:O373" si="123">O362+M363</f>
        <v>0</v>
      </c>
      <c r="P363">
        <v>0</v>
      </c>
      <c r="Q363">
        <v>0</v>
      </c>
      <c r="R363">
        <v>0</v>
      </c>
      <c r="S363">
        <v>0</v>
      </c>
    </row>
    <row r="364" spans="1:19" x14ac:dyDescent="0.2">
      <c r="A364" s="6" t="s">
        <v>82</v>
      </c>
      <c r="B364" s="92" t="s">
        <v>153</v>
      </c>
      <c r="C364" s="92">
        <v>3</v>
      </c>
      <c r="D364" s="95">
        <v>0</v>
      </c>
      <c r="E364" s="95">
        <v>0</v>
      </c>
      <c r="F364" s="90">
        <f t="shared" si="119"/>
        <v>0</v>
      </c>
      <c r="G364" s="90">
        <f t="shared" si="119"/>
        <v>0</v>
      </c>
      <c r="H364" s="90">
        <v>0</v>
      </c>
      <c r="I364" s="90">
        <v>0</v>
      </c>
      <c r="J364" s="90">
        <f t="shared" si="120"/>
        <v>0</v>
      </c>
      <c r="K364" s="90">
        <f t="shared" si="121"/>
        <v>0</v>
      </c>
      <c r="L364" s="92">
        <v>0</v>
      </c>
      <c r="M364" s="93">
        <v>0</v>
      </c>
      <c r="N364" s="94">
        <f t="shared" si="122"/>
        <v>0</v>
      </c>
      <c r="O364" s="94">
        <f t="shared" si="123"/>
        <v>0</v>
      </c>
      <c r="P364">
        <v>3</v>
      </c>
      <c r="Q364">
        <v>1800</v>
      </c>
      <c r="R364">
        <v>3</v>
      </c>
      <c r="S364">
        <v>1800</v>
      </c>
    </row>
    <row r="365" spans="1:19" x14ac:dyDescent="0.2">
      <c r="A365" s="6" t="s">
        <v>82</v>
      </c>
      <c r="B365" s="92" t="s">
        <v>154</v>
      </c>
      <c r="C365" s="92">
        <v>4</v>
      </c>
      <c r="D365" s="95">
        <v>0</v>
      </c>
      <c r="E365" s="95">
        <v>0</v>
      </c>
      <c r="F365" s="90">
        <f t="shared" si="119"/>
        <v>0</v>
      </c>
      <c r="G365" s="90">
        <f t="shared" si="119"/>
        <v>0</v>
      </c>
      <c r="H365" s="90">
        <v>0</v>
      </c>
      <c r="I365" s="90">
        <v>0</v>
      </c>
      <c r="J365" s="90">
        <f t="shared" si="120"/>
        <v>0</v>
      </c>
      <c r="K365" s="90">
        <f t="shared" si="121"/>
        <v>0</v>
      </c>
      <c r="L365" s="92">
        <v>1</v>
      </c>
      <c r="M365" s="93">
        <v>800</v>
      </c>
      <c r="N365" s="94">
        <f t="shared" si="122"/>
        <v>1</v>
      </c>
      <c r="O365" s="94">
        <f t="shared" si="123"/>
        <v>800</v>
      </c>
      <c r="P365">
        <v>0</v>
      </c>
      <c r="Q365">
        <v>0</v>
      </c>
      <c r="R365">
        <v>3</v>
      </c>
      <c r="S365">
        <v>1800</v>
      </c>
    </row>
    <row r="366" spans="1:19" x14ac:dyDescent="0.2">
      <c r="A366" s="6" t="s">
        <v>82</v>
      </c>
      <c r="B366" s="92" t="s">
        <v>155</v>
      </c>
      <c r="C366" s="92">
        <v>5</v>
      </c>
      <c r="D366" s="95">
        <v>0</v>
      </c>
      <c r="E366" s="95">
        <v>0</v>
      </c>
      <c r="F366" s="90">
        <f t="shared" si="119"/>
        <v>0</v>
      </c>
      <c r="G366" s="90">
        <f t="shared" si="119"/>
        <v>0</v>
      </c>
      <c r="H366" s="90">
        <v>0</v>
      </c>
      <c r="I366" s="90">
        <v>0</v>
      </c>
      <c r="J366" s="90">
        <f t="shared" si="120"/>
        <v>0</v>
      </c>
      <c r="K366" s="90">
        <f t="shared" si="121"/>
        <v>0</v>
      </c>
      <c r="L366" s="92">
        <v>0</v>
      </c>
      <c r="M366" s="93">
        <v>0</v>
      </c>
      <c r="N366" s="94">
        <f t="shared" si="122"/>
        <v>1</v>
      </c>
      <c r="O366" s="94">
        <f t="shared" si="123"/>
        <v>800</v>
      </c>
      <c r="P366">
        <v>0</v>
      </c>
      <c r="Q366">
        <v>0</v>
      </c>
      <c r="R366">
        <v>3</v>
      </c>
      <c r="S366">
        <v>1800</v>
      </c>
    </row>
    <row r="367" spans="1:19" x14ac:dyDescent="0.2">
      <c r="A367" s="6" t="s">
        <v>82</v>
      </c>
      <c r="B367" s="92" t="s">
        <v>156</v>
      </c>
      <c r="C367" s="92">
        <v>6</v>
      </c>
      <c r="D367" s="95">
        <v>0</v>
      </c>
      <c r="E367" s="95">
        <v>0</v>
      </c>
      <c r="F367" s="90">
        <f t="shared" si="119"/>
        <v>0</v>
      </c>
      <c r="G367" s="90">
        <f t="shared" si="119"/>
        <v>0</v>
      </c>
      <c r="H367" s="90">
        <v>0</v>
      </c>
      <c r="I367" s="90">
        <v>0</v>
      </c>
      <c r="J367" s="90">
        <f t="shared" si="120"/>
        <v>0</v>
      </c>
      <c r="K367" s="90">
        <f t="shared" si="121"/>
        <v>0</v>
      </c>
      <c r="L367" s="92">
        <v>1</v>
      </c>
      <c r="M367" s="93">
        <v>600</v>
      </c>
      <c r="N367" s="94">
        <f t="shared" si="122"/>
        <v>2</v>
      </c>
      <c r="O367" s="94">
        <f t="shared" si="123"/>
        <v>1400</v>
      </c>
      <c r="P367">
        <v>2</v>
      </c>
      <c r="Q367">
        <v>5320</v>
      </c>
      <c r="R367">
        <v>5</v>
      </c>
      <c r="S367">
        <v>7120</v>
      </c>
    </row>
    <row r="368" spans="1:19" x14ac:dyDescent="0.2">
      <c r="A368" s="6" t="s">
        <v>82</v>
      </c>
      <c r="B368" s="92" t="s">
        <v>157</v>
      </c>
      <c r="C368" s="92">
        <v>7</v>
      </c>
      <c r="D368" s="95">
        <v>0</v>
      </c>
      <c r="E368" s="95">
        <v>0</v>
      </c>
      <c r="F368" s="90">
        <f t="shared" si="119"/>
        <v>0</v>
      </c>
      <c r="G368" s="90">
        <f t="shared" si="119"/>
        <v>0</v>
      </c>
      <c r="H368" s="90">
        <v>0</v>
      </c>
      <c r="I368" s="90">
        <v>0</v>
      </c>
      <c r="J368" s="90">
        <f t="shared" si="120"/>
        <v>0</v>
      </c>
      <c r="K368" s="90">
        <f t="shared" si="121"/>
        <v>0</v>
      </c>
      <c r="L368" s="92">
        <v>2</v>
      </c>
      <c r="M368" s="93">
        <v>5800</v>
      </c>
      <c r="N368" s="94">
        <f t="shared" si="122"/>
        <v>4</v>
      </c>
      <c r="O368" s="94">
        <f t="shared" si="123"/>
        <v>7200</v>
      </c>
      <c r="P368">
        <v>1</v>
      </c>
      <c r="Q368">
        <v>34618.230000000003</v>
      </c>
      <c r="R368">
        <v>6</v>
      </c>
      <c r="S368">
        <v>41738.230000000003</v>
      </c>
    </row>
    <row r="369" spans="1:19" x14ac:dyDescent="0.2">
      <c r="A369" s="6" t="s">
        <v>82</v>
      </c>
      <c r="B369" s="92" t="s">
        <v>158</v>
      </c>
      <c r="C369" s="92">
        <v>8</v>
      </c>
      <c r="D369" s="95">
        <v>0</v>
      </c>
      <c r="E369" s="95">
        <v>0</v>
      </c>
      <c r="F369" s="90">
        <f t="shared" si="119"/>
        <v>0</v>
      </c>
      <c r="G369" s="90">
        <f t="shared" si="119"/>
        <v>0</v>
      </c>
      <c r="H369" s="90">
        <v>0</v>
      </c>
      <c r="I369" s="90">
        <v>0</v>
      </c>
      <c r="J369" s="90">
        <f t="shared" si="120"/>
        <v>0</v>
      </c>
      <c r="K369" s="90">
        <f t="shared" si="121"/>
        <v>0</v>
      </c>
      <c r="L369" s="92">
        <v>0</v>
      </c>
      <c r="M369" s="93">
        <v>0</v>
      </c>
      <c r="N369" s="94">
        <f t="shared" si="122"/>
        <v>4</v>
      </c>
      <c r="O369" s="94">
        <f t="shared" si="123"/>
        <v>7200</v>
      </c>
      <c r="P369" s="88"/>
      <c r="Q369" s="88">
        <v>0</v>
      </c>
    </row>
    <row r="370" spans="1:19" x14ac:dyDescent="0.2">
      <c r="A370" s="6" t="s">
        <v>82</v>
      </c>
      <c r="B370" s="92" t="s">
        <v>159</v>
      </c>
      <c r="C370" s="92">
        <v>9</v>
      </c>
      <c r="D370" s="95">
        <v>0</v>
      </c>
      <c r="E370" s="95">
        <v>0</v>
      </c>
      <c r="F370" s="90">
        <f t="shared" si="119"/>
        <v>0</v>
      </c>
      <c r="G370" s="90">
        <f t="shared" si="119"/>
        <v>0</v>
      </c>
      <c r="H370" s="90">
        <v>0</v>
      </c>
      <c r="I370" s="90">
        <v>0</v>
      </c>
      <c r="J370" s="90">
        <f t="shared" si="120"/>
        <v>0</v>
      </c>
      <c r="K370" s="90">
        <f t="shared" si="121"/>
        <v>0</v>
      </c>
      <c r="L370" s="92">
        <v>0</v>
      </c>
      <c r="M370" s="93">
        <v>0</v>
      </c>
      <c r="N370" s="94">
        <f t="shared" si="122"/>
        <v>4</v>
      </c>
      <c r="O370" s="94">
        <f t="shared" si="123"/>
        <v>7200</v>
      </c>
      <c r="P370" s="88"/>
      <c r="Q370" s="88">
        <v>0</v>
      </c>
    </row>
    <row r="371" spans="1:19" x14ac:dyDescent="0.2">
      <c r="A371" s="6" t="s">
        <v>82</v>
      </c>
      <c r="B371" s="92" t="s">
        <v>160</v>
      </c>
      <c r="C371" s="92">
        <v>10</v>
      </c>
      <c r="D371" s="95">
        <v>0</v>
      </c>
      <c r="E371" s="95">
        <v>0</v>
      </c>
      <c r="F371" s="90">
        <f t="shared" si="119"/>
        <v>0</v>
      </c>
      <c r="G371" s="90">
        <f t="shared" si="119"/>
        <v>0</v>
      </c>
      <c r="H371" s="90">
        <v>0</v>
      </c>
      <c r="I371" s="90">
        <v>0</v>
      </c>
      <c r="J371" s="90">
        <f t="shared" si="120"/>
        <v>0</v>
      </c>
      <c r="K371" s="90">
        <f t="shared" si="121"/>
        <v>0</v>
      </c>
      <c r="L371" s="92">
        <v>4</v>
      </c>
      <c r="M371" s="93">
        <v>3300</v>
      </c>
      <c r="N371" s="94">
        <f t="shared" si="122"/>
        <v>8</v>
      </c>
      <c r="O371" s="94">
        <f t="shared" si="123"/>
        <v>10500</v>
      </c>
      <c r="P371" s="88"/>
      <c r="Q371" s="88">
        <v>0</v>
      </c>
    </row>
    <row r="372" spans="1:19" x14ac:dyDescent="0.2">
      <c r="A372" s="6" t="s">
        <v>82</v>
      </c>
      <c r="B372" s="92" t="s">
        <v>161</v>
      </c>
      <c r="C372" s="92">
        <v>11</v>
      </c>
      <c r="D372" s="95">
        <v>0</v>
      </c>
      <c r="E372" s="95">
        <v>0</v>
      </c>
      <c r="F372" s="90">
        <f t="shared" si="119"/>
        <v>0</v>
      </c>
      <c r="G372" s="90">
        <f t="shared" si="119"/>
        <v>0</v>
      </c>
      <c r="H372" s="90">
        <v>0</v>
      </c>
      <c r="I372" s="90">
        <v>0</v>
      </c>
      <c r="J372" s="90">
        <f t="shared" si="120"/>
        <v>0</v>
      </c>
      <c r="K372" s="90">
        <f t="shared" si="121"/>
        <v>0</v>
      </c>
      <c r="L372" s="92">
        <v>0</v>
      </c>
      <c r="M372" s="93">
        <v>0</v>
      </c>
      <c r="N372" s="94">
        <f t="shared" si="122"/>
        <v>8</v>
      </c>
      <c r="O372" s="94">
        <f t="shared" si="123"/>
        <v>10500</v>
      </c>
      <c r="P372" s="88"/>
      <c r="Q372" s="88">
        <v>0</v>
      </c>
    </row>
    <row r="373" spans="1:19" x14ac:dyDescent="0.2">
      <c r="A373" s="6" t="s">
        <v>82</v>
      </c>
      <c r="B373" s="92" t="s">
        <v>162</v>
      </c>
      <c r="C373" s="92">
        <v>12</v>
      </c>
      <c r="D373" s="95">
        <v>0</v>
      </c>
      <c r="E373" s="95">
        <v>0</v>
      </c>
      <c r="F373" s="90">
        <f t="shared" si="119"/>
        <v>0</v>
      </c>
      <c r="G373" s="90">
        <f t="shared" si="119"/>
        <v>0</v>
      </c>
      <c r="H373" s="90">
        <v>0</v>
      </c>
      <c r="I373" s="90">
        <v>0</v>
      </c>
      <c r="J373" s="90">
        <f t="shared" si="120"/>
        <v>0</v>
      </c>
      <c r="K373" s="90">
        <f t="shared" si="121"/>
        <v>0</v>
      </c>
      <c r="L373" s="92">
        <v>2</v>
      </c>
      <c r="M373" s="93">
        <v>14842</v>
      </c>
      <c r="N373" s="94">
        <f t="shared" si="122"/>
        <v>10</v>
      </c>
      <c r="O373" s="94">
        <f t="shared" si="123"/>
        <v>25342</v>
      </c>
      <c r="P373" s="88"/>
      <c r="Q373" s="88">
        <v>0</v>
      </c>
    </row>
    <row r="374" spans="1:19" x14ac:dyDescent="0.2">
      <c r="A374" s="6" t="s">
        <v>64</v>
      </c>
      <c r="B374" s="92" t="s">
        <v>151</v>
      </c>
      <c r="C374" s="92">
        <v>1</v>
      </c>
      <c r="D374" s="95">
        <v>0</v>
      </c>
      <c r="E374" s="95">
        <v>0</v>
      </c>
      <c r="F374" s="90">
        <f>D374</f>
        <v>0</v>
      </c>
      <c r="G374" s="90">
        <f>E374</f>
        <v>0</v>
      </c>
      <c r="H374" s="91">
        <v>0</v>
      </c>
      <c r="I374" s="91">
        <v>0</v>
      </c>
      <c r="J374" s="91">
        <f>H374</f>
        <v>0</v>
      </c>
      <c r="K374" s="91">
        <f>I374</f>
        <v>0</v>
      </c>
      <c r="L374" s="92">
        <v>0</v>
      </c>
      <c r="M374" s="93">
        <v>0</v>
      </c>
      <c r="N374" s="94">
        <f>L374</f>
        <v>0</v>
      </c>
      <c r="O374" s="94">
        <f>M374</f>
        <v>0</v>
      </c>
      <c r="P374">
        <v>0</v>
      </c>
      <c r="Q374" s="88">
        <v>0</v>
      </c>
      <c r="R374">
        <v>0</v>
      </c>
      <c r="S374" s="87">
        <v>0</v>
      </c>
    </row>
    <row r="375" spans="1:19" x14ac:dyDescent="0.2">
      <c r="A375" s="6" t="s">
        <v>64</v>
      </c>
      <c r="B375" s="92" t="s">
        <v>152</v>
      </c>
      <c r="C375" s="92">
        <v>2</v>
      </c>
      <c r="D375" s="95">
        <v>0</v>
      </c>
      <c r="E375" s="95">
        <v>0</v>
      </c>
      <c r="F375" s="90">
        <f t="shared" ref="F375:F385" si="124">F374+D375</f>
        <v>0</v>
      </c>
      <c r="G375" s="90">
        <f t="shared" ref="G375:G385" si="125">G374+E375</f>
        <v>0</v>
      </c>
      <c r="H375" s="91">
        <v>0</v>
      </c>
      <c r="I375" s="91">
        <v>0</v>
      </c>
      <c r="J375" s="91">
        <f t="shared" ref="J375:K385" si="126">J374+H375</f>
        <v>0</v>
      </c>
      <c r="K375" s="91">
        <f t="shared" si="126"/>
        <v>0</v>
      </c>
      <c r="L375" s="92">
        <v>0</v>
      </c>
      <c r="M375" s="93">
        <v>0</v>
      </c>
      <c r="N375" s="94">
        <f t="shared" ref="N375:N385" si="127">N374+L375</f>
        <v>0</v>
      </c>
      <c r="O375" s="94">
        <f t="shared" ref="O375:O385" si="128">O374+M375</f>
        <v>0</v>
      </c>
      <c r="P375">
        <v>0</v>
      </c>
      <c r="Q375" s="88">
        <v>0</v>
      </c>
      <c r="R375">
        <v>0</v>
      </c>
      <c r="S375" s="87">
        <v>0</v>
      </c>
    </row>
    <row r="376" spans="1:19" x14ac:dyDescent="0.2">
      <c r="A376" s="6" t="s">
        <v>64</v>
      </c>
      <c r="B376" s="92" t="s">
        <v>153</v>
      </c>
      <c r="C376" s="92">
        <v>3</v>
      </c>
      <c r="D376" s="95">
        <v>0</v>
      </c>
      <c r="E376" s="95">
        <v>0</v>
      </c>
      <c r="F376" s="90">
        <f t="shared" si="124"/>
        <v>0</v>
      </c>
      <c r="G376" s="90">
        <f t="shared" si="125"/>
        <v>0</v>
      </c>
      <c r="H376" s="91">
        <v>0</v>
      </c>
      <c r="I376" s="91">
        <v>0</v>
      </c>
      <c r="J376" s="91">
        <f t="shared" si="126"/>
        <v>0</v>
      </c>
      <c r="K376" s="91">
        <f t="shared" si="126"/>
        <v>0</v>
      </c>
      <c r="L376" s="92">
        <v>0</v>
      </c>
      <c r="M376" s="93">
        <v>0</v>
      </c>
      <c r="N376" s="94">
        <f t="shared" si="127"/>
        <v>0</v>
      </c>
      <c r="O376" s="94">
        <f t="shared" si="128"/>
        <v>0</v>
      </c>
      <c r="P376">
        <v>0</v>
      </c>
      <c r="Q376" s="88">
        <v>0</v>
      </c>
      <c r="R376">
        <v>0</v>
      </c>
      <c r="S376" s="87">
        <v>0</v>
      </c>
    </row>
    <row r="377" spans="1:19" x14ac:dyDescent="0.2">
      <c r="A377" s="6" t="s">
        <v>64</v>
      </c>
      <c r="B377" s="92" t="s">
        <v>154</v>
      </c>
      <c r="C377" s="92">
        <v>4</v>
      </c>
      <c r="D377" s="95">
        <v>0</v>
      </c>
      <c r="E377" s="95">
        <v>0</v>
      </c>
      <c r="F377" s="90">
        <f t="shared" si="124"/>
        <v>0</v>
      </c>
      <c r="G377" s="90">
        <f t="shared" si="125"/>
        <v>0</v>
      </c>
      <c r="H377" s="91">
        <v>0</v>
      </c>
      <c r="I377" s="91">
        <v>0</v>
      </c>
      <c r="J377" s="91">
        <f t="shared" si="126"/>
        <v>0</v>
      </c>
      <c r="K377" s="91">
        <f t="shared" si="126"/>
        <v>0</v>
      </c>
      <c r="L377" s="92">
        <v>0</v>
      </c>
      <c r="M377" s="93">
        <v>0</v>
      </c>
      <c r="N377" s="94">
        <f t="shared" si="127"/>
        <v>0</v>
      </c>
      <c r="O377" s="94">
        <f t="shared" si="128"/>
        <v>0</v>
      </c>
      <c r="P377">
        <v>0</v>
      </c>
      <c r="Q377" s="88">
        <v>0</v>
      </c>
      <c r="R377">
        <v>0</v>
      </c>
      <c r="S377" s="87">
        <v>0</v>
      </c>
    </row>
    <row r="378" spans="1:19" x14ac:dyDescent="0.2">
      <c r="A378" s="6" t="s">
        <v>64</v>
      </c>
      <c r="B378" s="92" t="s">
        <v>155</v>
      </c>
      <c r="C378" s="92">
        <v>5</v>
      </c>
      <c r="D378" s="95">
        <v>0</v>
      </c>
      <c r="E378" s="95">
        <v>0</v>
      </c>
      <c r="F378" s="90">
        <f t="shared" si="124"/>
        <v>0</v>
      </c>
      <c r="G378" s="90">
        <f t="shared" si="125"/>
        <v>0</v>
      </c>
      <c r="H378" s="91">
        <v>0</v>
      </c>
      <c r="I378" s="91">
        <v>0</v>
      </c>
      <c r="J378" s="91">
        <f t="shared" si="126"/>
        <v>0</v>
      </c>
      <c r="K378" s="91">
        <f t="shared" si="126"/>
        <v>0</v>
      </c>
      <c r="L378" s="92">
        <v>0</v>
      </c>
      <c r="M378" s="93">
        <v>0</v>
      </c>
      <c r="N378" s="94">
        <f t="shared" si="127"/>
        <v>0</v>
      </c>
      <c r="O378" s="94">
        <f t="shared" si="128"/>
        <v>0</v>
      </c>
      <c r="P378">
        <v>0</v>
      </c>
      <c r="Q378" s="88">
        <v>0</v>
      </c>
      <c r="R378">
        <v>0</v>
      </c>
      <c r="S378" s="87">
        <v>0</v>
      </c>
    </row>
    <row r="379" spans="1:19" x14ac:dyDescent="0.2">
      <c r="A379" s="6" t="s">
        <v>64</v>
      </c>
      <c r="B379" s="92" t="s">
        <v>156</v>
      </c>
      <c r="C379" s="92">
        <v>6</v>
      </c>
      <c r="D379" s="95">
        <v>0</v>
      </c>
      <c r="E379" s="95">
        <v>0</v>
      </c>
      <c r="F379" s="90">
        <f t="shared" si="124"/>
        <v>0</v>
      </c>
      <c r="G379" s="90">
        <f t="shared" si="125"/>
        <v>0</v>
      </c>
      <c r="H379" s="91">
        <v>4</v>
      </c>
      <c r="I379" s="91">
        <v>22468.400000000001</v>
      </c>
      <c r="J379" s="91">
        <f t="shared" si="126"/>
        <v>4</v>
      </c>
      <c r="K379" s="91">
        <f t="shared" si="126"/>
        <v>22468.400000000001</v>
      </c>
      <c r="L379" s="92">
        <v>0</v>
      </c>
      <c r="M379" s="93">
        <v>0</v>
      </c>
      <c r="N379" s="94">
        <f t="shared" si="127"/>
        <v>0</v>
      </c>
      <c r="O379" s="94">
        <f t="shared" si="128"/>
        <v>0</v>
      </c>
      <c r="P379">
        <v>0</v>
      </c>
      <c r="Q379" s="88">
        <v>0</v>
      </c>
      <c r="R379">
        <v>0</v>
      </c>
      <c r="S379" s="87">
        <v>0</v>
      </c>
    </row>
    <row r="380" spans="1:19" x14ac:dyDescent="0.2">
      <c r="A380" s="6" t="s">
        <v>64</v>
      </c>
      <c r="B380" s="92" t="s">
        <v>157</v>
      </c>
      <c r="C380" s="92">
        <v>7</v>
      </c>
      <c r="D380" s="95">
        <v>0</v>
      </c>
      <c r="E380" s="95">
        <v>0</v>
      </c>
      <c r="F380" s="90">
        <f t="shared" si="124"/>
        <v>0</v>
      </c>
      <c r="G380" s="90">
        <f t="shared" si="125"/>
        <v>0</v>
      </c>
      <c r="H380" s="91">
        <v>0</v>
      </c>
      <c r="I380" s="91">
        <v>0</v>
      </c>
      <c r="J380" s="91">
        <f t="shared" si="126"/>
        <v>4</v>
      </c>
      <c r="K380" s="91">
        <f t="shared" si="126"/>
        <v>22468.400000000001</v>
      </c>
      <c r="L380" s="92">
        <v>2</v>
      </c>
      <c r="M380" s="93">
        <v>1500</v>
      </c>
      <c r="N380" s="94">
        <f t="shared" si="127"/>
        <v>2</v>
      </c>
      <c r="O380" s="94">
        <f t="shared" si="128"/>
        <v>1500</v>
      </c>
      <c r="P380">
        <v>0</v>
      </c>
      <c r="Q380" s="88">
        <v>0</v>
      </c>
      <c r="R380">
        <v>0</v>
      </c>
      <c r="S380" s="87">
        <v>0</v>
      </c>
    </row>
    <row r="381" spans="1:19" x14ac:dyDescent="0.2">
      <c r="A381" s="6" t="s">
        <v>64</v>
      </c>
      <c r="B381" s="92" t="s">
        <v>158</v>
      </c>
      <c r="C381" s="92">
        <v>8</v>
      </c>
      <c r="D381" s="95">
        <v>0</v>
      </c>
      <c r="E381" s="95">
        <v>0</v>
      </c>
      <c r="F381" s="90">
        <f t="shared" si="124"/>
        <v>0</v>
      </c>
      <c r="G381" s="90">
        <f t="shared" si="125"/>
        <v>0</v>
      </c>
      <c r="H381" s="91">
        <v>0</v>
      </c>
      <c r="I381" s="91">
        <v>0</v>
      </c>
      <c r="J381" s="91">
        <f t="shared" si="126"/>
        <v>4</v>
      </c>
      <c r="K381" s="91">
        <f t="shared" si="126"/>
        <v>22468.400000000001</v>
      </c>
      <c r="L381" s="92">
        <v>0</v>
      </c>
      <c r="M381" s="93">
        <v>0</v>
      </c>
      <c r="N381" s="94">
        <f t="shared" si="127"/>
        <v>2</v>
      </c>
      <c r="O381" s="94">
        <f t="shared" si="128"/>
        <v>1500</v>
      </c>
      <c r="P381" s="88"/>
      <c r="Q381" s="88">
        <v>0</v>
      </c>
    </row>
    <row r="382" spans="1:19" x14ac:dyDescent="0.2">
      <c r="A382" s="6" t="s">
        <v>64</v>
      </c>
      <c r="B382" s="92" t="s">
        <v>159</v>
      </c>
      <c r="C382" s="92">
        <v>9</v>
      </c>
      <c r="D382" s="95">
        <v>0</v>
      </c>
      <c r="E382" s="95">
        <v>0</v>
      </c>
      <c r="F382" s="90">
        <f t="shared" si="124"/>
        <v>0</v>
      </c>
      <c r="G382" s="90">
        <f t="shared" si="125"/>
        <v>0</v>
      </c>
      <c r="H382" s="91">
        <v>0</v>
      </c>
      <c r="I382" s="91">
        <v>0</v>
      </c>
      <c r="J382" s="91">
        <f t="shared" si="126"/>
        <v>4</v>
      </c>
      <c r="K382" s="91">
        <f t="shared" si="126"/>
        <v>22468.400000000001</v>
      </c>
      <c r="L382" s="92">
        <v>2</v>
      </c>
      <c r="M382" s="93">
        <v>16850</v>
      </c>
      <c r="N382" s="94">
        <f t="shared" si="127"/>
        <v>4</v>
      </c>
      <c r="O382" s="94">
        <f t="shared" si="128"/>
        <v>18350</v>
      </c>
      <c r="P382" s="88"/>
      <c r="Q382" s="88">
        <v>0</v>
      </c>
    </row>
    <row r="383" spans="1:19" x14ac:dyDescent="0.2">
      <c r="A383" s="6" t="s">
        <v>64</v>
      </c>
      <c r="B383" s="92" t="s">
        <v>160</v>
      </c>
      <c r="C383" s="92">
        <v>10</v>
      </c>
      <c r="D383" s="95">
        <v>0</v>
      </c>
      <c r="E383" s="95">
        <v>0</v>
      </c>
      <c r="F383" s="90">
        <f t="shared" si="124"/>
        <v>0</v>
      </c>
      <c r="G383" s="90">
        <f t="shared" si="125"/>
        <v>0</v>
      </c>
      <c r="H383" s="91">
        <v>0</v>
      </c>
      <c r="I383" s="91">
        <v>0</v>
      </c>
      <c r="J383" s="91">
        <f t="shared" si="126"/>
        <v>4</v>
      </c>
      <c r="K383" s="91">
        <f t="shared" si="126"/>
        <v>22468.400000000001</v>
      </c>
      <c r="L383" s="92">
        <v>0</v>
      </c>
      <c r="M383" s="93">
        <v>0</v>
      </c>
      <c r="N383" s="94">
        <f t="shared" si="127"/>
        <v>4</v>
      </c>
      <c r="O383" s="94">
        <f t="shared" si="128"/>
        <v>18350</v>
      </c>
      <c r="P383" s="88"/>
      <c r="Q383" s="88">
        <v>0</v>
      </c>
    </row>
    <row r="384" spans="1:19" x14ac:dyDescent="0.2">
      <c r="A384" s="6" t="s">
        <v>64</v>
      </c>
      <c r="B384" s="92" t="s">
        <v>161</v>
      </c>
      <c r="C384" s="92">
        <v>11</v>
      </c>
      <c r="D384" s="95">
        <v>0</v>
      </c>
      <c r="E384" s="95">
        <v>0</v>
      </c>
      <c r="F384" s="90">
        <f t="shared" si="124"/>
        <v>0</v>
      </c>
      <c r="G384" s="90">
        <f t="shared" si="125"/>
        <v>0</v>
      </c>
      <c r="H384" s="91">
        <v>0</v>
      </c>
      <c r="I384" s="91">
        <v>0</v>
      </c>
      <c r="J384" s="91">
        <f t="shared" si="126"/>
        <v>4</v>
      </c>
      <c r="K384" s="91">
        <f t="shared" si="126"/>
        <v>22468.400000000001</v>
      </c>
      <c r="L384" s="92">
        <v>3</v>
      </c>
      <c r="M384" s="93">
        <v>3025</v>
      </c>
      <c r="N384" s="94">
        <f t="shared" si="127"/>
        <v>7</v>
      </c>
      <c r="O384" s="94">
        <f t="shared" si="128"/>
        <v>21375</v>
      </c>
      <c r="P384" s="88"/>
      <c r="Q384" s="88">
        <v>0</v>
      </c>
    </row>
    <row r="385" spans="1:19" x14ac:dyDescent="0.2">
      <c r="A385" s="6" t="s">
        <v>64</v>
      </c>
      <c r="B385" s="92" t="s">
        <v>162</v>
      </c>
      <c r="C385" s="92">
        <v>12</v>
      </c>
      <c r="D385" s="95">
        <v>0</v>
      </c>
      <c r="E385" s="95">
        <v>0</v>
      </c>
      <c r="F385" s="90">
        <f t="shared" si="124"/>
        <v>0</v>
      </c>
      <c r="G385" s="90">
        <f t="shared" si="125"/>
        <v>0</v>
      </c>
      <c r="H385" s="91">
        <v>0</v>
      </c>
      <c r="I385" s="91">
        <v>0</v>
      </c>
      <c r="J385" s="91">
        <f t="shared" si="126"/>
        <v>4</v>
      </c>
      <c r="K385" s="91">
        <f t="shared" si="126"/>
        <v>22468.400000000001</v>
      </c>
      <c r="L385" s="92">
        <v>6</v>
      </c>
      <c r="M385" s="93">
        <v>23751.64</v>
      </c>
      <c r="N385" s="94">
        <f t="shared" si="127"/>
        <v>13</v>
      </c>
      <c r="O385" s="94">
        <f t="shared" si="128"/>
        <v>45126.64</v>
      </c>
      <c r="P385" s="88"/>
      <c r="Q385" s="88">
        <v>0</v>
      </c>
    </row>
    <row r="386" spans="1:19" x14ac:dyDescent="0.2">
      <c r="A386" s="6" t="s">
        <v>135</v>
      </c>
      <c r="B386" s="92" t="s">
        <v>151</v>
      </c>
      <c r="C386" s="92">
        <v>1</v>
      </c>
      <c r="D386" s="95">
        <v>0</v>
      </c>
      <c r="E386" s="95">
        <v>0</v>
      </c>
      <c r="F386" s="90">
        <f>D386</f>
        <v>0</v>
      </c>
      <c r="G386" s="90">
        <f>E386</f>
        <v>0</v>
      </c>
      <c r="H386" s="90">
        <v>0</v>
      </c>
      <c r="I386" s="90">
        <v>0</v>
      </c>
      <c r="J386" s="90">
        <f>H386</f>
        <v>0</v>
      </c>
      <c r="K386" s="90">
        <f>I386</f>
        <v>0</v>
      </c>
      <c r="L386" s="92">
        <v>0</v>
      </c>
      <c r="M386" s="93">
        <v>0</v>
      </c>
      <c r="N386" s="94">
        <f>L386</f>
        <v>0</v>
      </c>
      <c r="O386" s="94">
        <f>M386</f>
        <v>0</v>
      </c>
      <c r="P386">
        <v>0</v>
      </c>
      <c r="Q386">
        <v>0</v>
      </c>
      <c r="R386">
        <v>0</v>
      </c>
      <c r="S386">
        <v>0</v>
      </c>
    </row>
    <row r="387" spans="1:19" x14ac:dyDescent="0.2">
      <c r="A387" s="6" t="s">
        <v>135</v>
      </c>
      <c r="B387" s="92" t="s">
        <v>152</v>
      </c>
      <c r="C387" s="92">
        <v>2</v>
      </c>
      <c r="D387" s="95">
        <v>0</v>
      </c>
      <c r="E387" s="95">
        <v>0</v>
      </c>
      <c r="F387" s="90">
        <f t="shared" ref="F387:F397" si="129">F386+D387</f>
        <v>0</v>
      </c>
      <c r="G387" s="90">
        <f t="shared" ref="G387:G397" si="130">G386+E387</f>
        <v>0</v>
      </c>
      <c r="H387" s="90">
        <v>0</v>
      </c>
      <c r="I387" s="90">
        <v>0</v>
      </c>
      <c r="J387" s="90">
        <f t="shared" ref="J387:J397" si="131">J386+H387</f>
        <v>0</v>
      </c>
      <c r="K387" s="90">
        <f t="shared" ref="K387:K397" si="132">K386+I387</f>
        <v>0</v>
      </c>
      <c r="L387" s="92">
        <v>0</v>
      </c>
      <c r="M387" s="93">
        <v>0</v>
      </c>
      <c r="N387" s="94">
        <f t="shared" ref="N387:N397" si="133">N386+L387</f>
        <v>0</v>
      </c>
      <c r="O387" s="94">
        <f t="shared" ref="O387:O397" si="134">O386+M387</f>
        <v>0</v>
      </c>
      <c r="P387">
        <v>0</v>
      </c>
      <c r="Q387">
        <v>0</v>
      </c>
      <c r="R387">
        <v>0</v>
      </c>
      <c r="S387">
        <v>0</v>
      </c>
    </row>
    <row r="388" spans="1:19" x14ac:dyDescent="0.2">
      <c r="A388" s="6" t="s">
        <v>135</v>
      </c>
      <c r="B388" s="92" t="s">
        <v>153</v>
      </c>
      <c r="C388" s="92">
        <v>3</v>
      </c>
      <c r="D388" s="95">
        <v>0</v>
      </c>
      <c r="E388" s="95">
        <v>0</v>
      </c>
      <c r="F388" s="90">
        <f t="shared" si="129"/>
        <v>0</v>
      </c>
      <c r="G388" s="90">
        <f t="shared" si="130"/>
        <v>0</v>
      </c>
      <c r="H388" s="90">
        <v>0</v>
      </c>
      <c r="I388" s="90">
        <v>0</v>
      </c>
      <c r="J388" s="90">
        <f t="shared" si="131"/>
        <v>0</v>
      </c>
      <c r="K388" s="90">
        <f t="shared" si="132"/>
        <v>0</v>
      </c>
      <c r="L388" s="92">
        <v>0</v>
      </c>
      <c r="M388" s="93">
        <v>0</v>
      </c>
      <c r="N388" s="94">
        <f t="shared" si="133"/>
        <v>0</v>
      </c>
      <c r="O388" s="94">
        <f t="shared" si="134"/>
        <v>0</v>
      </c>
      <c r="P388">
        <v>0</v>
      </c>
      <c r="Q388">
        <v>0</v>
      </c>
      <c r="R388">
        <v>0</v>
      </c>
      <c r="S388">
        <v>0</v>
      </c>
    </row>
    <row r="389" spans="1:19" x14ac:dyDescent="0.2">
      <c r="A389" s="6" t="s">
        <v>135</v>
      </c>
      <c r="B389" s="92" t="s">
        <v>154</v>
      </c>
      <c r="C389" s="92">
        <v>4</v>
      </c>
      <c r="D389" s="95">
        <v>0</v>
      </c>
      <c r="E389" s="95">
        <v>0</v>
      </c>
      <c r="F389" s="90">
        <f t="shared" si="129"/>
        <v>0</v>
      </c>
      <c r="G389" s="90">
        <f t="shared" si="130"/>
        <v>0</v>
      </c>
      <c r="H389" s="90">
        <v>0</v>
      </c>
      <c r="I389" s="90">
        <v>0</v>
      </c>
      <c r="J389" s="90">
        <f t="shared" si="131"/>
        <v>0</v>
      </c>
      <c r="K389" s="90">
        <f t="shared" si="132"/>
        <v>0</v>
      </c>
      <c r="L389" s="92">
        <v>0</v>
      </c>
      <c r="M389" s="93">
        <v>0</v>
      </c>
      <c r="N389" s="94">
        <f t="shared" si="133"/>
        <v>0</v>
      </c>
      <c r="O389" s="94">
        <f t="shared" si="134"/>
        <v>0</v>
      </c>
      <c r="P389">
        <v>0</v>
      </c>
      <c r="Q389">
        <v>0</v>
      </c>
      <c r="R389">
        <v>0</v>
      </c>
      <c r="S389">
        <v>0</v>
      </c>
    </row>
    <row r="390" spans="1:19" x14ac:dyDescent="0.2">
      <c r="A390" s="6" t="s">
        <v>135</v>
      </c>
      <c r="B390" s="92" t="s">
        <v>155</v>
      </c>
      <c r="C390" s="92">
        <v>5</v>
      </c>
      <c r="D390" s="95">
        <v>0</v>
      </c>
      <c r="E390" s="95">
        <v>0</v>
      </c>
      <c r="F390" s="90">
        <f t="shared" si="129"/>
        <v>0</v>
      </c>
      <c r="G390" s="90">
        <f t="shared" si="130"/>
        <v>0</v>
      </c>
      <c r="H390" s="90">
        <v>0</v>
      </c>
      <c r="I390" s="90">
        <v>0</v>
      </c>
      <c r="J390" s="90">
        <f t="shared" si="131"/>
        <v>0</v>
      </c>
      <c r="K390" s="90">
        <f t="shared" si="132"/>
        <v>0</v>
      </c>
      <c r="L390" s="92">
        <v>0</v>
      </c>
      <c r="M390" s="93">
        <v>0</v>
      </c>
      <c r="N390" s="94">
        <f t="shared" si="133"/>
        <v>0</v>
      </c>
      <c r="O390" s="94">
        <f t="shared" si="134"/>
        <v>0</v>
      </c>
      <c r="P390">
        <v>1</v>
      </c>
      <c r="Q390">
        <v>1400</v>
      </c>
      <c r="R390">
        <v>1</v>
      </c>
      <c r="S390">
        <v>1400</v>
      </c>
    </row>
    <row r="391" spans="1:19" x14ac:dyDescent="0.2">
      <c r="A391" s="6" t="s">
        <v>135</v>
      </c>
      <c r="B391" s="92" t="s">
        <v>156</v>
      </c>
      <c r="C391" s="92">
        <v>6</v>
      </c>
      <c r="D391" s="95">
        <v>0</v>
      </c>
      <c r="E391" s="95">
        <v>0</v>
      </c>
      <c r="F391" s="90">
        <f t="shared" si="129"/>
        <v>0</v>
      </c>
      <c r="G391" s="90">
        <f t="shared" si="130"/>
        <v>0</v>
      </c>
      <c r="H391" s="90">
        <v>0</v>
      </c>
      <c r="I391" s="90">
        <v>0</v>
      </c>
      <c r="J391" s="90">
        <f t="shared" si="131"/>
        <v>0</v>
      </c>
      <c r="K391" s="90">
        <f t="shared" si="132"/>
        <v>0</v>
      </c>
      <c r="L391" s="92">
        <v>0</v>
      </c>
      <c r="M391" s="93">
        <v>0</v>
      </c>
      <c r="N391" s="94">
        <f t="shared" si="133"/>
        <v>0</v>
      </c>
      <c r="O391" s="94">
        <f t="shared" si="134"/>
        <v>0</v>
      </c>
      <c r="P391">
        <v>1</v>
      </c>
      <c r="Q391">
        <v>1400</v>
      </c>
      <c r="R391">
        <v>2</v>
      </c>
      <c r="S391">
        <v>2800</v>
      </c>
    </row>
    <row r="392" spans="1:19" x14ac:dyDescent="0.2">
      <c r="A392" s="6" t="s">
        <v>135</v>
      </c>
      <c r="B392" s="92" t="s">
        <v>157</v>
      </c>
      <c r="C392" s="92">
        <v>7</v>
      </c>
      <c r="D392" s="95">
        <v>0</v>
      </c>
      <c r="E392" s="95">
        <v>0</v>
      </c>
      <c r="F392" s="90">
        <f t="shared" si="129"/>
        <v>0</v>
      </c>
      <c r="G392" s="90">
        <f t="shared" si="130"/>
        <v>0</v>
      </c>
      <c r="H392" s="90">
        <v>0</v>
      </c>
      <c r="I392" s="90">
        <v>0</v>
      </c>
      <c r="J392" s="90">
        <f t="shared" si="131"/>
        <v>0</v>
      </c>
      <c r="K392" s="90">
        <f t="shared" si="132"/>
        <v>0</v>
      </c>
      <c r="L392" s="92">
        <v>0</v>
      </c>
      <c r="M392" s="93">
        <v>0</v>
      </c>
      <c r="N392" s="94">
        <f t="shared" si="133"/>
        <v>0</v>
      </c>
      <c r="O392" s="94">
        <f t="shared" si="134"/>
        <v>0</v>
      </c>
      <c r="P392">
        <v>1</v>
      </c>
      <c r="Q392">
        <v>1200</v>
      </c>
      <c r="R392">
        <v>3</v>
      </c>
      <c r="S392">
        <v>4000</v>
      </c>
    </row>
    <row r="393" spans="1:19" x14ac:dyDescent="0.2">
      <c r="A393" s="6" t="s">
        <v>135</v>
      </c>
      <c r="B393" s="92" t="s">
        <v>158</v>
      </c>
      <c r="C393" s="92">
        <v>8</v>
      </c>
      <c r="D393" s="95">
        <v>0</v>
      </c>
      <c r="E393" s="95">
        <v>0</v>
      </c>
      <c r="F393" s="90">
        <f t="shared" si="129"/>
        <v>0</v>
      </c>
      <c r="G393" s="90">
        <f t="shared" si="130"/>
        <v>0</v>
      </c>
      <c r="H393" s="90">
        <v>0</v>
      </c>
      <c r="I393" s="90">
        <v>0</v>
      </c>
      <c r="J393" s="90">
        <f t="shared" si="131"/>
        <v>0</v>
      </c>
      <c r="K393" s="90">
        <f t="shared" si="132"/>
        <v>0</v>
      </c>
      <c r="L393" s="92">
        <v>0</v>
      </c>
      <c r="M393" s="93">
        <v>0</v>
      </c>
      <c r="N393" s="94">
        <f t="shared" si="133"/>
        <v>0</v>
      </c>
      <c r="O393" s="94">
        <f t="shared" si="134"/>
        <v>0</v>
      </c>
      <c r="P393" s="88"/>
      <c r="Q393" s="88">
        <v>0</v>
      </c>
    </row>
    <row r="394" spans="1:19" x14ac:dyDescent="0.2">
      <c r="A394" s="6" t="s">
        <v>135</v>
      </c>
      <c r="B394" s="92" t="s">
        <v>159</v>
      </c>
      <c r="C394" s="92">
        <v>9</v>
      </c>
      <c r="D394" s="95">
        <v>0</v>
      </c>
      <c r="E394" s="95">
        <v>0</v>
      </c>
      <c r="F394" s="90">
        <f t="shared" si="129"/>
        <v>0</v>
      </c>
      <c r="G394" s="90">
        <f t="shared" si="130"/>
        <v>0</v>
      </c>
      <c r="H394" s="90">
        <v>0</v>
      </c>
      <c r="I394" s="90">
        <v>0</v>
      </c>
      <c r="J394" s="90">
        <f t="shared" si="131"/>
        <v>0</v>
      </c>
      <c r="K394" s="90">
        <f t="shared" si="132"/>
        <v>0</v>
      </c>
      <c r="L394" s="92">
        <v>0</v>
      </c>
      <c r="M394" s="93">
        <v>0</v>
      </c>
      <c r="N394" s="94">
        <f t="shared" si="133"/>
        <v>0</v>
      </c>
      <c r="O394" s="94">
        <f t="shared" si="134"/>
        <v>0</v>
      </c>
      <c r="P394" s="88"/>
      <c r="Q394" s="88">
        <v>0</v>
      </c>
    </row>
    <row r="395" spans="1:19" x14ac:dyDescent="0.2">
      <c r="A395" s="6" t="s">
        <v>135</v>
      </c>
      <c r="B395" s="92" t="s">
        <v>160</v>
      </c>
      <c r="C395" s="92">
        <v>10</v>
      </c>
      <c r="D395" s="95">
        <v>0</v>
      </c>
      <c r="E395" s="95">
        <v>0</v>
      </c>
      <c r="F395" s="90">
        <f t="shared" si="129"/>
        <v>0</v>
      </c>
      <c r="G395" s="90">
        <f t="shared" si="130"/>
        <v>0</v>
      </c>
      <c r="H395" s="90">
        <v>0</v>
      </c>
      <c r="I395" s="90">
        <v>0</v>
      </c>
      <c r="J395" s="90">
        <f t="shared" si="131"/>
        <v>0</v>
      </c>
      <c r="K395" s="90">
        <f t="shared" si="132"/>
        <v>0</v>
      </c>
      <c r="L395" s="92">
        <v>0</v>
      </c>
      <c r="M395" s="93">
        <v>0</v>
      </c>
      <c r="N395" s="94">
        <f t="shared" si="133"/>
        <v>0</v>
      </c>
      <c r="O395" s="94">
        <f t="shared" si="134"/>
        <v>0</v>
      </c>
      <c r="P395" s="88"/>
      <c r="Q395" s="88">
        <v>0</v>
      </c>
    </row>
    <row r="396" spans="1:19" x14ac:dyDescent="0.2">
      <c r="A396" s="6" t="s">
        <v>135</v>
      </c>
      <c r="B396" s="92" t="s">
        <v>161</v>
      </c>
      <c r="C396" s="92">
        <v>11</v>
      </c>
      <c r="D396" s="95">
        <v>0</v>
      </c>
      <c r="E396" s="95">
        <v>0</v>
      </c>
      <c r="F396" s="90">
        <f t="shared" si="129"/>
        <v>0</v>
      </c>
      <c r="G396" s="90">
        <f t="shared" si="130"/>
        <v>0</v>
      </c>
      <c r="H396" s="90">
        <v>0</v>
      </c>
      <c r="I396" s="90">
        <v>0</v>
      </c>
      <c r="J396" s="90">
        <f t="shared" si="131"/>
        <v>0</v>
      </c>
      <c r="K396" s="90">
        <f t="shared" si="132"/>
        <v>0</v>
      </c>
      <c r="L396" s="92">
        <v>0</v>
      </c>
      <c r="M396" s="93">
        <v>0</v>
      </c>
      <c r="N396" s="94">
        <f t="shared" si="133"/>
        <v>0</v>
      </c>
      <c r="O396" s="94">
        <f t="shared" si="134"/>
        <v>0</v>
      </c>
      <c r="P396" s="88"/>
      <c r="Q396" s="88">
        <v>0</v>
      </c>
    </row>
    <row r="397" spans="1:19" x14ac:dyDescent="0.2">
      <c r="A397" s="6" t="s">
        <v>135</v>
      </c>
      <c r="B397" s="92" t="s">
        <v>162</v>
      </c>
      <c r="C397" s="92">
        <v>12</v>
      </c>
      <c r="D397" s="95">
        <v>0</v>
      </c>
      <c r="E397" s="95">
        <v>0</v>
      </c>
      <c r="F397" s="90">
        <f t="shared" si="129"/>
        <v>0</v>
      </c>
      <c r="G397" s="90">
        <f t="shared" si="130"/>
        <v>0</v>
      </c>
      <c r="H397" s="90">
        <v>0</v>
      </c>
      <c r="I397" s="90">
        <v>0</v>
      </c>
      <c r="J397" s="90">
        <f t="shared" si="131"/>
        <v>0</v>
      </c>
      <c r="K397" s="90">
        <f t="shared" si="132"/>
        <v>0</v>
      </c>
      <c r="L397" s="92">
        <v>0</v>
      </c>
      <c r="M397" s="93">
        <v>0</v>
      </c>
      <c r="N397" s="94">
        <f t="shared" si="133"/>
        <v>0</v>
      </c>
      <c r="O397" s="94">
        <f t="shared" si="134"/>
        <v>0</v>
      </c>
      <c r="P397" s="88"/>
      <c r="Q397" s="88">
        <v>0</v>
      </c>
    </row>
    <row r="398" spans="1:19" x14ac:dyDescent="0.2">
      <c r="A398" s="6" t="s">
        <v>103</v>
      </c>
      <c r="B398" s="92" t="s">
        <v>151</v>
      </c>
      <c r="C398" s="92">
        <v>1</v>
      </c>
      <c r="D398" s="95">
        <v>0</v>
      </c>
      <c r="E398" s="95">
        <v>0</v>
      </c>
      <c r="F398" s="90">
        <f>D398</f>
        <v>0</v>
      </c>
      <c r="G398" s="90">
        <f>E398</f>
        <v>0</v>
      </c>
      <c r="H398" s="91">
        <v>0</v>
      </c>
      <c r="I398" s="91">
        <v>0</v>
      </c>
      <c r="J398" s="91">
        <f>H398</f>
        <v>0</v>
      </c>
      <c r="K398" s="91">
        <f>I398</f>
        <v>0</v>
      </c>
      <c r="L398" s="92">
        <v>4</v>
      </c>
      <c r="M398" s="93">
        <v>11396.38</v>
      </c>
      <c r="N398" s="94">
        <f>L398</f>
        <v>4</v>
      </c>
      <c r="O398" s="94">
        <f>M398</f>
        <v>11396.38</v>
      </c>
      <c r="P398">
        <v>0</v>
      </c>
      <c r="Q398">
        <v>0</v>
      </c>
      <c r="R398">
        <v>0</v>
      </c>
      <c r="S398">
        <v>0</v>
      </c>
    </row>
    <row r="399" spans="1:19" x14ac:dyDescent="0.2">
      <c r="A399" s="6" t="s">
        <v>103</v>
      </c>
      <c r="B399" s="92" t="s">
        <v>152</v>
      </c>
      <c r="C399" s="92">
        <v>2</v>
      </c>
      <c r="D399" s="95">
        <v>0</v>
      </c>
      <c r="E399" s="95">
        <v>0</v>
      </c>
      <c r="F399" s="90">
        <f t="shared" ref="F399:G409" si="135">F398+D399</f>
        <v>0</v>
      </c>
      <c r="G399" s="90">
        <f t="shared" si="135"/>
        <v>0</v>
      </c>
      <c r="H399" s="91">
        <v>0</v>
      </c>
      <c r="I399" s="91">
        <v>0</v>
      </c>
      <c r="J399" s="91">
        <f t="shared" ref="J399:K409" si="136">J398+H399</f>
        <v>0</v>
      </c>
      <c r="K399" s="91">
        <f t="shared" si="136"/>
        <v>0</v>
      </c>
      <c r="L399" s="92">
        <v>0</v>
      </c>
      <c r="M399" s="93">
        <v>0</v>
      </c>
      <c r="N399" s="94">
        <f t="shared" ref="N399:N409" si="137">N398+L399</f>
        <v>4</v>
      </c>
      <c r="O399" s="94">
        <f t="shared" ref="O399:O409" si="138">O398+M399</f>
        <v>11396.38</v>
      </c>
      <c r="P399">
        <v>2</v>
      </c>
      <c r="Q399">
        <v>3900</v>
      </c>
      <c r="R399">
        <v>2</v>
      </c>
      <c r="S399">
        <v>3900</v>
      </c>
    </row>
    <row r="400" spans="1:19" x14ac:dyDescent="0.2">
      <c r="A400" s="6" t="s">
        <v>103</v>
      </c>
      <c r="B400" s="92" t="s">
        <v>153</v>
      </c>
      <c r="C400" s="92">
        <v>3</v>
      </c>
      <c r="D400" s="95">
        <v>0</v>
      </c>
      <c r="E400" s="95">
        <v>0</v>
      </c>
      <c r="F400" s="90">
        <f t="shared" si="135"/>
        <v>0</v>
      </c>
      <c r="G400" s="90">
        <f t="shared" si="135"/>
        <v>0</v>
      </c>
      <c r="H400" s="91">
        <v>0</v>
      </c>
      <c r="I400" s="91">
        <v>0</v>
      </c>
      <c r="J400" s="91">
        <f t="shared" si="136"/>
        <v>0</v>
      </c>
      <c r="K400" s="91">
        <f t="shared" si="136"/>
        <v>0</v>
      </c>
      <c r="L400" s="92">
        <v>0</v>
      </c>
      <c r="M400" s="93">
        <v>0</v>
      </c>
      <c r="N400" s="94">
        <f t="shared" si="137"/>
        <v>4</v>
      </c>
      <c r="O400" s="94">
        <f t="shared" si="138"/>
        <v>11396.38</v>
      </c>
      <c r="P400">
        <v>3</v>
      </c>
      <c r="Q400">
        <v>8000</v>
      </c>
      <c r="R400">
        <v>5</v>
      </c>
      <c r="S400">
        <v>11900</v>
      </c>
    </row>
    <row r="401" spans="1:19" x14ac:dyDescent="0.2">
      <c r="A401" s="6" t="s">
        <v>103</v>
      </c>
      <c r="B401" s="92" t="s">
        <v>154</v>
      </c>
      <c r="C401" s="92">
        <v>4</v>
      </c>
      <c r="D401" s="90">
        <v>2</v>
      </c>
      <c r="E401" s="90">
        <v>7697.41</v>
      </c>
      <c r="F401" s="90">
        <f t="shared" si="135"/>
        <v>2</v>
      </c>
      <c r="G401" s="90">
        <f t="shared" si="135"/>
        <v>7697.41</v>
      </c>
      <c r="H401" s="91">
        <v>2</v>
      </c>
      <c r="I401" s="91">
        <v>2565.35</v>
      </c>
      <c r="J401" s="91">
        <f t="shared" si="136"/>
        <v>2</v>
      </c>
      <c r="K401" s="91">
        <f t="shared" si="136"/>
        <v>2565.35</v>
      </c>
      <c r="L401" s="92">
        <v>4</v>
      </c>
      <c r="M401" s="93">
        <v>8500</v>
      </c>
      <c r="N401" s="94">
        <f t="shared" si="137"/>
        <v>8</v>
      </c>
      <c r="O401" s="94">
        <f t="shared" si="138"/>
        <v>19896.379999999997</v>
      </c>
      <c r="P401">
        <v>0</v>
      </c>
      <c r="Q401">
        <v>0</v>
      </c>
      <c r="R401">
        <v>5</v>
      </c>
      <c r="S401">
        <v>11900</v>
      </c>
    </row>
    <row r="402" spans="1:19" x14ac:dyDescent="0.2">
      <c r="A402" s="6" t="s">
        <v>103</v>
      </c>
      <c r="B402" s="92" t="s">
        <v>155</v>
      </c>
      <c r="C402" s="92">
        <v>5</v>
      </c>
      <c r="D402" s="95">
        <v>0</v>
      </c>
      <c r="E402" s="95">
        <v>0</v>
      </c>
      <c r="F402" s="90">
        <f t="shared" si="135"/>
        <v>2</v>
      </c>
      <c r="G402" s="90">
        <f t="shared" si="135"/>
        <v>7697.41</v>
      </c>
      <c r="H402" s="91">
        <v>5</v>
      </c>
      <c r="I402" s="91">
        <v>6787</v>
      </c>
      <c r="J402" s="91">
        <f t="shared" si="136"/>
        <v>7</v>
      </c>
      <c r="K402" s="91">
        <f t="shared" si="136"/>
        <v>9352.35</v>
      </c>
      <c r="L402" s="92">
        <v>2</v>
      </c>
      <c r="M402" s="93">
        <v>5100</v>
      </c>
      <c r="N402" s="94">
        <f t="shared" si="137"/>
        <v>10</v>
      </c>
      <c r="O402" s="94">
        <f t="shared" si="138"/>
        <v>24996.379999999997</v>
      </c>
      <c r="P402">
        <v>0</v>
      </c>
      <c r="Q402">
        <v>0</v>
      </c>
      <c r="R402">
        <v>5</v>
      </c>
      <c r="S402">
        <v>11900</v>
      </c>
    </row>
    <row r="403" spans="1:19" x14ac:dyDescent="0.2">
      <c r="A403" s="6" t="s">
        <v>103</v>
      </c>
      <c r="B403" s="92" t="s">
        <v>156</v>
      </c>
      <c r="C403" s="92">
        <v>6</v>
      </c>
      <c r="D403" s="95">
        <v>2</v>
      </c>
      <c r="E403" s="95">
        <v>5060</v>
      </c>
      <c r="F403" s="90">
        <f t="shared" si="135"/>
        <v>4</v>
      </c>
      <c r="G403" s="90">
        <f t="shared" si="135"/>
        <v>12757.41</v>
      </c>
      <c r="H403" s="91">
        <v>9</v>
      </c>
      <c r="I403" s="91">
        <v>21575.68</v>
      </c>
      <c r="J403" s="91">
        <f t="shared" si="136"/>
        <v>16</v>
      </c>
      <c r="K403" s="91">
        <f t="shared" si="136"/>
        <v>30928.03</v>
      </c>
      <c r="L403" s="92">
        <v>5</v>
      </c>
      <c r="M403" s="93">
        <v>20137.439999999999</v>
      </c>
      <c r="N403" s="94">
        <f t="shared" si="137"/>
        <v>15</v>
      </c>
      <c r="O403" s="94">
        <f t="shared" si="138"/>
        <v>45133.819999999992</v>
      </c>
      <c r="P403">
        <v>0</v>
      </c>
      <c r="Q403">
        <v>0</v>
      </c>
      <c r="R403">
        <v>5</v>
      </c>
      <c r="S403">
        <v>11900</v>
      </c>
    </row>
    <row r="404" spans="1:19" x14ac:dyDescent="0.2">
      <c r="A404" s="6" t="s">
        <v>103</v>
      </c>
      <c r="B404" s="92" t="s">
        <v>157</v>
      </c>
      <c r="C404" s="92">
        <v>7</v>
      </c>
      <c r="D404" s="95">
        <v>1</v>
      </c>
      <c r="E404" s="95">
        <v>3960</v>
      </c>
      <c r="F404" s="90">
        <f t="shared" si="135"/>
        <v>5</v>
      </c>
      <c r="G404" s="90">
        <f t="shared" si="135"/>
        <v>16717.41</v>
      </c>
      <c r="H404" s="91">
        <v>3</v>
      </c>
      <c r="I404" s="91">
        <v>6140.8</v>
      </c>
      <c r="J404" s="91">
        <f t="shared" si="136"/>
        <v>19</v>
      </c>
      <c r="K404" s="91">
        <f t="shared" si="136"/>
        <v>37068.83</v>
      </c>
      <c r="L404" s="92">
        <v>2</v>
      </c>
      <c r="M404" s="93">
        <v>5050.2</v>
      </c>
      <c r="N404" s="94">
        <f t="shared" si="137"/>
        <v>17</v>
      </c>
      <c r="O404" s="94">
        <f t="shared" si="138"/>
        <v>50184.01999999999</v>
      </c>
      <c r="P404">
        <v>0</v>
      </c>
      <c r="Q404">
        <v>0</v>
      </c>
      <c r="R404">
        <v>5</v>
      </c>
      <c r="S404">
        <v>11900</v>
      </c>
    </row>
    <row r="405" spans="1:19" x14ac:dyDescent="0.2">
      <c r="A405" s="6" t="s">
        <v>103</v>
      </c>
      <c r="B405" s="92" t="s">
        <v>158</v>
      </c>
      <c r="C405" s="92">
        <v>8</v>
      </c>
      <c r="D405" s="95">
        <v>11</v>
      </c>
      <c r="E405" s="90">
        <v>59111.839999999997</v>
      </c>
      <c r="F405" s="90">
        <f t="shared" si="135"/>
        <v>16</v>
      </c>
      <c r="G405" s="90">
        <f t="shared" si="135"/>
        <v>75829.25</v>
      </c>
      <c r="H405" s="91">
        <v>1</v>
      </c>
      <c r="I405" s="91">
        <v>4919.3</v>
      </c>
      <c r="J405" s="91">
        <f t="shared" si="136"/>
        <v>20</v>
      </c>
      <c r="K405" s="91">
        <f t="shared" si="136"/>
        <v>41988.130000000005</v>
      </c>
      <c r="L405" s="92">
        <v>4</v>
      </c>
      <c r="M405" s="93">
        <v>14475</v>
      </c>
      <c r="N405" s="94">
        <f t="shared" si="137"/>
        <v>21</v>
      </c>
      <c r="O405" s="94">
        <f t="shared" si="138"/>
        <v>64659.01999999999</v>
      </c>
      <c r="P405" s="88"/>
      <c r="Q405" s="88">
        <v>0</v>
      </c>
    </row>
    <row r="406" spans="1:19" x14ac:dyDescent="0.2">
      <c r="A406" s="6" t="s">
        <v>103</v>
      </c>
      <c r="B406" s="92" t="s">
        <v>159</v>
      </c>
      <c r="C406" s="92">
        <v>9</v>
      </c>
      <c r="D406" s="95">
        <v>0</v>
      </c>
      <c r="E406" s="95">
        <v>0</v>
      </c>
      <c r="F406" s="90">
        <f t="shared" si="135"/>
        <v>16</v>
      </c>
      <c r="G406" s="90">
        <f t="shared" si="135"/>
        <v>75829.25</v>
      </c>
      <c r="H406" s="91">
        <v>3</v>
      </c>
      <c r="I406" s="91">
        <v>10323.4</v>
      </c>
      <c r="J406" s="91">
        <f t="shared" si="136"/>
        <v>23</v>
      </c>
      <c r="K406" s="91">
        <f t="shared" si="136"/>
        <v>52311.530000000006</v>
      </c>
      <c r="L406" s="92">
        <v>3</v>
      </c>
      <c r="M406" s="93">
        <v>5000.57</v>
      </c>
      <c r="N406" s="94">
        <f t="shared" si="137"/>
        <v>24</v>
      </c>
      <c r="O406" s="94">
        <f t="shared" si="138"/>
        <v>69659.59</v>
      </c>
      <c r="P406" s="88"/>
      <c r="Q406" s="88">
        <v>0</v>
      </c>
    </row>
    <row r="407" spans="1:19" x14ac:dyDescent="0.2">
      <c r="A407" s="6" t="s">
        <v>103</v>
      </c>
      <c r="B407" s="92" t="s">
        <v>160</v>
      </c>
      <c r="C407" s="92">
        <v>10</v>
      </c>
      <c r="D407" s="95">
        <v>0</v>
      </c>
      <c r="E407" s="95">
        <v>0</v>
      </c>
      <c r="F407" s="90">
        <f t="shared" si="135"/>
        <v>16</v>
      </c>
      <c r="G407" s="90">
        <f t="shared" si="135"/>
        <v>75829.25</v>
      </c>
      <c r="H407" s="91">
        <v>4</v>
      </c>
      <c r="I407" s="91">
        <v>10000.049999999999</v>
      </c>
      <c r="J407" s="91">
        <f t="shared" si="136"/>
        <v>27</v>
      </c>
      <c r="K407" s="91">
        <f t="shared" si="136"/>
        <v>62311.58</v>
      </c>
      <c r="L407" s="92">
        <v>5</v>
      </c>
      <c r="M407" s="93">
        <v>14000.57</v>
      </c>
      <c r="N407" s="94">
        <f t="shared" si="137"/>
        <v>29</v>
      </c>
      <c r="O407" s="94">
        <f t="shared" si="138"/>
        <v>83660.160000000003</v>
      </c>
      <c r="P407" s="88"/>
      <c r="Q407" s="88">
        <v>0</v>
      </c>
    </row>
    <row r="408" spans="1:19" x14ac:dyDescent="0.2">
      <c r="A408" s="6" t="s">
        <v>103</v>
      </c>
      <c r="B408" s="92" t="s">
        <v>161</v>
      </c>
      <c r="C408" s="92">
        <v>11</v>
      </c>
      <c r="D408" s="95">
        <v>5</v>
      </c>
      <c r="E408" s="95">
        <v>6000</v>
      </c>
      <c r="F408" s="90">
        <f t="shared" si="135"/>
        <v>21</v>
      </c>
      <c r="G408" s="90">
        <f t="shared" si="135"/>
        <v>81829.25</v>
      </c>
      <c r="H408" s="91">
        <v>11</v>
      </c>
      <c r="I408" s="91">
        <v>40978.28</v>
      </c>
      <c r="J408" s="91">
        <f t="shared" si="136"/>
        <v>38</v>
      </c>
      <c r="K408" s="91">
        <f t="shared" si="136"/>
        <v>103289.86</v>
      </c>
      <c r="L408" s="92">
        <v>8</v>
      </c>
      <c r="M408" s="93">
        <v>20041.2</v>
      </c>
      <c r="N408" s="94">
        <f t="shared" si="137"/>
        <v>37</v>
      </c>
      <c r="O408" s="94">
        <f t="shared" si="138"/>
        <v>103701.36</v>
      </c>
      <c r="P408" s="88"/>
      <c r="Q408" s="88">
        <v>0</v>
      </c>
    </row>
    <row r="409" spans="1:19" x14ac:dyDescent="0.2">
      <c r="A409" s="6" t="s">
        <v>103</v>
      </c>
      <c r="B409" s="92" t="s">
        <v>162</v>
      </c>
      <c r="C409" s="92">
        <v>12</v>
      </c>
      <c r="D409" s="95">
        <v>6</v>
      </c>
      <c r="E409" s="90">
        <v>13179.539999999999</v>
      </c>
      <c r="F409" s="90">
        <f t="shared" si="135"/>
        <v>27</v>
      </c>
      <c r="G409" s="90">
        <f t="shared" si="135"/>
        <v>95008.79</v>
      </c>
      <c r="H409" s="91">
        <v>6</v>
      </c>
      <c r="I409" s="91">
        <v>12050.25</v>
      </c>
      <c r="J409" s="91">
        <f t="shared" si="136"/>
        <v>44</v>
      </c>
      <c r="K409" s="91">
        <f t="shared" si="136"/>
        <v>115340.11</v>
      </c>
      <c r="L409" s="92">
        <v>15</v>
      </c>
      <c r="M409" s="93">
        <v>34227.21</v>
      </c>
      <c r="N409" s="94">
        <f t="shared" si="137"/>
        <v>52</v>
      </c>
      <c r="O409" s="94">
        <f t="shared" si="138"/>
        <v>137928.57</v>
      </c>
      <c r="P409" s="88"/>
      <c r="Q409" s="88">
        <v>0</v>
      </c>
    </row>
    <row r="410" spans="1:19" x14ac:dyDescent="0.2">
      <c r="A410" s="6" t="s">
        <v>85</v>
      </c>
      <c r="B410" s="92" t="s">
        <v>151</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v>0</v>
      </c>
      <c r="Q410">
        <v>0</v>
      </c>
      <c r="R410">
        <v>0</v>
      </c>
      <c r="S410">
        <v>0</v>
      </c>
    </row>
    <row r="411" spans="1:19" x14ac:dyDescent="0.2">
      <c r="A411" s="6" t="s">
        <v>85</v>
      </c>
      <c r="B411" s="92" t="s">
        <v>152</v>
      </c>
      <c r="C411" s="92">
        <v>2</v>
      </c>
      <c r="D411" s="95">
        <v>0</v>
      </c>
      <c r="E411" s="95">
        <v>0</v>
      </c>
      <c r="F411" s="90">
        <f t="shared" ref="F411:F421" si="139">F410+D411</f>
        <v>0</v>
      </c>
      <c r="G411" s="90">
        <f t="shared" ref="G411:G421" si="140">G410+E411</f>
        <v>0</v>
      </c>
      <c r="H411" s="90">
        <v>0</v>
      </c>
      <c r="I411" s="90">
        <v>0</v>
      </c>
      <c r="J411" s="90">
        <f t="shared" ref="J411:J421" si="141">J410+H411</f>
        <v>0</v>
      </c>
      <c r="K411" s="90">
        <f t="shared" ref="K411:K421" si="142">K410+I411</f>
        <v>0</v>
      </c>
      <c r="L411" s="92">
        <v>0</v>
      </c>
      <c r="M411" s="93">
        <v>0</v>
      </c>
      <c r="N411" s="94">
        <f t="shared" ref="N411:N421" si="143">N410+L411</f>
        <v>0</v>
      </c>
      <c r="O411" s="94">
        <f t="shared" ref="O411:O421" si="144">O410+M411</f>
        <v>0</v>
      </c>
      <c r="P411">
        <v>0</v>
      </c>
      <c r="Q411">
        <v>0</v>
      </c>
      <c r="R411">
        <v>0</v>
      </c>
      <c r="S411">
        <v>0</v>
      </c>
    </row>
    <row r="412" spans="1:19" x14ac:dyDescent="0.2">
      <c r="A412" s="6" t="s">
        <v>85</v>
      </c>
      <c r="B412" s="92" t="s">
        <v>153</v>
      </c>
      <c r="C412" s="92">
        <v>3</v>
      </c>
      <c r="D412" s="95">
        <v>0</v>
      </c>
      <c r="E412" s="95">
        <v>0</v>
      </c>
      <c r="F412" s="90">
        <f t="shared" si="139"/>
        <v>0</v>
      </c>
      <c r="G412" s="90">
        <f t="shared" si="140"/>
        <v>0</v>
      </c>
      <c r="H412" s="90">
        <v>0</v>
      </c>
      <c r="I412" s="90">
        <v>0</v>
      </c>
      <c r="J412" s="90">
        <f t="shared" si="141"/>
        <v>0</v>
      </c>
      <c r="K412" s="90">
        <f t="shared" si="142"/>
        <v>0</v>
      </c>
      <c r="L412" s="92">
        <v>0</v>
      </c>
      <c r="M412" s="93">
        <v>0</v>
      </c>
      <c r="N412" s="94">
        <f t="shared" si="143"/>
        <v>0</v>
      </c>
      <c r="O412" s="94">
        <f t="shared" si="144"/>
        <v>0</v>
      </c>
      <c r="P412">
        <v>0</v>
      </c>
      <c r="Q412">
        <v>0</v>
      </c>
      <c r="R412">
        <v>0</v>
      </c>
      <c r="S412">
        <v>0</v>
      </c>
    </row>
    <row r="413" spans="1:19" x14ac:dyDescent="0.2">
      <c r="A413" s="6" t="s">
        <v>85</v>
      </c>
      <c r="B413" s="92" t="s">
        <v>154</v>
      </c>
      <c r="C413" s="92">
        <v>4</v>
      </c>
      <c r="D413" s="95">
        <v>0</v>
      </c>
      <c r="E413" s="95">
        <v>0</v>
      </c>
      <c r="F413" s="90">
        <f t="shared" si="139"/>
        <v>0</v>
      </c>
      <c r="G413" s="90">
        <f t="shared" si="140"/>
        <v>0</v>
      </c>
      <c r="H413" s="90">
        <v>0</v>
      </c>
      <c r="I413" s="90">
        <v>0</v>
      </c>
      <c r="J413" s="90">
        <f t="shared" si="141"/>
        <v>0</v>
      </c>
      <c r="K413" s="90">
        <f t="shared" si="142"/>
        <v>0</v>
      </c>
      <c r="L413" s="92">
        <v>0</v>
      </c>
      <c r="M413" s="93">
        <v>0</v>
      </c>
      <c r="N413" s="94">
        <f t="shared" si="143"/>
        <v>0</v>
      </c>
      <c r="O413" s="94">
        <f t="shared" si="144"/>
        <v>0</v>
      </c>
      <c r="P413">
        <v>0</v>
      </c>
      <c r="Q413">
        <v>0</v>
      </c>
      <c r="R413">
        <v>0</v>
      </c>
      <c r="S413">
        <v>0</v>
      </c>
    </row>
    <row r="414" spans="1:19" x14ac:dyDescent="0.2">
      <c r="A414" s="6" t="s">
        <v>85</v>
      </c>
      <c r="B414" s="92" t="s">
        <v>155</v>
      </c>
      <c r="C414" s="92">
        <v>5</v>
      </c>
      <c r="D414" s="95">
        <v>0</v>
      </c>
      <c r="E414" s="95">
        <v>0</v>
      </c>
      <c r="F414" s="90">
        <f t="shared" si="139"/>
        <v>0</v>
      </c>
      <c r="G414" s="90">
        <f t="shared" si="140"/>
        <v>0</v>
      </c>
      <c r="H414" s="90">
        <v>0</v>
      </c>
      <c r="I414" s="90">
        <v>0</v>
      </c>
      <c r="J414" s="90">
        <f t="shared" si="141"/>
        <v>0</v>
      </c>
      <c r="K414" s="90">
        <f t="shared" si="142"/>
        <v>0</v>
      </c>
      <c r="L414" s="92">
        <v>0</v>
      </c>
      <c r="M414" s="93">
        <v>0</v>
      </c>
      <c r="N414" s="94">
        <f t="shared" si="143"/>
        <v>0</v>
      </c>
      <c r="O414" s="94">
        <f t="shared" si="144"/>
        <v>0</v>
      </c>
      <c r="P414">
        <v>1</v>
      </c>
      <c r="Q414">
        <v>300</v>
      </c>
      <c r="R414">
        <v>1</v>
      </c>
      <c r="S414">
        <v>300</v>
      </c>
    </row>
    <row r="415" spans="1:19" x14ac:dyDescent="0.2">
      <c r="A415" s="6" t="s">
        <v>85</v>
      </c>
      <c r="B415" s="92" t="s">
        <v>156</v>
      </c>
      <c r="C415" s="92">
        <v>6</v>
      </c>
      <c r="D415" s="95">
        <v>0</v>
      </c>
      <c r="E415" s="95">
        <v>0</v>
      </c>
      <c r="F415" s="90">
        <f t="shared" si="139"/>
        <v>0</v>
      </c>
      <c r="G415" s="90">
        <f t="shared" si="140"/>
        <v>0</v>
      </c>
      <c r="H415" s="90">
        <v>0</v>
      </c>
      <c r="I415" s="90">
        <v>0</v>
      </c>
      <c r="J415" s="90">
        <f t="shared" si="141"/>
        <v>0</v>
      </c>
      <c r="K415" s="90">
        <f t="shared" si="142"/>
        <v>0</v>
      </c>
      <c r="L415" s="92">
        <v>0</v>
      </c>
      <c r="M415" s="93">
        <v>0</v>
      </c>
      <c r="N415" s="94">
        <f t="shared" si="143"/>
        <v>0</v>
      </c>
      <c r="O415" s="94">
        <f t="shared" si="144"/>
        <v>0</v>
      </c>
      <c r="P415">
        <v>3</v>
      </c>
      <c r="Q415">
        <v>550</v>
      </c>
      <c r="R415">
        <v>4</v>
      </c>
      <c r="S415">
        <v>850</v>
      </c>
    </row>
    <row r="416" spans="1:19" x14ac:dyDescent="0.2">
      <c r="A416" s="6" t="s">
        <v>85</v>
      </c>
      <c r="B416" s="92" t="s">
        <v>157</v>
      </c>
      <c r="C416" s="92">
        <v>7</v>
      </c>
      <c r="D416" s="95">
        <v>0</v>
      </c>
      <c r="E416" s="95">
        <v>0</v>
      </c>
      <c r="F416" s="90">
        <f t="shared" si="139"/>
        <v>0</v>
      </c>
      <c r="G416" s="90">
        <f t="shared" si="140"/>
        <v>0</v>
      </c>
      <c r="H416" s="90">
        <v>0</v>
      </c>
      <c r="I416" s="90">
        <v>0</v>
      </c>
      <c r="J416" s="90">
        <f t="shared" si="141"/>
        <v>0</v>
      </c>
      <c r="K416" s="90">
        <f t="shared" si="142"/>
        <v>0</v>
      </c>
      <c r="L416" s="92">
        <v>0</v>
      </c>
      <c r="M416" s="93">
        <v>0</v>
      </c>
      <c r="N416" s="94">
        <f t="shared" si="143"/>
        <v>0</v>
      </c>
      <c r="O416" s="94">
        <f t="shared" si="144"/>
        <v>0</v>
      </c>
      <c r="P416">
        <v>10</v>
      </c>
      <c r="Q416">
        <v>3100</v>
      </c>
      <c r="R416">
        <v>14</v>
      </c>
      <c r="S416">
        <v>3950</v>
      </c>
    </row>
    <row r="417" spans="1:19" x14ac:dyDescent="0.2">
      <c r="A417" s="6" t="s">
        <v>85</v>
      </c>
      <c r="B417" s="92" t="s">
        <v>158</v>
      </c>
      <c r="C417" s="92">
        <v>8</v>
      </c>
      <c r="D417" s="95">
        <v>0</v>
      </c>
      <c r="E417" s="95">
        <v>0</v>
      </c>
      <c r="F417" s="90">
        <f t="shared" si="139"/>
        <v>0</v>
      </c>
      <c r="G417" s="90">
        <f t="shared" si="140"/>
        <v>0</v>
      </c>
      <c r="H417" s="90">
        <v>0</v>
      </c>
      <c r="I417" s="90">
        <v>0</v>
      </c>
      <c r="J417" s="90">
        <f t="shared" si="141"/>
        <v>0</v>
      </c>
      <c r="K417" s="90">
        <f t="shared" si="142"/>
        <v>0</v>
      </c>
      <c r="L417" s="92">
        <v>0</v>
      </c>
      <c r="M417" s="93">
        <v>0</v>
      </c>
      <c r="N417" s="94">
        <f t="shared" si="143"/>
        <v>0</v>
      </c>
      <c r="O417" s="94">
        <f t="shared" si="144"/>
        <v>0</v>
      </c>
      <c r="P417" s="88"/>
      <c r="Q417" s="88">
        <v>0</v>
      </c>
    </row>
    <row r="418" spans="1:19" x14ac:dyDescent="0.2">
      <c r="A418" s="6" t="s">
        <v>85</v>
      </c>
      <c r="B418" s="92" t="s">
        <v>159</v>
      </c>
      <c r="C418" s="92">
        <v>9</v>
      </c>
      <c r="D418" s="95">
        <v>0</v>
      </c>
      <c r="E418" s="95">
        <v>0</v>
      </c>
      <c r="F418" s="90">
        <f t="shared" si="139"/>
        <v>0</v>
      </c>
      <c r="G418" s="90">
        <f t="shared" si="140"/>
        <v>0</v>
      </c>
      <c r="H418" s="90">
        <v>0</v>
      </c>
      <c r="I418" s="90">
        <v>0</v>
      </c>
      <c r="J418" s="90">
        <f t="shared" si="141"/>
        <v>0</v>
      </c>
      <c r="K418" s="90">
        <f t="shared" si="142"/>
        <v>0</v>
      </c>
      <c r="L418" s="92">
        <v>3</v>
      </c>
      <c r="M418" s="93">
        <v>355</v>
      </c>
      <c r="N418" s="94">
        <f t="shared" si="143"/>
        <v>3</v>
      </c>
      <c r="O418" s="94">
        <f t="shared" si="144"/>
        <v>355</v>
      </c>
      <c r="P418" s="88"/>
      <c r="Q418" s="88">
        <v>0</v>
      </c>
    </row>
    <row r="419" spans="1:19" x14ac:dyDescent="0.2">
      <c r="A419" s="6" t="s">
        <v>85</v>
      </c>
      <c r="B419" s="92" t="s">
        <v>160</v>
      </c>
      <c r="C419" s="92">
        <v>10</v>
      </c>
      <c r="D419" s="95">
        <v>0</v>
      </c>
      <c r="E419" s="95">
        <v>0</v>
      </c>
      <c r="F419" s="90">
        <f t="shared" si="139"/>
        <v>0</v>
      </c>
      <c r="G419" s="90">
        <f t="shared" si="140"/>
        <v>0</v>
      </c>
      <c r="H419" s="90">
        <v>0</v>
      </c>
      <c r="I419" s="90">
        <v>0</v>
      </c>
      <c r="J419" s="90">
        <f t="shared" si="141"/>
        <v>0</v>
      </c>
      <c r="K419" s="90">
        <f t="shared" si="142"/>
        <v>0</v>
      </c>
      <c r="L419" s="92">
        <v>1</v>
      </c>
      <c r="M419" s="93">
        <v>200</v>
      </c>
      <c r="N419" s="94">
        <f t="shared" si="143"/>
        <v>4</v>
      </c>
      <c r="O419" s="94">
        <f t="shared" si="144"/>
        <v>555</v>
      </c>
      <c r="P419" s="88"/>
      <c r="Q419" s="88">
        <v>0</v>
      </c>
    </row>
    <row r="420" spans="1:19" x14ac:dyDescent="0.2">
      <c r="A420" s="6" t="s">
        <v>85</v>
      </c>
      <c r="B420" s="92" t="s">
        <v>161</v>
      </c>
      <c r="C420" s="92">
        <v>11</v>
      </c>
      <c r="D420" s="95">
        <v>0</v>
      </c>
      <c r="E420" s="95">
        <v>0</v>
      </c>
      <c r="F420" s="90">
        <f t="shared" si="139"/>
        <v>0</v>
      </c>
      <c r="G420" s="90">
        <f t="shared" si="140"/>
        <v>0</v>
      </c>
      <c r="H420" s="90">
        <v>0</v>
      </c>
      <c r="I420" s="90">
        <v>0</v>
      </c>
      <c r="J420" s="90">
        <f t="shared" si="141"/>
        <v>0</v>
      </c>
      <c r="K420" s="90">
        <f t="shared" si="142"/>
        <v>0</v>
      </c>
      <c r="L420" s="92">
        <v>7</v>
      </c>
      <c r="M420" s="93">
        <v>3240</v>
      </c>
      <c r="N420" s="94">
        <f t="shared" si="143"/>
        <v>11</v>
      </c>
      <c r="O420" s="94">
        <f t="shared" si="144"/>
        <v>3795</v>
      </c>
      <c r="P420" s="88"/>
      <c r="Q420" s="88">
        <v>0</v>
      </c>
    </row>
    <row r="421" spans="1:19" x14ac:dyDescent="0.2">
      <c r="A421" s="6" t="s">
        <v>85</v>
      </c>
      <c r="B421" s="92" t="s">
        <v>162</v>
      </c>
      <c r="C421" s="92">
        <v>12</v>
      </c>
      <c r="D421" s="95">
        <v>0</v>
      </c>
      <c r="E421" s="95">
        <v>0</v>
      </c>
      <c r="F421" s="90">
        <f t="shared" si="139"/>
        <v>0</v>
      </c>
      <c r="G421" s="90">
        <f t="shared" si="140"/>
        <v>0</v>
      </c>
      <c r="H421" s="90">
        <v>0</v>
      </c>
      <c r="I421" s="90">
        <v>0</v>
      </c>
      <c r="J421" s="90">
        <f t="shared" si="141"/>
        <v>0</v>
      </c>
      <c r="K421" s="90">
        <f t="shared" si="142"/>
        <v>0</v>
      </c>
      <c r="L421" s="92">
        <v>2</v>
      </c>
      <c r="M421" s="93">
        <v>200</v>
      </c>
      <c r="N421" s="94">
        <f t="shared" si="143"/>
        <v>13</v>
      </c>
      <c r="O421" s="94">
        <f t="shared" si="144"/>
        <v>3995</v>
      </c>
      <c r="P421" s="88"/>
      <c r="Q421" s="88">
        <v>0</v>
      </c>
    </row>
    <row r="422" spans="1:19" x14ac:dyDescent="0.2">
      <c r="A422" s="6" t="s">
        <v>121</v>
      </c>
      <c r="B422" s="92" t="s">
        <v>151</v>
      </c>
      <c r="C422" s="92">
        <v>1</v>
      </c>
      <c r="D422" s="95">
        <v>2</v>
      </c>
      <c r="E422" s="90">
        <v>10506.67</v>
      </c>
      <c r="F422" s="90">
        <f>D422</f>
        <v>2</v>
      </c>
      <c r="G422" s="90">
        <f>E422</f>
        <v>10506.67</v>
      </c>
      <c r="H422" s="91">
        <v>0</v>
      </c>
      <c r="I422" s="91">
        <v>0</v>
      </c>
      <c r="J422" s="91">
        <f>H422</f>
        <v>0</v>
      </c>
      <c r="K422" s="91">
        <f>I422</f>
        <v>0</v>
      </c>
      <c r="L422" s="92">
        <v>5</v>
      </c>
      <c r="M422" s="93">
        <v>135500</v>
      </c>
      <c r="N422" s="94">
        <f>L422</f>
        <v>5</v>
      </c>
      <c r="O422" s="94">
        <f>M422</f>
        <v>135500</v>
      </c>
      <c r="P422">
        <v>1</v>
      </c>
      <c r="Q422">
        <v>9000</v>
      </c>
      <c r="R422">
        <v>1</v>
      </c>
      <c r="S422">
        <v>9000</v>
      </c>
    </row>
    <row r="423" spans="1:19" x14ac:dyDescent="0.2">
      <c r="A423" s="6" t="s">
        <v>121</v>
      </c>
      <c r="B423" s="92" t="s">
        <v>152</v>
      </c>
      <c r="C423" s="92">
        <v>2</v>
      </c>
      <c r="D423" s="95">
        <v>13</v>
      </c>
      <c r="E423" s="90">
        <v>3685</v>
      </c>
      <c r="F423" s="90">
        <f t="shared" ref="F423:G433" si="145">F422+D423</f>
        <v>15</v>
      </c>
      <c r="G423" s="90">
        <f t="shared" si="145"/>
        <v>14191.67</v>
      </c>
      <c r="H423" s="91">
        <v>1</v>
      </c>
      <c r="I423" s="91">
        <v>3000</v>
      </c>
      <c r="J423" s="91">
        <f t="shared" ref="J423:K433" si="146">J422+H423</f>
        <v>1</v>
      </c>
      <c r="K423" s="91">
        <f t="shared" si="146"/>
        <v>3000</v>
      </c>
      <c r="L423" s="92">
        <v>0</v>
      </c>
      <c r="M423" s="93">
        <v>0</v>
      </c>
      <c r="N423" s="94">
        <f t="shared" ref="N423:N433" si="147">N422+L423</f>
        <v>5</v>
      </c>
      <c r="O423" s="94">
        <f t="shared" ref="O423:O433" si="148">O422+M423</f>
        <v>135500</v>
      </c>
      <c r="P423">
        <v>1</v>
      </c>
      <c r="Q423">
        <v>4600</v>
      </c>
      <c r="R423">
        <v>2</v>
      </c>
      <c r="S423">
        <v>13600</v>
      </c>
    </row>
    <row r="424" spans="1:19" x14ac:dyDescent="0.2">
      <c r="A424" s="6" t="s">
        <v>121</v>
      </c>
      <c r="B424" s="92" t="s">
        <v>153</v>
      </c>
      <c r="C424" s="92">
        <v>3</v>
      </c>
      <c r="D424" s="95">
        <v>0</v>
      </c>
      <c r="E424" s="95">
        <v>0</v>
      </c>
      <c r="F424" s="90">
        <f t="shared" si="145"/>
        <v>15</v>
      </c>
      <c r="G424" s="90">
        <f t="shared" si="145"/>
        <v>14191.67</v>
      </c>
      <c r="H424" s="91">
        <v>0</v>
      </c>
      <c r="I424" s="91">
        <v>0</v>
      </c>
      <c r="J424" s="91">
        <f t="shared" si="146"/>
        <v>1</v>
      </c>
      <c r="K424" s="91">
        <f t="shared" si="146"/>
        <v>3000</v>
      </c>
      <c r="L424" s="92">
        <v>0</v>
      </c>
      <c r="M424" s="93">
        <v>0</v>
      </c>
      <c r="N424" s="94">
        <f t="shared" si="147"/>
        <v>5</v>
      </c>
      <c r="O424" s="94">
        <f t="shared" si="148"/>
        <v>135500</v>
      </c>
      <c r="P424">
        <v>1</v>
      </c>
      <c r="Q424">
        <v>19880</v>
      </c>
      <c r="R424">
        <v>3</v>
      </c>
      <c r="S424">
        <v>33480</v>
      </c>
    </row>
    <row r="425" spans="1:19" x14ac:dyDescent="0.2">
      <c r="A425" s="6" t="s">
        <v>121</v>
      </c>
      <c r="B425" s="92" t="s">
        <v>154</v>
      </c>
      <c r="C425" s="92">
        <v>4</v>
      </c>
      <c r="D425" s="95">
        <v>0</v>
      </c>
      <c r="E425" s="95">
        <v>0</v>
      </c>
      <c r="F425" s="90">
        <f t="shared" si="145"/>
        <v>15</v>
      </c>
      <c r="G425" s="90">
        <f t="shared" si="145"/>
        <v>14191.67</v>
      </c>
      <c r="H425" s="91">
        <v>0</v>
      </c>
      <c r="I425" s="91">
        <v>0</v>
      </c>
      <c r="J425" s="91">
        <f t="shared" si="146"/>
        <v>1</v>
      </c>
      <c r="K425" s="91">
        <f t="shared" si="146"/>
        <v>3000</v>
      </c>
      <c r="L425" s="92">
        <v>4</v>
      </c>
      <c r="M425" s="93">
        <v>17500</v>
      </c>
      <c r="N425" s="94">
        <f t="shared" si="147"/>
        <v>9</v>
      </c>
      <c r="O425" s="94">
        <f t="shared" si="148"/>
        <v>153000</v>
      </c>
      <c r="P425">
        <v>1</v>
      </c>
      <c r="Q425">
        <v>12880</v>
      </c>
      <c r="R425">
        <v>4</v>
      </c>
      <c r="S425">
        <v>46360</v>
      </c>
    </row>
    <row r="426" spans="1:19" x14ac:dyDescent="0.2">
      <c r="A426" s="6" t="s">
        <v>121</v>
      </c>
      <c r="B426" s="92" t="s">
        <v>155</v>
      </c>
      <c r="C426" s="92">
        <v>5</v>
      </c>
      <c r="D426" s="95">
        <v>0</v>
      </c>
      <c r="E426" s="95">
        <v>0</v>
      </c>
      <c r="F426" s="90">
        <f t="shared" si="145"/>
        <v>15</v>
      </c>
      <c r="G426" s="90">
        <f t="shared" si="145"/>
        <v>14191.67</v>
      </c>
      <c r="H426" s="91">
        <v>1</v>
      </c>
      <c r="I426" s="91">
        <v>400</v>
      </c>
      <c r="J426" s="91">
        <f t="shared" si="146"/>
        <v>2</v>
      </c>
      <c r="K426" s="91">
        <f t="shared" si="146"/>
        <v>3400</v>
      </c>
      <c r="L426" s="92">
        <v>0</v>
      </c>
      <c r="M426" s="93">
        <v>0</v>
      </c>
      <c r="N426" s="94">
        <f t="shared" si="147"/>
        <v>9</v>
      </c>
      <c r="O426" s="94">
        <f t="shared" si="148"/>
        <v>153000</v>
      </c>
      <c r="P426">
        <v>0</v>
      </c>
      <c r="Q426">
        <v>0</v>
      </c>
      <c r="R426">
        <v>4</v>
      </c>
      <c r="S426">
        <v>46360</v>
      </c>
    </row>
    <row r="427" spans="1:19" x14ac:dyDescent="0.2">
      <c r="A427" s="6" t="s">
        <v>121</v>
      </c>
      <c r="B427" s="92" t="s">
        <v>156</v>
      </c>
      <c r="C427" s="92">
        <v>6</v>
      </c>
      <c r="D427" s="95">
        <v>1</v>
      </c>
      <c r="E427" s="95">
        <v>1200</v>
      </c>
      <c r="F427" s="90">
        <f t="shared" si="145"/>
        <v>16</v>
      </c>
      <c r="G427" s="90">
        <f t="shared" si="145"/>
        <v>15391.67</v>
      </c>
      <c r="H427" s="91">
        <v>0</v>
      </c>
      <c r="I427" s="91">
        <v>0</v>
      </c>
      <c r="J427" s="91">
        <f t="shared" si="146"/>
        <v>2</v>
      </c>
      <c r="K427" s="91">
        <f t="shared" si="146"/>
        <v>3400</v>
      </c>
      <c r="L427" s="92">
        <v>1</v>
      </c>
      <c r="M427" s="93">
        <v>1100</v>
      </c>
      <c r="N427" s="94">
        <f t="shared" si="147"/>
        <v>10</v>
      </c>
      <c r="O427" s="94">
        <f t="shared" si="148"/>
        <v>154100</v>
      </c>
      <c r="P427">
        <v>1</v>
      </c>
      <c r="Q427">
        <v>296.39999999999998</v>
      </c>
      <c r="R427">
        <v>5</v>
      </c>
      <c r="S427">
        <v>46656.4</v>
      </c>
    </row>
    <row r="428" spans="1:19" x14ac:dyDescent="0.2">
      <c r="A428" s="6" t="s">
        <v>121</v>
      </c>
      <c r="B428" s="92" t="s">
        <v>157</v>
      </c>
      <c r="C428" s="92">
        <v>7</v>
      </c>
      <c r="D428" s="95">
        <v>0</v>
      </c>
      <c r="E428" s="95">
        <v>0</v>
      </c>
      <c r="F428" s="90">
        <f t="shared" si="145"/>
        <v>16</v>
      </c>
      <c r="G428" s="90">
        <f t="shared" si="145"/>
        <v>15391.67</v>
      </c>
      <c r="H428" s="91">
        <v>1</v>
      </c>
      <c r="I428" s="91">
        <v>5600</v>
      </c>
      <c r="J428" s="91">
        <f t="shared" si="146"/>
        <v>3</v>
      </c>
      <c r="K428" s="91">
        <f t="shared" si="146"/>
        <v>9000</v>
      </c>
      <c r="L428" s="92">
        <v>0</v>
      </c>
      <c r="M428" s="93">
        <v>0</v>
      </c>
      <c r="N428" s="94">
        <f t="shared" si="147"/>
        <v>10</v>
      </c>
      <c r="O428" s="94">
        <f t="shared" si="148"/>
        <v>154100</v>
      </c>
      <c r="P428">
        <v>1</v>
      </c>
      <c r="Q428">
        <v>34618.230000000003</v>
      </c>
      <c r="R428">
        <v>6</v>
      </c>
      <c r="S428">
        <v>81274.63</v>
      </c>
    </row>
    <row r="429" spans="1:19" x14ac:dyDescent="0.2">
      <c r="A429" s="6" t="s">
        <v>121</v>
      </c>
      <c r="B429" s="92" t="s">
        <v>158</v>
      </c>
      <c r="C429" s="92">
        <v>8</v>
      </c>
      <c r="D429" s="95">
        <v>0</v>
      </c>
      <c r="E429" s="95">
        <v>0</v>
      </c>
      <c r="F429" s="90">
        <f t="shared" si="145"/>
        <v>16</v>
      </c>
      <c r="G429" s="90">
        <f t="shared" si="145"/>
        <v>15391.67</v>
      </c>
      <c r="H429" s="91">
        <v>0</v>
      </c>
      <c r="I429" s="91">
        <v>0</v>
      </c>
      <c r="J429" s="91">
        <f t="shared" si="146"/>
        <v>3</v>
      </c>
      <c r="K429" s="91">
        <f t="shared" si="146"/>
        <v>9000</v>
      </c>
      <c r="L429" s="92">
        <v>1</v>
      </c>
      <c r="M429" s="93">
        <v>2800</v>
      </c>
      <c r="N429" s="94">
        <f t="shared" si="147"/>
        <v>11</v>
      </c>
      <c r="O429" s="94">
        <f t="shared" si="148"/>
        <v>156900</v>
      </c>
      <c r="P429" s="88"/>
      <c r="Q429" s="88">
        <v>0</v>
      </c>
    </row>
    <row r="430" spans="1:19" x14ac:dyDescent="0.2">
      <c r="A430" s="6" t="s">
        <v>121</v>
      </c>
      <c r="B430" s="92" t="s">
        <v>159</v>
      </c>
      <c r="C430" s="92">
        <v>9</v>
      </c>
      <c r="D430" s="95">
        <v>0</v>
      </c>
      <c r="E430" s="95">
        <v>0</v>
      </c>
      <c r="F430" s="90">
        <f t="shared" si="145"/>
        <v>16</v>
      </c>
      <c r="G430" s="90">
        <f t="shared" si="145"/>
        <v>15391.67</v>
      </c>
      <c r="H430" s="91">
        <v>0</v>
      </c>
      <c r="I430" s="91">
        <v>0</v>
      </c>
      <c r="J430" s="91">
        <f t="shared" si="146"/>
        <v>3</v>
      </c>
      <c r="K430" s="91">
        <f t="shared" si="146"/>
        <v>9000</v>
      </c>
      <c r="L430" s="92">
        <v>0</v>
      </c>
      <c r="M430" s="93">
        <v>0</v>
      </c>
      <c r="N430" s="94">
        <f t="shared" si="147"/>
        <v>11</v>
      </c>
      <c r="O430" s="94">
        <f t="shared" si="148"/>
        <v>156900</v>
      </c>
      <c r="P430" s="88"/>
      <c r="Q430" s="88">
        <v>0</v>
      </c>
    </row>
    <row r="431" spans="1:19" x14ac:dyDescent="0.2">
      <c r="A431" s="6" t="s">
        <v>121</v>
      </c>
      <c r="B431" s="92" t="s">
        <v>160</v>
      </c>
      <c r="C431" s="92">
        <v>10</v>
      </c>
      <c r="D431" s="95">
        <v>0</v>
      </c>
      <c r="E431" s="95">
        <v>0</v>
      </c>
      <c r="F431" s="90">
        <f t="shared" si="145"/>
        <v>16</v>
      </c>
      <c r="G431" s="90">
        <f t="shared" si="145"/>
        <v>15391.67</v>
      </c>
      <c r="H431" s="91">
        <v>1</v>
      </c>
      <c r="I431" s="91">
        <v>2750</v>
      </c>
      <c r="J431" s="91">
        <f t="shared" si="146"/>
        <v>4</v>
      </c>
      <c r="K431" s="91">
        <f t="shared" si="146"/>
        <v>11750</v>
      </c>
      <c r="L431" s="92">
        <v>0</v>
      </c>
      <c r="M431" s="93">
        <v>0</v>
      </c>
      <c r="N431" s="94">
        <f t="shared" si="147"/>
        <v>11</v>
      </c>
      <c r="O431" s="94">
        <f t="shared" si="148"/>
        <v>156900</v>
      </c>
      <c r="P431" s="88"/>
      <c r="Q431" s="88">
        <v>0</v>
      </c>
    </row>
    <row r="432" spans="1:19" x14ac:dyDescent="0.2">
      <c r="A432" s="6" t="s">
        <v>121</v>
      </c>
      <c r="B432" s="92" t="s">
        <v>161</v>
      </c>
      <c r="C432" s="92">
        <v>11</v>
      </c>
      <c r="D432" s="95">
        <v>3</v>
      </c>
      <c r="E432" s="90">
        <v>4800</v>
      </c>
      <c r="F432" s="90">
        <f t="shared" si="145"/>
        <v>19</v>
      </c>
      <c r="G432" s="90">
        <f t="shared" si="145"/>
        <v>20191.669999999998</v>
      </c>
      <c r="H432" s="91">
        <v>0</v>
      </c>
      <c r="I432" s="91">
        <v>0</v>
      </c>
      <c r="J432" s="91">
        <f t="shared" si="146"/>
        <v>4</v>
      </c>
      <c r="K432" s="91">
        <f t="shared" si="146"/>
        <v>11750</v>
      </c>
      <c r="L432" s="92">
        <v>0</v>
      </c>
      <c r="M432" s="93">
        <v>0</v>
      </c>
      <c r="N432" s="94">
        <f t="shared" si="147"/>
        <v>11</v>
      </c>
      <c r="O432" s="94">
        <f t="shared" si="148"/>
        <v>156900</v>
      </c>
      <c r="P432" s="88"/>
      <c r="Q432" s="88">
        <v>0</v>
      </c>
    </row>
    <row r="433" spans="1:19" x14ac:dyDescent="0.2">
      <c r="A433" s="6" t="s">
        <v>121</v>
      </c>
      <c r="B433" s="92" t="s">
        <v>162</v>
      </c>
      <c r="C433" s="92">
        <v>12</v>
      </c>
      <c r="D433" s="95">
        <v>3</v>
      </c>
      <c r="E433" s="90">
        <v>7900</v>
      </c>
      <c r="F433" s="90">
        <f t="shared" si="145"/>
        <v>22</v>
      </c>
      <c r="G433" s="90">
        <f t="shared" si="145"/>
        <v>28091.67</v>
      </c>
      <c r="H433" s="91">
        <v>3</v>
      </c>
      <c r="I433" s="91">
        <v>5665</v>
      </c>
      <c r="J433" s="91">
        <f t="shared" si="146"/>
        <v>7</v>
      </c>
      <c r="K433" s="91">
        <f t="shared" si="146"/>
        <v>17415</v>
      </c>
      <c r="L433" s="92">
        <v>2</v>
      </c>
      <c r="M433" s="93">
        <v>4149.95</v>
      </c>
      <c r="N433" s="94">
        <f t="shared" si="147"/>
        <v>13</v>
      </c>
      <c r="O433" s="94">
        <f t="shared" si="148"/>
        <v>161049.95000000001</v>
      </c>
      <c r="P433" s="88"/>
      <c r="Q433" s="88">
        <v>0</v>
      </c>
    </row>
    <row r="434" spans="1:19" x14ac:dyDescent="0.2">
      <c r="A434" s="6" t="s">
        <v>116</v>
      </c>
      <c r="B434" s="92" t="s">
        <v>151</v>
      </c>
      <c r="C434" s="92">
        <v>1</v>
      </c>
      <c r="D434" s="95">
        <v>0</v>
      </c>
      <c r="E434" s="95">
        <v>0</v>
      </c>
      <c r="F434" s="90">
        <f>D434</f>
        <v>0</v>
      </c>
      <c r="G434" s="90">
        <f>E434</f>
        <v>0</v>
      </c>
      <c r="H434" s="91">
        <v>0</v>
      </c>
      <c r="I434" s="91">
        <v>0</v>
      </c>
      <c r="J434" s="91">
        <f>H434</f>
        <v>0</v>
      </c>
      <c r="K434" s="91">
        <f>I434</f>
        <v>0</v>
      </c>
      <c r="L434" s="92">
        <v>0</v>
      </c>
      <c r="M434" s="93">
        <v>0</v>
      </c>
      <c r="N434" s="94">
        <f>L434</f>
        <v>0</v>
      </c>
      <c r="O434" s="94">
        <f>M434</f>
        <v>0</v>
      </c>
      <c r="P434">
        <v>1</v>
      </c>
      <c r="Q434">
        <v>10</v>
      </c>
      <c r="R434">
        <v>1</v>
      </c>
      <c r="S434">
        <v>10</v>
      </c>
    </row>
    <row r="435" spans="1:19" x14ac:dyDescent="0.2">
      <c r="A435" s="6" t="s">
        <v>116</v>
      </c>
      <c r="B435" s="92" t="s">
        <v>152</v>
      </c>
      <c r="C435" s="92">
        <v>2</v>
      </c>
      <c r="D435" s="95">
        <v>0</v>
      </c>
      <c r="E435" s="95">
        <v>0</v>
      </c>
      <c r="F435" s="90">
        <f t="shared" ref="F435:G445" si="149">F434+D435</f>
        <v>0</v>
      </c>
      <c r="G435" s="90">
        <f t="shared" si="149"/>
        <v>0</v>
      </c>
      <c r="H435" s="91">
        <v>0</v>
      </c>
      <c r="I435" s="91">
        <v>0</v>
      </c>
      <c r="J435" s="91">
        <f t="shared" ref="J435:K445" si="150">J434+H435</f>
        <v>0</v>
      </c>
      <c r="K435" s="91">
        <f t="shared" si="150"/>
        <v>0</v>
      </c>
      <c r="L435" s="92">
        <v>0</v>
      </c>
      <c r="M435" s="93">
        <v>0</v>
      </c>
      <c r="N435" s="94">
        <f t="shared" ref="N435:N445" si="151">N434+L435</f>
        <v>0</v>
      </c>
      <c r="O435" s="94">
        <f t="shared" ref="O435:O445" si="152">O434+M435</f>
        <v>0</v>
      </c>
      <c r="P435">
        <v>0</v>
      </c>
      <c r="Q435">
        <v>0</v>
      </c>
      <c r="R435">
        <v>1</v>
      </c>
      <c r="S435">
        <v>10</v>
      </c>
    </row>
    <row r="436" spans="1:19" x14ac:dyDescent="0.2">
      <c r="A436" s="6" t="s">
        <v>116</v>
      </c>
      <c r="B436" s="92" t="s">
        <v>153</v>
      </c>
      <c r="C436" s="92">
        <v>3</v>
      </c>
      <c r="D436" s="95">
        <v>0</v>
      </c>
      <c r="E436" s="95">
        <v>0</v>
      </c>
      <c r="F436" s="90">
        <f t="shared" si="149"/>
        <v>0</v>
      </c>
      <c r="G436" s="90">
        <f t="shared" si="149"/>
        <v>0</v>
      </c>
      <c r="H436" s="91">
        <v>0</v>
      </c>
      <c r="I436" s="91">
        <v>0</v>
      </c>
      <c r="J436" s="91">
        <f t="shared" si="150"/>
        <v>0</v>
      </c>
      <c r="K436" s="91">
        <f t="shared" si="150"/>
        <v>0</v>
      </c>
      <c r="L436" s="92">
        <v>0</v>
      </c>
      <c r="M436" s="93">
        <v>0</v>
      </c>
      <c r="N436" s="94">
        <f t="shared" si="151"/>
        <v>0</v>
      </c>
      <c r="O436" s="94">
        <f t="shared" si="152"/>
        <v>0</v>
      </c>
      <c r="P436">
        <v>0</v>
      </c>
      <c r="Q436">
        <v>0</v>
      </c>
      <c r="R436">
        <v>1</v>
      </c>
      <c r="S436">
        <v>10</v>
      </c>
    </row>
    <row r="437" spans="1:19" x14ac:dyDescent="0.2">
      <c r="A437" s="6" t="s">
        <v>116</v>
      </c>
      <c r="B437" s="92" t="s">
        <v>154</v>
      </c>
      <c r="C437" s="92">
        <v>4</v>
      </c>
      <c r="D437" s="95">
        <v>0</v>
      </c>
      <c r="E437" s="95">
        <v>0</v>
      </c>
      <c r="F437" s="90">
        <f t="shared" si="149"/>
        <v>0</v>
      </c>
      <c r="G437" s="90">
        <f t="shared" si="149"/>
        <v>0</v>
      </c>
      <c r="H437" s="91">
        <v>1</v>
      </c>
      <c r="I437" s="91">
        <v>3500</v>
      </c>
      <c r="J437" s="91">
        <f t="shared" si="150"/>
        <v>1</v>
      </c>
      <c r="K437" s="91">
        <f t="shared" si="150"/>
        <v>3500</v>
      </c>
      <c r="L437" s="92">
        <v>3</v>
      </c>
      <c r="M437" s="93">
        <v>9032</v>
      </c>
      <c r="N437" s="94">
        <f t="shared" si="151"/>
        <v>3</v>
      </c>
      <c r="O437" s="94">
        <f t="shared" si="152"/>
        <v>9032</v>
      </c>
      <c r="P437">
        <v>0</v>
      </c>
      <c r="Q437">
        <v>0</v>
      </c>
      <c r="R437">
        <v>1</v>
      </c>
      <c r="S437">
        <v>10</v>
      </c>
    </row>
    <row r="438" spans="1:19" x14ac:dyDescent="0.2">
      <c r="A438" s="6" t="s">
        <v>116</v>
      </c>
      <c r="B438" s="92" t="s">
        <v>155</v>
      </c>
      <c r="C438" s="92">
        <v>5</v>
      </c>
      <c r="D438" s="95">
        <v>0</v>
      </c>
      <c r="E438" s="95">
        <v>0</v>
      </c>
      <c r="F438" s="90">
        <f t="shared" si="149"/>
        <v>0</v>
      </c>
      <c r="G438" s="90">
        <f t="shared" si="149"/>
        <v>0</v>
      </c>
      <c r="H438" s="91">
        <v>1</v>
      </c>
      <c r="I438" s="91">
        <v>354</v>
      </c>
      <c r="J438" s="91">
        <f t="shared" si="150"/>
        <v>2</v>
      </c>
      <c r="K438" s="91">
        <f t="shared" si="150"/>
        <v>3854</v>
      </c>
      <c r="L438" s="92">
        <v>0</v>
      </c>
      <c r="M438" s="93">
        <v>0</v>
      </c>
      <c r="N438" s="94">
        <f t="shared" si="151"/>
        <v>3</v>
      </c>
      <c r="O438" s="94">
        <f t="shared" si="152"/>
        <v>9032</v>
      </c>
      <c r="P438">
        <v>1</v>
      </c>
      <c r="Q438">
        <v>144</v>
      </c>
      <c r="R438">
        <v>2</v>
      </c>
      <c r="S438">
        <v>154</v>
      </c>
    </row>
    <row r="439" spans="1:19" x14ac:dyDescent="0.2">
      <c r="A439" s="6" t="s">
        <v>116</v>
      </c>
      <c r="B439" s="92" t="s">
        <v>156</v>
      </c>
      <c r="C439" s="92">
        <v>6</v>
      </c>
      <c r="D439" s="95">
        <v>0</v>
      </c>
      <c r="E439" s="95">
        <v>0</v>
      </c>
      <c r="F439" s="90">
        <f t="shared" si="149"/>
        <v>0</v>
      </c>
      <c r="G439" s="90">
        <f t="shared" si="149"/>
        <v>0</v>
      </c>
      <c r="H439" s="91">
        <v>0</v>
      </c>
      <c r="I439" s="91">
        <v>0</v>
      </c>
      <c r="J439" s="91">
        <f t="shared" si="150"/>
        <v>2</v>
      </c>
      <c r="K439" s="91">
        <f t="shared" si="150"/>
        <v>3854</v>
      </c>
      <c r="L439" s="92">
        <v>0</v>
      </c>
      <c r="M439" s="93">
        <v>0</v>
      </c>
      <c r="N439" s="94">
        <f t="shared" si="151"/>
        <v>3</v>
      </c>
      <c r="O439" s="94">
        <f t="shared" si="152"/>
        <v>9032</v>
      </c>
      <c r="P439">
        <v>1</v>
      </c>
      <c r="Q439">
        <v>60</v>
      </c>
      <c r="R439">
        <v>3</v>
      </c>
      <c r="S439">
        <v>214</v>
      </c>
    </row>
    <row r="440" spans="1:19" x14ac:dyDescent="0.2">
      <c r="A440" s="6" t="s">
        <v>116</v>
      </c>
      <c r="B440" s="92" t="s">
        <v>157</v>
      </c>
      <c r="C440" s="92">
        <v>7</v>
      </c>
      <c r="D440" s="95">
        <v>0</v>
      </c>
      <c r="E440" s="95">
        <v>0</v>
      </c>
      <c r="F440" s="90">
        <f t="shared" si="149"/>
        <v>0</v>
      </c>
      <c r="G440" s="90">
        <f t="shared" si="149"/>
        <v>0</v>
      </c>
      <c r="H440" s="91">
        <v>0</v>
      </c>
      <c r="I440" s="91">
        <v>0</v>
      </c>
      <c r="J440" s="91">
        <f t="shared" si="150"/>
        <v>2</v>
      </c>
      <c r="K440" s="91">
        <f t="shared" si="150"/>
        <v>3854</v>
      </c>
      <c r="L440" s="92">
        <v>0</v>
      </c>
      <c r="M440" s="93">
        <v>0</v>
      </c>
      <c r="N440" s="94">
        <f t="shared" si="151"/>
        <v>3</v>
      </c>
      <c r="O440" s="94">
        <f t="shared" si="152"/>
        <v>9032</v>
      </c>
      <c r="P440">
        <v>0</v>
      </c>
      <c r="Q440">
        <v>0</v>
      </c>
      <c r="R440">
        <v>3</v>
      </c>
      <c r="S440">
        <v>214</v>
      </c>
    </row>
    <row r="441" spans="1:19" x14ac:dyDescent="0.2">
      <c r="A441" s="6" t="s">
        <v>116</v>
      </c>
      <c r="B441" s="92" t="s">
        <v>158</v>
      </c>
      <c r="C441" s="92">
        <v>8</v>
      </c>
      <c r="D441" s="95">
        <v>0</v>
      </c>
      <c r="E441" s="95">
        <v>0</v>
      </c>
      <c r="F441" s="90">
        <f t="shared" si="149"/>
        <v>0</v>
      </c>
      <c r="G441" s="90">
        <f t="shared" si="149"/>
        <v>0</v>
      </c>
      <c r="H441" s="91">
        <v>0</v>
      </c>
      <c r="I441" s="91">
        <v>0</v>
      </c>
      <c r="J441" s="91">
        <f t="shared" si="150"/>
        <v>2</v>
      </c>
      <c r="K441" s="91">
        <f t="shared" si="150"/>
        <v>3854</v>
      </c>
      <c r="L441" s="92">
        <v>0</v>
      </c>
      <c r="M441" s="93">
        <v>0</v>
      </c>
      <c r="N441" s="94">
        <f t="shared" si="151"/>
        <v>3</v>
      </c>
      <c r="O441" s="94">
        <f t="shared" si="152"/>
        <v>9032</v>
      </c>
      <c r="P441" s="88"/>
      <c r="Q441" s="88">
        <v>0</v>
      </c>
    </row>
    <row r="442" spans="1:19" x14ac:dyDescent="0.2">
      <c r="A442" s="6" t="s">
        <v>116</v>
      </c>
      <c r="B442" s="92" t="s">
        <v>159</v>
      </c>
      <c r="C442" s="92">
        <v>9</v>
      </c>
      <c r="D442" s="95">
        <v>0</v>
      </c>
      <c r="E442" s="95">
        <v>0</v>
      </c>
      <c r="F442" s="90">
        <f t="shared" si="149"/>
        <v>0</v>
      </c>
      <c r="G442" s="90">
        <f t="shared" si="149"/>
        <v>0</v>
      </c>
      <c r="H442" s="91">
        <v>2</v>
      </c>
      <c r="I442" s="91">
        <v>400</v>
      </c>
      <c r="J442" s="91">
        <f t="shared" si="150"/>
        <v>4</v>
      </c>
      <c r="K442" s="91">
        <f t="shared" si="150"/>
        <v>4254</v>
      </c>
      <c r="L442" s="92">
        <v>0</v>
      </c>
      <c r="M442" s="93">
        <v>0</v>
      </c>
      <c r="N442" s="94">
        <f t="shared" si="151"/>
        <v>3</v>
      </c>
      <c r="O442" s="94">
        <f t="shared" si="152"/>
        <v>9032</v>
      </c>
      <c r="P442" s="88"/>
      <c r="Q442" s="88">
        <v>0</v>
      </c>
    </row>
    <row r="443" spans="1:19" x14ac:dyDescent="0.2">
      <c r="A443" s="6" t="s">
        <v>116</v>
      </c>
      <c r="B443" s="92" t="s">
        <v>160</v>
      </c>
      <c r="C443" s="92">
        <v>10</v>
      </c>
      <c r="D443" s="95">
        <v>0</v>
      </c>
      <c r="E443" s="95">
        <v>0</v>
      </c>
      <c r="F443" s="90">
        <f t="shared" si="149"/>
        <v>0</v>
      </c>
      <c r="G443" s="90">
        <f t="shared" si="149"/>
        <v>0</v>
      </c>
      <c r="H443" s="91">
        <v>0</v>
      </c>
      <c r="I443" s="91">
        <v>0</v>
      </c>
      <c r="J443" s="91">
        <f t="shared" si="150"/>
        <v>4</v>
      </c>
      <c r="K443" s="91">
        <f t="shared" si="150"/>
        <v>4254</v>
      </c>
      <c r="L443" s="92">
        <v>0</v>
      </c>
      <c r="M443" s="93">
        <v>0</v>
      </c>
      <c r="N443" s="94">
        <f t="shared" si="151"/>
        <v>3</v>
      </c>
      <c r="O443" s="94">
        <f t="shared" si="152"/>
        <v>9032</v>
      </c>
      <c r="P443" s="88"/>
      <c r="Q443" s="88">
        <v>0</v>
      </c>
    </row>
    <row r="444" spans="1:19" x14ac:dyDescent="0.2">
      <c r="A444" s="6" t="s">
        <v>116</v>
      </c>
      <c r="B444" s="92" t="s">
        <v>161</v>
      </c>
      <c r="C444" s="92">
        <v>11</v>
      </c>
      <c r="D444" s="95">
        <v>0</v>
      </c>
      <c r="E444" s="95">
        <v>0</v>
      </c>
      <c r="F444" s="90">
        <f t="shared" si="149"/>
        <v>0</v>
      </c>
      <c r="G444" s="90">
        <f t="shared" si="149"/>
        <v>0</v>
      </c>
      <c r="H444" s="91">
        <v>0</v>
      </c>
      <c r="I444" s="91">
        <v>0</v>
      </c>
      <c r="J444" s="91">
        <f t="shared" si="150"/>
        <v>4</v>
      </c>
      <c r="K444" s="91">
        <f t="shared" si="150"/>
        <v>4254</v>
      </c>
      <c r="L444" s="92">
        <v>1</v>
      </c>
      <c r="M444" s="93">
        <v>800</v>
      </c>
      <c r="N444" s="94">
        <f t="shared" si="151"/>
        <v>4</v>
      </c>
      <c r="O444" s="94">
        <f t="shared" si="152"/>
        <v>9832</v>
      </c>
      <c r="P444" s="88"/>
      <c r="Q444" s="88">
        <v>0</v>
      </c>
    </row>
    <row r="445" spans="1:19" x14ac:dyDescent="0.2">
      <c r="A445" s="6" t="s">
        <v>116</v>
      </c>
      <c r="B445" s="92" t="s">
        <v>162</v>
      </c>
      <c r="C445" s="92">
        <v>12</v>
      </c>
      <c r="D445" s="95">
        <v>0</v>
      </c>
      <c r="E445" s="95">
        <v>0</v>
      </c>
      <c r="F445" s="90">
        <f t="shared" si="149"/>
        <v>0</v>
      </c>
      <c r="G445" s="90">
        <f t="shared" si="149"/>
        <v>0</v>
      </c>
      <c r="H445" s="91">
        <v>0</v>
      </c>
      <c r="I445" s="91">
        <v>0</v>
      </c>
      <c r="J445" s="91">
        <f t="shared" si="150"/>
        <v>4</v>
      </c>
      <c r="K445" s="91">
        <f t="shared" si="150"/>
        <v>4254</v>
      </c>
      <c r="L445" s="92">
        <v>1</v>
      </c>
      <c r="M445" s="93">
        <v>3500</v>
      </c>
      <c r="N445" s="94">
        <f t="shared" si="151"/>
        <v>5</v>
      </c>
      <c r="O445" s="94">
        <f t="shared" si="152"/>
        <v>13332</v>
      </c>
      <c r="P445" s="88"/>
      <c r="Q445" s="88">
        <v>0</v>
      </c>
    </row>
    <row r="446" spans="1:19" x14ac:dyDescent="0.2">
      <c r="A446" s="6" t="s">
        <v>86</v>
      </c>
      <c r="B446" s="92" t="s">
        <v>151</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v>0</v>
      </c>
      <c r="Q446" s="88">
        <v>0</v>
      </c>
      <c r="R446">
        <v>0</v>
      </c>
      <c r="S446" s="87">
        <v>0</v>
      </c>
    </row>
    <row r="447" spans="1:19" x14ac:dyDescent="0.2">
      <c r="A447" s="6" t="s">
        <v>86</v>
      </c>
      <c r="B447" s="92" t="s">
        <v>152</v>
      </c>
      <c r="C447" s="92">
        <v>2</v>
      </c>
      <c r="D447" s="95">
        <v>0</v>
      </c>
      <c r="E447" s="95">
        <v>0</v>
      </c>
      <c r="F447" s="90">
        <f t="shared" ref="F447:F457" si="153">F446+D447</f>
        <v>0</v>
      </c>
      <c r="G447" s="90">
        <f t="shared" ref="G447:G457" si="154">G446+E447</f>
        <v>0</v>
      </c>
      <c r="H447" s="90">
        <v>0</v>
      </c>
      <c r="I447" s="90">
        <v>0</v>
      </c>
      <c r="J447" s="90">
        <f t="shared" ref="J447:J457" si="155">J446+H447</f>
        <v>0</v>
      </c>
      <c r="K447" s="90">
        <f t="shared" ref="K447:K457" si="156">K446+I447</f>
        <v>0</v>
      </c>
      <c r="L447" s="92">
        <v>0</v>
      </c>
      <c r="M447" s="93">
        <v>0</v>
      </c>
      <c r="N447" s="94">
        <f t="shared" ref="N447:N457" si="157">N446+L447</f>
        <v>0</v>
      </c>
      <c r="O447" s="94">
        <f t="shared" ref="O447:O457" si="158">O446+M447</f>
        <v>0</v>
      </c>
      <c r="P447">
        <v>0</v>
      </c>
      <c r="Q447" s="88">
        <v>0</v>
      </c>
      <c r="R447">
        <v>0</v>
      </c>
      <c r="S447" s="87">
        <v>0</v>
      </c>
    </row>
    <row r="448" spans="1:19" x14ac:dyDescent="0.2">
      <c r="A448" s="6" t="s">
        <v>86</v>
      </c>
      <c r="B448" s="92" t="s">
        <v>153</v>
      </c>
      <c r="C448" s="92">
        <v>3</v>
      </c>
      <c r="D448" s="95">
        <v>0</v>
      </c>
      <c r="E448" s="95">
        <v>0</v>
      </c>
      <c r="F448" s="90">
        <f t="shared" si="153"/>
        <v>0</v>
      </c>
      <c r="G448" s="90">
        <f t="shared" si="154"/>
        <v>0</v>
      </c>
      <c r="H448" s="90">
        <v>0</v>
      </c>
      <c r="I448" s="90">
        <v>0</v>
      </c>
      <c r="J448" s="90">
        <f t="shared" si="155"/>
        <v>0</v>
      </c>
      <c r="K448" s="90">
        <f t="shared" si="156"/>
        <v>0</v>
      </c>
      <c r="L448" s="92">
        <v>0</v>
      </c>
      <c r="M448" s="93">
        <v>0</v>
      </c>
      <c r="N448" s="94">
        <f t="shared" si="157"/>
        <v>0</v>
      </c>
      <c r="O448" s="94">
        <f t="shared" si="158"/>
        <v>0</v>
      </c>
      <c r="P448">
        <v>0</v>
      </c>
      <c r="Q448" s="88">
        <v>0</v>
      </c>
      <c r="R448">
        <v>0</v>
      </c>
      <c r="S448" s="87">
        <v>0</v>
      </c>
    </row>
    <row r="449" spans="1:19" x14ac:dyDescent="0.2">
      <c r="A449" s="6" t="s">
        <v>86</v>
      </c>
      <c r="B449" s="92" t="s">
        <v>154</v>
      </c>
      <c r="C449" s="92">
        <v>4</v>
      </c>
      <c r="D449" s="95">
        <v>0</v>
      </c>
      <c r="E449" s="95">
        <v>0</v>
      </c>
      <c r="F449" s="90">
        <f t="shared" si="153"/>
        <v>0</v>
      </c>
      <c r="G449" s="90">
        <f t="shared" si="154"/>
        <v>0</v>
      </c>
      <c r="H449" s="90">
        <v>0</v>
      </c>
      <c r="I449" s="90">
        <v>0</v>
      </c>
      <c r="J449" s="90">
        <f t="shared" si="155"/>
        <v>0</v>
      </c>
      <c r="K449" s="90">
        <f t="shared" si="156"/>
        <v>0</v>
      </c>
      <c r="L449" s="92">
        <v>0</v>
      </c>
      <c r="M449" s="93">
        <v>0</v>
      </c>
      <c r="N449" s="94">
        <f t="shared" si="157"/>
        <v>0</v>
      </c>
      <c r="O449" s="94">
        <f t="shared" si="158"/>
        <v>0</v>
      </c>
      <c r="P449">
        <v>0</v>
      </c>
      <c r="Q449" s="88">
        <v>0</v>
      </c>
      <c r="R449">
        <v>0</v>
      </c>
      <c r="S449" s="87">
        <v>0</v>
      </c>
    </row>
    <row r="450" spans="1:19" x14ac:dyDescent="0.2">
      <c r="A450" s="6" t="s">
        <v>86</v>
      </c>
      <c r="B450" s="92" t="s">
        <v>155</v>
      </c>
      <c r="C450" s="92">
        <v>5</v>
      </c>
      <c r="D450" s="95">
        <v>0</v>
      </c>
      <c r="E450" s="95">
        <v>0</v>
      </c>
      <c r="F450" s="90">
        <f t="shared" si="153"/>
        <v>0</v>
      </c>
      <c r="G450" s="90">
        <f t="shared" si="154"/>
        <v>0</v>
      </c>
      <c r="H450" s="90">
        <v>0</v>
      </c>
      <c r="I450" s="90">
        <v>0</v>
      </c>
      <c r="J450" s="90">
        <f t="shared" si="155"/>
        <v>0</v>
      </c>
      <c r="K450" s="90">
        <f t="shared" si="156"/>
        <v>0</v>
      </c>
      <c r="L450" s="92">
        <v>0</v>
      </c>
      <c r="M450" s="93">
        <v>0</v>
      </c>
      <c r="N450" s="94">
        <f t="shared" si="157"/>
        <v>0</v>
      </c>
      <c r="O450" s="94">
        <f t="shared" si="158"/>
        <v>0</v>
      </c>
      <c r="P450">
        <v>0</v>
      </c>
      <c r="Q450" s="88">
        <v>0</v>
      </c>
      <c r="R450">
        <v>0</v>
      </c>
      <c r="S450" s="87">
        <v>0</v>
      </c>
    </row>
    <row r="451" spans="1:19" x14ac:dyDescent="0.2">
      <c r="A451" s="6" t="s">
        <v>86</v>
      </c>
      <c r="B451" s="92" t="s">
        <v>156</v>
      </c>
      <c r="C451" s="92">
        <v>6</v>
      </c>
      <c r="D451" s="95">
        <v>0</v>
      </c>
      <c r="E451" s="95">
        <v>0</v>
      </c>
      <c r="F451" s="90">
        <f t="shared" si="153"/>
        <v>0</v>
      </c>
      <c r="G451" s="90">
        <f t="shared" si="154"/>
        <v>0</v>
      </c>
      <c r="H451" s="90">
        <v>0</v>
      </c>
      <c r="I451" s="90">
        <v>0</v>
      </c>
      <c r="J451" s="90">
        <f t="shared" si="155"/>
        <v>0</v>
      </c>
      <c r="K451" s="90">
        <f t="shared" si="156"/>
        <v>0</v>
      </c>
      <c r="L451" s="92">
        <v>0</v>
      </c>
      <c r="M451" s="93">
        <v>0</v>
      </c>
      <c r="N451" s="94">
        <f t="shared" si="157"/>
        <v>0</v>
      </c>
      <c r="O451" s="94">
        <f t="shared" si="158"/>
        <v>0</v>
      </c>
      <c r="P451">
        <v>0</v>
      </c>
      <c r="Q451" s="88">
        <v>0</v>
      </c>
      <c r="R451">
        <v>0</v>
      </c>
      <c r="S451" s="87">
        <v>0</v>
      </c>
    </row>
    <row r="452" spans="1:19" x14ac:dyDescent="0.2">
      <c r="A452" s="6" t="s">
        <v>86</v>
      </c>
      <c r="B452" s="92" t="s">
        <v>157</v>
      </c>
      <c r="C452" s="92">
        <v>7</v>
      </c>
      <c r="D452" s="95">
        <v>0</v>
      </c>
      <c r="E452" s="95">
        <v>0</v>
      </c>
      <c r="F452" s="90">
        <f t="shared" si="153"/>
        <v>0</v>
      </c>
      <c r="G452" s="90">
        <f t="shared" si="154"/>
        <v>0</v>
      </c>
      <c r="H452" s="90">
        <v>0</v>
      </c>
      <c r="I452" s="90">
        <v>0</v>
      </c>
      <c r="J452" s="90">
        <f t="shared" si="155"/>
        <v>0</v>
      </c>
      <c r="K452" s="90">
        <f t="shared" si="156"/>
        <v>0</v>
      </c>
      <c r="L452" s="92">
        <v>0</v>
      </c>
      <c r="M452" s="93">
        <v>0</v>
      </c>
      <c r="N452" s="94">
        <f t="shared" si="157"/>
        <v>0</v>
      </c>
      <c r="O452" s="94">
        <f t="shared" si="158"/>
        <v>0</v>
      </c>
      <c r="P452">
        <v>0</v>
      </c>
      <c r="Q452" s="88">
        <v>0</v>
      </c>
      <c r="R452">
        <v>0</v>
      </c>
      <c r="S452" s="87">
        <v>0</v>
      </c>
    </row>
    <row r="453" spans="1:19" x14ac:dyDescent="0.2">
      <c r="A453" s="6" t="s">
        <v>86</v>
      </c>
      <c r="B453" s="92" t="s">
        <v>158</v>
      </c>
      <c r="C453" s="92">
        <v>8</v>
      </c>
      <c r="D453" s="95">
        <v>0</v>
      </c>
      <c r="E453" s="95">
        <v>0</v>
      </c>
      <c r="F453" s="90">
        <f t="shared" si="153"/>
        <v>0</v>
      </c>
      <c r="G453" s="90">
        <f t="shared" si="154"/>
        <v>0</v>
      </c>
      <c r="H453" s="90">
        <v>0</v>
      </c>
      <c r="I453" s="90">
        <v>0</v>
      </c>
      <c r="J453" s="90">
        <f t="shared" si="155"/>
        <v>0</v>
      </c>
      <c r="K453" s="90">
        <f t="shared" si="156"/>
        <v>0</v>
      </c>
      <c r="L453" s="92">
        <v>0</v>
      </c>
      <c r="M453" s="93">
        <v>0</v>
      </c>
      <c r="N453" s="94">
        <f t="shared" si="157"/>
        <v>0</v>
      </c>
      <c r="O453" s="94">
        <f t="shared" si="158"/>
        <v>0</v>
      </c>
      <c r="P453" s="88"/>
      <c r="Q453" s="88">
        <v>0</v>
      </c>
    </row>
    <row r="454" spans="1:19" x14ac:dyDescent="0.2">
      <c r="A454" s="6" t="s">
        <v>86</v>
      </c>
      <c r="B454" s="92" t="s">
        <v>159</v>
      </c>
      <c r="C454" s="92">
        <v>9</v>
      </c>
      <c r="D454" s="95">
        <v>0</v>
      </c>
      <c r="E454" s="95">
        <v>0</v>
      </c>
      <c r="F454" s="90">
        <f t="shared" si="153"/>
        <v>0</v>
      </c>
      <c r="G454" s="90">
        <f t="shared" si="154"/>
        <v>0</v>
      </c>
      <c r="H454" s="90">
        <v>0</v>
      </c>
      <c r="I454" s="90">
        <v>0</v>
      </c>
      <c r="J454" s="90">
        <f t="shared" si="155"/>
        <v>0</v>
      </c>
      <c r="K454" s="90">
        <f t="shared" si="156"/>
        <v>0</v>
      </c>
      <c r="L454" s="92">
        <v>0</v>
      </c>
      <c r="M454" s="93">
        <v>0</v>
      </c>
      <c r="N454" s="94">
        <f t="shared" si="157"/>
        <v>0</v>
      </c>
      <c r="O454" s="94">
        <f t="shared" si="158"/>
        <v>0</v>
      </c>
      <c r="P454" s="88"/>
      <c r="Q454" s="88">
        <v>0</v>
      </c>
    </row>
    <row r="455" spans="1:19" x14ac:dyDescent="0.2">
      <c r="A455" s="6" t="s">
        <v>86</v>
      </c>
      <c r="B455" s="92" t="s">
        <v>160</v>
      </c>
      <c r="C455" s="92">
        <v>10</v>
      </c>
      <c r="D455" s="95">
        <v>0</v>
      </c>
      <c r="E455" s="95">
        <v>0</v>
      </c>
      <c r="F455" s="90">
        <f t="shared" si="153"/>
        <v>0</v>
      </c>
      <c r="G455" s="90">
        <f t="shared" si="154"/>
        <v>0</v>
      </c>
      <c r="H455" s="90">
        <v>0</v>
      </c>
      <c r="I455" s="90">
        <v>0</v>
      </c>
      <c r="J455" s="90">
        <f t="shared" si="155"/>
        <v>0</v>
      </c>
      <c r="K455" s="90">
        <f t="shared" si="156"/>
        <v>0</v>
      </c>
      <c r="L455" s="92">
        <v>0</v>
      </c>
      <c r="M455" s="93">
        <v>0</v>
      </c>
      <c r="N455" s="94">
        <f t="shared" si="157"/>
        <v>0</v>
      </c>
      <c r="O455" s="94">
        <f t="shared" si="158"/>
        <v>0</v>
      </c>
      <c r="P455" s="88"/>
      <c r="Q455" s="88">
        <v>0</v>
      </c>
    </row>
    <row r="456" spans="1:19" x14ac:dyDescent="0.2">
      <c r="A456" s="6" t="s">
        <v>86</v>
      </c>
      <c r="B456" s="92" t="s">
        <v>161</v>
      </c>
      <c r="C456" s="92">
        <v>11</v>
      </c>
      <c r="D456" s="95">
        <v>0</v>
      </c>
      <c r="E456" s="95">
        <v>0</v>
      </c>
      <c r="F456" s="90">
        <f t="shared" si="153"/>
        <v>0</v>
      </c>
      <c r="G456" s="90">
        <f t="shared" si="154"/>
        <v>0</v>
      </c>
      <c r="H456" s="90">
        <v>0</v>
      </c>
      <c r="I456" s="90">
        <v>0</v>
      </c>
      <c r="J456" s="90">
        <f t="shared" si="155"/>
        <v>0</v>
      </c>
      <c r="K456" s="90">
        <f t="shared" si="156"/>
        <v>0</v>
      </c>
      <c r="L456" s="92">
        <v>0</v>
      </c>
      <c r="M456" s="93">
        <v>0</v>
      </c>
      <c r="N456" s="94">
        <f t="shared" si="157"/>
        <v>0</v>
      </c>
      <c r="O456" s="94">
        <f t="shared" si="158"/>
        <v>0</v>
      </c>
      <c r="P456" s="88"/>
      <c r="Q456" s="88">
        <v>0</v>
      </c>
    </row>
    <row r="457" spans="1:19" x14ac:dyDescent="0.2">
      <c r="A457" s="6" t="s">
        <v>86</v>
      </c>
      <c r="B457" s="92" t="s">
        <v>162</v>
      </c>
      <c r="C457" s="92">
        <v>12</v>
      </c>
      <c r="D457" s="95">
        <v>0</v>
      </c>
      <c r="E457" s="95">
        <v>0</v>
      </c>
      <c r="F457" s="90">
        <f t="shared" si="153"/>
        <v>0</v>
      </c>
      <c r="G457" s="90">
        <f t="shared" si="154"/>
        <v>0</v>
      </c>
      <c r="H457" s="90">
        <v>0</v>
      </c>
      <c r="I457" s="90">
        <v>0</v>
      </c>
      <c r="J457" s="90">
        <f t="shared" si="155"/>
        <v>0</v>
      </c>
      <c r="K457" s="90">
        <f t="shared" si="156"/>
        <v>0</v>
      </c>
      <c r="L457" s="92">
        <v>0</v>
      </c>
      <c r="M457" s="93">
        <v>0</v>
      </c>
      <c r="N457" s="94">
        <f t="shared" si="157"/>
        <v>0</v>
      </c>
      <c r="O457" s="94">
        <f t="shared" si="158"/>
        <v>0</v>
      </c>
      <c r="P457" s="88"/>
      <c r="Q457" s="88">
        <v>0</v>
      </c>
    </row>
    <row r="458" spans="1:19" x14ac:dyDescent="0.2">
      <c r="A458" s="6" t="s">
        <v>102</v>
      </c>
      <c r="B458" s="92" t="s">
        <v>151</v>
      </c>
      <c r="C458" s="92">
        <v>1</v>
      </c>
      <c r="D458" s="95">
        <v>0</v>
      </c>
      <c r="E458" s="95">
        <v>0</v>
      </c>
      <c r="F458" s="90">
        <f>D458</f>
        <v>0</v>
      </c>
      <c r="G458" s="90">
        <f>E458</f>
        <v>0</v>
      </c>
      <c r="H458" s="90">
        <v>0</v>
      </c>
      <c r="I458" s="90">
        <v>0</v>
      </c>
      <c r="J458" s="90">
        <f>H458</f>
        <v>0</v>
      </c>
      <c r="K458" s="90">
        <f>I458</f>
        <v>0</v>
      </c>
      <c r="L458" s="92">
        <v>0</v>
      </c>
      <c r="M458" s="93">
        <v>0</v>
      </c>
      <c r="N458" s="94">
        <f>L458</f>
        <v>0</v>
      </c>
      <c r="O458" s="94">
        <f>M458</f>
        <v>0</v>
      </c>
      <c r="P458">
        <v>0</v>
      </c>
      <c r="Q458" s="88">
        <v>0</v>
      </c>
      <c r="R458">
        <v>0</v>
      </c>
      <c r="S458" s="87">
        <v>0</v>
      </c>
    </row>
    <row r="459" spans="1:19" x14ac:dyDescent="0.2">
      <c r="A459" s="6" t="s">
        <v>102</v>
      </c>
      <c r="B459" s="92" t="s">
        <v>152</v>
      </c>
      <c r="C459" s="92">
        <v>2</v>
      </c>
      <c r="D459" s="95">
        <v>0</v>
      </c>
      <c r="E459" s="95">
        <v>0</v>
      </c>
      <c r="F459" s="90">
        <f t="shared" ref="F459:F469" si="159">F458+D459</f>
        <v>0</v>
      </c>
      <c r="G459" s="90">
        <f t="shared" ref="G459:G469" si="160">G458+E459</f>
        <v>0</v>
      </c>
      <c r="H459" s="90">
        <v>0</v>
      </c>
      <c r="I459" s="90">
        <v>0</v>
      </c>
      <c r="J459" s="90">
        <f t="shared" ref="J459:J469" si="161">J458+H459</f>
        <v>0</v>
      </c>
      <c r="K459" s="90">
        <f t="shared" ref="K459:K469" si="162">K458+I459</f>
        <v>0</v>
      </c>
      <c r="L459" s="92">
        <v>0</v>
      </c>
      <c r="M459" s="93">
        <v>0</v>
      </c>
      <c r="N459" s="94">
        <f t="shared" ref="N459:N469" si="163">N458+L459</f>
        <v>0</v>
      </c>
      <c r="O459" s="94">
        <f t="shared" ref="O459:O469" si="164">O458+M459</f>
        <v>0</v>
      </c>
      <c r="P459">
        <v>0</v>
      </c>
      <c r="Q459" s="88">
        <v>0</v>
      </c>
      <c r="R459">
        <v>0</v>
      </c>
      <c r="S459" s="87">
        <v>0</v>
      </c>
    </row>
    <row r="460" spans="1:19" x14ac:dyDescent="0.2">
      <c r="A460" s="6" t="s">
        <v>102</v>
      </c>
      <c r="B460" s="92" t="s">
        <v>153</v>
      </c>
      <c r="C460" s="92">
        <v>3</v>
      </c>
      <c r="D460" s="95">
        <v>0</v>
      </c>
      <c r="E460" s="95">
        <v>0</v>
      </c>
      <c r="F460" s="90">
        <f t="shared" si="159"/>
        <v>0</v>
      </c>
      <c r="G460" s="90">
        <f t="shared" si="160"/>
        <v>0</v>
      </c>
      <c r="H460" s="90">
        <v>0</v>
      </c>
      <c r="I460" s="90">
        <v>0</v>
      </c>
      <c r="J460" s="90">
        <f t="shared" si="161"/>
        <v>0</v>
      </c>
      <c r="K460" s="90">
        <f t="shared" si="162"/>
        <v>0</v>
      </c>
      <c r="L460" s="92">
        <v>0</v>
      </c>
      <c r="M460" s="93">
        <v>0</v>
      </c>
      <c r="N460" s="94">
        <f t="shared" si="163"/>
        <v>0</v>
      </c>
      <c r="O460" s="94">
        <f t="shared" si="164"/>
        <v>0</v>
      </c>
      <c r="P460">
        <v>0</v>
      </c>
      <c r="Q460" s="88">
        <v>0</v>
      </c>
      <c r="R460">
        <v>0</v>
      </c>
      <c r="S460" s="87">
        <v>0</v>
      </c>
    </row>
    <row r="461" spans="1:19" x14ac:dyDescent="0.2">
      <c r="A461" s="6" t="s">
        <v>102</v>
      </c>
      <c r="B461" s="92" t="s">
        <v>154</v>
      </c>
      <c r="C461" s="92">
        <v>4</v>
      </c>
      <c r="D461" s="95">
        <v>0</v>
      </c>
      <c r="E461" s="95">
        <v>0</v>
      </c>
      <c r="F461" s="90">
        <f t="shared" si="159"/>
        <v>0</v>
      </c>
      <c r="G461" s="90">
        <f t="shared" si="160"/>
        <v>0</v>
      </c>
      <c r="H461" s="90">
        <v>0</v>
      </c>
      <c r="I461" s="90">
        <v>0</v>
      </c>
      <c r="J461" s="90">
        <f t="shared" si="161"/>
        <v>0</v>
      </c>
      <c r="K461" s="90">
        <f t="shared" si="162"/>
        <v>0</v>
      </c>
      <c r="L461" s="92">
        <v>0</v>
      </c>
      <c r="M461" s="93">
        <v>0</v>
      </c>
      <c r="N461" s="94">
        <f t="shared" si="163"/>
        <v>0</v>
      </c>
      <c r="O461" s="94">
        <f t="shared" si="164"/>
        <v>0</v>
      </c>
      <c r="P461">
        <v>0</v>
      </c>
      <c r="Q461" s="88">
        <v>0</v>
      </c>
      <c r="R461">
        <v>0</v>
      </c>
      <c r="S461" s="87">
        <v>0</v>
      </c>
    </row>
    <row r="462" spans="1:19" x14ac:dyDescent="0.2">
      <c r="A462" s="6" t="s">
        <v>102</v>
      </c>
      <c r="B462" s="92" t="s">
        <v>155</v>
      </c>
      <c r="C462" s="92">
        <v>5</v>
      </c>
      <c r="D462" s="95">
        <v>0</v>
      </c>
      <c r="E462" s="95">
        <v>0</v>
      </c>
      <c r="F462" s="90">
        <f t="shared" si="159"/>
        <v>0</v>
      </c>
      <c r="G462" s="90">
        <f t="shared" si="160"/>
        <v>0</v>
      </c>
      <c r="H462" s="90">
        <v>0</v>
      </c>
      <c r="I462" s="90">
        <v>0</v>
      </c>
      <c r="J462" s="90">
        <f t="shared" si="161"/>
        <v>0</v>
      </c>
      <c r="K462" s="90">
        <f t="shared" si="162"/>
        <v>0</v>
      </c>
      <c r="L462" s="92">
        <v>0</v>
      </c>
      <c r="M462" s="93">
        <v>0</v>
      </c>
      <c r="N462" s="94">
        <f t="shared" si="163"/>
        <v>0</v>
      </c>
      <c r="O462" s="94">
        <f t="shared" si="164"/>
        <v>0</v>
      </c>
      <c r="P462">
        <v>0</v>
      </c>
      <c r="Q462" s="88">
        <v>0</v>
      </c>
      <c r="R462">
        <v>0</v>
      </c>
      <c r="S462" s="87">
        <v>0</v>
      </c>
    </row>
    <row r="463" spans="1:19" x14ac:dyDescent="0.2">
      <c r="A463" s="6" t="s">
        <v>102</v>
      </c>
      <c r="B463" s="92" t="s">
        <v>156</v>
      </c>
      <c r="C463" s="92">
        <v>6</v>
      </c>
      <c r="D463" s="95">
        <v>0</v>
      </c>
      <c r="E463" s="95">
        <v>0</v>
      </c>
      <c r="F463" s="90">
        <f t="shared" si="159"/>
        <v>0</v>
      </c>
      <c r="G463" s="90">
        <f t="shared" si="160"/>
        <v>0</v>
      </c>
      <c r="H463" s="90">
        <v>0</v>
      </c>
      <c r="I463" s="90">
        <v>0</v>
      </c>
      <c r="J463" s="90">
        <f t="shared" si="161"/>
        <v>0</v>
      </c>
      <c r="K463" s="90">
        <f t="shared" si="162"/>
        <v>0</v>
      </c>
      <c r="L463" s="92">
        <v>0</v>
      </c>
      <c r="M463" s="93">
        <v>0</v>
      </c>
      <c r="N463" s="94">
        <f t="shared" si="163"/>
        <v>0</v>
      </c>
      <c r="O463" s="94">
        <f t="shared" si="164"/>
        <v>0</v>
      </c>
      <c r="P463">
        <v>0</v>
      </c>
      <c r="Q463" s="88">
        <v>0</v>
      </c>
      <c r="R463">
        <v>0</v>
      </c>
      <c r="S463" s="87">
        <v>0</v>
      </c>
    </row>
    <row r="464" spans="1:19" x14ac:dyDescent="0.2">
      <c r="A464" s="6" t="s">
        <v>102</v>
      </c>
      <c r="B464" s="92" t="s">
        <v>157</v>
      </c>
      <c r="C464" s="92">
        <v>7</v>
      </c>
      <c r="D464" s="95">
        <v>0</v>
      </c>
      <c r="E464" s="95">
        <v>0</v>
      </c>
      <c r="F464" s="90">
        <f t="shared" si="159"/>
        <v>0</v>
      </c>
      <c r="G464" s="90">
        <f t="shared" si="160"/>
        <v>0</v>
      </c>
      <c r="H464" s="90">
        <v>0</v>
      </c>
      <c r="I464" s="90">
        <v>0</v>
      </c>
      <c r="J464" s="90">
        <f t="shared" si="161"/>
        <v>0</v>
      </c>
      <c r="K464" s="90">
        <f t="shared" si="162"/>
        <v>0</v>
      </c>
      <c r="L464" s="92">
        <v>0</v>
      </c>
      <c r="M464" s="93">
        <v>0</v>
      </c>
      <c r="N464" s="94">
        <f t="shared" si="163"/>
        <v>0</v>
      </c>
      <c r="O464" s="94">
        <f t="shared" si="164"/>
        <v>0</v>
      </c>
      <c r="P464">
        <v>0</v>
      </c>
      <c r="Q464" s="88">
        <v>0</v>
      </c>
      <c r="R464">
        <v>0</v>
      </c>
      <c r="S464" s="87">
        <v>0</v>
      </c>
    </row>
    <row r="465" spans="1:19" x14ac:dyDescent="0.2">
      <c r="A465" s="6" t="s">
        <v>102</v>
      </c>
      <c r="B465" s="92" t="s">
        <v>158</v>
      </c>
      <c r="C465" s="92">
        <v>8</v>
      </c>
      <c r="D465" s="95">
        <v>0</v>
      </c>
      <c r="E465" s="95">
        <v>0</v>
      </c>
      <c r="F465" s="90">
        <f t="shared" si="159"/>
        <v>0</v>
      </c>
      <c r="G465" s="90">
        <f t="shared" si="160"/>
        <v>0</v>
      </c>
      <c r="H465" s="90">
        <v>0</v>
      </c>
      <c r="I465" s="90">
        <v>0</v>
      </c>
      <c r="J465" s="90">
        <f t="shared" si="161"/>
        <v>0</v>
      </c>
      <c r="K465" s="90">
        <f t="shared" si="162"/>
        <v>0</v>
      </c>
      <c r="L465" s="92">
        <v>0</v>
      </c>
      <c r="M465" s="93">
        <v>0</v>
      </c>
      <c r="N465" s="94">
        <f t="shared" si="163"/>
        <v>0</v>
      </c>
      <c r="O465" s="94">
        <f t="shared" si="164"/>
        <v>0</v>
      </c>
      <c r="P465" s="88"/>
      <c r="Q465" s="88">
        <v>0</v>
      </c>
    </row>
    <row r="466" spans="1:19" x14ac:dyDescent="0.2">
      <c r="A466" s="6" t="s">
        <v>102</v>
      </c>
      <c r="B466" s="92" t="s">
        <v>159</v>
      </c>
      <c r="C466" s="92">
        <v>9</v>
      </c>
      <c r="D466" s="95">
        <v>0</v>
      </c>
      <c r="E466" s="95">
        <v>0</v>
      </c>
      <c r="F466" s="90">
        <f t="shared" si="159"/>
        <v>0</v>
      </c>
      <c r="G466" s="90">
        <f t="shared" si="160"/>
        <v>0</v>
      </c>
      <c r="H466" s="90">
        <v>0</v>
      </c>
      <c r="I466" s="90">
        <v>0</v>
      </c>
      <c r="J466" s="90">
        <f t="shared" si="161"/>
        <v>0</v>
      </c>
      <c r="K466" s="90">
        <f t="shared" si="162"/>
        <v>0</v>
      </c>
      <c r="L466" s="92">
        <v>0</v>
      </c>
      <c r="M466" s="93">
        <v>0</v>
      </c>
      <c r="N466" s="94">
        <f t="shared" si="163"/>
        <v>0</v>
      </c>
      <c r="O466" s="94">
        <f t="shared" si="164"/>
        <v>0</v>
      </c>
      <c r="P466" s="88"/>
      <c r="Q466" s="88">
        <v>0</v>
      </c>
    </row>
    <row r="467" spans="1:19" x14ac:dyDescent="0.2">
      <c r="A467" s="6" t="s">
        <v>102</v>
      </c>
      <c r="B467" s="92" t="s">
        <v>160</v>
      </c>
      <c r="C467" s="92">
        <v>10</v>
      </c>
      <c r="D467" s="95">
        <v>0</v>
      </c>
      <c r="E467" s="95">
        <v>0</v>
      </c>
      <c r="F467" s="90">
        <f t="shared" si="159"/>
        <v>0</v>
      </c>
      <c r="G467" s="90">
        <f t="shared" si="160"/>
        <v>0</v>
      </c>
      <c r="H467" s="90">
        <v>0</v>
      </c>
      <c r="I467" s="90">
        <v>0</v>
      </c>
      <c r="J467" s="90">
        <f t="shared" si="161"/>
        <v>0</v>
      </c>
      <c r="K467" s="90">
        <f t="shared" si="162"/>
        <v>0</v>
      </c>
      <c r="L467" s="92">
        <v>4</v>
      </c>
      <c r="M467" s="93">
        <v>1539.76</v>
      </c>
      <c r="N467" s="94">
        <f t="shared" si="163"/>
        <v>4</v>
      </c>
      <c r="O467" s="94">
        <f t="shared" si="164"/>
        <v>1539.76</v>
      </c>
      <c r="P467" s="88"/>
      <c r="Q467" s="88">
        <v>0</v>
      </c>
    </row>
    <row r="468" spans="1:19" x14ac:dyDescent="0.2">
      <c r="A468" s="6" t="s">
        <v>102</v>
      </c>
      <c r="B468" s="92" t="s">
        <v>161</v>
      </c>
      <c r="C468" s="92">
        <v>11</v>
      </c>
      <c r="D468" s="95">
        <v>0</v>
      </c>
      <c r="E468" s="95">
        <v>0</v>
      </c>
      <c r="F468" s="90">
        <f t="shared" si="159"/>
        <v>0</v>
      </c>
      <c r="G468" s="90">
        <f t="shared" si="160"/>
        <v>0</v>
      </c>
      <c r="H468" s="90">
        <v>0</v>
      </c>
      <c r="I468" s="90">
        <v>0</v>
      </c>
      <c r="J468" s="90">
        <f t="shared" si="161"/>
        <v>0</v>
      </c>
      <c r="K468" s="90">
        <f t="shared" si="162"/>
        <v>0</v>
      </c>
      <c r="L468" s="92">
        <v>4</v>
      </c>
      <c r="M468" s="93">
        <v>1861.1</v>
      </c>
      <c r="N468" s="94">
        <f t="shared" si="163"/>
        <v>8</v>
      </c>
      <c r="O468" s="94">
        <f t="shared" si="164"/>
        <v>3400.8599999999997</v>
      </c>
      <c r="P468" s="88"/>
      <c r="Q468" s="88">
        <v>0</v>
      </c>
    </row>
    <row r="469" spans="1:19" x14ac:dyDescent="0.2">
      <c r="A469" s="6" t="s">
        <v>102</v>
      </c>
      <c r="B469" s="92" t="s">
        <v>162</v>
      </c>
      <c r="C469" s="92">
        <v>12</v>
      </c>
      <c r="D469" s="95">
        <v>0</v>
      </c>
      <c r="E469" s="95">
        <v>0</v>
      </c>
      <c r="F469" s="90">
        <f t="shared" si="159"/>
        <v>0</v>
      </c>
      <c r="G469" s="90">
        <f t="shared" si="160"/>
        <v>0</v>
      </c>
      <c r="H469" s="90">
        <v>0</v>
      </c>
      <c r="I469" s="90">
        <v>0</v>
      </c>
      <c r="J469" s="90">
        <f t="shared" si="161"/>
        <v>0</v>
      </c>
      <c r="K469" s="90">
        <f t="shared" si="162"/>
        <v>0</v>
      </c>
      <c r="L469" s="92">
        <v>0</v>
      </c>
      <c r="M469" s="93">
        <v>0</v>
      </c>
      <c r="N469" s="94">
        <f t="shared" si="163"/>
        <v>8</v>
      </c>
      <c r="O469" s="94">
        <f t="shared" si="164"/>
        <v>3400.8599999999997</v>
      </c>
      <c r="P469" s="88"/>
      <c r="Q469" s="88">
        <v>0</v>
      </c>
    </row>
    <row r="470" spans="1:19" x14ac:dyDescent="0.2">
      <c r="A470" s="6" t="s">
        <v>106</v>
      </c>
      <c r="B470" s="92" t="s">
        <v>151</v>
      </c>
      <c r="C470" s="92">
        <v>1</v>
      </c>
      <c r="D470" s="95">
        <v>2</v>
      </c>
      <c r="E470" s="95">
        <v>11250</v>
      </c>
      <c r="F470" s="90">
        <f>D470</f>
        <v>2</v>
      </c>
      <c r="G470" s="90">
        <f>E470</f>
        <v>11250</v>
      </c>
      <c r="H470" s="91">
        <v>0</v>
      </c>
      <c r="I470" s="91">
        <v>0</v>
      </c>
      <c r="J470" s="91">
        <f>H470</f>
        <v>0</v>
      </c>
      <c r="K470" s="91">
        <f>I470</f>
        <v>0</v>
      </c>
      <c r="L470" s="92">
        <v>1</v>
      </c>
      <c r="M470" s="93">
        <v>5000</v>
      </c>
      <c r="N470" s="94">
        <f>L470</f>
        <v>1</v>
      </c>
      <c r="O470" s="94">
        <f>M470</f>
        <v>5000</v>
      </c>
      <c r="P470">
        <v>3</v>
      </c>
      <c r="Q470">
        <v>10515</v>
      </c>
      <c r="R470">
        <v>3</v>
      </c>
      <c r="S470">
        <v>10515</v>
      </c>
    </row>
    <row r="471" spans="1:19" x14ac:dyDescent="0.2">
      <c r="A471" s="6" t="s">
        <v>106</v>
      </c>
      <c r="B471" s="92" t="s">
        <v>152</v>
      </c>
      <c r="C471" s="92">
        <v>2</v>
      </c>
      <c r="D471" s="95">
        <v>3</v>
      </c>
      <c r="E471" s="95">
        <v>5605</v>
      </c>
      <c r="F471" s="90">
        <f t="shared" ref="F471:G481" si="165">F470+D471</f>
        <v>5</v>
      </c>
      <c r="G471" s="90">
        <f t="shared" si="165"/>
        <v>16855</v>
      </c>
      <c r="H471" s="91">
        <v>7</v>
      </c>
      <c r="I471" s="91">
        <v>10000</v>
      </c>
      <c r="J471" s="91">
        <f t="shared" ref="J471:K481" si="166">J470+H471</f>
        <v>7</v>
      </c>
      <c r="K471" s="91">
        <f t="shared" si="166"/>
        <v>10000</v>
      </c>
      <c r="L471" s="92">
        <v>0</v>
      </c>
      <c r="M471" s="93">
        <v>0</v>
      </c>
      <c r="N471" s="94">
        <f t="shared" ref="N471:N481" si="167">N470+L471</f>
        <v>1</v>
      </c>
      <c r="O471" s="94">
        <f t="shared" ref="O471:O481" si="168">O470+M471</f>
        <v>5000</v>
      </c>
      <c r="P471">
        <v>0</v>
      </c>
      <c r="Q471">
        <v>0</v>
      </c>
      <c r="R471">
        <v>3</v>
      </c>
      <c r="S471">
        <v>10515</v>
      </c>
    </row>
    <row r="472" spans="1:19" x14ac:dyDescent="0.2">
      <c r="A472" s="6" t="s">
        <v>106</v>
      </c>
      <c r="B472" s="92" t="s">
        <v>153</v>
      </c>
      <c r="C472" s="92">
        <v>3</v>
      </c>
      <c r="D472" s="95">
        <v>3</v>
      </c>
      <c r="E472" s="95">
        <v>8000</v>
      </c>
      <c r="F472" s="90">
        <f t="shared" si="165"/>
        <v>8</v>
      </c>
      <c r="G472" s="90">
        <f t="shared" si="165"/>
        <v>24855</v>
      </c>
      <c r="H472" s="91">
        <v>9</v>
      </c>
      <c r="I472" s="91">
        <v>11110</v>
      </c>
      <c r="J472" s="91">
        <f t="shared" si="166"/>
        <v>16</v>
      </c>
      <c r="K472" s="91">
        <f t="shared" si="166"/>
        <v>21110</v>
      </c>
      <c r="L472" s="92">
        <v>1</v>
      </c>
      <c r="M472" s="93">
        <v>4000</v>
      </c>
      <c r="N472" s="94">
        <f t="shared" si="167"/>
        <v>2</v>
      </c>
      <c r="O472" s="94">
        <f t="shared" si="168"/>
        <v>9000</v>
      </c>
      <c r="P472">
        <v>1</v>
      </c>
      <c r="Q472">
        <v>5810</v>
      </c>
      <c r="R472">
        <v>4</v>
      </c>
      <c r="S472">
        <v>16325</v>
      </c>
    </row>
    <row r="473" spans="1:19" x14ac:dyDescent="0.2">
      <c r="A473" s="6" t="s">
        <v>106</v>
      </c>
      <c r="B473" s="92" t="s">
        <v>154</v>
      </c>
      <c r="C473" s="92">
        <v>4</v>
      </c>
      <c r="D473" s="95">
        <v>0</v>
      </c>
      <c r="E473" s="95">
        <v>0</v>
      </c>
      <c r="F473" s="90">
        <f t="shared" si="165"/>
        <v>8</v>
      </c>
      <c r="G473" s="90">
        <f t="shared" si="165"/>
        <v>24855</v>
      </c>
      <c r="H473" s="91">
        <v>0</v>
      </c>
      <c r="I473" s="91">
        <v>0</v>
      </c>
      <c r="J473" s="91">
        <f t="shared" si="166"/>
        <v>16</v>
      </c>
      <c r="K473" s="91">
        <f t="shared" si="166"/>
        <v>21110</v>
      </c>
      <c r="L473" s="92">
        <v>2</v>
      </c>
      <c r="M473" s="93">
        <v>8820</v>
      </c>
      <c r="N473" s="94">
        <f t="shared" si="167"/>
        <v>4</v>
      </c>
      <c r="O473" s="94">
        <f t="shared" si="168"/>
        <v>17820</v>
      </c>
      <c r="P473">
        <v>1</v>
      </c>
      <c r="Q473">
        <v>5400</v>
      </c>
      <c r="R473">
        <v>5</v>
      </c>
      <c r="S473">
        <v>21725</v>
      </c>
    </row>
    <row r="474" spans="1:19" x14ac:dyDescent="0.2">
      <c r="A474" s="6" t="s">
        <v>106</v>
      </c>
      <c r="B474" s="92" t="s">
        <v>155</v>
      </c>
      <c r="C474" s="92">
        <v>5</v>
      </c>
      <c r="D474" s="95">
        <v>6</v>
      </c>
      <c r="E474" s="90">
        <v>16938</v>
      </c>
      <c r="F474" s="90">
        <f t="shared" si="165"/>
        <v>14</v>
      </c>
      <c r="G474" s="90">
        <f t="shared" si="165"/>
        <v>41793</v>
      </c>
      <c r="H474" s="91">
        <v>8</v>
      </c>
      <c r="I474" s="91">
        <v>12600</v>
      </c>
      <c r="J474" s="91">
        <f t="shared" si="166"/>
        <v>24</v>
      </c>
      <c r="K474" s="91">
        <f t="shared" si="166"/>
        <v>33710</v>
      </c>
      <c r="L474" s="92">
        <v>3</v>
      </c>
      <c r="M474" s="93">
        <v>7350</v>
      </c>
      <c r="N474" s="94">
        <f t="shared" si="167"/>
        <v>7</v>
      </c>
      <c r="O474" s="94">
        <f t="shared" si="168"/>
        <v>25170</v>
      </c>
      <c r="P474">
        <v>0</v>
      </c>
      <c r="Q474">
        <v>0</v>
      </c>
      <c r="R474">
        <v>5</v>
      </c>
      <c r="S474">
        <v>21725</v>
      </c>
    </row>
    <row r="475" spans="1:19" x14ac:dyDescent="0.2">
      <c r="A475" s="6" t="s">
        <v>106</v>
      </c>
      <c r="B475" s="92" t="s">
        <v>156</v>
      </c>
      <c r="C475" s="92">
        <v>6</v>
      </c>
      <c r="D475" s="95">
        <v>1</v>
      </c>
      <c r="E475" s="95">
        <v>8200</v>
      </c>
      <c r="F475" s="90">
        <f t="shared" si="165"/>
        <v>15</v>
      </c>
      <c r="G475" s="90">
        <f t="shared" si="165"/>
        <v>49993</v>
      </c>
      <c r="H475" s="91">
        <v>0</v>
      </c>
      <c r="I475" s="91">
        <v>0</v>
      </c>
      <c r="J475" s="91">
        <f t="shared" si="166"/>
        <v>24</v>
      </c>
      <c r="K475" s="91">
        <f t="shared" si="166"/>
        <v>33710</v>
      </c>
      <c r="L475" s="92">
        <v>6</v>
      </c>
      <c r="M475" s="93">
        <v>25884</v>
      </c>
      <c r="N475" s="94">
        <f t="shared" si="167"/>
        <v>13</v>
      </c>
      <c r="O475" s="94">
        <f t="shared" si="168"/>
        <v>51054</v>
      </c>
      <c r="P475">
        <v>1</v>
      </c>
      <c r="Q475">
        <v>3600</v>
      </c>
      <c r="R475">
        <v>6</v>
      </c>
      <c r="S475">
        <v>25325</v>
      </c>
    </row>
    <row r="476" spans="1:19" x14ac:dyDescent="0.2">
      <c r="A476" s="6" t="s">
        <v>106</v>
      </c>
      <c r="B476" s="92" t="s">
        <v>157</v>
      </c>
      <c r="C476" s="92">
        <v>7</v>
      </c>
      <c r="D476" s="95">
        <v>0</v>
      </c>
      <c r="E476" s="95">
        <v>0</v>
      </c>
      <c r="F476" s="90">
        <f t="shared" si="165"/>
        <v>15</v>
      </c>
      <c r="G476" s="90">
        <f t="shared" si="165"/>
        <v>49993</v>
      </c>
      <c r="H476" s="91">
        <v>1</v>
      </c>
      <c r="I476" s="91">
        <v>2820</v>
      </c>
      <c r="J476" s="91">
        <f t="shared" si="166"/>
        <v>25</v>
      </c>
      <c r="K476" s="91">
        <f t="shared" si="166"/>
        <v>36530</v>
      </c>
      <c r="L476" s="92">
        <v>2</v>
      </c>
      <c r="M476" s="93">
        <v>3500</v>
      </c>
      <c r="N476" s="94">
        <f t="shared" si="167"/>
        <v>15</v>
      </c>
      <c r="O476" s="94">
        <f t="shared" si="168"/>
        <v>54554</v>
      </c>
      <c r="P476">
        <v>2</v>
      </c>
      <c r="Q476">
        <v>8544</v>
      </c>
      <c r="R476">
        <v>8</v>
      </c>
      <c r="S476">
        <v>33869</v>
      </c>
    </row>
    <row r="477" spans="1:19" x14ac:dyDescent="0.2">
      <c r="A477" s="6" t="s">
        <v>106</v>
      </c>
      <c r="B477" s="92" t="s">
        <v>158</v>
      </c>
      <c r="C477" s="92">
        <v>8</v>
      </c>
      <c r="D477" s="95">
        <v>0</v>
      </c>
      <c r="E477" s="95">
        <v>0</v>
      </c>
      <c r="F477" s="90">
        <f t="shared" si="165"/>
        <v>15</v>
      </c>
      <c r="G477" s="90">
        <f t="shared" si="165"/>
        <v>49993</v>
      </c>
      <c r="H477" s="91">
        <v>0</v>
      </c>
      <c r="I477" s="91">
        <v>0</v>
      </c>
      <c r="J477" s="91">
        <f t="shared" si="166"/>
        <v>25</v>
      </c>
      <c r="K477" s="91">
        <f t="shared" si="166"/>
        <v>36530</v>
      </c>
      <c r="L477" s="92">
        <v>14</v>
      </c>
      <c r="M477" s="93">
        <v>71741</v>
      </c>
      <c r="N477" s="94">
        <f t="shared" si="167"/>
        <v>29</v>
      </c>
      <c r="O477" s="94">
        <f t="shared" si="168"/>
        <v>126295</v>
      </c>
      <c r="P477" s="88"/>
      <c r="Q477" s="88">
        <v>0</v>
      </c>
    </row>
    <row r="478" spans="1:19" x14ac:dyDescent="0.2">
      <c r="A478" s="6" t="s">
        <v>106</v>
      </c>
      <c r="B478" s="92" t="s">
        <v>159</v>
      </c>
      <c r="C478" s="92">
        <v>9</v>
      </c>
      <c r="D478" s="95">
        <v>9</v>
      </c>
      <c r="E478" s="90">
        <v>17830.75</v>
      </c>
      <c r="F478" s="90">
        <f t="shared" si="165"/>
        <v>24</v>
      </c>
      <c r="G478" s="90">
        <f t="shared" si="165"/>
        <v>67823.75</v>
      </c>
      <c r="H478" s="91">
        <v>1</v>
      </c>
      <c r="I478" s="91">
        <v>2500</v>
      </c>
      <c r="J478" s="91">
        <f t="shared" si="166"/>
        <v>26</v>
      </c>
      <c r="K478" s="91">
        <f t="shared" si="166"/>
        <v>39030</v>
      </c>
      <c r="L478" s="92">
        <v>1</v>
      </c>
      <c r="M478" s="93">
        <v>7000</v>
      </c>
      <c r="N478" s="94">
        <f t="shared" si="167"/>
        <v>30</v>
      </c>
      <c r="O478" s="94">
        <f t="shared" si="168"/>
        <v>133295</v>
      </c>
      <c r="P478" s="88"/>
      <c r="Q478" s="88">
        <v>0</v>
      </c>
    </row>
    <row r="479" spans="1:19" x14ac:dyDescent="0.2">
      <c r="A479" s="6" t="s">
        <v>106</v>
      </c>
      <c r="B479" s="92" t="s">
        <v>160</v>
      </c>
      <c r="C479" s="92">
        <v>10</v>
      </c>
      <c r="D479" s="95">
        <v>1</v>
      </c>
      <c r="E479" s="95">
        <v>2670</v>
      </c>
      <c r="F479" s="90">
        <f t="shared" si="165"/>
        <v>25</v>
      </c>
      <c r="G479" s="90">
        <f t="shared" si="165"/>
        <v>70493.75</v>
      </c>
      <c r="H479" s="91">
        <v>6</v>
      </c>
      <c r="I479" s="91">
        <v>17900</v>
      </c>
      <c r="J479" s="91">
        <f t="shared" si="166"/>
        <v>32</v>
      </c>
      <c r="K479" s="91">
        <f t="shared" si="166"/>
        <v>56930</v>
      </c>
      <c r="L479" s="92">
        <v>3</v>
      </c>
      <c r="M479" s="93">
        <v>8372</v>
      </c>
      <c r="N479" s="94">
        <f t="shared" si="167"/>
        <v>33</v>
      </c>
      <c r="O479" s="94">
        <f t="shared" si="168"/>
        <v>141667</v>
      </c>
      <c r="P479" s="88"/>
      <c r="Q479" s="88">
        <v>0</v>
      </c>
    </row>
    <row r="480" spans="1:19" x14ac:dyDescent="0.2">
      <c r="A480" s="6" t="s">
        <v>106</v>
      </c>
      <c r="B480" s="92" t="s">
        <v>161</v>
      </c>
      <c r="C480" s="92">
        <v>11</v>
      </c>
      <c r="D480" s="95">
        <v>1</v>
      </c>
      <c r="E480" s="95">
        <v>1200</v>
      </c>
      <c r="F480" s="90">
        <f t="shared" si="165"/>
        <v>26</v>
      </c>
      <c r="G480" s="90">
        <f t="shared" si="165"/>
        <v>71693.75</v>
      </c>
      <c r="H480" s="91">
        <v>12</v>
      </c>
      <c r="I480" s="91">
        <v>46175</v>
      </c>
      <c r="J480" s="91">
        <f t="shared" si="166"/>
        <v>44</v>
      </c>
      <c r="K480" s="91">
        <f t="shared" si="166"/>
        <v>103105</v>
      </c>
      <c r="L480" s="92">
        <v>0</v>
      </c>
      <c r="M480" s="93">
        <v>0</v>
      </c>
      <c r="N480" s="94">
        <f t="shared" si="167"/>
        <v>33</v>
      </c>
      <c r="O480" s="94">
        <f t="shared" si="168"/>
        <v>141667</v>
      </c>
      <c r="P480" s="88"/>
      <c r="Q480" s="88">
        <v>0</v>
      </c>
    </row>
    <row r="481" spans="1:19" x14ac:dyDescent="0.2">
      <c r="A481" s="6" t="s">
        <v>106</v>
      </c>
      <c r="B481" s="92" t="s">
        <v>162</v>
      </c>
      <c r="C481" s="92">
        <v>12</v>
      </c>
      <c r="D481" s="95">
        <v>5</v>
      </c>
      <c r="E481" s="90">
        <v>11700</v>
      </c>
      <c r="F481" s="90">
        <f t="shared" si="165"/>
        <v>31</v>
      </c>
      <c r="G481" s="90">
        <f t="shared" si="165"/>
        <v>83393.75</v>
      </c>
      <c r="H481" s="91">
        <v>5</v>
      </c>
      <c r="I481" s="91">
        <v>12808</v>
      </c>
      <c r="J481" s="91">
        <f t="shared" si="166"/>
        <v>49</v>
      </c>
      <c r="K481" s="91">
        <f t="shared" si="166"/>
        <v>115913</v>
      </c>
      <c r="L481" s="92">
        <v>9</v>
      </c>
      <c r="M481" s="93">
        <v>28390.04</v>
      </c>
      <c r="N481" s="94">
        <f t="shared" si="167"/>
        <v>42</v>
      </c>
      <c r="O481" s="94">
        <f t="shared" si="168"/>
        <v>170057.04</v>
      </c>
      <c r="P481" s="88"/>
      <c r="Q481" s="88">
        <v>0</v>
      </c>
    </row>
    <row r="482" spans="1:19" x14ac:dyDescent="0.2">
      <c r="A482" s="6" t="s">
        <v>31</v>
      </c>
      <c r="B482" s="92" t="s">
        <v>151</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v>0</v>
      </c>
    </row>
    <row r="483" spans="1:19" x14ac:dyDescent="0.2">
      <c r="A483" s="6" t="s">
        <v>31</v>
      </c>
      <c r="B483" s="92" t="s">
        <v>152</v>
      </c>
      <c r="C483" s="92">
        <v>2</v>
      </c>
      <c r="D483" s="95">
        <v>0</v>
      </c>
      <c r="E483" s="95">
        <v>0</v>
      </c>
      <c r="F483" s="90">
        <f t="shared" ref="F483:F493" si="169">F482+D483</f>
        <v>0</v>
      </c>
      <c r="G483" s="90">
        <f t="shared" ref="G483:G493" si="170">G482+E483</f>
        <v>0</v>
      </c>
      <c r="H483" s="90">
        <v>0</v>
      </c>
      <c r="I483" s="90">
        <v>0</v>
      </c>
      <c r="J483" s="90">
        <f t="shared" ref="J483:J493" si="171">J482+H483</f>
        <v>0</v>
      </c>
      <c r="K483" s="90">
        <f t="shared" ref="K483:K493" si="172">K482+I483</f>
        <v>0</v>
      </c>
      <c r="L483" s="92">
        <v>0</v>
      </c>
      <c r="M483" s="93">
        <v>0</v>
      </c>
      <c r="N483" s="94">
        <f t="shared" ref="N483:N493" si="173">N482+L483</f>
        <v>0</v>
      </c>
      <c r="O483" s="94">
        <f t="shared" ref="O483:O493" si="174">O482+M483</f>
        <v>0</v>
      </c>
      <c r="P483">
        <v>0</v>
      </c>
      <c r="Q483" s="88">
        <v>0</v>
      </c>
      <c r="R483">
        <v>0</v>
      </c>
      <c r="S483">
        <v>0</v>
      </c>
    </row>
    <row r="484" spans="1:19" x14ac:dyDescent="0.2">
      <c r="A484" s="6" t="s">
        <v>31</v>
      </c>
      <c r="B484" s="92" t="s">
        <v>153</v>
      </c>
      <c r="C484" s="92">
        <v>3</v>
      </c>
      <c r="D484" s="95">
        <v>0</v>
      </c>
      <c r="E484" s="95">
        <v>0</v>
      </c>
      <c r="F484" s="90">
        <f t="shared" si="169"/>
        <v>0</v>
      </c>
      <c r="G484" s="90">
        <f t="shared" si="170"/>
        <v>0</v>
      </c>
      <c r="H484" s="90">
        <v>0</v>
      </c>
      <c r="I484" s="90">
        <v>0</v>
      </c>
      <c r="J484" s="90">
        <f t="shared" si="171"/>
        <v>0</v>
      </c>
      <c r="K484" s="90">
        <f t="shared" si="172"/>
        <v>0</v>
      </c>
      <c r="L484" s="92">
        <v>0</v>
      </c>
      <c r="M484" s="93">
        <v>0</v>
      </c>
      <c r="N484" s="94">
        <f t="shared" si="173"/>
        <v>0</v>
      </c>
      <c r="O484" s="94">
        <f t="shared" si="174"/>
        <v>0</v>
      </c>
      <c r="P484">
        <v>0</v>
      </c>
      <c r="Q484" s="88">
        <v>0</v>
      </c>
      <c r="R484">
        <v>0</v>
      </c>
      <c r="S484">
        <v>0</v>
      </c>
    </row>
    <row r="485" spans="1:19" x14ac:dyDescent="0.2">
      <c r="A485" s="6" t="s">
        <v>31</v>
      </c>
      <c r="B485" s="92" t="s">
        <v>154</v>
      </c>
      <c r="C485" s="92">
        <v>4</v>
      </c>
      <c r="D485" s="95">
        <v>0</v>
      </c>
      <c r="E485" s="95">
        <v>0</v>
      </c>
      <c r="F485" s="90">
        <f t="shared" si="169"/>
        <v>0</v>
      </c>
      <c r="G485" s="90">
        <f t="shared" si="170"/>
        <v>0</v>
      </c>
      <c r="H485" s="90">
        <v>0</v>
      </c>
      <c r="I485" s="90">
        <v>0</v>
      </c>
      <c r="J485" s="90">
        <f t="shared" si="171"/>
        <v>0</v>
      </c>
      <c r="K485" s="90">
        <f t="shared" si="172"/>
        <v>0</v>
      </c>
      <c r="L485" s="92">
        <v>0</v>
      </c>
      <c r="M485" s="93">
        <v>0</v>
      </c>
      <c r="N485" s="94">
        <f t="shared" si="173"/>
        <v>0</v>
      </c>
      <c r="O485" s="94">
        <f t="shared" si="174"/>
        <v>0</v>
      </c>
      <c r="P485">
        <v>0</v>
      </c>
      <c r="Q485" s="88">
        <v>0</v>
      </c>
      <c r="R485">
        <v>0</v>
      </c>
      <c r="S485">
        <v>0</v>
      </c>
    </row>
    <row r="486" spans="1:19" x14ac:dyDescent="0.2">
      <c r="A486" s="6" t="s">
        <v>31</v>
      </c>
      <c r="B486" s="92" t="s">
        <v>155</v>
      </c>
      <c r="C486" s="92">
        <v>5</v>
      </c>
      <c r="D486" s="95">
        <v>0</v>
      </c>
      <c r="E486" s="95">
        <v>0</v>
      </c>
      <c r="F486" s="90">
        <f t="shared" si="169"/>
        <v>0</v>
      </c>
      <c r="G486" s="90">
        <f t="shared" si="170"/>
        <v>0</v>
      </c>
      <c r="H486" s="90">
        <v>0</v>
      </c>
      <c r="I486" s="90">
        <v>0</v>
      </c>
      <c r="J486" s="90">
        <f t="shared" si="171"/>
        <v>0</v>
      </c>
      <c r="K486" s="90">
        <f t="shared" si="172"/>
        <v>0</v>
      </c>
      <c r="L486" s="92">
        <v>0</v>
      </c>
      <c r="M486" s="93">
        <v>0</v>
      </c>
      <c r="N486" s="94">
        <f t="shared" si="173"/>
        <v>0</v>
      </c>
      <c r="O486" s="94">
        <f t="shared" si="174"/>
        <v>0</v>
      </c>
      <c r="P486">
        <v>0</v>
      </c>
      <c r="Q486" s="88">
        <v>0</v>
      </c>
      <c r="R486">
        <v>0</v>
      </c>
      <c r="S486">
        <v>0</v>
      </c>
    </row>
    <row r="487" spans="1:19" x14ac:dyDescent="0.2">
      <c r="A487" s="6" t="s">
        <v>31</v>
      </c>
      <c r="B487" s="92" t="s">
        <v>156</v>
      </c>
      <c r="C487" s="92">
        <v>6</v>
      </c>
      <c r="D487" s="95">
        <v>0</v>
      </c>
      <c r="E487" s="95">
        <v>0</v>
      </c>
      <c r="F487" s="90">
        <f t="shared" si="169"/>
        <v>0</v>
      </c>
      <c r="G487" s="90">
        <f t="shared" si="170"/>
        <v>0</v>
      </c>
      <c r="H487" s="90">
        <v>0</v>
      </c>
      <c r="I487" s="90">
        <v>0</v>
      </c>
      <c r="J487" s="90">
        <f t="shared" si="171"/>
        <v>0</v>
      </c>
      <c r="K487" s="90">
        <f t="shared" si="172"/>
        <v>0</v>
      </c>
      <c r="L487" s="92">
        <v>0</v>
      </c>
      <c r="M487" s="93">
        <v>0</v>
      </c>
      <c r="N487" s="94">
        <f t="shared" si="173"/>
        <v>0</v>
      </c>
      <c r="O487" s="94">
        <f t="shared" si="174"/>
        <v>0</v>
      </c>
      <c r="P487">
        <v>1</v>
      </c>
      <c r="Q487" s="88">
        <v>977.4</v>
      </c>
      <c r="R487">
        <v>1</v>
      </c>
      <c r="S487">
        <v>977.4</v>
      </c>
    </row>
    <row r="488" spans="1:19" x14ac:dyDescent="0.2">
      <c r="A488" s="6" t="s">
        <v>31</v>
      </c>
      <c r="B488" s="92" t="s">
        <v>157</v>
      </c>
      <c r="C488" s="92">
        <v>7</v>
      </c>
      <c r="D488" s="95">
        <v>0</v>
      </c>
      <c r="E488" s="95">
        <v>0</v>
      </c>
      <c r="F488" s="90">
        <f t="shared" si="169"/>
        <v>0</v>
      </c>
      <c r="G488" s="90">
        <f t="shared" si="170"/>
        <v>0</v>
      </c>
      <c r="H488" s="90">
        <v>0</v>
      </c>
      <c r="I488" s="90">
        <v>0</v>
      </c>
      <c r="J488" s="90">
        <f t="shared" si="171"/>
        <v>0</v>
      </c>
      <c r="K488" s="90">
        <f t="shared" si="172"/>
        <v>0</v>
      </c>
      <c r="L488" s="92">
        <v>0</v>
      </c>
      <c r="M488" s="93">
        <v>0</v>
      </c>
      <c r="N488" s="94">
        <f t="shared" si="173"/>
        <v>0</v>
      </c>
      <c r="O488" s="94">
        <f t="shared" si="174"/>
        <v>0</v>
      </c>
      <c r="P488">
        <v>0</v>
      </c>
      <c r="Q488" s="88">
        <v>0</v>
      </c>
      <c r="R488">
        <v>1</v>
      </c>
      <c r="S488">
        <v>977.4</v>
      </c>
    </row>
    <row r="489" spans="1:19" x14ac:dyDescent="0.2">
      <c r="A489" s="6" t="s">
        <v>31</v>
      </c>
      <c r="B489" s="92" t="s">
        <v>158</v>
      </c>
      <c r="C489" s="92">
        <v>8</v>
      </c>
      <c r="D489" s="95">
        <v>0</v>
      </c>
      <c r="E489" s="95">
        <v>0</v>
      </c>
      <c r="F489" s="90">
        <f t="shared" si="169"/>
        <v>0</v>
      </c>
      <c r="G489" s="90">
        <f t="shared" si="170"/>
        <v>0</v>
      </c>
      <c r="H489" s="90">
        <v>0</v>
      </c>
      <c r="I489" s="90">
        <v>0</v>
      </c>
      <c r="J489" s="90">
        <f t="shared" si="171"/>
        <v>0</v>
      </c>
      <c r="K489" s="90">
        <f t="shared" si="172"/>
        <v>0</v>
      </c>
      <c r="L489" s="92">
        <v>0</v>
      </c>
      <c r="M489" s="93">
        <v>0</v>
      </c>
      <c r="N489" s="94">
        <f t="shared" si="173"/>
        <v>0</v>
      </c>
      <c r="O489" s="94">
        <f t="shared" si="174"/>
        <v>0</v>
      </c>
      <c r="P489" s="88"/>
      <c r="Q489" s="88">
        <v>0</v>
      </c>
    </row>
    <row r="490" spans="1:19" x14ac:dyDescent="0.2">
      <c r="A490" s="6" t="s">
        <v>31</v>
      </c>
      <c r="B490" s="92" t="s">
        <v>159</v>
      </c>
      <c r="C490" s="92">
        <v>9</v>
      </c>
      <c r="D490" s="95">
        <v>0</v>
      </c>
      <c r="E490" s="95">
        <v>0</v>
      </c>
      <c r="F490" s="90">
        <f t="shared" si="169"/>
        <v>0</v>
      </c>
      <c r="G490" s="90">
        <f t="shared" si="170"/>
        <v>0</v>
      </c>
      <c r="H490" s="90">
        <v>0</v>
      </c>
      <c r="I490" s="90">
        <v>0</v>
      </c>
      <c r="J490" s="90">
        <f t="shared" si="171"/>
        <v>0</v>
      </c>
      <c r="K490" s="90">
        <f t="shared" si="172"/>
        <v>0</v>
      </c>
      <c r="L490" s="92">
        <v>0</v>
      </c>
      <c r="M490" s="93">
        <v>0</v>
      </c>
      <c r="N490" s="94">
        <f t="shared" si="173"/>
        <v>0</v>
      </c>
      <c r="O490" s="94">
        <f t="shared" si="174"/>
        <v>0</v>
      </c>
      <c r="P490" s="88"/>
      <c r="Q490" s="88">
        <v>0</v>
      </c>
    </row>
    <row r="491" spans="1:19" x14ac:dyDescent="0.2">
      <c r="A491" s="6" t="s">
        <v>31</v>
      </c>
      <c r="B491" s="92" t="s">
        <v>160</v>
      </c>
      <c r="C491" s="92">
        <v>10</v>
      </c>
      <c r="D491" s="95">
        <v>0</v>
      </c>
      <c r="E491" s="95">
        <v>0</v>
      </c>
      <c r="F491" s="90">
        <f t="shared" si="169"/>
        <v>0</v>
      </c>
      <c r="G491" s="90">
        <f t="shared" si="170"/>
        <v>0</v>
      </c>
      <c r="H491" s="90">
        <v>0</v>
      </c>
      <c r="I491" s="90">
        <v>0</v>
      </c>
      <c r="J491" s="90">
        <f t="shared" si="171"/>
        <v>0</v>
      </c>
      <c r="K491" s="90">
        <f t="shared" si="172"/>
        <v>0</v>
      </c>
      <c r="L491" s="92">
        <v>0</v>
      </c>
      <c r="M491" s="93">
        <v>0</v>
      </c>
      <c r="N491" s="94">
        <f t="shared" si="173"/>
        <v>0</v>
      </c>
      <c r="O491" s="94">
        <f t="shared" si="174"/>
        <v>0</v>
      </c>
      <c r="P491" s="88"/>
      <c r="Q491" s="88">
        <v>0</v>
      </c>
    </row>
    <row r="492" spans="1:19" x14ac:dyDescent="0.2">
      <c r="A492" s="6" t="s">
        <v>31</v>
      </c>
      <c r="B492" s="92" t="s">
        <v>161</v>
      </c>
      <c r="C492" s="92">
        <v>11</v>
      </c>
      <c r="D492" s="95">
        <v>0</v>
      </c>
      <c r="E492" s="95">
        <v>0</v>
      </c>
      <c r="F492" s="90">
        <f t="shared" si="169"/>
        <v>0</v>
      </c>
      <c r="G492" s="90">
        <f t="shared" si="170"/>
        <v>0</v>
      </c>
      <c r="H492" s="90">
        <v>0</v>
      </c>
      <c r="I492" s="90">
        <v>0</v>
      </c>
      <c r="J492" s="90">
        <f t="shared" si="171"/>
        <v>0</v>
      </c>
      <c r="K492" s="90">
        <f t="shared" si="172"/>
        <v>0</v>
      </c>
      <c r="L492" s="92">
        <v>0</v>
      </c>
      <c r="M492" s="93">
        <v>0</v>
      </c>
      <c r="N492" s="94">
        <f t="shared" si="173"/>
        <v>0</v>
      </c>
      <c r="O492" s="94">
        <f t="shared" si="174"/>
        <v>0</v>
      </c>
      <c r="P492" s="88"/>
      <c r="Q492" s="88">
        <v>0</v>
      </c>
    </row>
    <row r="493" spans="1:19" x14ac:dyDescent="0.2">
      <c r="A493" s="6" t="s">
        <v>31</v>
      </c>
      <c r="B493" s="92" t="s">
        <v>162</v>
      </c>
      <c r="C493" s="92">
        <v>12</v>
      </c>
      <c r="D493" s="95">
        <v>0</v>
      </c>
      <c r="E493" s="95">
        <v>0</v>
      </c>
      <c r="F493" s="90">
        <f t="shared" si="169"/>
        <v>0</v>
      </c>
      <c r="G493" s="90">
        <f t="shared" si="170"/>
        <v>0</v>
      </c>
      <c r="H493" s="90">
        <v>0</v>
      </c>
      <c r="I493" s="90">
        <v>0</v>
      </c>
      <c r="J493" s="90">
        <f t="shared" si="171"/>
        <v>0</v>
      </c>
      <c r="K493" s="90">
        <f t="shared" si="172"/>
        <v>0</v>
      </c>
      <c r="L493" s="92">
        <v>2</v>
      </c>
      <c r="M493" s="93">
        <v>900</v>
      </c>
      <c r="N493" s="94">
        <f t="shared" si="173"/>
        <v>2</v>
      </c>
      <c r="O493" s="94">
        <f t="shared" si="174"/>
        <v>900</v>
      </c>
      <c r="P493" s="88"/>
      <c r="Q493" s="88">
        <v>0</v>
      </c>
    </row>
    <row r="494" spans="1:19" x14ac:dyDescent="0.2">
      <c r="A494" s="6" t="s">
        <v>143</v>
      </c>
      <c r="B494" s="92" t="s">
        <v>151</v>
      </c>
      <c r="C494" s="92">
        <v>1</v>
      </c>
      <c r="D494" s="95">
        <v>1</v>
      </c>
      <c r="E494" s="95">
        <v>4500</v>
      </c>
      <c r="F494" s="90">
        <f>D494</f>
        <v>1</v>
      </c>
      <c r="G494" s="90">
        <f>E494</f>
        <v>4500</v>
      </c>
      <c r="H494" s="91">
        <v>0</v>
      </c>
      <c r="I494" s="91">
        <v>0</v>
      </c>
      <c r="J494" s="91">
        <f>H494</f>
        <v>0</v>
      </c>
      <c r="K494" s="91">
        <f>I494</f>
        <v>0</v>
      </c>
      <c r="L494" s="92">
        <v>0</v>
      </c>
      <c r="M494" s="93">
        <v>0</v>
      </c>
      <c r="N494" s="94">
        <f>L494</f>
        <v>0</v>
      </c>
      <c r="O494" s="94">
        <f>M494</f>
        <v>0</v>
      </c>
      <c r="P494">
        <v>1</v>
      </c>
      <c r="Q494">
        <v>1800</v>
      </c>
      <c r="R494">
        <v>1</v>
      </c>
      <c r="S494">
        <v>1800</v>
      </c>
    </row>
    <row r="495" spans="1:19" x14ac:dyDescent="0.2">
      <c r="A495" s="6" t="s">
        <v>143</v>
      </c>
      <c r="B495" s="92" t="s">
        <v>152</v>
      </c>
      <c r="C495" s="92">
        <v>2</v>
      </c>
      <c r="D495" s="95">
        <v>0</v>
      </c>
      <c r="E495" s="95">
        <v>0</v>
      </c>
      <c r="F495" s="90">
        <f t="shared" ref="F495:G505" si="175">F494+D495</f>
        <v>1</v>
      </c>
      <c r="G495" s="90">
        <f t="shared" si="175"/>
        <v>4500</v>
      </c>
      <c r="H495" s="91">
        <v>0</v>
      </c>
      <c r="I495" s="91">
        <v>0</v>
      </c>
      <c r="J495" s="91">
        <f t="shared" ref="J495:K505" si="176">J494+H495</f>
        <v>0</v>
      </c>
      <c r="K495" s="91">
        <f t="shared" si="176"/>
        <v>0</v>
      </c>
      <c r="L495" s="92">
        <v>3</v>
      </c>
      <c r="M495" s="93">
        <v>3250</v>
      </c>
      <c r="N495" s="94">
        <f t="shared" ref="N495:N505" si="177">N494+L495</f>
        <v>3</v>
      </c>
      <c r="O495" s="94">
        <f t="shared" ref="O495:O505" si="178">O494+M495</f>
        <v>3250</v>
      </c>
      <c r="P495">
        <v>3</v>
      </c>
      <c r="Q495">
        <v>8300</v>
      </c>
      <c r="R495">
        <v>4</v>
      </c>
      <c r="S495">
        <v>10100</v>
      </c>
    </row>
    <row r="496" spans="1:19" x14ac:dyDescent="0.2">
      <c r="A496" s="6" t="s">
        <v>143</v>
      </c>
      <c r="B496" s="92" t="s">
        <v>153</v>
      </c>
      <c r="C496" s="92">
        <v>3</v>
      </c>
      <c r="D496" s="95">
        <v>0</v>
      </c>
      <c r="E496" s="95">
        <v>0</v>
      </c>
      <c r="F496" s="90">
        <f t="shared" si="175"/>
        <v>1</v>
      </c>
      <c r="G496" s="90">
        <f t="shared" si="175"/>
        <v>4500</v>
      </c>
      <c r="H496" s="91">
        <v>3</v>
      </c>
      <c r="I496" s="91">
        <v>10800</v>
      </c>
      <c r="J496" s="91">
        <f t="shared" si="176"/>
        <v>3</v>
      </c>
      <c r="K496" s="91">
        <f t="shared" si="176"/>
        <v>10800</v>
      </c>
      <c r="L496" s="92">
        <v>1</v>
      </c>
      <c r="M496" s="93">
        <v>300</v>
      </c>
      <c r="N496" s="94">
        <f t="shared" si="177"/>
        <v>4</v>
      </c>
      <c r="O496" s="94">
        <f t="shared" si="178"/>
        <v>3550</v>
      </c>
      <c r="P496">
        <v>2</v>
      </c>
      <c r="Q496">
        <v>6750</v>
      </c>
      <c r="R496">
        <v>6</v>
      </c>
      <c r="S496">
        <v>16850</v>
      </c>
    </row>
    <row r="497" spans="1:19" x14ac:dyDescent="0.2">
      <c r="A497" s="6" t="s">
        <v>143</v>
      </c>
      <c r="B497" s="92" t="s">
        <v>154</v>
      </c>
      <c r="C497" s="92">
        <v>4</v>
      </c>
      <c r="D497" s="95">
        <v>1</v>
      </c>
      <c r="E497" s="95">
        <v>8750</v>
      </c>
      <c r="F497" s="90">
        <f t="shared" si="175"/>
        <v>2</v>
      </c>
      <c r="G497" s="90">
        <f t="shared" si="175"/>
        <v>13250</v>
      </c>
      <c r="H497" s="91">
        <v>1</v>
      </c>
      <c r="I497" s="91">
        <v>5400</v>
      </c>
      <c r="J497" s="91">
        <f t="shared" si="176"/>
        <v>4</v>
      </c>
      <c r="K497" s="91">
        <f t="shared" si="176"/>
        <v>16200</v>
      </c>
      <c r="L497" s="92">
        <v>1</v>
      </c>
      <c r="M497" s="93">
        <v>200</v>
      </c>
      <c r="N497" s="94">
        <f t="shared" si="177"/>
        <v>5</v>
      </c>
      <c r="O497" s="94">
        <f t="shared" si="178"/>
        <v>3750</v>
      </c>
      <c r="P497">
        <v>1</v>
      </c>
      <c r="Q497">
        <v>2150</v>
      </c>
      <c r="R497">
        <v>7</v>
      </c>
      <c r="S497">
        <v>19000</v>
      </c>
    </row>
    <row r="498" spans="1:19" x14ac:dyDescent="0.2">
      <c r="A498" s="6" t="s">
        <v>143</v>
      </c>
      <c r="B498" s="92" t="s">
        <v>155</v>
      </c>
      <c r="C498" s="92">
        <v>5</v>
      </c>
      <c r="D498" s="95">
        <v>0</v>
      </c>
      <c r="E498" s="95">
        <v>0</v>
      </c>
      <c r="F498" s="90">
        <f t="shared" si="175"/>
        <v>2</v>
      </c>
      <c r="G498" s="90">
        <f t="shared" si="175"/>
        <v>13250</v>
      </c>
      <c r="H498" s="91">
        <v>0</v>
      </c>
      <c r="I498" s="91">
        <v>0</v>
      </c>
      <c r="J498" s="91">
        <f t="shared" si="176"/>
        <v>4</v>
      </c>
      <c r="K498" s="91">
        <f t="shared" si="176"/>
        <v>16200</v>
      </c>
      <c r="L498" s="92">
        <v>1</v>
      </c>
      <c r="M498" s="93">
        <v>1500</v>
      </c>
      <c r="N498" s="94">
        <f t="shared" si="177"/>
        <v>6</v>
      </c>
      <c r="O498" s="94">
        <f t="shared" si="178"/>
        <v>5250</v>
      </c>
      <c r="P498">
        <v>1</v>
      </c>
      <c r="Q498">
        <v>5000</v>
      </c>
      <c r="R498">
        <v>8</v>
      </c>
      <c r="S498">
        <v>24000</v>
      </c>
    </row>
    <row r="499" spans="1:19" x14ac:dyDescent="0.2">
      <c r="A499" s="6" t="s">
        <v>143</v>
      </c>
      <c r="B499" s="92" t="s">
        <v>156</v>
      </c>
      <c r="C499" s="92">
        <v>6</v>
      </c>
      <c r="D499" s="95">
        <v>2</v>
      </c>
      <c r="E499" s="95">
        <v>7500</v>
      </c>
      <c r="F499" s="90">
        <f t="shared" si="175"/>
        <v>4</v>
      </c>
      <c r="G499" s="90">
        <f t="shared" si="175"/>
        <v>20750</v>
      </c>
      <c r="H499" s="91">
        <v>0</v>
      </c>
      <c r="I499" s="91">
        <v>0</v>
      </c>
      <c r="J499" s="91">
        <f t="shared" si="176"/>
        <v>4</v>
      </c>
      <c r="K499" s="91">
        <f t="shared" si="176"/>
        <v>16200</v>
      </c>
      <c r="L499" s="92">
        <v>0</v>
      </c>
      <c r="M499" s="93">
        <v>0</v>
      </c>
      <c r="N499" s="94">
        <f t="shared" si="177"/>
        <v>6</v>
      </c>
      <c r="O499" s="94">
        <f t="shared" si="178"/>
        <v>5250</v>
      </c>
      <c r="P499">
        <v>2</v>
      </c>
      <c r="Q499">
        <v>3570</v>
      </c>
      <c r="R499">
        <v>10</v>
      </c>
      <c r="S499">
        <v>27570</v>
      </c>
    </row>
    <row r="500" spans="1:19" x14ac:dyDescent="0.2">
      <c r="A500" s="6" t="s">
        <v>143</v>
      </c>
      <c r="B500" s="92" t="s">
        <v>157</v>
      </c>
      <c r="C500" s="92">
        <v>7</v>
      </c>
      <c r="D500" s="95">
        <v>2</v>
      </c>
      <c r="E500" s="95">
        <v>25000</v>
      </c>
      <c r="F500" s="90">
        <f t="shared" si="175"/>
        <v>6</v>
      </c>
      <c r="G500" s="90">
        <f t="shared" si="175"/>
        <v>45750</v>
      </c>
      <c r="H500" s="91">
        <v>2</v>
      </c>
      <c r="I500" s="91">
        <v>3500</v>
      </c>
      <c r="J500" s="91">
        <f t="shared" si="176"/>
        <v>6</v>
      </c>
      <c r="K500" s="91">
        <f t="shared" si="176"/>
        <v>19700</v>
      </c>
      <c r="L500" s="92">
        <v>4</v>
      </c>
      <c r="M500" s="93">
        <v>6400</v>
      </c>
      <c r="N500" s="94">
        <f t="shared" si="177"/>
        <v>10</v>
      </c>
      <c r="O500" s="94">
        <f t="shared" si="178"/>
        <v>11650</v>
      </c>
      <c r="P500">
        <v>2</v>
      </c>
      <c r="Q500">
        <v>5000</v>
      </c>
      <c r="R500">
        <v>12</v>
      </c>
      <c r="S500">
        <v>32570</v>
      </c>
    </row>
    <row r="501" spans="1:19" x14ac:dyDescent="0.2">
      <c r="A501" s="6" t="s">
        <v>143</v>
      </c>
      <c r="B501" s="92" t="s">
        <v>158</v>
      </c>
      <c r="C501" s="92">
        <v>8</v>
      </c>
      <c r="D501" s="95">
        <v>3</v>
      </c>
      <c r="E501" s="90">
        <v>23000</v>
      </c>
      <c r="F501" s="90">
        <f t="shared" si="175"/>
        <v>9</v>
      </c>
      <c r="G501" s="90">
        <f t="shared" si="175"/>
        <v>68750</v>
      </c>
      <c r="H501" s="91">
        <v>1</v>
      </c>
      <c r="I501" s="91">
        <v>2000</v>
      </c>
      <c r="J501" s="91">
        <f t="shared" si="176"/>
        <v>7</v>
      </c>
      <c r="K501" s="91">
        <f t="shared" si="176"/>
        <v>21700</v>
      </c>
      <c r="L501" s="92">
        <v>2</v>
      </c>
      <c r="M501" s="93">
        <v>5100</v>
      </c>
      <c r="N501" s="94">
        <f t="shared" si="177"/>
        <v>12</v>
      </c>
      <c r="O501" s="94">
        <f t="shared" si="178"/>
        <v>16750</v>
      </c>
      <c r="P501" s="88"/>
      <c r="Q501" s="88">
        <v>0</v>
      </c>
    </row>
    <row r="502" spans="1:19" x14ac:dyDescent="0.2">
      <c r="A502" s="6" t="s">
        <v>143</v>
      </c>
      <c r="B502" s="92" t="s">
        <v>159</v>
      </c>
      <c r="C502" s="92">
        <v>9</v>
      </c>
      <c r="D502" s="95">
        <v>1</v>
      </c>
      <c r="E502" s="95">
        <v>4286</v>
      </c>
      <c r="F502" s="90">
        <f t="shared" si="175"/>
        <v>10</v>
      </c>
      <c r="G502" s="90">
        <f t="shared" si="175"/>
        <v>73036</v>
      </c>
      <c r="H502" s="91">
        <v>3</v>
      </c>
      <c r="I502" s="91">
        <v>21000</v>
      </c>
      <c r="J502" s="91">
        <f t="shared" si="176"/>
        <v>10</v>
      </c>
      <c r="K502" s="91">
        <f t="shared" si="176"/>
        <v>42700</v>
      </c>
      <c r="L502" s="92">
        <v>0</v>
      </c>
      <c r="M502" s="93">
        <v>0</v>
      </c>
      <c r="N502" s="94">
        <f t="shared" si="177"/>
        <v>12</v>
      </c>
      <c r="O502" s="94">
        <f t="shared" si="178"/>
        <v>16750</v>
      </c>
      <c r="P502" s="88"/>
      <c r="Q502" s="88">
        <v>0</v>
      </c>
    </row>
    <row r="503" spans="1:19" x14ac:dyDescent="0.2">
      <c r="A503" s="6" t="s">
        <v>143</v>
      </c>
      <c r="B503" s="92" t="s">
        <v>160</v>
      </c>
      <c r="C503" s="92">
        <v>10</v>
      </c>
      <c r="D503" s="95">
        <v>1</v>
      </c>
      <c r="E503" s="95">
        <v>2600</v>
      </c>
      <c r="F503" s="90">
        <f t="shared" si="175"/>
        <v>11</v>
      </c>
      <c r="G503" s="90">
        <f t="shared" si="175"/>
        <v>75636</v>
      </c>
      <c r="H503" s="91">
        <v>2</v>
      </c>
      <c r="I503" s="91">
        <v>3900</v>
      </c>
      <c r="J503" s="91">
        <f t="shared" si="176"/>
        <v>12</v>
      </c>
      <c r="K503" s="91">
        <f t="shared" si="176"/>
        <v>46600</v>
      </c>
      <c r="L503" s="92">
        <v>1</v>
      </c>
      <c r="M503" s="93">
        <v>3300</v>
      </c>
      <c r="N503" s="94">
        <f t="shared" si="177"/>
        <v>13</v>
      </c>
      <c r="O503" s="94">
        <f t="shared" si="178"/>
        <v>20050</v>
      </c>
      <c r="P503" s="88"/>
      <c r="Q503" s="88">
        <v>0</v>
      </c>
    </row>
    <row r="504" spans="1:19" x14ac:dyDescent="0.2">
      <c r="A504" s="6" t="s">
        <v>143</v>
      </c>
      <c r="B504" s="92" t="s">
        <v>161</v>
      </c>
      <c r="C504" s="92">
        <v>11</v>
      </c>
      <c r="D504" s="95">
        <v>2</v>
      </c>
      <c r="E504" s="95">
        <v>11800</v>
      </c>
      <c r="F504" s="90">
        <f t="shared" si="175"/>
        <v>13</v>
      </c>
      <c r="G504" s="90">
        <f t="shared" si="175"/>
        <v>87436</v>
      </c>
      <c r="H504" s="91">
        <v>2</v>
      </c>
      <c r="I504" s="91">
        <v>1100</v>
      </c>
      <c r="J504" s="91">
        <f t="shared" si="176"/>
        <v>14</v>
      </c>
      <c r="K504" s="91">
        <f t="shared" si="176"/>
        <v>47700</v>
      </c>
      <c r="L504" s="92">
        <v>1</v>
      </c>
      <c r="M504" s="93">
        <v>3850</v>
      </c>
      <c r="N504" s="94">
        <f t="shared" si="177"/>
        <v>14</v>
      </c>
      <c r="O504" s="94">
        <f t="shared" si="178"/>
        <v>23900</v>
      </c>
      <c r="P504" s="88"/>
      <c r="Q504" s="88">
        <v>0</v>
      </c>
    </row>
    <row r="505" spans="1:19" x14ac:dyDescent="0.2">
      <c r="A505" s="6" t="s">
        <v>143</v>
      </c>
      <c r="B505" s="92" t="s">
        <v>162</v>
      </c>
      <c r="C505" s="92">
        <v>12</v>
      </c>
      <c r="D505" s="95">
        <v>0</v>
      </c>
      <c r="E505" s="95">
        <v>0</v>
      </c>
      <c r="F505" s="90">
        <f t="shared" si="175"/>
        <v>13</v>
      </c>
      <c r="G505" s="90">
        <f t="shared" si="175"/>
        <v>87436</v>
      </c>
      <c r="H505" s="91">
        <v>1</v>
      </c>
      <c r="I505" s="91">
        <v>45000</v>
      </c>
      <c r="J505" s="91">
        <f t="shared" si="176"/>
        <v>15</v>
      </c>
      <c r="K505" s="91">
        <f t="shared" si="176"/>
        <v>92700</v>
      </c>
      <c r="L505" s="92">
        <v>1</v>
      </c>
      <c r="M505" s="93">
        <v>2700</v>
      </c>
      <c r="N505" s="94">
        <f t="shared" si="177"/>
        <v>15</v>
      </c>
      <c r="O505" s="94">
        <f t="shared" si="178"/>
        <v>26600</v>
      </c>
      <c r="P505" s="88"/>
      <c r="Q505" s="88">
        <v>0</v>
      </c>
    </row>
    <row r="506" spans="1:19" x14ac:dyDescent="0.2">
      <c r="A506" s="6" t="s">
        <v>70</v>
      </c>
      <c r="B506" s="92" t="s">
        <v>151</v>
      </c>
      <c r="C506" s="92">
        <v>1</v>
      </c>
      <c r="D506" s="95">
        <v>0</v>
      </c>
      <c r="E506" s="95">
        <v>0</v>
      </c>
      <c r="F506" s="90">
        <f>D506</f>
        <v>0</v>
      </c>
      <c r="G506" s="90">
        <f>E506</f>
        <v>0</v>
      </c>
      <c r="H506" s="90">
        <v>0</v>
      </c>
      <c r="I506" s="90">
        <v>0</v>
      </c>
      <c r="J506" s="90">
        <f>H506</f>
        <v>0</v>
      </c>
      <c r="K506" s="90">
        <f>I506</f>
        <v>0</v>
      </c>
      <c r="L506" s="92">
        <v>0</v>
      </c>
      <c r="M506" s="93">
        <v>0</v>
      </c>
      <c r="N506" s="94">
        <f>L506</f>
        <v>0</v>
      </c>
      <c r="O506" s="94">
        <f>M506</f>
        <v>0</v>
      </c>
      <c r="P506">
        <v>1</v>
      </c>
      <c r="Q506">
        <v>1400</v>
      </c>
      <c r="R506">
        <v>1</v>
      </c>
      <c r="S506">
        <v>1400</v>
      </c>
    </row>
    <row r="507" spans="1:19" x14ac:dyDescent="0.2">
      <c r="A507" s="6" t="s">
        <v>70</v>
      </c>
      <c r="B507" s="92" t="s">
        <v>152</v>
      </c>
      <c r="C507" s="92">
        <v>2</v>
      </c>
      <c r="D507" s="95">
        <v>0</v>
      </c>
      <c r="E507" s="95">
        <v>0</v>
      </c>
      <c r="F507" s="90">
        <f t="shared" ref="F507:F517" si="179">F506+D507</f>
        <v>0</v>
      </c>
      <c r="G507" s="90">
        <f t="shared" ref="G507:G517" si="180">G506+E507</f>
        <v>0</v>
      </c>
      <c r="H507" s="90">
        <v>0</v>
      </c>
      <c r="I507" s="90">
        <v>0</v>
      </c>
      <c r="J507" s="90">
        <f t="shared" ref="J507:J517" si="181">J506+H507</f>
        <v>0</v>
      </c>
      <c r="K507" s="90">
        <f t="shared" ref="K507:K517" si="182">K506+I507</f>
        <v>0</v>
      </c>
      <c r="L507" s="92">
        <v>0</v>
      </c>
      <c r="M507" s="93">
        <v>0</v>
      </c>
      <c r="N507" s="94">
        <f t="shared" ref="N507:N517" si="183">N506+L507</f>
        <v>0</v>
      </c>
      <c r="O507" s="94">
        <f t="shared" ref="O507:O517" si="184">O506+M507</f>
        <v>0</v>
      </c>
      <c r="P507">
        <v>0</v>
      </c>
      <c r="Q507">
        <v>0</v>
      </c>
      <c r="R507">
        <v>1</v>
      </c>
      <c r="S507">
        <v>1400</v>
      </c>
    </row>
    <row r="508" spans="1:19" x14ac:dyDescent="0.2">
      <c r="A508" s="6" t="s">
        <v>70</v>
      </c>
      <c r="B508" s="92" t="s">
        <v>153</v>
      </c>
      <c r="C508" s="92">
        <v>3</v>
      </c>
      <c r="D508" s="95">
        <v>0</v>
      </c>
      <c r="E508" s="95">
        <v>0</v>
      </c>
      <c r="F508" s="90">
        <f t="shared" si="179"/>
        <v>0</v>
      </c>
      <c r="G508" s="90">
        <f t="shared" si="180"/>
        <v>0</v>
      </c>
      <c r="H508" s="90">
        <v>0</v>
      </c>
      <c r="I508" s="90">
        <v>0</v>
      </c>
      <c r="J508" s="90">
        <f t="shared" si="181"/>
        <v>0</v>
      </c>
      <c r="K508" s="90">
        <f t="shared" si="182"/>
        <v>0</v>
      </c>
      <c r="L508" s="92">
        <v>0</v>
      </c>
      <c r="M508" s="93">
        <v>0</v>
      </c>
      <c r="N508" s="94">
        <f t="shared" si="183"/>
        <v>0</v>
      </c>
      <c r="O508" s="94">
        <f t="shared" si="184"/>
        <v>0</v>
      </c>
      <c r="P508">
        <v>0</v>
      </c>
      <c r="Q508">
        <v>0</v>
      </c>
      <c r="R508">
        <v>1</v>
      </c>
      <c r="S508">
        <v>1400</v>
      </c>
    </row>
    <row r="509" spans="1:19" x14ac:dyDescent="0.2">
      <c r="A509" s="6" t="s">
        <v>70</v>
      </c>
      <c r="B509" s="92" t="s">
        <v>154</v>
      </c>
      <c r="C509" s="92">
        <v>4</v>
      </c>
      <c r="D509" s="95">
        <v>0</v>
      </c>
      <c r="E509" s="95">
        <v>0</v>
      </c>
      <c r="F509" s="90">
        <f t="shared" si="179"/>
        <v>0</v>
      </c>
      <c r="G509" s="90">
        <f t="shared" si="180"/>
        <v>0</v>
      </c>
      <c r="H509" s="90">
        <v>0</v>
      </c>
      <c r="I509" s="90">
        <v>0</v>
      </c>
      <c r="J509" s="90">
        <f t="shared" si="181"/>
        <v>0</v>
      </c>
      <c r="K509" s="90">
        <f t="shared" si="182"/>
        <v>0</v>
      </c>
      <c r="L509" s="92">
        <v>0</v>
      </c>
      <c r="M509" s="93">
        <v>0</v>
      </c>
      <c r="N509" s="94">
        <f t="shared" si="183"/>
        <v>0</v>
      </c>
      <c r="O509" s="94">
        <f t="shared" si="184"/>
        <v>0</v>
      </c>
      <c r="P509">
        <v>0</v>
      </c>
      <c r="Q509">
        <v>0</v>
      </c>
      <c r="R509">
        <v>1</v>
      </c>
      <c r="S509">
        <v>1400</v>
      </c>
    </row>
    <row r="510" spans="1:19" x14ac:dyDescent="0.2">
      <c r="A510" s="6" t="s">
        <v>70</v>
      </c>
      <c r="B510" s="92" t="s">
        <v>155</v>
      </c>
      <c r="C510" s="92">
        <v>5</v>
      </c>
      <c r="D510" s="95">
        <v>0</v>
      </c>
      <c r="E510" s="95">
        <v>0</v>
      </c>
      <c r="F510" s="90">
        <f t="shared" si="179"/>
        <v>0</v>
      </c>
      <c r="G510" s="90">
        <f t="shared" si="180"/>
        <v>0</v>
      </c>
      <c r="H510" s="90">
        <v>0</v>
      </c>
      <c r="I510" s="90">
        <v>0</v>
      </c>
      <c r="J510" s="90">
        <f t="shared" si="181"/>
        <v>0</v>
      </c>
      <c r="K510" s="90">
        <f t="shared" si="182"/>
        <v>0</v>
      </c>
      <c r="L510" s="92">
        <v>0</v>
      </c>
      <c r="M510" s="93">
        <v>0</v>
      </c>
      <c r="N510" s="94">
        <f t="shared" si="183"/>
        <v>0</v>
      </c>
      <c r="O510" s="94">
        <f t="shared" si="184"/>
        <v>0</v>
      </c>
      <c r="P510">
        <v>2</v>
      </c>
      <c r="Q510">
        <v>4300</v>
      </c>
      <c r="R510">
        <v>3</v>
      </c>
      <c r="S510">
        <v>5700</v>
      </c>
    </row>
    <row r="511" spans="1:19" x14ac:dyDescent="0.2">
      <c r="A511" s="6" t="s">
        <v>70</v>
      </c>
      <c r="B511" s="92" t="s">
        <v>156</v>
      </c>
      <c r="C511" s="92">
        <v>6</v>
      </c>
      <c r="D511" s="95">
        <v>0</v>
      </c>
      <c r="E511" s="95">
        <v>0</v>
      </c>
      <c r="F511" s="90">
        <f t="shared" si="179"/>
        <v>0</v>
      </c>
      <c r="G511" s="90">
        <f t="shared" si="180"/>
        <v>0</v>
      </c>
      <c r="H511" s="90">
        <v>0</v>
      </c>
      <c r="I511" s="90">
        <v>0</v>
      </c>
      <c r="J511" s="90">
        <f t="shared" si="181"/>
        <v>0</v>
      </c>
      <c r="K511" s="90">
        <f t="shared" si="182"/>
        <v>0</v>
      </c>
      <c r="L511" s="92">
        <v>0</v>
      </c>
      <c r="M511" s="93">
        <v>0</v>
      </c>
      <c r="N511" s="94">
        <f t="shared" si="183"/>
        <v>0</v>
      </c>
      <c r="O511" s="94">
        <f t="shared" si="184"/>
        <v>0</v>
      </c>
      <c r="P511">
        <v>0</v>
      </c>
      <c r="Q511">
        <v>0</v>
      </c>
      <c r="R511">
        <v>3</v>
      </c>
      <c r="S511">
        <v>5700</v>
      </c>
    </row>
    <row r="512" spans="1:19" x14ac:dyDescent="0.2">
      <c r="A512" s="6" t="s">
        <v>70</v>
      </c>
      <c r="B512" s="92" t="s">
        <v>157</v>
      </c>
      <c r="C512" s="92">
        <v>7</v>
      </c>
      <c r="D512" s="95">
        <v>0</v>
      </c>
      <c r="E512" s="95">
        <v>0</v>
      </c>
      <c r="F512" s="90">
        <f t="shared" si="179"/>
        <v>0</v>
      </c>
      <c r="G512" s="90">
        <f t="shared" si="180"/>
        <v>0</v>
      </c>
      <c r="H512" s="90">
        <v>0</v>
      </c>
      <c r="I512" s="90">
        <v>0</v>
      </c>
      <c r="J512" s="90">
        <f t="shared" si="181"/>
        <v>0</v>
      </c>
      <c r="K512" s="90">
        <f t="shared" si="182"/>
        <v>0</v>
      </c>
      <c r="L512" s="92">
        <v>0</v>
      </c>
      <c r="M512" s="93">
        <v>0</v>
      </c>
      <c r="N512" s="94">
        <f t="shared" si="183"/>
        <v>0</v>
      </c>
      <c r="O512" s="94">
        <f t="shared" si="184"/>
        <v>0</v>
      </c>
      <c r="P512">
        <v>1</v>
      </c>
      <c r="Q512">
        <v>1500</v>
      </c>
      <c r="R512">
        <v>4</v>
      </c>
      <c r="S512">
        <v>7200</v>
      </c>
    </row>
    <row r="513" spans="1:19" x14ac:dyDescent="0.2">
      <c r="A513" s="6" t="s">
        <v>70</v>
      </c>
      <c r="B513" s="92" t="s">
        <v>158</v>
      </c>
      <c r="C513" s="92">
        <v>8</v>
      </c>
      <c r="D513" s="95">
        <v>0</v>
      </c>
      <c r="E513" s="95">
        <v>0</v>
      </c>
      <c r="F513" s="90">
        <f t="shared" si="179"/>
        <v>0</v>
      </c>
      <c r="G513" s="90">
        <f t="shared" si="180"/>
        <v>0</v>
      </c>
      <c r="H513" s="90">
        <v>0</v>
      </c>
      <c r="I513" s="90">
        <v>0</v>
      </c>
      <c r="J513" s="90">
        <f t="shared" si="181"/>
        <v>0</v>
      </c>
      <c r="K513" s="90">
        <f t="shared" si="182"/>
        <v>0</v>
      </c>
      <c r="L513" s="92">
        <v>0</v>
      </c>
      <c r="M513" s="93">
        <v>0</v>
      </c>
      <c r="N513" s="94">
        <f t="shared" si="183"/>
        <v>0</v>
      </c>
      <c r="O513" s="94">
        <f t="shared" si="184"/>
        <v>0</v>
      </c>
      <c r="P513" s="88"/>
      <c r="Q513" s="88">
        <v>0</v>
      </c>
    </row>
    <row r="514" spans="1:19" x14ac:dyDescent="0.2">
      <c r="A514" s="6" t="s">
        <v>70</v>
      </c>
      <c r="B514" s="92" t="s">
        <v>159</v>
      </c>
      <c r="C514" s="92">
        <v>9</v>
      </c>
      <c r="D514" s="95">
        <v>0</v>
      </c>
      <c r="E514" s="95">
        <v>0</v>
      </c>
      <c r="F514" s="90">
        <f t="shared" si="179"/>
        <v>0</v>
      </c>
      <c r="G514" s="90">
        <f t="shared" si="180"/>
        <v>0</v>
      </c>
      <c r="H514" s="90">
        <v>0</v>
      </c>
      <c r="I514" s="90">
        <v>0</v>
      </c>
      <c r="J514" s="90">
        <f t="shared" si="181"/>
        <v>0</v>
      </c>
      <c r="K514" s="90">
        <f t="shared" si="182"/>
        <v>0</v>
      </c>
      <c r="L514" s="92">
        <v>0</v>
      </c>
      <c r="M514" s="93">
        <v>0</v>
      </c>
      <c r="N514" s="94">
        <f t="shared" si="183"/>
        <v>0</v>
      </c>
      <c r="O514" s="94">
        <f t="shared" si="184"/>
        <v>0</v>
      </c>
      <c r="P514" s="88"/>
      <c r="Q514" s="88">
        <v>0</v>
      </c>
    </row>
    <row r="515" spans="1:19" x14ac:dyDescent="0.2">
      <c r="A515" s="6" t="s">
        <v>70</v>
      </c>
      <c r="B515" s="92" t="s">
        <v>160</v>
      </c>
      <c r="C515" s="92">
        <v>10</v>
      </c>
      <c r="D515" s="95">
        <v>0</v>
      </c>
      <c r="E515" s="95">
        <v>0</v>
      </c>
      <c r="F515" s="90">
        <f t="shared" si="179"/>
        <v>0</v>
      </c>
      <c r="G515" s="90">
        <f t="shared" si="180"/>
        <v>0</v>
      </c>
      <c r="H515" s="90">
        <v>0</v>
      </c>
      <c r="I515" s="90">
        <v>0</v>
      </c>
      <c r="J515" s="90">
        <f t="shared" si="181"/>
        <v>0</v>
      </c>
      <c r="K515" s="90">
        <f t="shared" si="182"/>
        <v>0</v>
      </c>
      <c r="L515" s="92">
        <v>0</v>
      </c>
      <c r="M515" s="93">
        <v>0</v>
      </c>
      <c r="N515" s="94">
        <f t="shared" si="183"/>
        <v>0</v>
      </c>
      <c r="O515" s="94">
        <f t="shared" si="184"/>
        <v>0</v>
      </c>
      <c r="P515" s="88"/>
      <c r="Q515" s="88">
        <v>0</v>
      </c>
    </row>
    <row r="516" spans="1:19" x14ac:dyDescent="0.2">
      <c r="A516" s="6" t="s">
        <v>70</v>
      </c>
      <c r="B516" s="92" t="s">
        <v>161</v>
      </c>
      <c r="C516" s="92">
        <v>11</v>
      </c>
      <c r="D516" s="95">
        <v>0</v>
      </c>
      <c r="E516" s="95">
        <v>0</v>
      </c>
      <c r="F516" s="90">
        <f t="shared" si="179"/>
        <v>0</v>
      </c>
      <c r="G516" s="90">
        <f t="shared" si="180"/>
        <v>0</v>
      </c>
      <c r="H516" s="90">
        <v>0</v>
      </c>
      <c r="I516" s="90">
        <v>0</v>
      </c>
      <c r="J516" s="90">
        <f t="shared" si="181"/>
        <v>0</v>
      </c>
      <c r="K516" s="90">
        <f t="shared" si="182"/>
        <v>0</v>
      </c>
      <c r="L516" s="92">
        <v>0</v>
      </c>
      <c r="M516" s="93">
        <v>0</v>
      </c>
      <c r="N516" s="94">
        <f t="shared" si="183"/>
        <v>0</v>
      </c>
      <c r="O516" s="94">
        <f t="shared" si="184"/>
        <v>0</v>
      </c>
      <c r="P516" s="88"/>
      <c r="Q516" s="88">
        <v>0</v>
      </c>
    </row>
    <row r="517" spans="1:19" x14ac:dyDescent="0.2">
      <c r="A517" s="6" t="s">
        <v>70</v>
      </c>
      <c r="B517" s="92" t="s">
        <v>162</v>
      </c>
      <c r="C517" s="92">
        <v>12</v>
      </c>
      <c r="D517" s="95">
        <v>0</v>
      </c>
      <c r="E517" s="95">
        <v>0</v>
      </c>
      <c r="F517" s="90">
        <f t="shared" si="179"/>
        <v>0</v>
      </c>
      <c r="G517" s="90">
        <f t="shared" si="180"/>
        <v>0</v>
      </c>
      <c r="H517" s="90">
        <v>0</v>
      </c>
      <c r="I517" s="90">
        <v>0</v>
      </c>
      <c r="J517" s="90">
        <f t="shared" si="181"/>
        <v>0</v>
      </c>
      <c r="K517" s="90">
        <f t="shared" si="182"/>
        <v>0</v>
      </c>
      <c r="L517" s="92">
        <v>0</v>
      </c>
      <c r="M517" s="93">
        <v>0</v>
      </c>
      <c r="N517" s="94">
        <f t="shared" si="183"/>
        <v>0</v>
      </c>
      <c r="O517" s="94">
        <f t="shared" si="184"/>
        <v>0</v>
      </c>
      <c r="P517" s="88"/>
      <c r="Q517" s="88">
        <v>0</v>
      </c>
    </row>
    <row r="518" spans="1:19" x14ac:dyDescent="0.2">
      <c r="A518" s="6" t="s">
        <v>80</v>
      </c>
      <c r="B518" s="92" t="s">
        <v>151</v>
      </c>
      <c r="C518" s="92">
        <v>1</v>
      </c>
      <c r="D518" s="95">
        <v>0</v>
      </c>
      <c r="E518" s="95">
        <v>0</v>
      </c>
      <c r="F518" s="90">
        <f>D518</f>
        <v>0</v>
      </c>
      <c r="G518" s="90">
        <f>E518</f>
        <v>0</v>
      </c>
      <c r="H518" s="91">
        <v>0</v>
      </c>
      <c r="I518" s="91">
        <v>0</v>
      </c>
      <c r="J518" s="91">
        <f>H518</f>
        <v>0</v>
      </c>
      <c r="K518" s="91">
        <f>I518</f>
        <v>0</v>
      </c>
      <c r="L518" s="92">
        <v>0</v>
      </c>
      <c r="M518" s="93">
        <v>0</v>
      </c>
      <c r="N518" s="94">
        <f>L518</f>
        <v>0</v>
      </c>
      <c r="O518" s="94">
        <f>M518</f>
        <v>0</v>
      </c>
      <c r="P518">
        <v>0</v>
      </c>
      <c r="Q518">
        <v>0</v>
      </c>
      <c r="R518">
        <v>0</v>
      </c>
      <c r="S518">
        <v>0</v>
      </c>
    </row>
    <row r="519" spans="1:19" x14ac:dyDescent="0.2">
      <c r="A519" s="6" t="s">
        <v>80</v>
      </c>
      <c r="B519" s="92" t="s">
        <v>152</v>
      </c>
      <c r="C519" s="92">
        <v>2</v>
      </c>
      <c r="D519" s="95">
        <v>0</v>
      </c>
      <c r="E519" s="95">
        <v>0</v>
      </c>
      <c r="F519" s="90">
        <f t="shared" ref="F519:G529" si="185">F518+D519</f>
        <v>0</v>
      </c>
      <c r="G519" s="90">
        <f t="shared" si="185"/>
        <v>0</v>
      </c>
      <c r="H519" s="91">
        <v>1</v>
      </c>
      <c r="I519" s="91">
        <v>300</v>
      </c>
      <c r="J519" s="91">
        <f t="shared" ref="J519:K529" si="186">J518+H519</f>
        <v>1</v>
      </c>
      <c r="K519" s="91">
        <f t="shared" si="186"/>
        <v>300</v>
      </c>
      <c r="L519" s="92">
        <v>0</v>
      </c>
      <c r="M519" s="93">
        <v>0</v>
      </c>
      <c r="N519" s="94">
        <f t="shared" ref="N519:N529" si="187">N518+L519</f>
        <v>0</v>
      </c>
      <c r="O519" s="94">
        <f t="shared" ref="O519:O529" si="188">O518+M519</f>
        <v>0</v>
      </c>
      <c r="P519">
        <v>0</v>
      </c>
      <c r="Q519">
        <v>0</v>
      </c>
      <c r="R519">
        <v>0</v>
      </c>
      <c r="S519">
        <v>0</v>
      </c>
    </row>
    <row r="520" spans="1:19" x14ac:dyDescent="0.2">
      <c r="A520" s="6" t="s">
        <v>80</v>
      </c>
      <c r="B520" s="92" t="s">
        <v>153</v>
      </c>
      <c r="C520" s="92">
        <v>3</v>
      </c>
      <c r="D520" s="95">
        <v>0</v>
      </c>
      <c r="E520" s="95">
        <v>0</v>
      </c>
      <c r="F520" s="90">
        <f t="shared" si="185"/>
        <v>0</v>
      </c>
      <c r="G520" s="90">
        <f t="shared" si="185"/>
        <v>0</v>
      </c>
      <c r="H520" s="91">
        <v>1</v>
      </c>
      <c r="I520" s="91">
        <v>600</v>
      </c>
      <c r="J520" s="91">
        <f t="shared" si="186"/>
        <v>2</v>
      </c>
      <c r="K520" s="91">
        <f t="shared" si="186"/>
        <v>900</v>
      </c>
      <c r="L520" s="92">
        <v>1</v>
      </c>
      <c r="M520" s="93">
        <v>1112.4000000000001</v>
      </c>
      <c r="N520" s="94">
        <f t="shared" si="187"/>
        <v>1</v>
      </c>
      <c r="O520" s="94">
        <f t="shared" si="188"/>
        <v>1112.4000000000001</v>
      </c>
      <c r="P520">
        <v>0</v>
      </c>
      <c r="Q520">
        <v>0</v>
      </c>
      <c r="R520">
        <v>0</v>
      </c>
      <c r="S520">
        <v>0</v>
      </c>
    </row>
    <row r="521" spans="1:19" x14ac:dyDescent="0.2">
      <c r="A521" s="6" t="s">
        <v>80</v>
      </c>
      <c r="B521" s="92" t="s">
        <v>154</v>
      </c>
      <c r="C521" s="92">
        <v>4</v>
      </c>
      <c r="D521" s="95">
        <v>0</v>
      </c>
      <c r="E521" s="95">
        <v>0</v>
      </c>
      <c r="F521" s="90">
        <f t="shared" si="185"/>
        <v>0</v>
      </c>
      <c r="G521" s="90">
        <f t="shared" si="185"/>
        <v>0</v>
      </c>
      <c r="H521" s="91">
        <v>1</v>
      </c>
      <c r="I521" s="91">
        <v>2100</v>
      </c>
      <c r="J521" s="91">
        <f t="shared" si="186"/>
        <v>3</v>
      </c>
      <c r="K521" s="91">
        <f t="shared" si="186"/>
        <v>3000</v>
      </c>
      <c r="L521" s="92">
        <v>0</v>
      </c>
      <c r="M521" s="93">
        <v>0</v>
      </c>
      <c r="N521" s="94">
        <f t="shared" si="187"/>
        <v>1</v>
      </c>
      <c r="O521" s="94">
        <f t="shared" si="188"/>
        <v>1112.4000000000001</v>
      </c>
      <c r="P521">
        <v>0</v>
      </c>
      <c r="Q521">
        <v>0</v>
      </c>
      <c r="R521">
        <v>0</v>
      </c>
      <c r="S521">
        <v>0</v>
      </c>
    </row>
    <row r="522" spans="1:19" x14ac:dyDescent="0.2">
      <c r="A522" s="6" t="s">
        <v>80</v>
      </c>
      <c r="B522" s="92" t="s">
        <v>155</v>
      </c>
      <c r="C522" s="92">
        <v>5</v>
      </c>
      <c r="D522" s="95">
        <v>1</v>
      </c>
      <c r="E522" s="95">
        <v>2150</v>
      </c>
      <c r="F522" s="90">
        <f t="shared" si="185"/>
        <v>1</v>
      </c>
      <c r="G522" s="90">
        <f t="shared" si="185"/>
        <v>2150</v>
      </c>
      <c r="H522" s="91">
        <v>1</v>
      </c>
      <c r="I522" s="91">
        <v>200</v>
      </c>
      <c r="J522" s="91">
        <f t="shared" si="186"/>
        <v>4</v>
      </c>
      <c r="K522" s="91">
        <f t="shared" si="186"/>
        <v>3200</v>
      </c>
      <c r="L522" s="92">
        <v>0</v>
      </c>
      <c r="M522" s="93">
        <v>0</v>
      </c>
      <c r="N522" s="94">
        <f t="shared" si="187"/>
        <v>1</v>
      </c>
      <c r="O522" s="94">
        <f t="shared" si="188"/>
        <v>1112.4000000000001</v>
      </c>
      <c r="P522">
        <v>0</v>
      </c>
      <c r="Q522">
        <v>0</v>
      </c>
      <c r="R522">
        <v>0</v>
      </c>
      <c r="S522">
        <v>0</v>
      </c>
    </row>
    <row r="523" spans="1:19" x14ac:dyDescent="0.2">
      <c r="A523" s="6" t="s">
        <v>80</v>
      </c>
      <c r="B523" s="92" t="s">
        <v>156</v>
      </c>
      <c r="C523" s="92">
        <v>6</v>
      </c>
      <c r="D523" s="95">
        <v>0</v>
      </c>
      <c r="E523" s="95">
        <v>0</v>
      </c>
      <c r="F523" s="90">
        <f t="shared" si="185"/>
        <v>1</v>
      </c>
      <c r="G523" s="90">
        <f t="shared" si="185"/>
        <v>2150</v>
      </c>
      <c r="H523" s="91">
        <v>0</v>
      </c>
      <c r="I523" s="91">
        <v>0</v>
      </c>
      <c r="J523" s="91">
        <f t="shared" si="186"/>
        <v>4</v>
      </c>
      <c r="K523" s="91">
        <f t="shared" si="186"/>
        <v>3200</v>
      </c>
      <c r="L523" s="92">
        <v>0</v>
      </c>
      <c r="M523" s="93">
        <v>0</v>
      </c>
      <c r="N523" s="94">
        <f t="shared" si="187"/>
        <v>1</v>
      </c>
      <c r="O523" s="94">
        <f t="shared" si="188"/>
        <v>1112.4000000000001</v>
      </c>
      <c r="P523">
        <v>0</v>
      </c>
      <c r="Q523">
        <v>0</v>
      </c>
      <c r="R523">
        <v>0</v>
      </c>
      <c r="S523">
        <v>0</v>
      </c>
    </row>
    <row r="524" spans="1:19" x14ac:dyDescent="0.2">
      <c r="A524" s="6" t="s">
        <v>80</v>
      </c>
      <c r="B524" s="92" t="s">
        <v>157</v>
      </c>
      <c r="C524" s="92">
        <v>7</v>
      </c>
      <c r="D524" s="95">
        <v>1</v>
      </c>
      <c r="E524" s="95">
        <v>1050</v>
      </c>
      <c r="F524" s="90">
        <f t="shared" si="185"/>
        <v>2</v>
      </c>
      <c r="G524" s="90">
        <f t="shared" si="185"/>
        <v>3200</v>
      </c>
      <c r="H524" s="91">
        <v>1</v>
      </c>
      <c r="I524" s="91">
        <v>150</v>
      </c>
      <c r="J524" s="91">
        <f t="shared" si="186"/>
        <v>5</v>
      </c>
      <c r="K524" s="91">
        <f t="shared" si="186"/>
        <v>3350</v>
      </c>
      <c r="L524" s="92">
        <v>1</v>
      </c>
      <c r="M524" s="93">
        <v>800</v>
      </c>
      <c r="N524" s="94">
        <f t="shared" si="187"/>
        <v>2</v>
      </c>
      <c r="O524" s="94">
        <f t="shared" si="188"/>
        <v>1912.4</v>
      </c>
      <c r="P524">
        <v>2</v>
      </c>
      <c r="Q524">
        <v>860</v>
      </c>
      <c r="R524">
        <v>2</v>
      </c>
      <c r="S524">
        <v>860</v>
      </c>
    </row>
    <row r="525" spans="1:19" x14ac:dyDescent="0.2">
      <c r="A525" s="6" t="s">
        <v>80</v>
      </c>
      <c r="B525" s="92" t="s">
        <v>158</v>
      </c>
      <c r="C525" s="92">
        <v>8</v>
      </c>
      <c r="D525" s="95">
        <v>0</v>
      </c>
      <c r="E525" s="95">
        <v>0</v>
      </c>
      <c r="F525" s="90">
        <f t="shared" si="185"/>
        <v>2</v>
      </c>
      <c r="G525" s="90">
        <f t="shared" si="185"/>
        <v>3200</v>
      </c>
      <c r="H525" s="91">
        <v>2</v>
      </c>
      <c r="I525" s="91">
        <v>940</v>
      </c>
      <c r="J525" s="91">
        <f t="shared" si="186"/>
        <v>7</v>
      </c>
      <c r="K525" s="91">
        <f t="shared" si="186"/>
        <v>4290</v>
      </c>
      <c r="L525" s="92">
        <v>2</v>
      </c>
      <c r="M525" s="93">
        <v>2120</v>
      </c>
      <c r="N525" s="94">
        <f t="shared" si="187"/>
        <v>4</v>
      </c>
      <c r="O525" s="94">
        <f t="shared" si="188"/>
        <v>4032.4</v>
      </c>
      <c r="P525" s="88"/>
      <c r="Q525" s="88">
        <v>0</v>
      </c>
    </row>
    <row r="526" spans="1:19" x14ac:dyDescent="0.2">
      <c r="A526" s="6" t="s">
        <v>80</v>
      </c>
      <c r="B526" s="92" t="s">
        <v>159</v>
      </c>
      <c r="C526" s="92">
        <v>9</v>
      </c>
      <c r="D526" s="95">
        <v>0</v>
      </c>
      <c r="E526" s="95">
        <v>0</v>
      </c>
      <c r="F526" s="90">
        <f t="shared" si="185"/>
        <v>2</v>
      </c>
      <c r="G526" s="90">
        <f t="shared" si="185"/>
        <v>3200</v>
      </c>
      <c r="H526" s="91">
        <v>0</v>
      </c>
      <c r="I526" s="91">
        <v>0</v>
      </c>
      <c r="J526" s="91">
        <f t="shared" si="186"/>
        <v>7</v>
      </c>
      <c r="K526" s="91">
        <f t="shared" si="186"/>
        <v>4290</v>
      </c>
      <c r="L526" s="92">
        <v>0</v>
      </c>
      <c r="M526" s="93">
        <v>0</v>
      </c>
      <c r="N526" s="94">
        <f t="shared" si="187"/>
        <v>4</v>
      </c>
      <c r="O526" s="94">
        <f t="shared" si="188"/>
        <v>4032.4</v>
      </c>
      <c r="P526" s="88"/>
      <c r="Q526" s="88">
        <v>0</v>
      </c>
    </row>
    <row r="527" spans="1:19" x14ac:dyDescent="0.2">
      <c r="A527" s="6" t="s">
        <v>80</v>
      </c>
      <c r="B527" s="92" t="s">
        <v>160</v>
      </c>
      <c r="C527" s="92">
        <v>10</v>
      </c>
      <c r="D527" s="95">
        <v>1</v>
      </c>
      <c r="E527" s="95">
        <v>1000</v>
      </c>
      <c r="F527" s="90">
        <f t="shared" si="185"/>
        <v>3</v>
      </c>
      <c r="G527" s="90">
        <f t="shared" si="185"/>
        <v>4200</v>
      </c>
      <c r="H527" s="91">
        <v>0</v>
      </c>
      <c r="I527" s="91">
        <v>0</v>
      </c>
      <c r="J527" s="91">
        <f t="shared" si="186"/>
        <v>7</v>
      </c>
      <c r="K527" s="91">
        <f t="shared" si="186"/>
        <v>4290</v>
      </c>
      <c r="L527" s="92">
        <v>0</v>
      </c>
      <c r="M527" s="93">
        <v>0</v>
      </c>
      <c r="N527" s="94">
        <f t="shared" si="187"/>
        <v>4</v>
      </c>
      <c r="O527" s="94">
        <f t="shared" si="188"/>
        <v>4032.4</v>
      </c>
      <c r="P527" s="88"/>
      <c r="Q527" s="88">
        <v>0</v>
      </c>
    </row>
    <row r="528" spans="1:19" x14ac:dyDescent="0.2">
      <c r="A528" s="6" t="s">
        <v>80</v>
      </c>
      <c r="B528" s="92" t="s">
        <v>161</v>
      </c>
      <c r="C528" s="92">
        <v>11</v>
      </c>
      <c r="D528" s="95">
        <v>0</v>
      </c>
      <c r="E528" s="95">
        <v>0</v>
      </c>
      <c r="F528" s="90">
        <f t="shared" si="185"/>
        <v>3</v>
      </c>
      <c r="G528" s="90">
        <f t="shared" si="185"/>
        <v>4200</v>
      </c>
      <c r="H528" s="91">
        <v>0</v>
      </c>
      <c r="I528" s="91">
        <v>0</v>
      </c>
      <c r="J528" s="91">
        <f t="shared" si="186"/>
        <v>7</v>
      </c>
      <c r="K528" s="91">
        <f t="shared" si="186"/>
        <v>4290</v>
      </c>
      <c r="L528" s="92">
        <v>2</v>
      </c>
      <c r="M528" s="93">
        <v>4645</v>
      </c>
      <c r="N528" s="94">
        <f t="shared" si="187"/>
        <v>6</v>
      </c>
      <c r="O528" s="94">
        <f t="shared" si="188"/>
        <v>8677.4</v>
      </c>
      <c r="P528" s="88"/>
      <c r="Q528" s="88">
        <v>0</v>
      </c>
    </row>
    <row r="529" spans="1:19" x14ac:dyDescent="0.2">
      <c r="A529" s="6" t="s">
        <v>80</v>
      </c>
      <c r="B529" s="92" t="s">
        <v>162</v>
      </c>
      <c r="C529" s="92">
        <v>12</v>
      </c>
      <c r="D529" s="95">
        <v>1</v>
      </c>
      <c r="E529" s="95">
        <v>720</v>
      </c>
      <c r="F529" s="90">
        <f t="shared" si="185"/>
        <v>4</v>
      </c>
      <c r="G529" s="90">
        <f t="shared" si="185"/>
        <v>4920</v>
      </c>
      <c r="H529" s="91">
        <v>1</v>
      </c>
      <c r="I529" s="91">
        <v>1900</v>
      </c>
      <c r="J529" s="91">
        <f t="shared" si="186"/>
        <v>8</v>
      </c>
      <c r="K529" s="91">
        <f t="shared" si="186"/>
        <v>6190</v>
      </c>
      <c r="L529" s="92">
        <v>0</v>
      </c>
      <c r="M529" s="93">
        <v>0</v>
      </c>
      <c r="N529" s="94">
        <f t="shared" si="187"/>
        <v>6</v>
      </c>
      <c r="O529" s="94">
        <f t="shared" si="188"/>
        <v>8677.4</v>
      </c>
      <c r="P529" s="88"/>
      <c r="Q529" s="88">
        <v>0</v>
      </c>
    </row>
    <row r="530" spans="1:19" x14ac:dyDescent="0.2">
      <c r="A530" s="6" t="s">
        <v>77</v>
      </c>
      <c r="B530" s="92" t="s">
        <v>151</v>
      </c>
      <c r="C530" s="92">
        <v>1</v>
      </c>
      <c r="D530" s="95">
        <v>0</v>
      </c>
      <c r="E530" s="95">
        <v>0</v>
      </c>
      <c r="F530" s="90">
        <f>D530</f>
        <v>0</v>
      </c>
      <c r="G530" s="90">
        <f>E530</f>
        <v>0</v>
      </c>
      <c r="H530" s="90">
        <v>0</v>
      </c>
      <c r="I530" s="90">
        <v>0</v>
      </c>
      <c r="J530" s="90">
        <f>H530</f>
        <v>0</v>
      </c>
      <c r="K530" s="90">
        <f>I530</f>
        <v>0</v>
      </c>
      <c r="L530" s="92">
        <v>0</v>
      </c>
      <c r="M530" s="93">
        <v>0</v>
      </c>
      <c r="N530" s="94">
        <f>L530</f>
        <v>0</v>
      </c>
      <c r="O530" s="94">
        <f>M530</f>
        <v>0</v>
      </c>
      <c r="P530">
        <v>1</v>
      </c>
      <c r="Q530">
        <v>400</v>
      </c>
      <c r="R530">
        <v>1</v>
      </c>
      <c r="S530">
        <v>400</v>
      </c>
    </row>
    <row r="531" spans="1:19" x14ac:dyDescent="0.2">
      <c r="A531" s="6" t="s">
        <v>77</v>
      </c>
      <c r="B531" s="92" t="s">
        <v>152</v>
      </c>
      <c r="C531" s="92">
        <v>2</v>
      </c>
      <c r="D531" s="95">
        <v>0</v>
      </c>
      <c r="E531" s="95">
        <v>0</v>
      </c>
      <c r="F531" s="90">
        <f t="shared" ref="F531:F541" si="189">F530+D531</f>
        <v>0</v>
      </c>
      <c r="G531" s="90">
        <f t="shared" ref="G531:G541" si="190">G530+E531</f>
        <v>0</v>
      </c>
      <c r="H531" s="90">
        <v>0</v>
      </c>
      <c r="I531" s="90">
        <v>0</v>
      </c>
      <c r="J531" s="90">
        <f t="shared" ref="J531:J541" si="191">J530+H531</f>
        <v>0</v>
      </c>
      <c r="K531" s="90">
        <f t="shared" ref="K531:K541" si="192">K530+I531</f>
        <v>0</v>
      </c>
      <c r="L531" s="92">
        <v>0</v>
      </c>
      <c r="M531" s="93">
        <v>0</v>
      </c>
      <c r="N531" s="94">
        <f t="shared" ref="N531:N541" si="193">N530+L531</f>
        <v>0</v>
      </c>
      <c r="O531" s="94">
        <f t="shared" ref="O531:O541" si="194">O530+M531</f>
        <v>0</v>
      </c>
      <c r="P531">
        <v>0</v>
      </c>
      <c r="Q531">
        <v>0</v>
      </c>
      <c r="R531">
        <v>1</v>
      </c>
      <c r="S531">
        <v>400</v>
      </c>
    </row>
    <row r="532" spans="1:19" x14ac:dyDescent="0.2">
      <c r="A532" s="6" t="s">
        <v>77</v>
      </c>
      <c r="B532" s="92" t="s">
        <v>153</v>
      </c>
      <c r="C532" s="92">
        <v>3</v>
      </c>
      <c r="D532" s="95">
        <v>0</v>
      </c>
      <c r="E532" s="95">
        <v>0</v>
      </c>
      <c r="F532" s="90">
        <f t="shared" si="189"/>
        <v>0</v>
      </c>
      <c r="G532" s="90">
        <f t="shared" si="190"/>
        <v>0</v>
      </c>
      <c r="H532" s="90">
        <v>0</v>
      </c>
      <c r="I532" s="90">
        <v>0</v>
      </c>
      <c r="J532" s="90">
        <f t="shared" si="191"/>
        <v>0</v>
      </c>
      <c r="K532" s="90">
        <f t="shared" si="192"/>
        <v>0</v>
      </c>
      <c r="L532" s="92">
        <v>0</v>
      </c>
      <c r="M532" s="93">
        <v>0</v>
      </c>
      <c r="N532" s="94">
        <f t="shared" si="193"/>
        <v>0</v>
      </c>
      <c r="O532" s="94">
        <f t="shared" si="194"/>
        <v>0</v>
      </c>
      <c r="P532">
        <v>0</v>
      </c>
      <c r="Q532">
        <v>0</v>
      </c>
      <c r="R532">
        <v>1</v>
      </c>
      <c r="S532">
        <v>400</v>
      </c>
    </row>
    <row r="533" spans="1:19" x14ac:dyDescent="0.2">
      <c r="A533" s="6" t="s">
        <v>77</v>
      </c>
      <c r="B533" s="92" t="s">
        <v>154</v>
      </c>
      <c r="C533" s="92">
        <v>4</v>
      </c>
      <c r="D533" s="95">
        <v>0</v>
      </c>
      <c r="E533" s="95">
        <v>0</v>
      </c>
      <c r="F533" s="90">
        <f t="shared" si="189"/>
        <v>0</v>
      </c>
      <c r="G533" s="90">
        <f t="shared" si="190"/>
        <v>0</v>
      </c>
      <c r="H533" s="90">
        <v>0</v>
      </c>
      <c r="I533" s="90">
        <v>0</v>
      </c>
      <c r="J533" s="90">
        <f t="shared" si="191"/>
        <v>0</v>
      </c>
      <c r="K533" s="90">
        <f t="shared" si="192"/>
        <v>0</v>
      </c>
      <c r="L533" s="92">
        <v>0</v>
      </c>
      <c r="M533" s="93">
        <v>0</v>
      </c>
      <c r="N533" s="94">
        <f t="shared" si="193"/>
        <v>0</v>
      </c>
      <c r="O533" s="94">
        <f t="shared" si="194"/>
        <v>0</v>
      </c>
      <c r="P533">
        <v>1</v>
      </c>
      <c r="Q533">
        <v>200</v>
      </c>
      <c r="R533">
        <v>2</v>
      </c>
      <c r="S533">
        <v>600</v>
      </c>
    </row>
    <row r="534" spans="1:19" x14ac:dyDescent="0.2">
      <c r="A534" s="6" t="s">
        <v>77</v>
      </c>
      <c r="B534" s="92" t="s">
        <v>155</v>
      </c>
      <c r="C534" s="92">
        <v>5</v>
      </c>
      <c r="D534" s="95">
        <v>0</v>
      </c>
      <c r="E534" s="95">
        <v>0</v>
      </c>
      <c r="F534" s="90">
        <f t="shared" si="189"/>
        <v>0</v>
      </c>
      <c r="G534" s="90">
        <f t="shared" si="190"/>
        <v>0</v>
      </c>
      <c r="H534" s="90">
        <v>0</v>
      </c>
      <c r="I534" s="90">
        <v>0</v>
      </c>
      <c r="J534" s="90">
        <f t="shared" si="191"/>
        <v>0</v>
      </c>
      <c r="K534" s="90">
        <f t="shared" si="192"/>
        <v>0</v>
      </c>
      <c r="L534" s="92">
        <v>0</v>
      </c>
      <c r="M534" s="93">
        <v>0</v>
      </c>
      <c r="N534" s="94">
        <f t="shared" si="193"/>
        <v>0</v>
      </c>
      <c r="O534" s="94">
        <f t="shared" si="194"/>
        <v>0</v>
      </c>
      <c r="P534">
        <v>0</v>
      </c>
      <c r="Q534">
        <v>0</v>
      </c>
      <c r="R534">
        <v>2</v>
      </c>
      <c r="S534">
        <v>600</v>
      </c>
    </row>
    <row r="535" spans="1:19" x14ac:dyDescent="0.2">
      <c r="A535" s="6" t="s">
        <v>77</v>
      </c>
      <c r="B535" s="92" t="s">
        <v>156</v>
      </c>
      <c r="C535" s="92">
        <v>6</v>
      </c>
      <c r="D535" s="95">
        <v>0</v>
      </c>
      <c r="E535" s="95">
        <v>0</v>
      </c>
      <c r="F535" s="90">
        <f t="shared" si="189"/>
        <v>0</v>
      </c>
      <c r="G535" s="90">
        <f t="shared" si="190"/>
        <v>0</v>
      </c>
      <c r="H535" s="90">
        <v>0</v>
      </c>
      <c r="I535" s="90">
        <v>0</v>
      </c>
      <c r="J535" s="90">
        <f t="shared" si="191"/>
        <v>0</v>
      </c>
      <c r="K535" s="90">
        <f t="shared" si="192"/>
        <v>0</v>
      </c>
      <c r="L535" s="92">
        <v>0</v>
      </c>
      <c r="M535" s="93">
        <v>0</v>
      </c>
      <c r="N535" s="94">
        <f t="shared" si="193"/>
        <v>0</v>
      </c>
      <c r="O535" s="94">
        <f t="shared" si="194"/>
        <v>0</v>
      </c>
      <c r="P535">
        <v>0</v>
      </c>
      <c r="Q535">
        <v>0</v>
      </c>
      <c r="R535">
        <v>2</v>
      </c>
      <c r="S535">
        <v>600</v>
      </c>
    </row>
    <row r="536" spans="1:19" x14ac:dyDescent="0.2">
      <c r="A536" s="6" t="s">
        <v>77</v>
      </c>
      <c r="B536" s="92" t="s">
        <v>157</v>
      </c>
      <c r="C536" s="92">
        <v>7</v>
      </c>
      <c r="D536" s="95">
        <v>0</v>
      </c>
      <c r="E536" s="95">
        <v>0</v>
      </c>
      <c r="F536" s="90">
        <f t="shared" si="189"/>
        <v>0</v>
      </c>
      <c r="G536" s="90">
        <f t="shared" si="190"/>
        <v>0</v>
      </c>
      <c r="H536" s="90">
        <v>0</v>
      </c>
      <c r="I536" s="90">
        <v>0</v>
      </c>
      <c r="J536" s="90">
        <f t="shared" si="191"/>
        <v>0</v>
      </c>
      <c r="K536" s="90">
        <f t="shared" si="192"/>
        <v>0</v>
      </c>
      <c r="L536" s="92">
        <v>0</v>
      </c>
      <c r="M536" s="93">
        <v>0</v>
      </c>
      <c r="N536" s="94">
        <f t="shared" si="193"/>
        <v>0</v>
      </c>
      <c r="O536" s="94">
        <f t="shared" si="194"/>
        <v>0</v>
      </c>
      <c r="P536">
        <v>0</v>
      </c>
      <c r="Q536">
        <v>0</v>
      </c>
      <c r="R536">
        <v>2</v>
      </c>
      <c r="S536">
        <v>600</v>
      </c>
    </row>
    <row r="537" spans="1:19" x14ac:dyDescent="0.2">
      <c r="A537" s="6" t="s">
        <v>77</v>
      </c>
      <c r="B537" s="92" t="s">
        <v>158</v>
      </c>
      <c r="C537" s="92">
        <v>8</v>
      </c>
      <c r="D537" s="95">
        <v>0</v>
      </c>
      <c r="E537" s="95">
        <v>0</v>
      </c>
      <c r="F537" s="90">
        <f t="shared" si="189"/>
        <v>0</v>
      </c>
      <c r="G537" s="90">
        <f t="shared" si="190"/>
        <v>0</v>
      </c>
      <c r="H537" s="90">
        <v>0</v>
      </c>
      <c r="I537" s="90">
        <v>0</v>
      </c>
      <c r="J537" s="90">
        <f t="shared" si="191"/>
        <v>0</v>
      </c>
      <c r="K537" s="90">
        <f t="shared" si="192"/>
        <v>0</v>
      </c>
      <c r="L537" s="92">
        <v>0</v>
      </c>
      <c r="M537" s="93">
        <v>0</v>
      </c>
      <c r="N537" s="94">
        <f t="shared" si="193"/>
        <v>0</v>
      </c>
      <c r="O537" s="94">
        <f t="shared" si="194"/>
        <v>0</v>
      </c>
      <c r="P537" s="88"/>
      <c r="Q537" s="88">
        <v>0</v>
      </c>
    </row>
    <row r="538" spans="1:19" x14ac:dyDescent="0.2">
      <c r="A538" s="6" t="s">
        <v>77</v>
      </c>
      <c r="B538" s="92" t="s">
        <v>159</v>
      </c>
      <c r="C538" s="92">
        <v>9</v>
      </c>
      <c r="D538" s="95">
        <v>0</v>
      </c>
      <c r="E538" s="95">
        <v>0</v>
      </c>
      <c r="F538" s="90">
        <f t="shared" si="189"/>
        <v>0</v>
      </c>
      <c r="G538" s="90">
        <f t="shared" si="190"/>
        <v>0</v>
      </c>
      <c r="H538" s="90">
        <v>0</v>
      </c>
      <c r="I538" s="90">
        <v>0</v>
      </c>
      <c r="J538" s="90">
        <f t="shared" si="191"/>
        <v>0</v>
      </c>
      <c r="K538" s="90">
        <f t="shared" si="192"/>
        <v>0</v>
      </c>
      <c r="L538" s="92">
        <v>0</v>
      </c>
      <c r="M538" s="93">
        <v>0</v>
      </c>
      <c r="N538" s="94">
        <f t="shared" si="193"/>
        <v>0</v>
      </c>
      <c r="O538" s="94">
        <f t="shared" si="194"/>
        <v>0</v>
      </c>
      <c r="P538" s="88"/>
      <c r="Q538" s="88">
        <v>0</v>
      </c>
    </row>
    <row r="539" spans="1:19" x14ac:dyDescent="0.2">
      <c r="A539" s="6" t="s">
        <v>77</v>
      </c>
      <c r="B539" s="92" t="s">
        <v>160</v>
      </c>
      <c r="C539" s="92">
        <v>10</v>
      </c>
      <c r="D539" s="95">
        <v>0</v>
      </c>
      <c r="E539" s="95">
        <v>0</v>
      </c>
      <c r="F539" s="90">
        <f t="shared" si="189"/>
        <v>0</v>
      </c>
      <c r="G539" s="90">
        <f t="shared" si="190"/>
        <v>0</v>
      </c>
      <c r="H539" s="90">
        <v>0</v>
      </c>
      <c r="I539" s="90">
        <v>0</v>
      </c>
      <c r="J539" s="90">
        <f t="shared" si="191"/>
        <v>0</v>
      </c>
      <c r="K539" s="90">
        <f t="shared" si="192"/>
        <v>0</v>
      </c>
      <c r="L539" s="92">
        <v>2</v>
      </c>
      <c r="M539" s="93">
        <v>540</v>
      </c>
      <c r="N539" s="94">
        <f t="shared" si="193"/>
        <v>2</v>
      </c>
      <c r="O539" s="94">
        <f t="shared" si="194"/>
        <v>540</v>
      </c>
      <c r="P539" s="88"/>
      <c r="Q539" s="88">
        <v>0</v>
      </c>
    </row>
    <row r="540" spans="1:19" x14ac:dyDescent="0.2">
      <c r="A540" s="6" t="s">
        <v>77</v>
      </c>
      <c r="B540" s="92" t="s">
        <v>161</v>
      </c>
      <c r="C540" s="92">
        <v>11</v>
      </c>
      <c r="D540" s="95">
        <v>0</v>
      </c>
      <c r="E540" s="95">
        <v>0</v>
      </c>
      <c r="F540" s="90">
        <f t="shared" si="189"/>
        <v>0</v>
      </c>
      <c r="G540" s="90">
        <f t="shared" si="190"/>
        <v>0</v>
      </c>
      <c r="H540" s="90">
        <v>0</v>
      </c>
      <c r="I540" s="90">
        <v>0</v>
      </c>
      <c r="J540" s="90">
        <f t="shared" si="191"/>
        <v>0</v>
      </c>
      <c r="K540" s="90">
        <f t="shared" si="192"/>
        <v>0</v>
      </c>
      <c r="L540" s="92">
        <v>0</v>
      </c>
      <c r="M540" s="93">
        <v>0</v>
      </c>
      <c r="N540" s="94">
        <f t="shared" si="193"/>
        <v>2</v>
      </c>
      <c r="O540" s="94">
        <f t="shared" si="194"/>
        <v>540</v>
      </c>
      <c r="P540" s="88"/>
      <c r="Q540" s="88">
        <v>0</v>
      </c>
    </row>
    <row r="541" spans="1:19" x14ac:dyDescent="0.2">
      <c r="A541" s="6" t="s">
        <v>77</v>
      </c>
      <c r="B541" s="92" t="s">
        <v>162</v>
      </c>
      <c r="C541" s="92">
        <v>12</v>
      </c>
      <c r="D541" s="95">
        <v>0</v>
      </c>
      <c r="E541" s="95">
        <v>0</v>
      </c>
      <c r="F541" s="90">
        <f t="shared" si="189"/>
        <v>0</v>
      </c>
      <c r="G541" s="90">
        <f t="shared" si="190"/>
        <v>0</v>
      </c>
      <c r="H541" s="90">
        <v>0</v>
      </c>
      <c r="I541" s="90">
        <v>0</v>
      </c>
      <c r="J541" s="90">
        <f t="shared" si="191"/>
        <v>0</v>
      </c>
      <c r="K541" s="90">
        <f t="shared" si="192"/>
        <v>0</v>
      </c>
      <c r="L541" s="92">
        <v>0</v>
      </c>
      <c r="M541" s="93">
        <v>0</v>
      </c>
      <c r="N541" s="94">
        <f t="shared" si="193"/>
        <v>2</v>
      </c>
      <c r="O541" s="94">
        <f t="shared" si="194"/>
        <v>540</v>
      </c>
      <c r="P541" s="88"/>
      <c r="Q541" s="88">
        <v>0</v>
      </c>
    </row>
    <row r="542" spans="1:19" x14ac:dyDescent="0.2">
      <c r="A542" s="6" t="s">
        <v>52</v>
      </c>
      <c r="B542" s="92" t="s">
        <v>151</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v>0</v>
      </c>
      <c r="Q542">
        <v>0</v>
      </c>
      <c r="R542">
        <v>0</v>
      </c>
      <c r="S542" s="87">
        <v>0</v>
      </c>
    </row>
    <row r="543" spans="1:19" x14ac:dyDescent="0.2">
      <c r="A543" s="6" t="s">
        <v>52</v>
      </c>
      <c r="B543" s="92" t="s">
        <v>152</v>
      </c>
      <c r="C543" s="92">
        <v>2</v>
      </c>
      <c r="D543" s="95">
        <v>0</v>
      </c>
      <c r="E543" s="95">
        <v>0</v>
      </c>
      <c r="F543" s="90">
        <f t="shared" ref="F543:G553" si="195">F542+D543</f>
        <v>0</v>
      </c>
      <c r="G543" s="90">
        <f t="shared" si="195"/>
        <v>0</v>
      </c>
      <c r="H543" s="91">
        <v>0</v>
      </c>
      <c r="I543" s="91">
        <v>0</v>
      </c>
      <c r="J543" s="91">
        <f t="shared" ref="J543:K553" si="196">J542+H543</f>
        <v>0</v>
      </c>
      <c r="K543" s="91">
        <f t="shared" si="196"/>
        <v>0</v>
      </c>
      <c r="L543" s="92">
        <v>0</v>
      </c>
      <c r="M543" s="93">
        <v>0</v>
      </c>
      <c r="N543" s="94">
        <f t="shared" ref="N543:N553" si="197">N542+L543</f>
        <v>0</v>
      </c>
      <c r="O543" s="94">
        <f t="shared" ref="O543:O553" si="198">O542+M543</f>
        <v>0</v>
      </c>
      <c r="P543">
        <v>0</v>
      </c>
      <c r="Q543">
        <v>0</v>
      </c>
      <c r="R543">
        <v>0</v>
      </c>
      <c r="S543" s="87">
        <v>0</v>
      </c>
    </row>
    <row r="544" spans="1:19" x14ac:dyDescent="0.2">
      <c r="A544" s="6" t="s">
        <v>52</v>
      </c>
      <c r="B544" s="92" t="s">
        <v>153</v>
      </c>
      <c r="C544" s="92">
        <v>3</v>
      </c>
      <c r="D544" s="95">
        <v>0</v>
      </c>
      <c r="E544" s="95">
        <v>0</v>
      </c>
      <c r="F544" s="90">
        <f t="shared" si="195"/>
        <v>0</v>
      </c>
      <c r="G544" s="90">
        <f t="shared" si="195"/>
        <v>0</v>
      </c>
      <c r="H544" s="91">
        <v>5</v>
      </c>
      <c r="I544" s="91">
        <v>720</v>
      </c>
      <c r="J544" s="91">
        <f t="shared" si="196"/>
        <v>5</v>
      </c>
      <c r="K544" s="91">
        <f t="shared" si="196"/>
        <v>720</v>
      </c>
      <c r="L544" s="92">
        <v>0</v>
      </c>
      <c r="M544" s="93">
        <v>0</v>
      </c>
      <c r="N544" s="94">
        <f t="shared" si="197"/>
        <v>0</v>
      </c>
      <c r="O544" s="94">
        <f t="shared" si="198"/>
        <v>0</v>
      </c>
      <c r="P544">
        <v>2</v>
      </c>
      <c r="Q544">
        <v>4300</v>
      </c>
      <c r="R544">
        <v>2</v>
      </c>
      <c r="S544" s="87">
        <v>4300</v>
      </c>
    </row>
    <row r="545" spans="1:19" x14ac:dyDescent="0.2">
      <c r="A545" s="6" t="s">
        <v>52</v>
      </c>
      <c r="B545" s="92" t="s">
        <v>154</v>
      </c>
      <c r="C545" s="92">
        <v>4</v>
      </c>
      <c r="D545" s="95">
        <v>0</v>
      </c>
      <c r="E545" s="95">
        <v>0</v>
      </c>
      <c r="F545" s="90">
        <f t="shared" si="195"/>
        <v>0</v>
      </c>
      <c r="G545" s="90">
        <f t="shared" si="195"/>
        <v>0</v>
      </c>
      <c r="H545" s="91">
        <v>0</v>
      </c>
      <c r="I545" s="91">
        <v>0</v>
      </c>
      <c r="J545" s="91">
        <f t="shared" si="196"/>
        <v>5</v>
      </c>
      <c r="K545" s="91">
        <f t="shared" si="196"/>
        <v>720</v>
      </c>
      <c r="L545" s="92">
        <v>2</v>
      </c>
      <c r="M545" s="93">
        <v>250</v>
      </c>
      <c r="N545" s="94">
        <f t="shared" si="197"/>
        <v>2</v>
      </c>
      <c r="O545" s="94">
        <f t="shared" si="198"/>
        <v>250</v>
      </c>
      <c r="P545">
        <v>0</v>
      </c>
      <c r="Q545">
        <v>0</v>
      </c>
      <c r="R545">
        <v>2</v>
      </c>
      <c r="S545" s="87">
        <v>4300</v>
      </c>
    </row>
    <row r="546" spans="1:19" x14ac:dyDescent="0.2">
      <c r="A546" s="6" t="s">
        <v>52</v>
      </c>
      <c r="B546" s="92" t="s">
        <v>155</v>
      </c>
      <c r="C546" s="92">
        <v>5</v>
      </c>
      <c r="D546" s="95">
        <v>0</v>
      </c>
      <c r="E546" s="95">
        <v>0</v>
      </c>
      <c r="F546" s="90">
        <f t="shared" si="195"/>
        <v>0</v>
      </c>
      <c r="G546" s="90">
        <f t="shared" si="195"/>
        <v>0</v>
      </c>
      <c r="H546" s="91">
        <v>0</v>
      </c>
      <c r="I546" s="91">
        <v>0</v>
      </c>
      <c r="J546" s="91">
        <f t="shared" si="196"/>
        <v>5</v>
      </c>
      <c r="K546" s="91">
        <f t="shared" si="196"/>
        <v>720</v>
      </c>
      <c r="L546" s="92">
        <v>0</v>
      </c>
      <c r="M546" s="93">
        <v>0</v>
      </c>
      <c r="N546" s="94">
        <f t="shared" si="197"/>
        <v>2</v>
      </c>
      <c r="O546" s="94">
        <f t="shared" si="198"/>
        <v>250</v>
      </c>
      <c r="P546">
        <v>0</v>
      </c>
      <c r="Q546">
        <v>0</v>
      </c>
      <c r="R546">
        <v>2</v>
      </c>
      <c r="S546" s="87">
        <v>4300</v>
      </c>
    </row>
    <row r="547" spans="1:19" x14ac:dyDescent="0.2">
      <c r="A547" s="6" t="s">
        <v>52</v>
      </c>
      <c r="B547" s="92" t="s">
        <v>156</v>
      </c>
      <c r="C547" s="92">
        <v>6</v>
      </c>
      <c r="D547" s="95">
        <v>0</v>
      </c>
      <c r="E547" s="95">
        <v>0</v>
      </c>
      <c r="F547" s="90">
        <f t="shared" si="195"/>
        <v>0</v>
      </c>
      <c r="G547" s="90">
        <f t="shared" si="195"/>
        <v>0</v>
      </c>
      <c r="H547" s="91">
        <v>0</v>
      </c>
      <c r="I547" s="91">
        <v>0</v>
      </c>
      <c r="J547" s="91">
        <f t="shared" si="196"/>
        <v>5</v>
      </c>
      <c r="K547" s="91">
        <f t="shared" si="196"/>
        <v>720</v>
      </c>
      <c r="L547" s="92">
        <v>2</v>
      </c>
      <c r="M547" s="93">
        <v>100</v>
      </c>
      <c r="N547" s="94">
        <f t="shared" si="197"/>
        <v>4</v>
      </c>
      <c r="O547" s="94">
        <f t="shared" si="198"/>
        <v>350</v>
      </c>
      <c r="P547">
        <v>0</v>
      </c>
      <c r="Q547">
        <v>0</v>
      </c>
      <c r="R547">
        <v>2</v>
      </c>
      <c r="S547" s="87">
        <v>4300</v>
      </c>
    </row>
    <row r="548" spans="1:19" x14ac:dyDescent="0.2">
      <c r="A548" s="6" t="s">
        <v>52</v>
      </c>
      <c r="B548" s="92" t="s">
        <v>157</v>
      </c>
      <c r="C548" s="92">
        <v>7</v>
      </c>
      <c r="D548" s="95">
        <v>0</v>
      </c>
      <c r="E548" s="95">
        <v>0</v>
      </c>
      <c r="F548" s="90">
        <f t="shared" si="195"/>
        <v>0</v>
      </c>
      <c r="G548" s="90">
        <f t="shared" si="195"/>
        <v>0</v>
      </c>
      <c r="H548" s="91">
        <v>0</v>
      </c>
      <c r="I548" s="91">
        <v>0</v>
      </c>
      <c r="J548" s="91">
        <f t="shared" si="196"/>
        <v>5</v>
      </c>
      <c r="K548" s="91">
        <f t="shared" si="196"/>
        <v>720</v>
      </c>
      <c r="L548" s="92">
        <v>2</v>
      </c>
      <c r="M548" s="93">
        <v>350</v>
      </c>
      <c r="N548" s="94">
        <f t="shared" si="197"/>
        <v>6</v>
      </c>
      <c r="O548" s="94">
        <f t="shared" si="198"/>
        <v>700</v>
      </c>
      <c r="P548">
        <v>0</v>
      </c>
      <c r="Q548">
        <v>0</v>
      </c>
      <c r="R548">
        <v>2</v>
      </c>
      <c r="S548" s="87">
        <v>4300</v>
      </c>
    </row>
    <row r="549" spans="1:19" x14ac:dyDescent="0.2">
      <c r="A549" s="6" t="s">
        <v>52</v>
      </c>
      <c r="B549" s="92" t="s">
        <v>158</v>
      </c>
      <c r="C549" s="92">
        <v>8</v>
      </c>
      <c r="D549" s="95">
        <v>0</v>
      </c>
      <c r="E549" s="95">
        <v>0</v>
      </c>
      <c r="F549" s="90">
        <f t="shared" si="195"/>
        <v>0</v>
      </c>
      <c r="G549" s="90">
        <f t="shared" si="195"/>
        <v>0</v>
      </c>
      <c r="H549" s="91">
        <v>0</v>
      </c>
      <c r="I549" s="91">
        <v>0</v>
      </c>
      <c r="J549" s="91">
        <f t="shared" si="196"/>
        <v>5</v>
      </c>
      <c r="K549" s="91">
        <f t="shared" si="196"/>
        <v>720</v>
      </c>
      <c r="L549" s="92">
        <v>0</v>
      </c>
      <c r="M549" s="93">
        <v>0</v>
      </c>
      <c r="N549" s="94">
        <f t="shared" si="197"/>
        <v>6</v>
      </c>
      <c r="O549" s="94">
        <f t="shared" si="198"/>
        <v>700</v>
      </c>
      <c r="P549" s="88"/>
      <c r="Q549" s="88">
        <v>0</v>
      </c>
    </row>
    <row r="550" spans="1:19" x14ac:dyDescent="0.2">
      <c r="A550" s="6" t="s">
        <v>52</v>
      </c>
      <c r="B550" s="92" t="s">
        <v>159</v>
      </c>
      <c r="C550" s="92">
        <v>9</v>
      </c>
      <c r="D550" s="95">
        <v>0</v>
      </c>
      <c r="E550" s="95">
        <v>0</v>
      </c>
      <c r="F550" s="90">
        <f t="shared" si="195"/>
        <v>0</v>
      </c>
      <c r="G550" s="90">
        <f t="shared" si="195"/>
        <v>0</v>
      </c>
      <c r="H550" s="91">
        <v>0</v>
      </c>
      <c r="I550" s="91">
        <v>0</v>
      </c>
      <c r="J550" s="91">
        <f t="shared" si="196"/>
        <v>5</v>
      </c>
      <c r="K550" s="91">
        <f t="shared" si="196"/>
        <v>720</v>
      </c>
      <c r="L550" s="92">
        <v>0</v>
      </c>
      <c r="M550" s="93">
        <v>0</v>
      </c>
      <c r="N550" s="94">
        <f t="shared" si="197"/>
        <v>6</v>
      </c>
      <c r="O550" s="94">
        <f t="shared" si="198"/>
        <v>700</v>
      </c>
      <c r="P550" s="88"/>
      <c r="Q550" s="88">
        <v>0</v>
      </c>
    </row>
    <row r="551" spans="1:19" x14ac:dyDescent="0.2">
      <c r="A551" s="6" t="s">
        <v>52</v>
      </c>
      <c r="B551" s="92" t="s">
        <v>160</v>
      </c>
      <c r="C551" s="92">
        <v>10</v>
      </c>
      <c r="D551" s="95">
        <v>0</v>
      </c>
      <c r="E551" s="95">
        <v>0</v>
      </c>
      <c r="F551" s="90">
        <f t="shared" si="195"/>
        <v>0</v>
      </c>
      <c r="G551" s="90">
        <f t="shared" si="195"/>
        <v>0</v>
      </c>
      <c r="H551" s="91">
        <v>0</v>
      </c>
      <c r="I551" s="91">
        <v>0</v>
      </c>
      <c r="J551" s="91">
        <f t="shared" si="196"/>
        <v>5</v>
      </c>
      <c r="K551" s="91">
        <f t="shared" si="196"/>
        <v>720</v>
      </c>
      <c r="L551" s="92">
        <v>3</v>
      </c>
      <c r="M551" s="93">
        <v>1196.54</v>
      </c>
      <c r="N551" s="94">
        <f t="shared" si="197"/>
        <v>9</v>
      </c>
      <c r="O551" s="94">
        <f t="shared" si="198"/>
        <v>1896.54</v>
      </c>
      <c r="P551" s="88"/>
      <c r="Q551" s="88">
        <v>0</v>
      </c>
    </row>
    <row r="552" spans="1:19" x14ac:dyDescent="0.2">
      <c r="A552" s="6" t="s">
        <v>52</v>
      </c>
      <c r="B552" s="92" t="s">
        <v>161</v>
      </c>
      <c r="C552" s="92">
        <v>11</v>
      </c>
      <c r="D552" s="95">
        <v>0</v>
      </c>
      <c r="E552" s="95">
        <v>0</v>
      </c>
      <c r="F552" s="90">
        <f t="shared" si="195"/>
        <v>0</v>
      </c>
      <c r="G552" s="90">
        <f t="shared" si="195"/>
        <v>0</v>
      </c>
      <c r="H552" s="91">
        <v>6</v>
      </c>
      <c r="I552" s="91">
        <v>680</v>
      </c>
      <c r="J552" s="91">
        <f t="shared" si="196"/>
        <v>11</v>
      </c>
      <c r="K552" s="91">
        <f t="shared" si="196"/>
        <v>1400</v>
      </c>
      <c r="L552" s="92">
        <v>7</v>
      </c>
      <c r="M552" s="93">
        <v>2838.5</v>
      </c>
      <c r="N552" s="94">
        <f t="shared" si="197"/>
        <v>16</v>
      </c>
      <c r="O552" s="94">
        <f t="shared" si="198"/>
        <v>4735.04</v>
      </c>
      <c r="P552" s="88"/>
      <c r="Q552" s="88">
        <v>0</v>
      </c>
    </row>
    <row r="553" spans="1:19" x14ac:dyDescent="0.2">
      <c r="A553" s="6" t="s">
        <v>52</v>
      </c>
      <c r="B553" s="92" t="s">
        <v>162</v>
      </c>
      <c r="C553" s="92">
        <v>12</v>
      </c>
      <c r="D553" s="95">
        <v>0</v>
      </c>
      <c r="E553" s="95">
        <v>0</v>
      </c>
      <c r="F553" s="90">
        <f t="shared" si="195"/>
        <v>0</v>
      </c>
      <c r="G553" s="90">
        <f t="shared" si="195"/>
        <v>0</v>
      </c>
      <c r="H553" s="91">
        <v>0</v>
      </c>
      <c r="I553" s="91">
        <v>0</v>
      </c>
      <c r="J553" s="91">
        <f t="shared" si="196"/>
        <v>11</v>
      </c>
      <c r="K553" s="91">
        <f t="shared" si="196"/>
        <v>1400</v>
      </c>
      <c r="L553" s="92">
        <v>4</v>
      </c>
      <c r="M553" s="93">
        <v>525</v>
      </c>
      <c r="N553" s="94">
        <f t="shared" si="197"/>
        <v>20</v>
      </c>
      <c r="O553" s="94">
        <f t="shared" si="198"/>
        <v>5260.04</v>
      </c>
      <c r="P553" s="88"/>
      <c r="Q553" s="88">
        <v>0</v>
      </c>
    </row>
    <row r="554" spans="1:19" x14ac:dyDescent="0.2">
      <c r="A554" s="6" t="s">
        <v>105</v>
      </c>
      <c r="B554" s="92" t="s">
        <v>151</v>
      </c>
      <c r="C554" s="92">
        <v>1</v>
      </c>
      <c r="D554" s="95">
        <v>1</v>
      </c>
      <c r="E554" s="95">
        <v>4500</v>
      </c>
      <c r="F554" s="90">
        <f>D554</f>
        <v>1</v>
      </c>
      <c r="G554" s="90">
        <f>E554</f>
        <v>4500</v>
      </c>
      <c r="H554" s="91">
        <v>0</v>
      </c>
      <c r="I554" s="91">
        <v>0</v>
      </c>
      <c r="J554" s="91">
        <f>H554</f>
        <v>0</v>
      </c>
      <c r="K554" s="91">
        <f>I554</f>
        <v>0</v>
      </c>
      <c r="L554" s="92">
        <v>0</v>
      </c>
      <c r="M554" s="93">
        <v>0</v>
      </c>
      <c r="N554" s="94">
        <f>L554</f>
        <v>0</v>
      </c>
      <c r="O554" s="94">
        <f>M554</f>
        <v>0</v>
      </c>
      <c r="P554">
        <v>0</v>
      </c>
      <c r="Q554" s="88">
        <v>0</v>
      </c>
      <c r="R554">
        <v>0</v>
      </c>
      <c r="S554" s="87">
        <v>0</v>
      </c>
    </row>
    <row r="555" spans="1:19" x14ac:dyDescent="0.2">
      <c r="A555" s="6" t="s">
        <v>105</v>
      </c>
      <c r="B555" s="92" t="s">
        <v>152</v>
      </c>
      <c r="C555" s="92">
        <v>2</v>
      </c>
      <c r="D555" s="95">
        <v>1</v>
      </c>
      <c r="E555" s="95">
        <v>718.68</v>
      </c>
      <c r="F555" s="90">
        <f t="shared" ref="F555:G565" si="199">F554+D555</f>
        <v>2</v>
      </c>
      <c r="G555" s="90">
        <f t="shared" si="199"/>
        <v>5218.68</v>
      </c>
      <c r="H555" s="91">
        <v>0</v>
      </c>
      <c r="I555" s="91">
        <v>0</v>
      </c>
      <c r="J555" s="91">
        <f t="shared" ref="J555:K565" si="200">J554+H555</f>
        <v>0</v>
      </c>
      <c r="K555" s="91">
        <f t="shared" si="200"/>
        <v>0</v>
      </c>
      <c r="L555" s="92">
        <v>2</v>
      </c>
      <c r="M555" s="93">
        <v>1535</v>
      </c>
      <c r="N555" s="94">
        <f t="shared" ref="N555:N565" si="201">N554+L555</f>
        <v>2</v>
      </c>
      <c r="O555" s="94">
        <f t="shared" ref="O555:O565" si="202">O554+M555</f>
        <v>1535</v>
      </c>
      <c r="P555">
        <v>0</v>
      </c>
      <c r="Q555" s="88">
        <v>0</v>
      </c>
      <c r="R555">
        <v>0</v>
      </c>
      <c r="S555" s="87">
        <v>0</v>
      </c>
    </row>
    <row r="556" spans="1:19" x14ac:dyDescent="0.2">
      <c r="A556" s="6" t="s">
        <v>105</v>
      </c>
      <c r="B556" s="92" t="s">
        <v>153</v>
      </c>
      <c r="C556" s="92">
        <v>3</v>
      </c>
      <c r="D556" s="95">
        <v>2</v>
      </c>
      <c r="E556" s="95">
        <v>2100</v>
      </c>
      <c r="F556" s="90">
        <f t="shared" si="199"/>
        <v>4</v>
      </c>
      <c r="G556" s="90">
        <f t="shared" si="199"/>
        <v>7318.68</v>
      </c>
      <c r="H556" s="91">
        <v>0</v>
      </c>
      <c r="I556" s="91">
        <v>0</v>
      </c>
      <c r="J556" s="91">
        <f t="shared" si="200"/>
        <v>0</v>
      </c>
      <c r="K556" s="91">
        <f t="shared" si="200"/>
        <v>0</v>
      </c>
      <c r="L556" s="92">
        <v>0</v>
      </c>
      <c r="M556" s="93">
        <v>0</v>
      </c>
      <c r="N556" s="94">
        <f t="shared" si="201"/>
        <v>2</v>
      </c>
      <c r="O556" s="94">
        <f t="shared" si="202"/>
        <v>1535</v>
      </c>
      <c r="P556">
        <v>0</v>
      </c>
      <c r="Q556" s="88">
        <v>0</v>
      </c>
      <c r="R556">
        <v>0</v>
      </c>
      <c r="S556" s="87">
        <v>0</v>
      </c>
    </row>
    <row r="557" spans="1:19" x14ac:dyDescent="0.2">
      <c r="A557" s="6" t="s">
        <v>105</v>
      </c>
      <c r="B557" s="92" t="s">
        <v>154</v>
      </c>
      <c r="C557" s="92">
        <v>4</v>
      </c>
      <c r="D557" s="95">
        <v>0</v>
      </c>
      <c r="E557" s="95">
        <v>0</v>
      </c>
      <c r="F557" s="90">
        <f t="shared" si="199"/>
        <v>4</v>
      </c>
      <c r="G557" s="90">
        <f t="shared" si="199"/>
        <v>7318.68</v>
      </c>
      <c r="H557" s="91">
        <v>0</v>
      </c>
      <c r="I557" s="91">
        <v>0</v>
      </c>
      <c r="J557" s="91">
        <f t="shared" si="200"/>
        <v>0</v>
      </c>
      <c r="K557" s="91">
        <f t="shared" si="200"/>
        <v>0</v>
      </c>
      <c r="L557" s="92">
        <v>1</v>
      </c>
      <c r="M557" s="93">
        <v>100</v>
      </c>
      <c r="N557" s="94">
        <f t="shared" si="201"/>
        <v>3</v>
      </c>
      <c r="O557" s="94">
        <f t="shared" si="202"/>
        <v>1635</v>
      </c>
      <c r="P557">
        <v>0</v>
      </c>
      <c r="Q557" s="88">
        <v>0</v>
      </c>
      <c r="R557">
        <v>0</v>
      </c>
      <c r="S557" s="87">
        <v>0</v>
      </c>
    </row>
    <row r="558" spans="1:19" x14ac:dyDescent="0.2">
      <c r="A558" s="6" t="s">
        <v>105</v>
      </c>
      <c r="B558" s="92" t="s">
        <v>155</v>
      </c>
      <c r="C558" s="92">
        <v>5</v>
      </c>
      <c r="D558" s="95">
        <v>3</v>
      </c>
      <c r="E558" s="90">
        <v>3747.66</v>
      </c>
      <c r="F558" s="90">
        <f t="shared" si="199"/>
        <v>7</v>
      </c>
      <c r="G558" s="90">
        <f t="shared" si="199"/>
        <v>11066.34</v>
      </c>
      <c r="H558" s="91">
        <v>1</v>
      </c>
      <c r="I558" s="91">
        <v>925</v>
      </c>
      <c r="J558" s="91">
        <f t="shared" si="200"/>
        <v>1</v>
      </c>
      <c r="K558" s="91">
        <f t="shared" si="200"/>
        <v>925</v>
      </c>
      <c r="L558" s="92">
        <v>1</v>
      </c>
      <c r="M558" s="93">
        <v>1200</v>
      </c>
      <c r="N558" s="94">
        <f t="shared" si="201"/>
        <v>4</v>
      </c>
      <c r="O558" s="94">
        <f t="shared" si="202"/>
        <v>2835</v>
      </c>
      <c r="P558">
        <v>0</v>
      </c>
      <c r="Q558" s="88">
        <v>0</v>
      </c>
      <c r="R558">
        <v>0</v>
      </c>
      <c r="S558" s="87">
        <v>0</v>
      </c>
    </row>
    <row r="559" spans="1:19" x14ac:dyDescent="0.2">
      <c r="A559" s="6" t="s">
        <v>105</v>
      </c>
      <c r="B559" s="92" t="s">
        <v>156</v>
      </c>
      <c r="C559" s="92">
        <v>6</v>
      </c>
      <c r="D559" s="95">
        <v>1</v>
      </c>
      <c r="E559" s="95">
        <v>2500</v>
      </c>
      <c r="F559" s="90">
        <f t="shared" si="199"/>
        <v>8</v>
      </c>
      <c r="G559" s="90">
        <f t="shared" si="199"/>
        <v>13566.34</v>
      </c>
      <c r="H559" s="91">
        <v>0</v>
      </c>
      <c r="I559" s="91">
        <v>0</v>
      </c>
      <c r="J559" s="91">
        <f t="shared" si="200"/>
        <v>1</v>
      </c>
      <c r="K559" s="91">
        <f t="shared" si="200"/>
        <v>925</v>
      </c>
      <c r="L559" s="92">
        <v>1</v>
      </c>
      <c r="M559" s="93">
        <v>850</v>
      </c>
      <c r="N559" s="94">
        <f t="shared" si="201"/>
        <v>5</v>
      </c>
      <c r="O559" s="94">
        <f t="shared" si="202"/>
        <v>3685</v>
      </c>
      <c r="P559">
        <v>0</v>
      </c>
      <c r="Q559" s="88">
        <v>0</v>
      </c>
      <c r="R559">
        <v>0</v>
      </c>
      <c r="S559" s="87">
        <v>0</v>
      </c>
    </row>
    <row r="560" spans="1:19" x14ac:dyDescent="0.2">
      <c r="A560" s="6" t="s">
        <v>105</v>
      </c>
      <c r="B560" s="92" t="s">
        <v>157</v>
      </c>
      <c r="C560" s="92">
        <v>7</v>
      </c>
      <c r="D560" s="95">
        <v>1</v>
      </c>
      <c r="E560" s="95">
        <v>1200</v>
      </c>
      <c r="F560" s="90">
        <f t="shared" si="199"/>
        <v>9</v>
      </c>
      <c r="G560" s="90">
        <f t="shared" si="199"/>
        <v>14766.34</v>
      </c>
      <c r="H560" s="91">
        <v>0</v>
      </c>
      <c r="I560" s="91">
        <v>0</v>
      </c>
      <c r="J560" s="91">
        <f t="shared" si="200"/>
        <v>1</v>
      </c>
      <c r="K560" s="91">
        <f t="shared" si="200"/>
        <v>925</v>
      </c>
      <c r="L560" s="92">
        <v>3</v>
      </c>
      <c r="M560" s="93">
        <v>1160.0999999999999</v>
      </c>
      <c r="N560" s="94">
        <f t="shared" si="201"/>
        <v>8</v>
      </c>
      <c r="O560" s="94">
        <f t="shared" si="202"/>
        <v>4845.1000000000004</v>
      </c>
      <c r="P560">
        <v>0</v>
      </c>
      <c r="Q560" s="88">
        <v>0</v>
      </c>
      <c r="R560">
        <v>0</v>
      </c>
      <c r="S560" s="87">
        <v>0</v>
      </c>
    </row>
    <row r="561" spans="1:19" x14ac:dyDescent="0.2">
      <c r="A561" s="6" t="s">
        <v>105</v>
      </c>
      <c r="B561" s="92" t="s">
        <v>158</v>
      </c>
      <c r="C561" s="92">
        <v>8</v>
      </c>
      <c r="D561" s="95">
        <v>0</v>
      </c>
      <c r="E561" s="95">
        <v>0</v>
      </c>
      <c r="F561" s="90">
        <f t="shared" si="199"/>
        <v>9</v>
      </c>
      <c r="G561" s="90">
        <f t="shared" si="199"/>
        <v>14766.34</v>
      </c>
      <c r="H561" s="91">
        <v>0</v>
      </c>
      <c r="I561" s="91">
        <v>0</v>
      </c>
      <c r="J561" s="91">
        <f t="shared" si="200"/>
        <v>1</v>
      </c>
      <c r="K561" s="91">
        <f t="shared" si="200"/>
        <v>925</v>
      </c>
      <c r="L561" s="92">
        <v>1</v>
      </c>
      <c r="M561" s="93">
        <v>885</v>
      </c>
      <c r="N561" s="94">
        <f t="shared" si="201"/>
        <v>9</v>
      </c>
      <c r="O561" s="94">
        <f t="shared" si="202"/>
        <v>5730.1</v>
      </c>
      <c r="P561" s="88"/>
      <c r="Q561" s="88">
        <v>0</v>
      </c>
    </row>
    <row r="562" spans="1:19" x14ac:dyDescent="0.2">
      <c r="A562" s="6" t="s">
        <v>105</v>
      </c>
      <c r="B562" s="92" t="s">
        <v>159</v>
      </c>
      <c r="C562" s="92">
        <v>9</v>
      </c>
      <c r="D562" s="95">
        <v>0</v>
      </c>
      <c r="E562" s="95">
        <v>0</v>
      </c>
      <c r="F562" s="90">
        <f t="shared" si="199"/>
        <v>9</v>
      </c>
      <c r="G562" s="90">
        <f t="shared" si="199"/>
        <v>14766.34</v>
      </c>
      <c r="H562" s="91">
        <v>3</v>
      </c>
      <c r="I562" s="91">
        <v>1200</v>
      </c>
      <c r="J562" s="91">
        <f t="shared" si="200"/>
        <v>4</v>
      </c>
      <c r="K562" s="91">
        <f t="shared" si="200"/>
        <v>2125</v>
      </c>
      <c r="L562" s="92">
        <v>3</v>
      </c>
      <c r="M562" s="93">
        <v>3280</v>
      </c>
      <c r="N562" s="94">
        <f t="shared" si="201"/>
        <v>12</v>
      </c>
      <c r="O562" s="94">
        <f t="shared" si="202"/>
        <v>9010.1</v>
      </c>
      <c r="P562" s="88"/>
      <c r="Q562" s="88">
        <v>0</v>
      </c>
    </row>
    <row r="563" spans="1:19" x14ac:dyDescent="0.2">
      <c r="A563" s="6" t="s">
        <v>105</v>
      </c>
      <c r="B563" s="92" t="s">
        <v>160</v>
      </c>
      <c r="C563" s="92">
        <v>10</v>
      </c>
      <c r="D563" s="95">
        <v>0</v>
      </c>
      <c r="E563" s="95">
        <v>0</v>
      </c>
      <c r="F563" s="90">
        <f t="shared" si="199"/>
        <v>9</v>
      </c>
      <c r="G563" s="90">
        <f t="shared" si="199"/>
        <v>14766.34</v>
      </c>
      <c r="H563" s="91">
        <v>1</v>
      </c>
      <c r="I563" s="91">
        <v>350</v>
      </c>
      <c r="J563" s="91">
        <f t="shared" si="200"/>
        <v>5</v>
      </c>
      <c r="K563" s="91">
        <f t="shared" si="200"/>
        <v>2475</v>
      </c>
      <c r="L563" s="92">
        <v>0</v>
      </c>
      <c r="M563" s="93">
        <v>0</v>
      </c>
      <c r="N563" s="94">
        <f t="shared" si="201"/>
        <v>12</v>
      </c>
      <c r="O563" s="94">
        <f t="shared" si="202"/>
        <v>9010.1</v>
      </c>
      <c r="P563" s="88"/>
      <c r="Q563" s="88">
        <v>0</v>
      </c>
    </row>
    <row r="564" spans="1:19" x14ac:dyDescent="0.2">
      <c r="A564" s="6" t="s">
        <v>105</v>
      </c>
      <c r="B564" s="92" t="s">
        <v>161</v>
      </c>
      <c r="C564" s="92">
        <v>11</v>
      </c>
      <c r="D564" s="95">
        <v>0</v>
      </c>
      <c r="E564" s="95">
        <v>0</v>
      </c>
      <c r="F564" s="90">
        <f t="shared" si="199"/>
        <v>9</v>
      </c>
      <c r="G564" s="90">
        <f t="shared" si="199"/>
        <v>14766.34</v>
      </c>
      <c r="H564" s="91">
        <v>5</v>
      </c>
      <c r="I564" s="91">
        <v>4405</v>
      </c>
      <c r="J564" s="91">
        <f t="shared" si="200"/>
        <v>10</v>
      </c>
      <c r="K564" s="91">
        <f t="shared" si="200"/>
        <v>6880</v>
      </c>
      <c r="L564" s="92">
        <v>1</v>
      </c>
      <c r="M564" s="93">
        <v>1100</v>
      </c>
      <c r="N564" s="94">
        <f t="shared" si="201"/>
        <v>13</v>
      </c>
      <c r="O564" s="94">
        <f t="shared" si="202"/>
        <v>10110.1</v>
      </c>
      <c r="P564" s="88"/>
      <c r="Q564" s="88">
        <v>0</v>
      </c>
    </row>
    <row r="565" spans="1:19" x14ac:dyDescent="0.2">
      <c r="A565" s="6" t="s">
        <v>105</v>
      </c>
      <c r="B565" s="92" t="s">
        <v>162</v>
      </c>
      <c r="C565" s="92">
        <v>12</v>
      </c>
      <c r="D565" s="95">
        <v>0</v>
      </c>
      <c r="E565" s="95">
        <v>0</v>
      </c>
      <c r="F565" s="90">
        <f t="shared" si="199"/>
        <v>9</v>
      </c>
      <c r="G565" s="90">
        <f t="shared" si="199"/>
        <v>14766.34</v>
      </c>
      <c r="H565" s="91">
        <v>0</v>
      </c>
      <c r="I565" s="91">
        <v>0</v>
      </c>
      <c r="J565" s="91">
        <f t="shared" si="200"/>
        <v>10</v>
      </c>
      <c r="K565" s="91">
        <f t="shared" si="200"/>
        <v>6880</v>
      </c>
      <c r="L565" s="92">
        <v>8</v>
      </c>
      <c r="M565" s="93">
        <v>6320</v>
      </c>
      <c r="N565" s="94">
        <f t="shared" si="201"/>
        <v>21</v>
      </c>
      <c r="O565" s="94">
        <f t="shared" si="202"/>
        <v>16430.099999999999</v>
      </c>
      <c r="P565" s="88"/>
      <c r="Q565" s="88">
        <v>0</v>
      </c>
    </row>
    <row r="566" spans="1:19" x14ac:dyDescent="0.2">
      <c r="A566" s="6" t="s">
        <v>98</v>
      </c>
      <c r="B566" s="92" t="s">
        <v>151</v>
      </c>
      <c r="C566" s="92">
        <v>1</v>
      </c>
      <c r="D566" s="95">
        <v>2</v>
      </c>
      <c r="E566" s="90">
        <v>8470.7999999999993</v>
      </c>
      <c r="F566" s="90">
        <f>D566</f>
        <v>2</v>
      </c>
      <c r="G566" s="90">
        <f>E566</f>
        <v>8470.7999999999993</v>
      </c>
      <c r="H566" s="91">
        <v>1</v>
      </c>
      <c r="I566" s="91">
        <v>4950</v>
      </c>
      <c r="J566" s="91">
        <f>H566</f>
        <v>1</v>
      </c>
      <c r="K566" s="91">
        <f>I566</f>
        <v>4950</v>
      </c>
      <c r="L566" s="92">
        <v>5</v>
      </c>
      <c r="M566" s="93">
        <v>37884.69</v>
      </c>
      <c r="N566" s="94">
        <f>L566</f>
        <v>5</v>
      </c>
      <c r="O566" s="94">
        <f>M566</f>
        <v>37884.69</v>
      </c>
      <c r="P566">
        <v>6</v>
      </c>
      <c r="Q566">
        <v>37403.699999999997</v>
      </c>
      <c r="R566">
        <v>6</v>
      </c>
      <c r="S566">
        <v>37403.699999999997</v>
      </c>
    </row>
    <row r="567" spans="1:19" x14ac:dyDescent="0.2">
      <c r="A567" s="6" t="s">
        <v>98</v>
      </c>
      <c r="B567" s="92" t="s">
        <v>152</v>
      </c>
      <c r="C567" s="92">
        <v>2</v>
      </c>
      <c r="D567" s="95">
        <v>5</v>
      </c>
      <c r="E567" s="90">
        <v>22414</v>
      </c>
      <c r="F567" s="90">
        <f t="shared" ref="F567:G577" si="203">F566+D567</f>
        <v>7</v>
      </c>
      <c r="G567" s="90">
        <f t="shared" si="203"/>
        <v>30884.799999999999</v>
      </c>
      <c r="H567" s="91">
        <v>4</v>
      </c>
      <c r="I567" s="91">
        <v>25217</v>
      </c>
      <c r="J567" s="91">
        <f t="shared" ref="J567:K577" si="204">J566+H567</f>
        <v>5</v>
      </c>
      <c r="K567" s="91">
        <f t="shared" si="204"/>
        <v>30167</v>
      </c>
      <c r="L567" s="92">
        <v>2</v>
      </c>
      <c r="M567" s="93">
        <v>8685</v>
      </c>
      <c r="N567" s="94">
        <f t="shared" ref="N567:N577" si="205">N566+L567</f>
        <v>7</v>
      </c>
      <c r="O567" s="94">
        <f t="shared" ref="O567:O577" si="206">O566+M567</f>
        <v>46569.69</v>
      </c>
      <c r="P567">
        <v>3</v>
      </c>
      <c r="Q567">
        <v>23492.28</v>
      </c>
      <c r="R567">
        <v>9</v>
      </c>
      <c r="S567">
        <v>60895.98</v>
      </c>
    </row>
    <row r="568" spans="1:19" x14ac:dyDescent="0.2">
      <c r="A568" s="6" t="s">
        <v>98</v>
      </c>
      <c r="B568" s="92" t="s">
        <v>153</v>
      </c>
      <c r="C568" s="92">
        <v>3</v>
      </c>
      <c r="D568" s="95">
        <v>2</v>
      </c>
      <c r="E568" s="90">
        <v>14896.4</v>
      </c>
      <c r="F568" s="90">
        <f t="shared" si="203"/>
        <v>9</v>
      </c>
      <c r="G568" s="90">
        <f t="shared" si="203"/>
        <v>45781.2</v>
      </c>
      <c r="H568" s="91">
        <v>2</v>
      </c>
      <c r="I568" s="91">
        <v>8650</v>
      </c>
      <c r="J568" s="91">
        <f t="shared" si="204"/>
        <v>7</v>
      </c>
      <c r="K568" s="91">
        <f t="shared" si="204"/>
        <v>38817</v>
      </c>
      <c r="L568" s="92">
        <v>5</v>
      </c>
      <c r="M568" s="93">
        <v>33589.5</v>
      </c>
      <c r="N568" s="94">
        <f t="shared" si="205"/>
        <v>12</v>
      </c>
      <c r="O568" s="94">
        <f t="shared" si="206"/>
        <v>80159.19</v>
      </c>
      <c r="P568">
        <v>3</v>
      </c>
      <c r="Q568">
        <v>20720.93</v>
      </c>
      <c r="R568">
        <v>12</v>
      </c>
      <c r="S568">
        <v>81616.91</v>
      </c>
    </row>
    <row r="569" spans="1:19" x14ac:dyDescent="0.2">
      <c r="A569" s="6" t="s">
        <v>98</v>
      </c>
      <c r="B569" s="92" t="s">
        <v>154</v>
      </c>
      <c r="C569" s="92">
        <v>4</v>
      </c>
      <c r="D569" s="95">
        <v>1</v>
      </c>
      <c r="E569" s="95">
        <v>4900</v>
      </c>
      <c r="F569" s="90">
        <f t="shared" si="203"/>
        <v>10</v>
      </c>
      <c r="G569" s="90">
        <f t="shared" si="203"/>
        <v>50681.2</v>
      </c>
      <c r="H569" s="91">
        <v>5</v>
      </c>
      <c r="I569" s="91">
        <v>29819</v>
      </c>
      <c r="J569" s="91">
        <f t="shared" si="204"/>
        <v>12</v>
      </c>
      <c r="K569" s="91">
        <f t="shared" si="204"/>
        <v>68636</v>
      </c>
      <c r="L569" s="92">
        <v>4</v>
      </c>
      <c r="M569" s="93">
        <v>8873.35</v>
      </c>
      <c r="N569" s="94">
        <f t="shared" si="205"/>
        <v>16</v>
      </c>
      <c r="O569" s="94">
        <f t="shared" si="206"/>
        <v>89032.540000000008</v>
      </c>
      <c r="P569">
        <v>1</v>
      </c>
      <c r="Q569">
        <v>210</v>
      </c>
      <c r="R569">
        <v>13</v>
      </c>
      <c r="S569">
        <v>81826.91</v>
      </c>
    </row>
    <row r="570" spans="1:19" x14ac:dyDescent="0.2">
      <c r="A570" s="6" t="s">
        <v>98</v>
      </c>
      <c r="B570" s="92" t="s">
        <v>155</v>
      </c>
      <c r="C570" s="92">
        <v>5</v>
      </c>
      <c r="D570" s="95">
        <v>5</v>
      </c>
      <c r="E570" s="90">
        <v>25788.739999999998</v>
      </c>
      <c r="F570" s="90">
        <f t="shared" si="203"/>
        <v>15</v>
      </c>
      <c r="G570" s="90">
        <f t="shared" si="203"/>
        <v>76469.94</v>
      </c>
      <c r="H570" s="91">
        <v>6</v>
      </c>
      <c r="I570" s="91">
        <v>70337.78</v>
      </c>
      <c r="J570" s="91">
        <f t="shared" si="204"/>
        <v>18</v>
      </c>
      <c r="K570" s="91">
        <f t="shared" si="204"/>
        <v>138973.78</v>
      </c>
      <c r="L570" s="92">
        <v>11</v>
      </c>
      <c r="M570" s="93">
        <v>49065.79</v>
      </c>
      <c r="N570" s="94">
        <f t="shared" si="205"/>
        <v>27</v>
      </c>
      <c r="O570" s="94">
        <f t="shared" si="206"/>
        <v>138098.33000000002</v>
      </c>
      <c r="P570">
        <v>8</v>
      </c>
      <c r="Q570">
        <v>48429.14</v>
      </c>
      <c r="R570">
        <v>21</v>
      </c>
      <c r="S570">
        <v>130256.05</v>
      </c>
    </row>
    <row r="571" spans="1:19" x14ac:dyDescent="0.2">
      <c r="A571" s="6" t="s">
        <v>98</v>
      </c>
      <c r="B571" s="92" t="s">
        <v>156</v>
      </c>
      <c r="C571" s="92">
        <v>6</v>
      </c>
      <c r="D571" s="95">
        <v>12</v>
      </c>
      <c r="E571" s="90">
        <v>57032.700000000004</v>
      </c>
      <c r="F571" s="90">
        <f t="shared" si="203"/>
        <v>27</v>
      </c>
      <c r="G571" s="90">
        <f t="shared" si="203"/>
        <v>133502.64000000001</v>
      </c>
      <c r="H571" s="91">
        <v>1</v>
      </c>
      <c r="I571" s="91">
        <v>8000</v>
      </c>
      <c r="J571" s="91">
        <f t="shared" si="204"/>
        <v>19</v>
      </c>
      <c r="K571" s="91">
        <f t="shared" si="204"/>
        <v>146973.78</v>
      </c>
      <c r="L571" s="92">
        <v>2</v>
      </c>
      <c r="M571" s="93">
        <v>9350</v>
      </c>
      <c r="N571" s="94">
        <f t="shared" si="205"/>
        <v>29</v>
      </c>
      <c r="O571" s="94">
        <f t="shared" si="206"/>
        <v>147448.33000000002</v>
      </c>
      <c r="P571">
        <v>6</v>
      </c>
      <c r="Q571">
        <v>32150.959999999999</v>
      </c>
      <c r="R571">
        <v>27</v>
      </c>
      <c r="S571">
        <v>162407.01</v>
      </c>
    </row>
    <row r="572" spans="1:19" x14ac:dyDescent="0.2">
      <c r="A572" s="6" t="s">
        <v>98</v>
      </c>
      <c r="B572" s="92" t="s">
        <v>157</v>
      </c>
      <c r="C572" s="92">
        <v>7</v>
      </c>
      <c r="D572" s="90">
        <v>13</v>
      </c>
      <c r="E572" s="90">
        <v>80201</v>
      </c>
      <c r="F572" s="90">
        <f t="shared" si="203"/>
        <v>40</v>
      </c>
      <c r="G572" s="90">
        <f t="shared" si="203"/>
        <v>213703.64</v>
      </c>
      <c r="H572" s="91">
        <v>2</v>
      </c>
      <c r="I572" s="91">
        <v>9688</v>
      </c>
      <c r="J572" s="91">
        <f t="shared" si="204"/>
        <v>21</v>
      </c>
      <c r="K572" s="91">
        <f t="shared" si="204"/>
        <v>156661.78</v>
      </c>
      <c r="L572" s="92">
        <v>4</v>
      </c>
      <c r="M572" s="93">
        <v>22477.26</v>
      </c>
      <c r="N572" s="94">
        <f t="shared" si="205"/>
        <v>33</v>
      </c>
      <c r="O572" s="94">
        <f t="shared" si="206"/>
        <v>169925.59000000003</v>
      </c>
      <c r="P572">
        <v>8</v>
      </c>
      <c r="Q572">
        <v>30316.53</v>
      </c>
      <c r="R572">
        <v>35</v>
      </c>
      <c r="S572">
        <v>192723.54</v>
      </c>
    </row>
    <row r="573" spans="1:19" x14ac:dyDescent="0.2">
      <c r="A573" s="6" t="s">
        <v>98</v>
      </c>
      <c r="B573" s="92" t="s">
        <v>158</v>
      </c>
      <c r="C573" s="92">
        <v>8</v>
      </c>
      <c r="D573" s="95">
        <v>8</v>
      </c>
      <c r="E573" s="90">
        <v>49952.9</v>
      </c>
      <c r="F573" s="90">
        <f t="shared" si="203"/>
        <v>48</v>
      </c>
      <c r="G573" s="90">
        <f t="shared" si="203"/>
        <v>263656.54000000004</v>
      </c>
      <c r="H573" s="91">
        <v>6</v>
      </c>
      <c r="I573" s="91">
        <v>30143</v>
      </c>
      <c r="J573" s="91">
        <f t="shared" si="204"/>
        <v>27</v>
      </c>
      <c r="K573" s="91">
        <f t="shared" si="204"/>
        <v>186804.78</v>
      </c>
      <c r="L573" s="92">
        <v>8</v>
      </c>
      <c r="M573" s="93">
        <v>29737.54</v>
      </c>
      <c r="N573" s="94">
        <f t="shared" si="205"/>
        <v>41</v>
      </c>
      <c r="O573" s="94">
        <f t="shared" si="206"/>
        <v>199663.13000000003</v>
      </c>
      <c r="P573" s="88"/>
      <c r="Q573" s="88">
        <v>0</v>
      </c>
    </row>
    <row r="574" spans="1:19" x14ac:dyDescent="0.2">
      <c r="A574" s="6" t="s">
        <v>98</v>
      </c>
      <c r="B574" s="92" t="s">
        <v>159</v>
      </c>
      <c r="C574" s="92">
        <v>9</v>
      </c>
      <c r="D574" s="95">
        <v>6</v>
      </c>
      <c r="E574" s="90">
        <v>44800</v>
      </c>
      <c r="F574" s="90">
        <f t="shared" si="203"/>
        <v>54</v>
      </c>
      <c r="G574" s="90">
        <f t="shared" si="203"/>
        <v>308456.54000000004</v>
      </c>
      <c r="H574" s="91">
        <v>6</v>
      </c>
      <c r="I574" s="91">
        <v>52024.95</v>
      </c>
      <c r="J574" s="91">
        <f t="shared" si="204"/>
        <v>33</v>
      </c>
      <c r="K574" s="91">
        <f t="shared" si="204"/>
        <v>238829.72999999998</v>
      </c>
      <c r="L574" s="92">
        <v>3</v>
      </c>
      <c r="M574" s="93">
        <v>16614.07</v>
      </c>
      <c r="N574" s="94">
        <f t="shared" si="205"/>
        <v>44</v>
      </c>
      <c r="O574" s="94">
        <f t="shared" si="206"/>
        <v>216277.20000000004</v>
      </c>
      <c r="P574" s="88"/>
      <c r="Q574" s="88">
        <v>0</v>
      </c>
    </row>
    <row r="575" spans="1:19" x14ac:dyDescent="0.2">
      <c r="A575" s="6" t="s">
        <v>98</v>
      </c>
      <c r="B575" s="92" t="s">
        <v>160</v>
      </c>
      <c r="C575" s="92">
        <v>10</v>
      </c>
      <c r="D575" s="95">
        <v>4</v>
      </c>
      <c r="E575" s="90">
        <v>34166.58</v>
      </c>
      <c r="F575" s="90">
        <f t="shared" si="203"/>
        <v>58</v>
      </c>
      <c r="G575" s="90">
        <f t="shared" si="203"/>
        <v>342623.12000000005</v>
      </c>
      <c r="H575" s="91">
        <v>4</v>
      </c>
      <c r="I575" s="91">
        <v>23002.780000000002</v>
      </c>
      <c r="J575" s="91">
        <f t="shared" si="204"/>
        <v>37</v>
      </c>
      <c r="K575" s="91">
        <f t="shared" si="204"/>
        <v>261832.50999999998</v>
      </c>
      <c r="L575" s="92">
        <v>8</v>
      </c>
      <c r="M575" s="93">
        <v>30986.5</v>
      </c>
      <c r="N575" s="94">
        <f t="shared" si="205"/>
        <v>52</v>
      </c>
      <c r="O575" s="94">
        <f t="shared" si="206"/>
        <v>247263.70000000004</v>
      </c>
      <c r="P575" s="88"/>
      <c r="Q575" s="88">
        <v>0</v>
      </c>
    </row>
    <row r="576" spans="1:19" x14ac:dyDescent="0.2">
      <c r="A576" s="6" t="s">
        <v>98</v>
      </c>
      <c r="B576" s="92" t="s">
        <v>161</v>
      </c>
      <c r="C576" s="92">
        <v>11</v>
      </c>
      <c r="D576" s="95">
        <v>5</v>
      </c>
      <c r="E576" s="90">
        <v>21037</v>
      </c>
      <c r="F576" s="90">
        <f t="shared" si="203"/>
        <v>63</v>
      </c>
      <c r="G576" s="90">
        <f t="shared" si="203"/>
        <v>363660.12000000005</v>
      </c>
      <c r="H576" s="91">
        <v>6</v>
      </c>
      <c r="I576" s="91">
        <v>12597.5</v>
      </c>
      <c r="J576" s="91">
        <f t="shared" si="204"/>
        <v>43</v>
      </c>
      <c r="K576" s="91">
        <f t="shared" si="204"/>
        <v>274430.01</v>
      </c>
      <c r="L576" s="92">
        <v>2</v>
      </c>
      <c r="M576" s="93">
        <v>4000</v>
      </c>
      <c r="N576" s="94">
        <f t="shared" si="205"/>
        <v>54</v>
      </c>
      <c r="O576" s="94">
        <f t="shared" si="206"/>
        <v>251263.70000000004</v>
      </c>
      <c r="P576" s="88"/>
      <c r="Q576" s="88">
        <v>0</v>
      </c>
    </row>
    <row r="577" spans="1:19" x14ac:dyDescent="0.2">
      <c r="A577" s="6" t="s">
        <v>98</v>
      </c>
      <c r="B577" s="92" t="s">
        <v>162</v>
      </c>
      <c r="C577" s="92">
        <v>12</v>
      </c>
      <c r="D577" s="95">
        <v>4</v>
      </c>
      <c r="E577" s="90">
        <v>20842</v>
      </c>
      <c r="F577" s="90">
        <f t="shared" si="203"/>
        <v>67</v>
      </c>
      <c r="G577" s="90">
        <f t="shared" si="203"/>
        <v>384502.12000000005</v>
      </c>
      <c r="H577" s="91">
        <v>4</v>
      </c>
      <c r="I577" s="91">
        <v>30244.29</v>
      </c>
      <c r="J577" s="91">
        <f t="shared" si="204"/>
        <v>47</v>
      </c>
      <c r="K577" s="91">
        <f t="shared" si="204"/>
        <v>304674.3</v>
      </c>
      <c r="L577" s="92">
        <v>1</v>
      </c>
      <c r="M577" s="93">
        <v>7602.84</v>
      </c>
      <c r="N577" s="94">
        <f t="shared" si="205"/>
        <v>55</v>
      </c>
      <c r="O577" s="94">
        <f t="shared" si="206"/>
        <v>258866.54000000004</v>
      </c>
      <c r="P577" s="88"/>
      <c r="Q577" s="88">
        <v>0</v>
      </c>
    </row>
    <row r="578" spans="1:19" x14ac:dyDescent="0.2">
      <c r="A578" s="6" t="s">
        <v>109</v>
      </c>
      <c r="B578" s="92" t="s">
        <v>151</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v>0</v>
      </c>
      <c r="Q578" s="88">
        <v>0</v>
      </c>
      <c r="R578">
        <v>0</v>
      </c>
      <c r="S578" s="87">
        <v>0</v>
      </c>
    </row>
    <row r="579" spans="1:19" x14ac:dyDescent="0.2">
      <c r="A579" s="6" t="s">
        <v>109</v>
      </c>
      <c r="B579" s="92" t="s">
        <v>152</v>
      </c>
      <c r="C579" s="92">
        <v>2</v>
      </c>
      <c r="D579" s="95">
        <v>0</v>
      </c>
      <c r="E579" s="95">
        <v>0</v>
      </c>
      <c r="F579" s="90">
        <f t="shared" ref="F579:G589" si="207">F578+D579</f>
        <v>0</v>
      </c>
      <c r="G579" s="90">
        <f t="shared" si="207"/>
        <v>0</v>
      </c>
      <c r="H579" s="91">
        <v>3</v>
      </c>
      <c r="I579" s="91">
        <v>1000</v>
      </c>
      <c r="J579" s="91">
        <f t="shared" ref="J579:K589" si="208">J578+H579</f>
        <v>3</v>
      </c>
      <c r="K579" s="91">
        <f t="shared" si="208"/>
        <v>1000</v>
      </c>
      <c r="L579" s="92">
        <v>0</v>
      </c>
      <c r="M579" s="93">
        <v>0</v>
      </c>
      <c r="N579" s="94">
        <f t="shared" ref="N579:N589" si="209">N578+L579</f>
        <v>0</v>
      </c>
      <c r="O579" s="94">
        <f t="shared" ref="O579:O589" si="210">O578+M579</f>
        <v>0</v>
      </c>
      <c r="P579">
        <v>0</v>
      </c>
      <c r="Q579" s="88">
        <v>0</v>
      </c>
      <c r="R579">
        <v>0</v>
      </c>
      <c r="S579" s="87">
        <v>0</v>
      </c>
    </row>
    <row r="580" spans="1:19" x14ac:dyDescent="0.2">
      <c r="A580" s="6" t="s">
        <v>109</v>
      </c>
      <c r="B580" s="92" t="s">
        <v>153</v>
      </c>
      <c r="C580" s="92">
        <v>3</v>
      </c>
      <c r="D580" s="95">
        <v>0</v>
      </c>
      <c r="E580" s="95">
        <v>0</v>
      </c>
      <c r="F580" s="90">
        <f t="shared" si="207"/>
        <v>0</v>
      </c>
      <c r="G580" s="90">
        <f t="shared" si="207"/>
        <v>0</v>
      </c>
      <c r="H580" s="91">
        <v>0</v>
      </c>
      <c r="I580" s="91">
        <v>0</v>
      </c>
      <c r="J580" s="91">
        <f t="shared" si="208"/>
        <v>3</v>
      </c>
      <c r="K580" s="91">
        <f t="shared" si="208"/>
        <v>1000</v>
      </c>
      <c r="L580" s="92">
        <v>1</v>
      </c>
      <c r="M580" s="93">
        <v>320.10000000000002</v>
      </c>
      <c r="N580" s="94">
        <f t="shared" si="209"/>
        <v>1</v>
      </c>
      <c r="O580" s="94">
        <f t="shared" si="210"/>
        <v>320.10000000000002</v>
      </c>
      <c r="P580">
        <v>0</v>
      </c>
      <c r="Q580" s="88">
        <v>0</v>
      </c>
      <c r="R580">
        <v>0</v>
      </c>
      <c r="S580" s="87">
        <v>0</v>
      </c>
    </row>
    <row r="581" spans="1:19" x14ac:dyDescent="0.2">
      <c r="A581" s="6" t="s">
        <v>109</v>
      </c>
      <c r="B581" s="92" t="s">
        <v>154</v>
      </c>
      <c r="C581" s="92">
        <v>4</v>
      </c>
      <c r="D581" s="95">
        <v>0</v>
      </c>
      <c r="E581" s="95">
        <v>0</v>
      </c>
      <c r="F581" s="90">
        <f t="shared" si="207"/>
        <v>0</v>
      </c>
      <c r="G581" s="90">
        <f t="shared" si="207"/>
        <v>0</v>
      </c>
      <c r="H581" s="91">
        <v>0</v>
      </c>
      <c r="I581" s="91">
        <v>0</v>
      </c>
      <c r="J581" s="91">
        <f t="shared" si="208"/>
        <v>3</v>
      </c>
      <c r="K581" s="91">
        <f t="shared" si="208"/>
        <v>1000</v>
      </c>
      <c r="L581" s="92">
        <v>2</v>
      </c>
      <c r="M581" s="93">
        <v>2294.8000000000002</v>
      </c>
      <c r="N581" s="94">
        <f t="shared" si="209"/>
        <v>3</v>
      </c>
      <c r="O581" s="94">
        <f t="shared" si="210"/>
        <v>2614.9</v>
      </c>
      <c r="P581">
        <v>0</v>
      </c>
      <c r="Q581" s="88">
        <v>0</v>
      </c>
      <c r="R581">
        <v>0</v>
      </c>
      <c r="S581" s="87">
        <v>0</v>
      </c>
    </row>
    <row r="582" spans="1:19" x14ac:dyDescent="0.2">
      <c r="A582" s="6" t="s">
        <v>109</v>
      </c>
      <c r="B582" s="92" t="s">
        <v>155</v>
      </c>
      <c r="C582" s="92">
        <v>5</v>
      </c>
      <c r="D582" s="95">
        <v>0</v>
      </c>
      <c r="E582" s="95">
        <v>0</v>
      </c>
      <c r="F582" s="90">
        <f t="shared" si="207"/>
        <v>0</v>
      </c>
      <c r="G582" s="90">
        <f t="shared" si="207"/>
        <v>0</v>
      </c>
      <c r="H582" s="91">
        <v>0</v>
      </c>
      <c r="I582" s="91">
        <v>0</v>
      </c>
      <c r="J582" s="91">
        <f t="shared" si="208"/>
        <v>3</v>
      </c>
      <c r="K582" s="91">
        <f t="shared" si="208"/>
        <v>1000</v>
      </c>
      <c r="L582" s="92">
        <v>1</v>
      </c>
      <c r="M582" s="93">
        <v>2400</v>
      </c>
      <c r="N582" s="94">
        <f t="shared" si="209"/>
        <v>4</v>
      </c>
      <c r="O582" s="94">
        <f t="shared" si="210"/>
        <v>5014.8999999999996</v>
      </c>
      <c r="P582">
        <v>0</v>
      </c>
      <c r="Q582" s="88">
        <v>0</v>
      </c>
      <c r="R582">
        <v>0</v>
      </c>
      <c r="S582" s="87">
        <v>0</v>
      </c>
    </row>
    <row r="583" spans="1:19" x14ac:dyDescent="0.2">
      <c r="A583" s="6" t="s">
        <v>109</v>
      </c>
      <c r="B583" s="92" t="s">
        <v>156</v>
      </c>
      <c r="C583" s="92">
        <v>6</v>
      </c>
      <c r="D583" s="95">
        <v>0</v>
      </c>
      <c r="E583" s="95">
        <v>0</v>
      </c>
      <c r="F583" s="90">
        <f t="shared" si="207"/>
        <v>0</v>
      </c>
      <c r="G583" s="90">
        <f t="shared" si="207"/>
        <v>0</v>
      </c>
      <c r="H583" s="91">
        <v>2</v>
      </c>
      <c r="I583" s="91">
        <v>1175</v>
      </c>
      <c r="J583" s="91">
        <f t="shared" si="208"/>
        <v>5</v>
      </c>
      <c r="K583" s="91">
        <f t="shared" si="208"/>
        <v>2175</v>
      </c>
      <c r="L583" s="92">
        <v>1</v>
      </c>
      <c r="M583" s="93">
        <v>550</v>
      </c>
      <c r="N583" s="94">
        <f t="shared" si="209"/>
        <v>5</v>
      </c>
      <c r="O583" s="94">
        <f t="shared" si="210"/>
        <v>5564.9</v>
      </c>
      <c r="P583">
        <v>0</v>
      </c>
      <c r="Q583" s="88">
        <v>0</v>
      </c>
      <c r="R583">
        <v>0</v>
      </c>
      <c r="S583" s="87">
        <v>0</v>
      </c>
    </row>
    <row r="584" spans="1:19" x14ac:dyDescent="0.2">
      <c r="A584" s="6" t="s">
        <v>109</v>
      </c>
      <c r="B584" s="92" t="s">
        <v>157</v>
      </c>
      <c r="C584" s="92">
        <v>7</v>
      </c>
      <c r="D584" s="95">
        <v>0</v>
      </c>
      <c r="E584" s="95">
        <v>0</v>
      </c>
      <c r="F584" s="90">
        <f t="shared" si="207"/>
        <v>0</v>
      </c>
      <c r="G584" s="90">
        <f t="shared" si="207"/>
        <v>0</v>
      </c>
      <c r="H584" s="91">
        <v>1</v>
      </c>
      <c r="I584" s="91">
        <v>1150</v>
      </c>
      <c r="J584" s="91">
        <f t="shared" si="208"/>
        <v>6</v>
      </c>
      <c r="K584" s="91">
        <f t="shared" si="208"/>
        <v>3325</v>
      </c>
      <c r="L584" s="92">
        <v>0</v>
      </c>
      <c r="M584" s="93">
        <v>0</v>
      </c>
      <c r="N584" s="94">
        <f t="shared" si="209"/>
        <v>5</v>
      </c>
      <c r="O584" s="94">
        <f t="shared" si="210"/>
        <v>5564.9</v>
      </c>
      <c r="P584">
        <v>0</v>
      </c>
      <c r="Q584" s="88">
        <v>0</v>
      </c>
      <c r="R584">
        <v>0</v>
      </c>
      <c r="S584" s="87">
        <v>0</v>
      </c>
    </row>
    <row r="585" spans="1:19" x14ac:dyDescent="0.2">
      <c r="A585" s="6" t="s">
        <v>109</v>
      </c>
      <c r="B585" s="92" t="s">
        <v>158</v>
      </c>
      <c r="C585" s="92">
        <v>8</v>
      </c>
      <c r="D585" s="95">
        <v>0</v>
      </c>
      <c r="E585" s="95">
        <v>0</v>
      </c>
      <c r="F585" s="90">
        <f t="shared" si="207"/>
        <v>0</v>
      </c>
      <c r="G585" s="90">
        <f t="shared" si="207"/>
        <v>0</v>
      </c>
      <c r="H585" s="91">
        <v>2</v>
      </c>
      <c r="I585" s="91">
        <v>1411.25</v>
      </c>
      <c r="J585" s="91">
        <f t="shared" si="208"/>
        <v>8</v>
      </c>
      <c r="K585" s="91">
        <f t="shared" si="208"/>
        <v>4736.25</v>
      </c>
      <c r="L585" s="92">
        <v>2</v>
      </c>
      <c r="M585" s="93">
        <v>425</v>
      </c>
      <c r="N585" s="94">
        <f t="shared" si="209"/>
        <v>7</v>
      </c>
      <c r="O585" s="94">
        <f t="shared" si="210"/>
        <v>5989.9</v>
      </c>
      <c r="P585" s="88"/>
      <c r="Q585" s="88">
        <v>0</v>
      </c>
    </row>
    <row r="586" spans="1:19" x14ac:dyDescent="0.2">
      <c r="A586" s="6" t="s">
        <v>109</v>
      </c>
      <c r="B586" s="92" t="s">
        <v>159</v>
      </c>
      <c r="C586" s="92">
        <v>9</v>
      </c>
      <c r="D586" s="95">
        <v>0</v>
      </c>
      <c r="E586" s="95">
        <v>0</v>
      </c>
      <c r="F586" s="90">
        <f t="shared" si="207"/>
        <v>0</v>
      </c>
      <c r="G586" s="90">
        <f t="shared" si="207"/>
        <v>0</v>
      </c>
      <c r="H586" s="91">
        <v>0</v>
      </c>
      <c r="I586" s="91">
        <v>0</v>
      </c>
      <c r="J586" s="91">
        <f t="shared" si="208"/>
        <v>8</v>
      </c>
      <c r="K586" s="91">
        <f t="shared" si="208"/>
        <v>4736.25</v>
      </c>
      <c r="L586" s="92">
        <v>0</v>
      </c>
      <c r="M586" s="93">
        <v>0</v>
      </c>
      <c r="N586" s="94">
        <f t="shared" si="209"/>
        <v>7</v>
      </c>
      <c r="O586" s="94">
        <f t="shared" si="210"/>
        <v>5989.9</v>
      </c>
      <c r="P586" s="88"/>
      <c r="Q586" s="88">
        <v>0</v>
      </c>
    </row>
    <row r="587" spans="1:19" x14ac:dyDescent="0.2">
      <c r="A587" s="6" t="s">
        <v>109</v>
      </c>
      <c r="B587" s="92" t="s">
        <v>160</v>
      </c>
      <c r="C587" s="92">
        <v>10</v>
      </c>
      <c r="D587" s="95">
        <v>0</v>
      </c>
      <c r="E587" s="95">
        <v>0</v>
      </c>
      <c r="F587" s="90">
        <f t="shared" si="207"/>
        <v>0</v>
      </c>
      <c r="G587" s="90">
        <f t="shared" si="207"/>
        <v>0</v>
      </c>
      <c r="H587" s="91">
        <v>2</v>
      </c>
      <c r="I587" s="91">
        <v>580</v>
      </c>
      <c r="J587" s="91">
        <f t="shared" si="208"/>
        <v>10</v>
      </c>
      <c r="K587" s="91">
        <f t="shared" si="208"/>
        <v>5316.25</v>
      </c>
      <c r="L587" s="92">
        <v>2</v>
      </c>
      <c r="M587" s="93">
        <v>340</v>
      </c>
      <c r="N587" s="94">
        <f t="shared" si="209"/>
        <v>9</v>
      </c>
      <c r="O587" s="94">
        <f t="shared" si="210"/>
        <v>6329.9</v>
      </c>
      <c r="P587" s="88"/>
      <c r="Q587" s="88">
        <v>0</v>
      </c>
    </row>
    <row r="588" spans="1:19" x14ac:dyDescent="0.2">
      <c r="A588" s="6" t="s">
        <v>109</v>
      </c>
      <c r="B588" s="92" t="s">
        <v>161</v>
      </c>
      <c r="C588" s="92">
        <v>11</v>
      </c>
      <c r="D588" s="95">
        <v>0</v>
      </c>
      <c r="E588" s="95">
        <v>0</v>
      </c>
      <c r="F588" s="90">
        <f t="shared" si="207"/>
        <v>0</v>
      </c>
      <c r="G588" s="90">
        <f t="shared" si="207"/>
        <v>0</v>
      </c>
      <c r="H588" s="91">
        <v>0</v>
      </c>
      <c r="I588" s="91">
        <v>0</v>
      </c>
      <c r="J588" s="91">
        <f t="shared" si="208"/>
        <v>10</v>
      </c>
      <c r="K588" s="91">
        <f t="shared" si="208"/>
        <v>5316.25</v>
      </c>
      <c r="L588" s="92">
        <v>1</v>
      </c>
      <c r="M588" s="93">
        <v>2400</v>
      </c>
      <c r="N588" s="94">
        <f t="shared" si="209"/>
        <v>10</v>
      </c>
      <c r="O588" s="94">
        <f t="shared" si="210"/>
        <v>8729.9</v>
      </c>
      <c r="P588" s="88"/>
      <c r="Q588" s="88">
        <v>0</v>
      </c>
    </row>
    <row r="589" spans="1:19" x14ac:dyDescent="0.2">
      <c r="A589" s="6" t="s">
        <v>109</v>
      </c>
      <c r="B589" s="92" t="s">
        <v>162</v>
      </c>
      <c r="C589" s="92">
        <v>12</v>
      </c>
      <c r="D589" s="95">
        <v>0</v>
      </c>
      <c r="E589" s="95">
        <v>0</v>
      </c>
      <c r="F589" s="90">
        <f t="shared" si="207"/>
        <v>0</v>
      </c>
      <c r="G589" s="90">
        <f t="shared" si="207"/>
        <v>0</v>
      </c>
      <c r="H589" s="91">
        <v>0</v>
      </c>
      <c r="I589" s="91">
        <v>0</v>
      </c>
      <c r="J589" s="91">
        <f t="shared" si="208"/>
        <v>10</v>
      </c>
      <c r="K589" s="91">
        <f t="shared" si="208"/>
        <v>5316.25</v>
      </c>
      <c r="L589" s="92">
        <v>0</v>
      </c>
      <c r="M589" s="93">
        <v>0</v>
      </c>
      <c r="N589" s="94">
        <f t="shared" si="209"/>
        <v>10</v>
      </c>
      <c r="O589" s="94">
        <f t="shared" si="210"/>
        <v>8729.9</v>
      </c>
      <c r="P589" s="88"/>
      <c r="Q589" s="88">
        <v>0</v>
      </c>
    </row>
    <row r="590" spans="1:19" x14ac:dyDescent="0.2">
      <c r="A590" t="s">
        <v>111</v>
      </c>
      <c r="B590" s="92"/>
      <c r="C590" s="92"/>
      <c r="D590" s="95"/>
      <c r="E590" s="95"/>
      <c r="F590" s="90"/>
      <c r="G590" s="90"/>
      <c r="H590" s="91"/>
      <c r="I590" s="91"/>
      <c r="J590" s="91"/>
      <c r="K590" s="91"/>
      <c r="L590" s="92"/>
      <c r="M590" s="93"/>
      <c r="N590" s="94"/>
      <c r="O590" s="94"/>
      <c r="P590">
        <v>0</v>
      </c>
      <c r="Q590">
        <v>0</v>
      </c>
      <c r="R590">
        <v>0</v>
      </c>
      <c r="S590">
        <v>0</v>
      </c>
    </row>
    <row r="591" spans="1:19" x14ac:dyDescent="0.2">
      <c r="A591" t="s">
        <v>111</v>
      </c>
      <c r="B591" s="92"/>
      <c r="C591" s="92"/>
      <c r="D591" s="95"/>
      <c r="E591" s="95"/>
      <c r="F591" s="90"/>
      <c r="G591" s="90"/>
      <c r="H591" s="91"/>
      <c r="I591" s="91"/>
      <c r="J591" s="91"/>
      <c r="K591" s="91"/>
      <c r="L591" s="92"/>
      <c r="M591" s="93"/>
      <c r="N591" s="94"/>
      <c r="O591" s="94"/>
      <c r="P591">
        <v>0</v>
      </c>
      <c r="Q591">
        <v>0</v>
      </c>
      <c r="R591">
        <v>0</v>
      </c>
      <c r="S591">
        <v>0</v>
      </c>
    </row>
    <row r="592" spans="1:19" x14ac:dyDescent="0.2">
      <c r="A592" t="s">
        <v>111</v>
      </c>
      <c r="B592" s="92"/>
      <c r="C592" s="92"/>
      <c r="D592" s="95"/>
      <c r="E592" s="95"/>
      <c r="F592" s="90"/>
      <c r="G592" s="90"/>
      <c r="H592" s="91"/>
      <c r="I592" s="91"/>
      <c r="J592" s="91"/>
      <c r="K592" s="91"/>
      <c r="L592" s="92"/>
      <c r="M592" s="93"/>
      <c r="N592" s="94"/>
      <c r="O592" s="94"/>
      <c r="P592">
        <v>0</v>
      </c>
      <c r="Q592">
        <v>0</v>
      </c>
      <c r="R592">
        <v>1</v>
      </c>
      <c r="S592">
        <v>1200</v>
      </c>
    </row>
    <row r="593" spans="1:19" x14ac:dyDescent="0.2">
      <c r="A593" t="s">
        <v>111</v>
      </c>
      <c r="B593" s="92"/>
      <c r="C593" s="92"/>
      <c r="D593" s="95"/>
      <c r="E593" s="95"/>
      <c r="F593" s="90"/>
      <c r="G593" s="90"/>
      <c r="H593" s="91"/>
      <c r="I593" s="91"/>
      <c r="J593" s="91"/>
      <c r="K593" s="91"/>
      <c r="L593" s="92"/>
      <c r="M593" s="93"/>
      <c r="N593" s="94"/>
      <c r="O593" s="94"/>
      <c r="P593">
        <v>0</v>
      </c>
      <c r="Q593">
        <v>0</v>
      </c>
      <c r="R593">
        <v>1</v>
      </c>
      <c r="S593">
        <v>1200</v>
      </c>
    </row>
    <row r="594" spans="1:19" x14ac:dyDescent="0.2">
      <c r="A594" t="s">
        <v>111</v>
      </c>
      <c r="B594" s="92"/>
      <c r="C594" s="92"/>
      <c r="D594" s="95"/>
      <c r="E594" s="95"/>
      <c r="F594" s="90"/>
      <c r="G594" s="90"/>
      <c r="H594" s="91"/>
      <c r="I594" s="91"/>
      <c r="J594" s="91"/>
      <c r="K594" s="91"/>
      <c r="L594" s="92"/>
      <c r="M594" s="93"/>
      <c r="N594" s="94"/>
      <c r="O594" s="94"/>
      <c r="P594">
        <v>2</v>
      </c>
      <c r="Q594">
        <v>3045</v>
      </c>
      <c r="R594">
        <v>3</v>
      </c>
      <c r="S594">
        <v>4245</v>
      </c>
    </row>
    <row r="595" spans="1:19" x14ac:dyDescent="0.2">
      <c r="A595" t="s">
        <v>111</v>
      </c>
      <c r="B595" s="92"/>
      <c r="C595" s="92"/>
      <c r="D595" s="95"/>
      <c r="E595" s="95"/>
      <c r="F595" s="90"/>
      <c r="G595" s="90"/>
      <c r="H595" s="91"/>
      <c r="I595" s="91"/>
      <c r="J595" s="91"/>
      <c r="K595" s="91"/>
      <c r="L595" s="92"/>
      <c r="M595" s="93"/>
      <c r="N595" s="94"/>
      <c r="O595" s="94"/>
      <c r="P595">
        <v>1</v>
      </c>
      <c r="Q595">
        <v>2174.89</v>
      </c>
      <c r="R595">
        <v>4</v>
      </c>
      <c r="S595">
        <v>6419.89</v>
      </c>
    </row>
    <row r="596" spans="1:19" x14ac:dyDescent="0.2">
      <c r="A596" t="s">
        <v>111</v>
      </c>
      <c r="B596" s="92"/>
      <c r="C596" s="92"/>
      <c r="D596" s="95"/>
      <c r="E596" s="95"/>
      <c r="F596" s="90"/>
      <c r="G596" s="90"/>
      <c r="H596" s="91"/>
      <c r="I596" s="91"/>
      <c r="J596" s="91"/>
      <c r="K596" s="91"/>
      <c r="L596" s="92"/>
      <c r="M596" s="93"/>
      <c r="N596" s="94"/>
      <c r="O596" s="94"/>
      <c r="P596">
        <v>1</v>
      </c>
      <c r="Q596">
        <v>1</v>
      </c>
      <c r="R596">
        <v>5</v>
      </c>
      <c r="S596">
        <v>6420.89</v>
      </c>
    </row>
    <row r="597" spans="1:19" x14ac:dyDescent="0.2">
      <c r="A597" t="s">
        <v>111</v>
      </c>
      <c r="B597" s="92"/>
      <c r="C597" s="92"/>
      <c r="D597" s="95"/>
      <c r="E597" s="95"/>
      <c r="F597" s="90"/>
      <c r="G597" s="90"/>
      <c r="H597" s="91"/>
      <c r="I597" s="91"/>
      <c r="J597" s="91"/>
      <c r="K597" s="91"/>
      <c r="L597" s="92"/>
      <c r="M597" s="93"/>
      <c r="N597" s="94"/>
      <c r="O597" s="94"/>
      <c r="P597" s="88"/>
      <c r="Q597" s="88"/>
    </row>
    <row r="598" spans="1:19" x14ac:dyDescent="0.2">
      <c r="A598" t="s">
        <v>111</v>
      </c>
      <c r="B598" s="92"/>
      <c r="C598" s="92"/>
      <c r="D598" s="95"/>
      <c r="E598" s="95"/>
      <c r="F598" s="90"/>
      <c r="G598" s="90"/>
      <c r="H598" s="91"/>
      <c r="I598" s="91"/>
      <c r="J598" s="91"/>
      <c r="K598" s="91"/>
      <c r="L598" s="92"/>
      <c r="M598" s="93"/>
      <c r="N598" s="94"/>
      <c r="O598" s="94"/>
      <c r="P598" s="88"/>
      <c r="Q598" s="88"/>
    </row>
    <row r="599" spans="1:19" x14ac:dyDescent="0.2">
      <c r="A599" t="s">
        <v>111</v>
      </c>
      <c r="B599" s="92"/>
      <c r="C599" s="92"/>
      <c r="D599" s="95"/>
      <c r="E599" s="95"/>
      <c r="F599" s="90"/>
      <c r="G599" s="90"/>
      <c r="H599" s="91"/>
      <c r="I599" s="91"/>
      <c r="J599" s="91"/>
      <c r="K599" s="91"/>
      <c r="L599" s="92"/>
      <c r="M599" s="93"/>
      <c r="N599" s="94"/>
      <c r="O599" s="94"/>
      <c r="P599" s="88"/>
      <c r="Q599" s="88"/>
    </row>
    <row r="600" spans="1:19" x14ac:dyDescent="0.2">
      <c r="A600" t="s">
        <v>111</v>
      </c>
      <c r="B600" s="92"/>
      <c r="C600" s="92"/>
      <c r="D600" s="95"/>
      <c r="E600" s="95"/>
      <c r="F600" s="90"/>
      <c r="G600" s="90"/>
      <c r="H600" s="91"/>
      <c r="I600" s="91"/>
      <c r="J600" s="91"/>
      <c r="K600" s="91"/>
      <c r="L600" s="92"/>
      <c r="M600" s="93"/>
      <c r="N600" s="94"/>
      <c r="O600" s="94"/>
      <c r="P600" s="88"/>
      <c r="Q600" s="88"/>
    </row>
    <row r="601" spans="1:19" x14ac:dyDescent="0.2">
      <c r="A601" t="s">
        <v>111</v>
      </c>
      <c r="B601" s="92"/>
      <c r="C601" s="92"/>
      <c r="D601" s="95"/>
      <c r="E601" s="95"/>
      <c r="F601" s="90"/>
      <c r="G601" s="90"/>
      <c r="H601" s="91"/>
      <c r="I601" s="91"/>
      <c r="J601" s="91"/>
      <c r="K601" s="91"/>
      <c r="L601" s="92"/>
      <c r="M601" s="93"/>
      <c r="N601" s="94"/>
      <c r="O601" s="94"/>
      <c r="P601" s="88"/>
      <c r="Q601" s="88"/>
    </row>
    <row r="602" spans="1:19" x14ac:dyDescent="0.2">
      <c r="A602" s="6" t="s">
        <v>96</v>
      </c>
      <c r="B602" s="92" t="s">
        <v>151</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v>0</v>
      </c>
      <c r="Q602" s="88">
        <v>0</v>
      </c>
      <c r="R602">
        <v>0</v>
      </c>
      <c r="S602" s="87">
        <v>0</v>
      </c>
    </row>
    <row r="603" spans="1:19" x14ac:dyDescent="0.2">
      <c r="A603" s="6" t="s">
        <v>96</v>
      </c>
      <c r="B603" s="92" t="s">
        <v>152</v>
      </c>
      <c r="C603" s="92">
        <v>2</v>
      </c>
      <c r="D603" s="95">
        <v>0</v>
      </c>
      <c r="E603" s="95">
        <v>0</v>
      </c>
      <c r="F603" s="90">
        <f t="shared" ref="F603:G613" si="211">F602+D603</f>
        <v>0</v>
      </c>
      <c r="G603" s="90">
        <f t="shared" si="211"/>
        <v>0</v>
      </c>
      <c r="H603" s="91">
        <v>0</v>
      </c>
      <c r="I603" s="91">
        <v>0</v>
      </c>
      <c r="J603" s="91">
        <f t="shared" ref="J603:K613" si="212">J602+H603</f>
        <v>0</v>
      </c>
      <c r="K603" s="91">
        <f t="shared" si="212"/>
        <v>0</v>
      </c>
      <c r="L603" s="92">
        <v>1</v>
      </c>
      <c r="M603" s="93">
        <v>651.78</v>
      </c>
      <c r="N603" s="94">
        <f t="shared" ref="N603:N613" si="213">N602+L603</f>
        <v>1</v>
      </c>
      <c r="O603" s="94">
        <f t="shared" ref="O603:O613" si="214">O602+M603</f>
        <v>651.78</v>
      </c>
      <c r="P603">
        <v>0</v>
      </c>
      <c r="Q603" s="88">
        <v>0</v>
      </c>
      <c r="R603">
        <v>0</v>
      </c>
      <c r="S603" s="87">
        <v>0</v>
      </c>
    </row>
    <row r="604" spans="1:19" x14ac:dyDescent="0.2">
      <c r="A604" s="6" t="s">
        <v>96</v>
      </c>
      <c r="B604" s="92" t="s">
        <v>153</v>
      </c>
      <c r="C604" s="92">
        <v>3</v>
      </c>
      <c r="D604" s="95">
        <v>0</v>
      </c>
      <c r="E604" s="95">
        <v>0</v>
      </c>
      <c r="F604" s="90">
        <f t="shared" si="211"/>
        <v>0</v>
      </c>
      <c r="G604" s="90">
        <f t="shared" si="211"/>
        <v>0</v>
      </c>
      <c r="H604" s="91">
        <v>0</v>
      </c>
      <c r="I604" s="91">
        <v>0</v>
      </c>
      <c r="J604" s="91">
        <f t="shared" si="212"/>
        <v>0</v>
      </c>
      <c r="K604" s="91">
        <f t="shared" si="212"/>
        <v>0</v>
      </c>
      <c r="L604" s="92">
        <v>1</v>
      </c>
      <c r="M604" s="93">
        <v>1004</v>
      </c>
      <c r="N604" s="94">
        <f t="shared" si="213"/>
        <v>2</v>
      </c>
      <c r="O604" s="94">
        <f t="shared" si="214"/>
        <v>1655.78</v>
      </c>
      <c r="P604">
        <v>0</v>
      </c>
      <c r="Q604" s="88">
        <v>0</v>
      </c>
      <c r="R604">
        <v>0</v>
      </c>
      <c r="S604" s="87">
        <v>0</v>
      </c>
    </row>
    <row r="605" spans="1:19" x14ac:dyDescent="0.2">
      <c r="A605" s="6" t="s">
        <v>96</v>
      </c>
      <c r="B605" s="92" t="s">
        <v>154</v>
      </c>
      <c r="C605" s="92">
        <v>4</v>
      </c>
      <c r="D605" s="95">
        <v>0</v>
      </c>
      <c r="E605" s="95">
        <v>0</v>
      </c>
      <c r="F605" s="90">
        <f t="shared" si="211"/>
        <v>0</v>
      </c>
      <c r="G605" s="90">
        <f t="shared" si="211"/>
        <v>0</v>
      </c>
      <c r="H605" s="91">
        <v>1</v>
      </c>
      <c r="I605" s="91">
        <v>220</v>
      </c>
      <c r="J605" s="91">
        <f t="shared" si="212"/>
        <v>1</v>
      </c>
      <c r="K605" s="91">
        <f t="shared" si="212"/>
        <v>220</v>
      </c>
      <c r="L605" s="92">
        <v>2</v>
      </c>
      <c r="M605" s="93">
        <v>2938.45</v>
      </c>
      <c r="N605" s="94">
        <f t="shared" si="213"/>
        <v>4</v>
      </c>
      <c r="O605" s="94">
        <f t="shared" si="214"/>
        <v>4594.2299999999996</v>
      </c>
      <c r="P605">
        <v>0</v>
      </c>
      <c r="Q605" s="88">
        <v>0</v>
      </c>
      <c r="R605">
        <v>0</v>
      </c>
      <c r="S605" s="87">
        <v>0</v>
      </c>
    </row>
    <row r="606" spans="1:19" x14ac:dyDescent="0.2">
      <c r="A606" s="6" t="s">
        <v>96</v>
      </c>
      <c r="B606" s="92" t="s">
        <v>155</v>
      </c>
      <c r="C606" s="92">
        <v>5</v>
      </c>
      <c r="D606" s="95">
        <v>0</v>
      </c>
      <c r="E606" s="95">
        <v>0</v>
      </c>
      <c r="F606" s="90">
        <f t="shared" si="211"/>
        <v>0</v>
      </c>
      <c r="G606" s="90">
        <f t="shared" si="211"/>
        <v>0</v>
      </c>
      <c r="H606" s="91">
        <v>5</v>
      </c>
      <c r="I606" s="91">
        <v>5110.33</v>
      </c>
      <c r="J606" s="91">
        <f t="shared" si="212"/>
        <v>6</v>
      </c>
      <c r="K606" s="91">
        <f t="shared" si="212"/>
        <v>5330.33</v>
      </c>
      <c r="L606" s="92">
        <v>0</v>
      </c>
      <c r="M606" s="93">
        <v>0</v>
      </c>
      <c r="N606" s="94">
        <f t="shared" si="213"/>
        <v>4</v>
      </c>
      <c r="O606" s="94">
        <f t="shared" si="214"/>
        <v>4594.2299999999996</v>
      </c>
      <c r="P606">
        <v>3</v>
      </c>
      <c r="Q606" s="88">
        <v>5640</v>
      </c>
      <c r="R606">
        <v>3</v>
      </c>
      <c r="S606" s="87">
        <v>5640</v>
      </c>
    </row>
    <row r="607" spans="1:19" x14ac:dyDescent="0.2">
      <c r="A607" s="6" t="s">
        <v>96</v>
      </c>
      <c r="B607" s="92" t="s">
        <v>156</v>
      </c>
      <c r="C607" s="92">
        <v>6</v>
      </c>
      <c r="D607" s="95">
        <v>0</v>
      </c>
      <c r="E607" s="95">
        <v>0</v>
      </c>
      <c r="F607" s="90">
        <f t="shared" si="211"/>
        <v>0</v>
      </c>
      <c r="G607" s="90">
        <f t="shared" si="211"/>
        <v>0</v>
      </c>
      <c r="H607" s="91">
        <v>0</v>
      </c>
      <c r="I607" s="91">
        <v>0</v>
      </c>
      <c r="J607" s="91">
        <f t="shared" si="212"/>
        <v>6</v>
      </c>
      <c r="K607" s="91">
        <f t="shared" si="212"/>
        <v>5330.33</v>
      </c>
      <c r="L607" s="92">
        <v>0</v>
      </c>
      <c r="M607" s="93">
        <v>0</v>
      </c>
      <c r="N607" s="94">
        <f t="shared" si="213"/>
        <v>4</v>
      </c>
      <c r="O607" s="94">
        <f t="shared" si="214"/>
        <v>4594.2299999999996</v>
      </c>
      <c r="P607">
        <v>0</v>
      </c>
      <c r="Q607" s="88">
        <v>0</v>
      </c>
      <c r="R607">
        <v>3</v>
      </c>
      <c r="S607" s="87">
        <v>5640</v>
      </c>
    </row>
    <row r="608" spans="1:19" x14ac:dyDescent="0.2">
      <c r="A608" s="6" t="s">
        <v>96</v>
      </c>
      <c r="B608" s="92" t="s">
        <v>157</v>
      </c>
      <c r="C608" s="92">
        <v>7</v>
      </c>
      <c r="D608" s="95">
        <v>0</v>
      </c>
      <c r="E608" s="95">
        <v>0</v>
      </c>
      <c r="F608" s="90">
        <f t="shared" si="211"/>
        <v>0</v>
      </c>
      <c r="G608" s="90">
        <f t="shared" si="211"/>
        <v>0</v>
      </c>
      <c r="H608" s="91">
        <v>0</v>
      </c>
      <c r="I608" s="91">
        <v>0</v>
      </c>
      <c r="J608" s="91">
        <f t="shared" si="212"/>
        <v>6</v>
      </c>
      <c r="K608" s="91">
        <f t="shared" si="212"/>
        <v>5330.33</v>
      </c>
      <c r="L608" s="92">
        <v>6</v>
      </c>
      <c r="M608" s="93">
        <v>20612.060000000001</v>
      </c>
      <c r="N608" s="94">
        <f t="shared" si="213"/>
        <v>10</v>
      </c>
      <c r="O608" s="94">
        <f t="shared" si="214"/>
        <v>25206.29</v>
      </c>
      <c r="P608">
        <v>0</v>
      </c>
      <c r="Q608" s="88">
        <v>0</v>
      </c>
      <c r="R608">
        <v>3</v>
      </c>
      <c r="S608" s="87">
        <v>5640</v>
      </c>
    </row>
    <row r="609" spans="1:19" x14ac:dyDescent="0.2">
      <c r="A609" s="6" t="s">
        <v>96</v>
      </c>
      <c r="B609" s="92" t="s">
        <v>158</v>
      </c>
      <c r="C609" s="92">
        <v>8</v>
      </c>
      <c r="D609" s="95">
        <v>0</v>
      </c>
      <c r="E609" s="95">
        <v>0</v>
      </c>
      <c r="F609" s="90">
        <f t="shared" si="211"/>
        <v>0</v>
      </c>
      <c r="G609" s="90">
        <f t="shared" si="211"/>
        <v>0</v>
      </c>
      <c r="H609" s="91">
        <v>0</v>
      </c>
      <c r="I609" s="91">
        <v>0</v>
      </c>
      <c r="J609" s="91">
        <f t="shared" si="212"/>
        <v>6</v>
      </c>
      <c r="K609" s="91">
        <f t="shared" si="212"/>
        <v>5330.33</v>
      </c>
      <c r="L609" s="92">
        <v>2</v>
      </c>
      <c r="M609" s="93">
        <v>975.9</v>
      </c>
      <c r="N609" s="94">
        <f t="shared" si="213"/>
        <v>12</v>
      </c>
      <c r="O609" s="94">
        <f t="shared" si="214"/>
        <v>26182.190000000002</v>
      </c>
      <c r="P609" s="88"/>
      <c r="Q609" s="88">
        <v>0</v>
      </c>
    </row>
    <row r="610" spans="1:19" x14ac:dyDescent="0.2">
      <c r="A610" s="6" t="s">
        <v>96</v>
      </c>
      <c r="B610" s="92" t="s">
        <v>159</v>
      </c>
      <c r="C610" s="92">
        <v>9</v>
      </c>
      <c r="D610" s="95">
        <v>1</v>
      </c>
      <c r="E610" s="95">
        <v>816</v>
      </c>
      <c r="F610" s="90">
        <f t="shared" si="211"/>
        <v>1</v>
      </c>
      <c r="G610" s="90">
        <f t="shared" si="211"/>
        <v>816</v>
      </c>
      <c r="H610" s="91">
        <v>1</v>
      </c>
      <c r="I610" s="91">
        <v>1400</v>
      </c>
      <c r="J610" s="91">
        <f t="shared" si="212"/>
        <v>7</v>
      </c>
      <c r="K610" s="91">
        <f t="shared" si="212"/>
        <v>6730.33</v>
      </c>
      <c r="L610" s="92">
        <v>0</v>
      </c>
      <c r="M610" s="93">
        <v>0</v>
      </c>
      <c r="N610" s="94">
        <f t="shared" si="213"/>
        <v>12</v>
      </c>
      <c r="O610" s="94">
        <f t="shared" si="214"/>
        <v>26182.190000000002</v>
      </c>
      <c r="P610" s="88"/>
      <c r="Q610" s="88">
        <v>0</v>
      </c>
    </row>
    <row r="611" spans="1:19" x14ac:dyDescent="0.2">
      <c r="A611" s="6" t="s">
        <v>96</v>
      </c>
      <c r="B611" s="92" t="s">
        <v>160</v>
      </c>
      <c r="C611" s="92">
        <v>10</v>
      </c>
      <c r="D611" s="95">
        <v>1</v>
      </c>
      <c r="E611" s="95">
        <v>240</v>
      </c>
      <c r="F611" s="90">
        <f t="shared" si="211"/>
        <v>2</v>
      </c>
      <c r="G611" s="90">
        <f t="shared" si="211"/>
        <v>1056</v>
      </c>
      <c r="H611" s="91">
        <v>2</v>
      </c>
      <c r="I611" s="91">
        <v>3465.3500000000004</v>
      </c>
      <c r="J611" s="91">
        <f t="shared" si="212"/>
        <v>9</v>
      </c>
      <c r="K611" s="91">
        <f t="shared" si="212"/>
        <v>10195.68</v>
      </c>
      <c r="L611" s="92">
        <v>4</v>
      </c>
      <c r="M611" s="93">
        <v>8859.44</v>
      </c>
      <c r="N611" s="94">
        <f t="shared" si="213"/>
        <v>16</v>
      </c>
      <c r="O611" s="94">
        <f t="shared" si="214"/>
        <v>35041.630000000005</v>
      </c>
      <c r="P611" s="88"/>
      <c r="Q611" s="88">
        <v>0</v>
      </c>
    </row>
    <row r="612" spans="1:19" x14ac:dyDescent="0.2">
      <c r="A612" s="6" t="s">
        <v>96</v>
      </c>
      <c r="B612" s="92" t="s">
        <v>161</v>
      </c>
      <c r="C612" s="92">
        <v>11</v>
      </c>
      <c r="D612" s="95">
        <v>2</v>
      </c>
      <c r="E612" s="95">
        <v>397.7</v>
      </c>
      <c r="F612" s="90">
        <f t="shared" si="211"/>
        <v>4</v>
      </c>
      <c r="G612" s="90">
        <f t="shared" si="211"/>
        <v>1453.7</v>
      </c>
      <c r="H612" s="91">
        <v>0</v>
      </c>
      <c r="I612" s="91">
        <v>0</v>
      </c>
      <c r="J612" s="91">
        <f t="shared" si="212"/>
        <v>9</v>
      </c>
      <c r="K612" s="91">
        <f t="shared" si="212"/>
        <v>10195.68</v>
      </c>
      <c r="L612" s="92">
        <v>4</v>
      </c>
      <c r="M612" s="93">
        <v>4201.03</v>
      </c>
      <c r="N612" s="94">
        <f t="shared" si="213"/>
        <v>20</v>
      </c>
      <c r="O612" s="94">
        <f t="shared" si="214"/>
        <v>39242.660000000003</v>
      </c>
      <c r="P612" s="88"/>
      <c r="Q612" s="88">
        <v>0</v>
      </c>
    </row>
    <row r="613" spans="1:19" x14ac:dyDescent="0.2">
      <c r="A613" s="6" t="s">
        <v>96</v>
      </c>
      <c r="B613" s="92" t="s">
        <v>162</v>
      </c>
      <c r="C613" s="92">
        <v>12</v>
      </c>
      <c r="D613" s="95">
        <v>1</v>
      </c>
      <c r="E613" s="95">
        <v>4184</v>
      </c>
      <c r="F613" s="90">
        <f t="shared" si="211"/>
        <v>5</v>
      </c>
      <c r="G613" s="90">
        <f t="shared" si="211"/>
        <v>5637.7</v>
      </c>
      <c r="H613" s="91">
        <v>1</v>
      </c>
      <c r="I613" s="91">
        <v>2000</v>
      </c>
      <c r="J613" s="91">
        <f t="shared" si="212"/>
        <v>10</v>
      </c>
      <c r="K613" s="91">
        <f t="shared" si="212"/>
        <v>12195.68</v>
      </c>
      <c r="L613" s="92">
        <v>0</v>
      </c>
      <c r="M613" s="93">
        <v>0</v>
      </c>
      <c r="N613" s="94">
        <f t="shared" si="213"/>
        <v>20</v>
      </c>
      <c r="O613" s="94">
        <f t="shared" si="214"/>
        <v>39242.660000000003</v>
      </c>
      <c r="P613" s="88"/>
      <c r="Q613" s="88">
        <v>0</v>
      </c>
    </row>
    <row r="614" spans="1:19" x14ac:dyDescent="0.2">
      <c r="A614" s="6" t="s">
        <v>66</v>
      </c>
      <c r="B614" s="92" t="s">
        <v>151</v>
      </c>
      <c r="C614" s="92">
        <v>1</v>
      </c>
      <c r="D614" s="95">
        <v>0</v>
      </c>
      <c r="E614" s="95">
        <v>0</v>
      </c>
      <c r="F614" s="90">
        <f>D614</f>
        <v>0</v>
      </c>
      <c r="G614" s="90">
        <f>E614</f>
        <v>0</v>
      </c>
      <c r="H614" s="90">
        <v>0</v>
      </c>
      <c r="I614" s="90">
        <v>0</v>
      </c>
      <c r="J614" s="90">
        <f>H614</f>
        <v>0</v>
      </c>
      <c r="K614" s="90">
        <f>I614</f>
        <v>0</v>
      </c>
      <c r="L614" s="92">
        <v>0</v>
      </c>
      <c r="M614" s="93">
        <v>0</v>
      </c>
      <c r="N614" s="94">
        <f>L614</f>
        <v>0</v>
      </c>
      <c r="O614" s="94">
        <f>M614</f>
        <v>0</v>
      </c>
      <c r="P614">
        <v>0</v>
      </c>
      <c r="Q614">
        <v>0</v>
      </c>
      <c r="R614">
        <v>0</v>
      </c>
      <c r="S614">
        <v>0</v>
      </c>
    </row>
    <row r="615" spans="1:19" x14ac:dyDescent="0.2">
      <c r="A615" s="6" t="s">
        <v>66</v>
      </c>
      <c r="B615" s="92" t="s">
        <v>152</v>
      </c>
      <c r="C615" s="92">
        <v>2</v>
      </c>
      <c r="D615" s="95">
        <v>0</v>
      </c>
      <c r="E615" s="95">
        <v>0</v>
      </c>
      <c r="F615" s="90">
        <f t="shared" ref="F615:F625" si="215">F614+D615</f>
        <v>0</v>
      </c>
      <c r="G615" s="90">
        <f t="shared" ref="G615:G625" si="216">G614+E615</f>
        <v>0</v>
      </c>
      <c r="H615" s="90">
        <v>0</v>
      </c>
      <c r="I615" s="90">
        <v>0</v>
      </c>
      <c r="J615" s="90">
        <f t="shared" ref="J615:J625" si="217">J614+H615</f>
        <v>0</v>
      </c>
      <c r="K615" s="90">
        <f t="shared" ref="K615:K625" si="218">K614+I615</f>
        <v>0</v>
      </c>
      <c r="L615" s="92">
        <v>0</v>
      </c>
      <c r="M615" s="93">
        <v>0</v>
      </c>
      <c r="N615" s="94">
        <f t="shared" ref="N615:N625" si="219">N614+L615</f>
        <v>0</v>
      </c>
      <c r="O615" s="94">
        <f t="shared" ref="O615:O625" si="220">O614+M615</f>
        <v>0</v>
      </c>
      <c r="P615">
        <v>1</v>
      </c>
      <c r="Q615">
        <v>3420</v>
      </c>
      <c r="R615">
        <v>1</v>
      </c>
      <c r="S615">
        <v>3420</v>
      </c>
    </row>
    <row r="616" spans="1:19" x14ac:dyDescent="0.2">
      <c r="A616" s="6" t="s">
        <v>66</v>
      </c>
      <c r="B616" s="92" t="s">
        <v>153</v>
      </c>
      <c r="C616" s="92">
        <v>3</v>
      </c>
      <c r="D616" s="95">
        <v>0</v>
      </c>
      <c r="E616" s="95">
        <v>0</v>
      </c>
      <c r="F616" s="90">
        <f t="shared" si="215"/>
        <v>0</v>
      </c>
      <c r="G616" s="90">
        <f t="shared" si="216"/>
        <v>0</v>
      </c>
      <c r="H616" s="90">
        <v>0</v>
      </c>
      <c r="I616" s="90">
        <v>0</v>
      </c>
      <c r="J616" s="90">
        <f t="shared" si="217"/>
        <v>0</v>
      </c>
      <c r="K616" s="90">
        <f t="shared" si="218"/>
        <v>0</v>
      </c>
      <c r="L616" s="92">
        <v>0</v>
      </c>
      <c r="M616" s="93">
        <v>0</v>
      </c>
      <c r="N616" s="94">
        <f t="shared" si="219"/>
        <v>0</v>
      </c>
      <c r="O616" s="94">
        <f t="shared" si="220"/>
        <v>0</v>
      </c>
      <c r="P616">
        <v>0</v>
      </c>
      <c r="Q616">
        <v>0</v>
      </c>
      <c r="R616">
        <v>1</v>
      </c>
      <c r="S616">
        <v>3420</v>
      </c>
    </row>
    <row r="617" spans="1:19" x14ac:dyDescent="0.2">
      <c r="A617" s="6" t="s">
        <v>66</v>
      </c>
      <c r="B617" s="92" t="s">
        <v>154</v>
      </c>
      <c r="C617" s="92">
        <v>4</v>
      </c>
      <c r="D617" s="95">
        <v>0</v>
      </c>
      <c r="E617" s="95">
        <v>0</v>
      </c>
      <c r="F617" s="90">
        <f t="shared" si="215"/>
        <v>0</v>
      </c>
      <c r="G617" s="90">
        <f t="shared" si="216"/>
        <v>0</v>
      </c>
      <c r="H617" s="90">
        <v>0</v>
      </c>
      <c r="I617" s="90">
        <v>0</v>
      </c>
      <c r="J617" s="90">
        <f t="shared" si="217"/>
        <v>0</v>
      </c>
      <c r="K617" s="90">
        <f t="shared" si="218"/>
        <v>0</v>
      </c>
      <c r="L617" s="92">
        <v>0</v>
      </c>
      <c r="M617" s="93">
        <v>0</v>
      </c>
      <c r="N617" s="94">
        <f t="shared" si="219"/>
        <v>0</v>
      </c>
      <c r="O617" s="94">
        <f t="shared" si="220"/>
        <v>0</v>
      </c>
      <c r="P617">
        <v>0</v>
      </c>
      <c r="Q617">
        <v>0</v>
      </c>
      <c r="R617">
        <v>1</v>
      </c>
      <c r="S617">
        <v>3420</v>
      </c>
    </row>
    <row r="618" spans="1:19" x14ac:dyDescent="0.2">
      <c r="A618" s="6" t="s">
        <v>66</v>
      </c>
      <c r="B618" s="92" t="s">
        <v>155</v>
      </c>
      <c r="C618" s="92">
        <v>5</v>
      </c>
      <c r="D618" s="95">
        <v>0</v>
      </c>
      <c r="E618" s="95">
        <v>0</v>
      </c>
      <c r="F618" s="90">
        <f t="shared" si="215"/>
        <v>0</v>
      </c>
      <c r="G618" s="90">
        <f t="shared" si="216"/>
        <v>0</v>
      </c>
      <c r="H618" s="90">
        <v>0</v>
      </c>
      <c r="I618" s="90">
        <v>0</v>
      </c>
      <c r="J618" s="90">
        <f t="shared" si="217"/>
        <v>0</v>
      </c>
      <c r="K618" s="90">
        <f t="shared" si="218"/>
        <v>0</v>
      </c>
      <c r="L618" s="92">
        <v>1</v>
      </c>
      <c r="M618" s="93">
        <v>100</v>
      </c>
      <c r="N618" s="94">
        <f t="shared" si="219"/>
        <v>1</v>
      </c>
      <c r="O618" s="94">
        <f t="shared" si="220"/>
        <v>100</v>
      </c>
      <c r="P618">
        <v>0</v>
      </c>
      <c r="Q618">
        <v>0</v>
      </c>
      <c r="R618">
        <v>1</v>
      </c>
      <c r="S618">
        <v>3420</v>
      </c>
    </row>
    <row r="619" spans="1:19" x14ac:dyDescent="0.2">
      <c r="A619" s="6" t="s">
        <v>66</v>
      </c>
      <c r="B619" s="92" t="s">
        <v>156</v>
      </c>
      <c r="C619" s="92">
        <v>6</v>
      </c>
      <c r="D619" s="95">
        <v>0</v>
      </c>
      <c r="E619" s="95">
        <v>0</v>
      </c>
      <c r="F619" s="90">
        <f t="shared" si="215"/>
        <v>0</v>
      </c>
      <c r="G619" s="90">
        <f t="shared" si="216"/>
        <v>0</v>
      </c>
      <c r="H619" s="90">
        <v>0</v>
      </c>
      <c r="I619" s="90">
        <v>0</v>
      </c>
      <c r="J619" s="90">
        <f t="shared" si="217"/>
        <v>0</v>
      </c>
      <c r="K619" s="90">
        <f t="shared" si="218"/>
        <v>0</v>
      </c>
      <c r="L619" s="92">
        <v>0</v>
      </c>
      <c r="M619" s="93">
        <v>0</v>
      </c>
      <c r="N619" s="94">
        <f t="shared" si="219"/>
        <v>1</v>
      </c>
      <c r="O619" s="94">
        <f t="shared" si="220"/>
        <v>100</v>
      </c>
      <c r="P619">
        <v>6</v>
      </c>
      <c r="Q619">
        <v>1920</v>
      </c>
      <c r="R619">
        <v>7</v>
      </c>
      <c r="S619">
        <v>5340</v>
      </c>
    </row>
    <row r="620" spans="1:19" x14ac:dyDescent="0.2">
      <c r="A620" s="6" t="s">
        <v>66</v>
      </c>
      <c r="B620" s="92" t="s">
        <v>157</v>
      </c>
      <c r="C620" s="92">
        <v>7</v>
      </c>
      <c r="D620" s="95">
        <v>0</v>
      </c>
      <c r="E620" s="95">
        <v>0</v>
      </c>
      <c r="F620" s="90">
        <f t="shared" si="215"/>
        <v>0</v>
      </c>
      <c r="G620" s="90">
        <f t="shared" si="216"/>
        <v>0</v>
      </c>
      <c r="H620" s="90">
        <v>0</v>
      </c>
      <c r="I620" s="90">
        <v>0</v>
      </c>
      <c r="J620" s="90">
        <f t="shared" si="217"/>
        <v>0</v>
      </c>
      <c r="K620" s="90">
        <f t="shared" si="218"/>
        <v>0</v>
      </c>
      <c r="L620" s="92">
        <v>0</v>
      </c>
      <c r="M620" s="93">
        <v>0</v>
      </c>
      <c r="N620" s="94">
        <f t="shared" si="219"/>
        <v>1</v>
      </c>
      <c r="O620" s="94">
        <f t="shared" si="220"/>
        <v>100</v>
      </c>
      <c r="P620">
        <v>0</v>
      </c>
      <c r="Q620">
        <v>0</v>
      </c>
      <c r="R620">
        <v>7</v>
      </c>
      <c r="S620">
        <v>5340</v>
      </c>
    </row>
    <row r="621" spans="1:19" x14ac:dyDescent="0.2">
      <c r="A621" s="6" t="s">
        <v>66</v>
      </c>
      <c r="B621" s="92" t="s">
        <v>158</v>
      </c>
      <c r="C621" s="92">
        <v>8</v>
      </c>
      <c r="D621" s="95">
        <v>0</v>
      </c>
      <c r="E621" s="95">
        <v>0</v>
      </c>
      <c r="F621" s="90">
        <f t="shared" si="215"/>
        <v>0</v>
      </c>
      <c r="G621" s="90">
        <f t="shared" si="216"/>
        <v>0</v>
      </c>
      <c r="H621" s="90">
        <v>0</v>
      </c>
      <c r="I621" s="90">
        <v>0</v>
      </c>
      <c r="J621" s="90">
        <f t="shared" si="217"/>
        <v>0</v>
      </c>
      <c r="K621" s="90">
        <f t="shared" si="218"/>
        <v>0</v>
      </c>
      <c r="L621" s="92">
        <v>1</v>
      </c>
      <c r="M621" s="93">
        <v>200</v>
      </c>
      <c r="N621" s="94">
        <f t="shared" si="219"/>
        <v>2</v>
      </c>
      <c r="O621" s="94">
        <f t="shared" si="220"/>
        <v>300</v>
      </c>
      <c r="P621" s="88"/>
      <c r="Q621" s="88">
        <v>0</v>
      </c>
    </row>
    <row r="622" spans="1:19" x14ac:dyDescent="0.2">
      <c r="A622" s="6" t="s">
        <v>66</v>
      </c>
      <c r="B622" s="92" t="s">
        <v>159</v>
      </c>
      <c r="C622" s="92">
        <v>9</v>
      </c>
      <c r="D622" s="95">
        <v>0</v>
      </c>
      <c r="E622" s="95">
        <v>0</v>
      </c>
      <c r="F622" s="90">
        <f t="shared" si="215"/>
        <v>0</v>
      </c>
      <c r="G622" s="90">
        <f t="shared" si="216"/>
        <v>0</v>
      </c>
      <c r="H622" s="90">
        <v>0</v>
      </c>
      <c r="I622" s="90">
        <v>0</v>
      </c>
      <c r="J622" s="90">
        <f t="shared" si="217"/>
        <v>0</v>
      </c>
      <c r="K622" s="90">
        <f t="shared" si="218"/>
        <v>0</v>
      </c>
      <c r="L622" s="92">
        <v>0</v>
      </c>
      <c r="M622" s="93">
        <v>0</v>
      </c>
      <c r="N622" s="94">
        <f t="shared" si="219"/>
        <v>2</v>
      </c>
      <c r="O622" s="94">
        <f t="shared" si="220"/>
        <v>300</v>
      </c>
      <c r="P622" s="88"/>
      <c r="Q622" s="88">
        <v>0</v>
      </c>
    </row>
    <row r="623" spans="1:19" x14ac:dyDescent="0.2">
      <c r="A623" s="6" t="s">
        <v>66</v>
      </c>
      <c r="B623" s="92" t="s">
        <v>160</v>
      </c>
      <c r="C623" s="92">
        <v>10</v>
      </c>
      <c r="D623" s="95">
        <v>0</v>
      </c>
      <c r="E623" s="95">
        <v>0</v>
      </c>
      <c r="F623" s="90">
        <f t="shared" si="215"/>
        <v>0</v>
      </c>
      <c r="G623" s="90">
        <f t="shared" si="216"/>
        <v>0</v>
      </c>
      <c r="H623" s="90">
        <v>0</v>
      </c>
      <c r="I623" s="90">
        <v>0</v>
      </c>
      <c r="J623" s="90">
        <f t="shared" si="217"/>
        <v>0</v>
      </c>
      <c r="K623" s="90">
        <f t="shared" si="218"/>
        <v>0</v>
      </c>
      <c r="L623" s="92">
        <v>0</v>
      </c>
      <c r="M623" s="93">
        <v>0</v>
      </c>
      <c r="N623" s="94">
        <f t="shared" si="219"/>
        <v>2</v>
      </c>
      <c r="O623" s="94">
        <f t="shared" si="220"/>
        <v>300</v>
      </c>
      <c r="P623" s="88"/>
      <c r="Q623" s="88">
        <v>0</v>
      </c>
    </row>
    <row r="624" spans="1:19" x14ac:dyDescent="0.2">
      <c r="A624" s="6" t="s">
        <v>66</v>
      </c>
      <c r="B624" s="92" t="s">
        <v>161</v>
      </c>
      <c r="C624" s="92">
        <v>11</v>
      </c>
      <c r="D624" s="95">
        <v>0</v>
      </c>
      <c r="E624" s="95">
        <v>0</v>
      </c>
      <c r="F624" s="90">
        <f t="shared" si="215"/>
        <v>0</v>
      </c>
      <c r="G624" s="90">
        <f t="shared" si="216"/>
        <v>0</v>
      </c>
      <c r="H624" s="90">
        <v>0</v>
      </c>
      <c r="I624" s="90">
        <v>0</v>
      </c>
      <c r="J624" s="90">
        <f t="shared" si="217"/>
        <v>0</v>
      </c>
      <c r="K624" s="90">
        <f t="shared" si="218"/>
        <v>0</v>
      </c>
      <c r="L624" s="92">
        <v>6</v>
      </c>
      <c r="M624" s="93">
        <v>3593.79</v>
      </c>
      <c r="N624" s="94">
        <f t="shared" si="219"/>
        <v>8</v>
      </c>
      <c r="O624" s="94">
        <f t="shared" si="220"/>
        <v>3893.79</v>
      </c>
      <c r="P624" s="88"/>
      <c r="Q624" s="88">
        <v>0</v>
      </c>
    </row>
    <row r="625" spans="1:19" x14ac:dyDescent="0.2">
      <c r="A625" s="6" t="s">
        <v>66</v>
      </c>
      <c r="B625" s="92" t="s">
        <v>162</v>
      </c>
      <c r="C625" s="92">
        <v>12</v>
      </c>
      <c r="D625" s="95">
        <v>0</v>
      </c>
      <c r="E625" s="95">
        <v>0</v>
      </c>
      <c r="F625" s="90">
        <f t="shared" si="215"/>
        <v>0</v>
      </c>
      <c r="G625" s="90">
        <f t="shared" si="216"/>
        <v>0</v>
      </c>
      <c r="H625" s="90">
        <v>0</v>
      </c>
      <c r="I625" s="90">
        <v>0</v>
      </c>
      <c r="J625" s="90">
        <f t="shared" si="217"/>
        <v>0</v>
      </c>
      <c r="K625" s="90">
        <f t="shared" si="218"/>
        <v>0</v>
      </c>
      <c r="L625" s="92">
        <v>1</v>
      </c>
      <c r="M625" s="93">
        <v>180</v>
      </c>
      <c r="N625" s="94">
        <f t="shared" si="219"/>
        <v>9</v>
      </c>
      <c r="O625" s="94">
        <f t="shared" si="220"/>
        <v>4073.79</v>
      </c>
      <c r="P625" s="88"/>
      <c r="Q625" s="88">
        <v>0</v>
      </c>
    </row>
    <row r="626" spans="1:19" x14ac:dyDescent="0.2">
      <c r="A626" s="6" t="s">
        <v>146</v>
      </c>
      <c r="B626" s="92" t="s">
        <v>151</v>
      </c>
      <c r="C626" s="92">
        <v>1</v>
      </c>
      <c r="D626" s="95">
        <v>0</v>
      </c>
      <c r="E626" s="95">
        <v>0</v>
      </c>
      <c r="F626" s="90">
        <f>D626</f>
        <v>0</v>
      </c>
      <c r="G626" s="90">
        <f>E626</f>
        <v>0</v>
      </c>
      <c r="H626" s="91">
        <v>2</v>
      </c>
      <c r="I626" s="91">
        <v>631.4</v>
      </c>
      <c r="J626" s="91">
        <f>H626</f>
        <v>2</v>
      </c>
      <c r="K626" s="91">
        <f>I626</f>
        <v>631.4</v>
      </c>
      <c r="L626" s="92">
        <v>4</v>
      </c>
      <c r="M626" s="93">
        <v>1551.42</v>
      </c>
      <c r="N626" s="94">
        <f>L626</f>
        <v>4</v>
      </c>
      <c r="O626" s="94">
        <f>M626</f>
        <v>1551.42</v>
      </c>
      <c r="P626">
        <v>0</v>
      </c>
      <c r="Q626">
        <v>0</v>
      </c>
      <c r="R626">
        <v>0</v>
      </c>
      <c r="S626">
        <v>0</v>
      </c>
    </row>
    <row r="627" spans="1:19" x14ac:dyDescent="0.2">
      <c r="A627" s="6" t="s">
        <v>146</v>
      </c>
      <c r="B627" s="92" t="s">
        <v>152</v>
      </c>
      <c r="C627" s="92">
        <v>2</v>
      </c>
      <c r="D627" s="95">
        <v>1</v>
      </c>
      <c r="E627" s="95">
        <v>301.95</v>
      </c>
      <c r="F627" s="90">
        <f t="shared" ref="F627:G637" si="221">F626+D627</f>
        <v>1</v>
      </c>
      <c r="G627" s="90">
        <f t="shared" si="221"/>
        <v>301.95</v>
      </c>
      <c r="H627" s="91">
        <v>1</v>
      </c>
      <c r="I627" s="91">
        <v>2102.48</v>
      </c>
      <c r="J627" s="91">
        <f t="shared" ref="J627:K637" si="222">J626+H627</f>
        <v>3</v>
      </c>
      <c r="K627" s="91">
        <f t="shared" si="222"/>
        <v>2733.88</v>
      </c>
      <c r="L627" s="92">
        <v>0</v>
      </c>
      <c r="M627" s="93">
        <v>0</v>
      </c>
      <c r="N627" s="94">
        <f t="shared" ref="N627:N637" si="223">N626+L627</f>
        <v>4</v>
      </c>
      <c r="O627" s="94">
        <f t="shared" ref="O627:O637" si="224">O626+M627</f>
        <v>1551.42</v>
      </c>
      <c r="P627">
        <v>0</v>
      </c>
      <c r="Q627">
        <v>0</v>
      </c>
      <c r="R627">
        <v>0</v>
      </c>
      <c r="S627">
        <v>0</v>
      </c>
    </row>
    <row r="628" spans="1:19" x14ac:dyDescent="0.2">
      <c r="A628" s="6" t="s">
        <v>146</v>
      </c>
      <c r="B628" s="92" t="s">
        <v>153</v>
      </c>
      <c r="C628" s="92">
        <v>3</v>
      </c>
      <c r="D628" s="95">
        <v>1</v>
      </c>
      <c r="E628" s="95">
        <v>367.77</v>
      </c>
      <c r="F628" s="90">
        <f t="shared" si="221"/>
        <v>2</v>
      </c>
      <c r="G628" s="90">
        <f t="shared" si="221"/>
        <v>669.72</v>
      </c>
      <c r="H628" s="91">
        <v>2</v>
      </c>
      <c r="I628" s="91">
        <v>4089.75</v>
      </c>
      <c r="J628" s="91">
        <f t="shared" si="222"/>
        <v>5</v>
      </c>
      <c r="K628" s="91">
        <f t="shared" si="222"/>
        <v>6823.63</v>
      </c>
      <c r="L628" s="92">
        <v>7</v>
      </c>
      <c r="M628" s="93">
        <v>2003.34</v>
      </c>
      <c r="N628" s="94">
        <f t="shared" si="223"/>
        <v>11</v>
      </c>
      <c r="O628" s="94">
        <f t="shared" si="224"/>
        <v>3554.76</v>
      </c>
      <c r="P628">
        <v>0</v>
      </c>
      <c r="Q628">
        <v>0</v>
      </c>
      <c r="R628">
        <v>0</v>
      </c>
      <c r="S628">
        <v>0</v>
      </c>
    </row>
    <row r="629" spans="1:19" x14ac:dyDescent="0.2">
      <c r="A629" s="6" t="s">
        <v>146</v>
      </c>
      <c r="B629" s="92" t="s">
        <v>154</v>
      </c>
      <c r="C629" s="92">
        <v>4</v>
      </c>
      <c r="D629" s="95">
        <v>2</v>
      </c>
      <c r="E629" s="90">
        <v>953.98</v>
      </c>
      <c r="F629" s="90">
        <f t="shared" si="221"/>
        <v>4</v>
      </c>
      <c r="G629" s="90">
        <f t="shared" si="221"/>
        <v>1623.7</v>
      </c>
      <c r="H629" s="91">
        <v>1</v>
      </c>
      <c r="I629" s="91">
        <v>164</v>
      </c>
      <c r="J629" s="91">
        <f t="shared" si="222"/>
        <v>6</v>
      </c>
      <c r="K629" s="91">
        <f t="shared" si="222"/>
        <v>6987.63</v>
      </c>
      <c r="L629" s="92">
        <v>2</v>
      </c>
      <c r="M629" s="93">
        <v>2952</v>
      </c>
      <c r="N629" s="94">
        <f t="shared" si="223"/>
        <v>13</v>
      </c>
      <c r="O629" s="94">
        <f t="shared" si="224"/>
        <v>6506.76</v>
      </c>
      <c r="P629">
        <v>6</v>
      </c>
      <c r="Q629">
        <v>2216.9499999999998</v>
      </c>
      <c r="R629">
        <v>6</v>
      </c>
      <c r="S629">
        <v>2216.9499999999998</v>
      </c>
    </row>
    <row r="630" spans="1:19" x14ac:dyDescent="0.2">
      <c r="A630" s="6" t="s">
        <v>146</v>
      </c>
      <c r="B630" s="92" t="s">
        <v>155</v>
      </c>
      <c r="C630" s="92">
        <v>5</v>
      </c>
      <c r="D630" s="95">
        <v>3</v>
      </c>
      <c r="E630" s="90">
        <v>3704.76</v>
      </c>
      <c r="F630" s="90">
        <f t="shared" si="221"/>
        <v>7</v>
      </c>
      <c r="G630" s="90">
        <f t="shared" si="221"/>
        <v>5328.46</v>
      </c>
      <c r="H630" s="91">
        <v>6</v>
      </c>
      <c r="I630" s="91">
        <v>1894.1999999999998</v>
      </c>
      <c r="J630" s="91">
        <f t="shared" si="222"/>
        <v>12</v>
      </c>
      <c r="K630" s="91">
        <f t="shared" si="222"/>
        <v>8881.83</v>
      </c>
      <c r="L630" s="92">
        <v>4</v>
      </c>
      <c r="M630" s="93">
        <v>2532</v>
      </c>
      <c r="N630" s="94">
        <f t="shared" si="223"/>
        <v>17</v>
      </c>
      <c r="O630" s="94">
        <f t="shared" si="224"/>
        <v>9038.76</v>
      </c>
      <c r="P630">
        <v>2</v>
      </c>
      <c r="Q630">
        <v>1000</v>
      </c>
      <c r="R630">
        <v>8</v>
      </c>
      <c r="S630">
        <v>3216.95</v>
      </c>
    </row>
    <row r="631" spans="1:19" x14ac:dyDescent="0.2">
      <c r="A631" s="6" t="s">
        <v>146</v>
      </c>
      <c r="B631" s="92" t="s">
        <v>156</v>
      </c>
      <c r="C631" s="92">
        <v>6</v>
      </c>
      <c r="D631" s="95">
        <v>2</v>
      </c>
      <c r="E631" s="90">
        <v>611.37</v>
      </c>
      <c r="F631" s="90">
        <f t="shared" si="221"/>
        <v>9</v>
      </c>
      <c r="G631" s="90">
        <f t="shared" si="221"/>
        <v>5939.83</v>
      </c>
      <c r="H631" s="91">
        <v>13</v>
      </c>
      <c r="I631" s="91">
        <v>2933.5499999999997</v>
      </c>
      <c r="J631" s="91">
        <f t="shared" si="222"/>
        <v>25</v>
      </c>
      <c r="K631" s="91">
        <f t="shared" si="222"/>
        <v>11815.38</v>
      </c>
      <c r="L631" s="92">
        <v>1</v>
      </c>
      <c r="M631" s="93">
        <v>300</v>
      </c>
      <c r="N631" s="94">
        <f t="shared" si="223"/>
        <v>18</v>
      </c>
      <c r="O631" s="94">
        <f t="shared" si="224"/>
        <v>9338.76</v>
      </c>
      <c r="P631">
        <v>5</v>
      </c>
      <c r="Q631">
        <v>2550</v>
      </c>
      <c r="R631">
        <v>13</v>
      </c>
      <c r="S631">
        <v>5766.95</v>
      </c>
    </row>
    <row r="632" spans="1:19" x14ac:dyDescent="0.2">
      <c r="A632" s="6" t="s">
        <v>146</v>
      </c>
      <c r="B632" s="92" t="s">
        <v>157</v>
      </c>
      <c r="C632" s="92">
        <v>7</v>
      </c>
      <c r="D632" s="95">
        <v>1</v>
      </c>
      <c r="E632" s="95">
        <v>947.1</v>
      </c>
      <c r="F632" s="90">
        <f t="shared" si="221"/>
        <v>10</v>
      </c>
      <c r="G632" s="90">
        <f t="shared" si="221"/>
        <v>6886.93</v>
      </c>
      <c r="H632" s="91">
        <v>3</v>
      </c>
      <c r="I632" s="91">
        <v>4784.59</v>
      </c>
      <c r="J632" s="91">
        <f t="shared" si="222"/>
        <v>28</v>
      </c>
      <c r="K632" s="91">
        <f t="shared" si="222"/>
        <v>16599.97</v>
      </c>
      <c r="L632" s="92">
        <v>3</v>
      </c>
      <c r="M632" s="93">
        <v>2641.06</v>
      </c>
      <c r="N632" s="94">
        <f t="shared" si="223"/>
        <v>21</v>
      </c>
      <c r="O632" s="94">
        <f t="shared" si="224"/>
        <v>11979.82</v>
      </c>
      <c r="P632">
        <v>0</v>
      </c>
      <c r="Q632">
        <v>0</v>
      </c>
      <c r="R632">
        <v>13</v>
      </c>
      <c r="S632">
        <v>5766.95</v>
      </c>
    </row>
    <row r="633" spans="1:19" x14ac:dyDescent="0.2">
      <c r="A633" s="6" t="s">
        <v>146</v>
      </c>
      <c r="B633" s="92" t="s">
        <v>158</v>
      </c>
      <c r="C633" s="92">
        <v>8</v>
      </c>
      <c r="D633" s="95">
        <v>2</v>
      </c>
      <c r="E633" s="90">
        <v>896.67</v>
      </c>
      <c r="F633" s="90">
        <f t="shared" si="221"/>
        <v>12</v>
      </c>
      <c r="G633" s="90">
        <f t="shared" si="221"/>
        <v>7783.6</v>
      </c>
      <c r="H633" s="91">
        <v>2</v>
      </c>
      <c r="I633" s="91">
        <v>912.37</v>
      </c>
      <c r="J633" s="91">
        <f t="shared" si="222"/>
        <v>30</v>
      </c>
      <c r="K633" s="91">
        <f t="shared" si="222"/>
        <v>17512.34</v>
      </c>
      <c r="L633" s="92">
        <v>0</v>
      </c>
      <c r="M633" s="93">
        <v>0</v>
      </c>
      <c r="N633" s="94">
        <f t="shared" si="223"/>
        <v>21</v>
      </c>
      <c r="O633" s="94">
        <f t="shared" si="224"/>
        <v>11979.82</v>
      </c>
      <c r="P633" s="88"/>
      <c r="Q633" s="88">
        <v>0</v>
      </c>
    </row>
    <row r="634" spans="1:19" x14ac:dyDescent="0.2">
      <c r="A634" s="6" t="s">
        <v>146</v>
      </c>
      <c r="B634" s="92" t="s">
        <v>159</v>
      </c>
      <c r="C634" s="92">
        <v>9</v>
      </c>
      <c r="D634" s="95">
        <v>1</v>
      </c>
      <c r="E634" s="95">
        <v>1090.5999999999999</v>
      </c>
      <c r="F634" s="90">
        <f t="shared" si="221"/>
        <v>13</v>
      </c>
      <c r="G634" s="90">
        <f t="shared" si="221"/>
        <v>8874.2000000000007</v>
      </c>
      <c r="H634" s="91">
        <v>0</v>
      </c>
      <c r="I634" s="91">
        <v>0</v>
      </c>
      <c r="J634" s="91">
        <f t="shared" si="222"/>
        <v>30</v>
      </c>
      <c r="K634" s="91">
        <f t="shared" si="222"/>
        <v>17512.34</v>
      </c>
      <c r="L634" s="92">
        <v>3</v>
      </c>
      <c r="M634" s="93">
        <v>1263</v>
      </c>
      <c r="N634" s="94">
        <f t="shared" si="223"/>
        <v>24</v>
      </c>
      <c r="O634" s="94">
        <f t="shared" si="224"/>
        <v>13242.82</v>
      </c>
      <c r="P634" s="88"/>
      <c r="Q634" s="88">
        <v>0</v>
      </c>
    </row>
    <row r="635" spans="1:19" x14ac:dyDescent="0.2">
      <c r="A635" s="6" t="s">
        <v>146</v>
      </c>
      <c r="B635" s="92" t="s">
        <v>160</v>
      </c>
      <c r="C635" s="92">
        <v>10</v>
      </c>
      <c r="D635" s="95">
        <v>2</v>
      </c>
      <c r="E635" s="90">
        <v>1111.0999999999999</v>
      </c>
      <c r="F635" s="90">
        <f t="shared" si="221"/>
        <v>15</v>
      </c>
      <c r="G635" s="90">
        <f t="shared" si="221"/>
        <v>9985.3000000000011</v>
      </c>
      <c r="H635" s="91">
        <v>0</v>
      </c>
      <c r="I635" s="91">
        <v>0</v>
      </c>
      <c r="J635" s="91">
        <f t="shared" si="222"/>
        <v>30</v>
      </c>
      <c r="K635" s="91">
        <f t="shared" si="222"/>
        <v>17512.34</v>
      </c>
      <c r="L635" s="92">
        <v>0</v>
      </c>
      <c r="M635" s="93">
        <v>0</v>
      </c>
      <c r="N635" s="94">
        <f t="shared" si="223"/>
        <v>24</v>
      </c>
      <c r="O635" s="94">
        <f t="shared" si="224"/>
        <v>13242.82</v>
      </c>
      <c r="P635" s="88"/>
      <c r="Q635" s="88">
        <v>0</v>
      </c>
    </row>
    <row r="636" spans="1:19" x14ac:dyDescent="0.2">
      <c r="A636" s="6" t="s">
        <v>146</v>
      </c>
      <c r="B636" s="92" t="s">
        <v>161</v>
      </c>
      <c r="C636" s="92">
        <v>11</v>
      </c>
      <c r="D636" s="95">
        <v>2</v>
      </c>
      <c r="E636" s="95">
        <v>1074.2</v>
      </c>
      <c r="F636" s="90">
        <f t="shared" si="221"/>
        <v>17</v>
      </c>
      <c r="G636" s="90">
        <f t="shared" si="221"/>
        <v>11059.500000000002</v>
      </c>
      <c r="H636" s="91">
        <v>6</v>
      </c>
      <c r="I636" s="91">
        <v>3022.09</v>
      </c>
      <c r="J636" s="91">
        <f t="shared" si="222"/>
        <v>36</v>
      </c>
      <c r="K636" s="91">
        <f t="shared" si="222"/>
        <v>20534.43</v>
      </c>
      <c r="L636" s="92">
        <v>0</v>
      </c>
      <c r="M636" s="93">
        <v>0</v>
      </c>
      <c r="N636" s="94">
        <f t="shared" si="223"/>
        <v>24</v>
      </c>
      <c r="O636" s="94">
        <f t="shared" si="224"/>
        <v>13242.82</v>
      </c>
      <c r="P636" s="88"/>
      <c r="Q636" s="88">
        <v>0</v>
      </c>
    </row>
    <row r="637" spans="1:19" x14ac:dyDescent="0.2">
      <c r="A637" s="6" t="s">
        <v>146</v>
      </c>
      <c r="B637" s="92" t="s">
        <v>162</v>
      </c>
      <c r="C637" s="92">
        <v>12</v>
      </c>
      <c r="D637" s="95">
        <v>1</v>
      </c>
      <c r="E637" s="95">
        <v>229.6</v>
      </c>
      <c r="F637" s="90">
        <f t="shared" si="221"/>
        <v>18</v>
      </c>
      <c r="G637" s="90">
        <f t="shared" si="221"/>
        <v>11289.100000000002</v>
      </c>
      <c r="H637" s="91">
        <v>1</v>
      </c>
      <c r="I637" s="91">
        <v>852.39</v>
      </c>
      <c r="J637" s="91">
        <f t="shared" si="222"/>
        <v>37</v>
      </c>
      <c r="K637" s="91">
        <f t="shared" si="222"/>
        <v>21386.82</v>
      </c>
      <c r="L637" s="92">
        <v>0</v>
      </c>
      <c r="M637" s="93">
        <v>0</v>
      </c>
      <c r="N637" s="94">
        <f t="shared" si="223"/>
        <v>24</v>
      </c>
      <c r="O637" s="94">
        <f t="shared" si="224"/>
        <v>13242.82</v>
      </c>
      <c r="P637" s="88"/>
      <c r="Q637" s="88">
        <v>0</v>
      </c>
    </row>
    <row r="638" spans="1:19" x14ac:dyDescent="0.2">
      <c r="A638" s="6" t="s">
        <v>131</v>
      </c>
      <c r="B638" s="92" t="s">
        <v>151</v>
      </c>
      <c r="C638" s="92">
        <v>1</v>
      </c>
      <c r="D638" s="95">
        <v>0</v>
      </c>
      <c r="E638" s="95">
        <v>0</v>
      </c>
      <c r="F638" s="90">
        <f>D638</f>
        <v>0</v>
      </c>
      <c r="G638" s="90">
        <f>E638</f>
        <v>0</v>
      </c>
      <c r="H638" s="91">
        <v>0</v>
      </c>
      <c r="I638" s="91">
        <v>0</v>
      </c>
      <c r="J638" s="91">
        <f>H638</f>
        <v>0</v>
      </c>
      <c r="K638" s="91">
        <f>I638</f>
        <v>0</v>
      </c>
      <c r="L638" s="92">
        <v>2</v>
      </c>
      <c r="M638" s="93">
        <v>2300</v>
      </c>
      <c r="N638" s="94">
        <f>L638</f>
        <v>2</v>
      </c>
      <c r="O638" s="94">
        <f>M638</f>
        <v>2300</v>
      </c>
      <c r="P638">
        <v>1</v>
      </c>
      <c r="Q638">
        <v>1600</v>
      </c>
      <c r="R638">
        <v>1</v>
      </c>
      <c r="S638">
        <v>1600</v>
      </c>
    </row>
    <row r="639" spans="1:19" x14ac:dyDescent="0.2">
      <c r="A639" s="6" t="s">
        <v>131</v>
      </c>
      <c r="B639" s="92" t="s">
        <v>152</v>
      </c>
      <c r="C639" s="92">
        <v>2</v>
      </c>
      <c r="D639" s="95">
        <v>0</v>
      </c>
      <c r="E639" s="95">
        <v>0</v>
      </c>
      <c r="F639" s="90">
        <f t="shared" ref="F639:G649" si="225">F638+D639</f>
        <v>0</v>
      </c>
      <c r="G639" s="90">
        <f t="shared" si="225"/>
        <v>0</v>
      </c>
      <c r="H639" s="91">
        <v>0</v>
      </c>
      <c r="I639" s="91">
        <v>0</v>
      </c>
      <c r="J639" s="91">
        <f t="shared" ref="J639:K649" si="226">J638+H639</f>
        <v>0</v>
      </c>
      <c r="K639" s="91">
        <f t="shared" si="226"/>
        <v>0</v>
      </c>
      <c r="L639" s="92">
        <v>0</v>
      </c>
      <c r="M639" s="93">
        <v>0</v>
      </c>
      <c r="N639" s="94">
        <f t="shared" ref="N639:N649" si="227">N638+L639</f>
        <v>2</v>
      </c>
      <c r="O639" s="94">
        <f t="shared" ref="O639:O649" si="228">O638+M639</f>
        <v>2300</v>
      </c>
      <c r="P639">
        <v>2</v>
      </c>
      <c r="Q639">
        <v>2600</v>
      </c>
      <c r="R639">
        <v>3</v>
      </c>
      <c r="S639">
        <v>4200</v>
      </c>
    </row>
    <row r="640" spans="1:19" x14ac:dyDescent="0.2">
      <c r="A640" s="6" t="s">
        <v>131</v>
      </c>
      <c r="B640" s="92" t="s">
        <v>153</v>
      </c>
      <c r="C640" s="92">
        <v>3</v>
      </c>
      <c r="D640" s="95">
        <v>0</v>
      </c>
      <c r="E640" s="95">
        <v>0</v>
      </c>
      <c r="F640" s="90">
        <f t="shared" si="225"/>
        <v>0</v>
      </c>
      <c r="G640" s="90">
        <f t="shared" si="225"/>
        <v>0</v>
      </c>
      <c r="H640" s="91">
        <v>0</v>
      </c>
      <c r="I640" s="91">
        <v>0</v>
      </c>
      <c r="J640" s="91">
        <f t="shared" si="226"/>
        <v>0</v>
      </c>
      <c r="K640" s="91">
        <f t="shared" si="226"/>
        <v>0</v>
      </c>
      <c r="L640" s="92">
        <v>0</v>
      </c>
      <c r="M640" s="93">
        <v>0</v>
      </c>
      <c r="N640" s="94">
        <f t="shared" si="227"/>
        <v>2</v>
      </c>
      <c r="O640" s="94">
        <f t="shared" si="228"/>
        <v>2300</v>
      </c>
      <c r="P640">
        <v>1</v>
      </c>
      <c r="Q640">
        <v>1500</v>
      </c>
      <c r="R640">
        <v>4</v>
      </c>
      <c r="S640">
        <v>5700</v>
      </c>
    </row>
    <row r="641" spans="1:19" x14ac:dyDescent="0.2">
      <c r="A641" s="6" t="s">
        <v>131</v>
      </c>
      <c r="B641" s="92" t="s">
        <v>154</v>
      </c>
      <c r="C641" s="92">
        <v>4</v>
      </c>
      <c r="D641" s="95">
        <v>0</v>
      </c>
      <c r="E641" s="95">
        <v>0</v>
      </c>
      <c r="F641" s="90">
        <f t="shared" si="225"/>
        <v>0</v>
      </c>
      <c r="G641" s="90">
        <f t="shared" si="225"/>
        <v>0</v>
      </c>
      <c r="H641" s="91">
        <v>0</v>
      </c>
      <c r="I641" s="91">
        <v>0</v>
      </c>
      <c r="J641" s="91">
        <f t="shared" si="226"/>
        <v>0</v>
      </c>
      <c r="K641" s="91">
        <f t="shared" si="226"/>
        <v>0</v>
      </c>
      <c r="L641" s="92">
        <v>0</v>
      </c>
      <c r="M641" s="93">
        <v>0</v>
      </c>
      <c r="N641" s="94">
        <f t="shared" si="227"/>
        <v>2</v>
      </c>
      <c r="O641" s="94">
        <f t="shared" si="228"/>
        <v>2300</v>
      </c>
      <c r="P641">
        <v>0</v>
      </c>
      <c r="Q641">
        <v>0</v>
      </c>
      <c r="R641">
        <v>4</v>
      </c>
      <c r="S641">
        <v>5700</v>
      </c>
    </row>
    <row r="642" spans="1:19" x14ac:dyDescent="0.2">
      <c r="A642" s="6" t="s">
        <v>131</v>
      </c>
      <c r="B642" s="92" t="s">
        <v>155</v>
      </c>
      <c r="C642" s="92">
        <v>5</v>
      </c>
      <c r="D642" s="95">
        <v>0</v>
      </c>
      <c r="E642" s="95">
        <v>0</v>
      </c>
      <c r="F642" s="90">
        <f t="shared" si="225"/>
        <v>0</v>
      </c>
      <c r="G642" s="90">
        <f t="shared" si="225"/>
        <v>0</v>
      </c>
      <c r="H642" s="91">
        <v>0</v>
      </c>
      <c r="I642" s="91">
        <v>0</v>
      </c>
      <c r="J642" s="91">
        <f t="shared" si="226"/>
        <v>0</v>
      </c>
      <c r="K642" s="91">
        <f t="shared" si="226"/>
        <v>0</v>
      </c>
      <c r="L642" s="92">
        <v>0</v>
      </c>
      <c r="M642" s="93">
        <v>0</v>
      </c>
      <c r="N642" s="94">
        <f t="shared" si="227"/>
        <v>2</v>
      </c>
      <c r="O642" s="94">
        <f t="shared" si="228"/>
        <v>2300</v>
      </c>
      <c r="P642">
        <v>2</v>
      </c>
      <c r="Q642">
        <v>5500</v>
      </c>
      <c r="R642">
        <v>6</v>
      </c>
      <c r="S642">
        <v>11200</v>
      </c>
    </row>
    <row r="643" spans="1:19" x14ac:dyDescent="0.2">
      <c r="A643" s="6" t="s">
        <v>131</v>
      </c>
      <c r="B643" s="92" t="s">
        <v>156</v>
      </c>
      <c r="C643" s="92">
        <v>6</v>
      </c>
      <c r="D643" s="95">
        <v>0</v>
      </c>
      <c r="E643" s="95">
        <v>0</v>
      </c>
      <c r="F643" s="90">
        <f t="shared" si="225"/>
        <v>0</v>
      </c>
      <c r="G643" s="90">
        <f t="shared" si="225"/>
        <v>0</v>
      </c>
      <c r="H643" s="91">
        <v>3</v>
      </c>
      <c r="I643" s="91">
        <v>6639</v>
      </c>
      <c r="J643" s="91">
        <f t="shared" si="226"/>
        <v>3</v>
      </c>
      <c r="K643" s="91">
        <f t="shared" si="226"/>
        <v>6639</v>
      </c>
      <c r="L643" s="92">
        <v>1</v>
      </c>
      <c r="M643" s="93">
        <v>2184</v>
      </c>
      <c r="N643" s="94">
        <f t="shared" si="227"/>
        <v>3</v>
      </c>
      <c r="O643" s="94">
        <f t="shared" si="228"/>
        <v>4484</v>
      </c>
      <c r="P643">
        <v>0</v>
      </c>
      <c r="Q643">
        <v>0</v>
      </c>
      <c r="R643">
        <v>6</v>
      </c>
      <c r="S643">
        <v>11200</v>
      </c>
    </row>
    <row r="644" spans="1:19" x14ac:dyDescent="0.2">
      <c r="A644" s="6" t="s">
        <v>131</v>
      </c>
      <c r="B644" s="92" t="s">
        <v>157</v>
      </c>
      <c r="C644" s="92">
        <v>7</v>
      </c>
      <c r="D644" s="95">
        <v>0</v>
      </c>
      <c r="E644" s="95">
        <v>0</v>
      </c>
      <c r="F644" s="90">
        <f t="shared" si="225"/>
        <v>0</v>
      </c>
      <c r="G644" s="90">
        <f t="shared" si="225"/>
        <v>0</v>
      </c>
      <c r="H644" s="91">
        <v>2</v>
      </c>
      <c r="I644" s="91">
        <v>2300</v>
      </c>
      <c r="J644" s="91">
        <f t="shared" si="226"/>
        <v>5</v>
      </c>
      <c r="K644" s="91">
        <f t="shared" si="226"/>
        <v>8939</v>
      </c>
      <c r="L644" s="92">
        <v>1</v>
      </c>
      <c r="M644" s="93">
        <v>1400</v>
      </c>
      <c r="N644" s="94">
        <f t="shared" si="227"/>
        <v>4</v>
      </c>
      <c r="O644" s="94">
        <f t="shared" si="228"/>
        <v>5884</v>
      </c>
      <c r="P644">
        <v>0</v>
      </c>
      <c r="Q644">
        <v>0</v>
      </c>
      <c r="R644">
        <v>6</v>
      </c>
      <c r="S644">
        <v>11200</v>
      </c>
    </row>
    <row r="645" spans="1:19" x14ac:dyDescent="0.2">
      <c r="A645" s="6" t="s">
        <v>131</v>
      </c>
      <c r="B645" s="92" t="s">
        <v>158</v>
      </c>
      <c r="C645" s="92">
        <v>8</v>
      </c>
      <c r="D645" s="95">
        <v>0</v>
      </c>
      <c r="E645" s="95">
        <v>0</v>
      </c>
      <c r="F645" s="90">
        <f t="shared" si="225"/>
        <v>0</v>
      </c>
      <c r="G645" s="90">
        <f t="shared" si="225"/>
        <v>0</v>
      </c>
      <c r="H645" s="91">
        <v>0</v>
      </c>
      <c r="I645" s="91">
        <v>0</v>
      </c>
      <c r="J645" s="91">
        <f t="shared" si="226"/>
        <v>5</v>
      </c>
      <c r="K645" s="91">
        <f t="shared" si="226"/>
        <v>8939</v>
      </c>
      <c r="L645" s="92">
        <v>0</v>
      </c>
      <c r="M645" s="93">
        <v>0</v>
      </c>
      <c r="N645" s="94">
        <f t="shared" si="227"/>
        <v>4</v>
      </c>
      <c r="O645" s="94">
        <f t="shared" si="228"/>
        <v>5884</v>
      </c>
      <c r="P645" s="88"/>
      <c r="Q645" s="88">
        <v>0</v>
      </c>
    </row>
    <row r="646" spans="1:19" x14ac:dyDescent="0.2">
      <c r="A646" s="6" t="s">
        <v>131</v>
      </c>
      <c r="B646" s="92" t="s">
        <v>159</v>
      </c>
      <c r="C646" s="92">
        <v>9</v>
      </c>
      <c r="D646" s="95">
        <v>0</v>
      </c>
      <c r="E646" s="95">
        <v>0</v>
      </c>
      <c r="F646" s="90">
        <f t="shared" si="225"/>
        <v>0</v>
      </c>
      <c r="G646" s="90">
        <f t="shared" si="225"/>
        <v>0</v>
      </c>
      <c r="H646" s="91">
        <v>1</v>
      </c>
      <c r="I646" s="91">
        <v>1952.5</v>
      </c>
      <c r="J646" s="91">
        <f t="shared" si="226"/>
        <v>6</v>
      </c>
      <c r="K646" s="91">
        <f t="shared" si="226"/>
        <v>10891.5</v>
      </c>
      <c r="L646" s="92">
        <v>0</v>
      </c>
      <c r="M646" s="93">
        <v>0</v>
      </c>
      <c r="N646" s="94">
        <f t="shared" si="227"/>
        <v>4</v>
      </c>
      <c r="O646" s="94">
        <f t="shared" si="228"/>
        <v>5884</v>
      </c>
      <c r="P646" s="88"/>
      <c r="Q646" s="88">
        <v>0</v>
      </c>
    </row>
    <row r="647" spans="1:19" x14ac:dyDescent="0.2">
      <c r="A647" s="6" t="s">
        <v>131</v>
      </c>
      <c r="B647" s="92" t="s">
        <v>160</v>
      </c>
      <c r="C647" s="92">
        <v>10</v>
      </c>
      <c r="D647" s="95">
        <v>0</v>
      </c>
      <c r="E647" s="95">
        <v>0</v>
      </c>
      <c r="F647" s="90">
        <f t="shared" si="225"/>
        <v>0</v>
      </c>
      <c r="G647" s="90">
        <f t="shared" si="225"/>
        <v>0</v>
      </c>
      <c r="H647" s="91">
        <v>0</v>
      </c>
      <c r="I647" s="91">
        <v>0</v>
      </c>
      <c r="J647" s="91">
        <f t="shared" si="226"/>
        <v>6</v>
      </c>
      <c r="K647" s="91">
        <f t="shared" si="226"/>
        <v>10891.5</v>
      </c>
      <c r="L647" s="92">
        <v>2</v>
      </c>
      <c r="M647" s="93">
        <v>850</v>
      </c>
      <c r="N647" s="94">
        <f t="shared" si="227"/>
        <v>6</v>
      </c>
      <c r="O647" s="94">
        <f t="shared" si="228"/>
        <v>6734</v>
      </c>
      <c r="P647" s="88"/>
      <c r="Q647" s="88">
        <v>0</v>
      </c>
    </row>
    <row r="648" spans="1:19" x14ac:dyDescent="0.2">
      <c r="A648" s="6" t="s">
        <v>131</v>
      </c>
      <c r="B648" s="92" t="s">
        <v>161</v>
      </c>
      <c r="C648" s="92">
        <v>11</v>
      </c>
      <c r="D648" s="95">
        <v>0</v>
      </c>
      <c r="E648" s="95">
        <v>0</v>
      </c>
      <c r="F648" s="90">
        <f t="shared" si="225"/>
        <v>0</v>
      </c>
      <c r="G648" s="90">
        <f t="shared" si="225"/>
        <v>0</v>
      </c>
      <c r="H648" s="91">
        <v>1</v>
      </c>
      <c r="I648" s="91">
        <v>1450</v>
      </c>
      <c r="J648" s="91">
        <f t="shared" si="226"/>
        <v>7</v>
      </c>
      <c r="K648" s="91">
        <f t="shared" si="226"/>
        <v>12341.5</v>
      </c>
      <c r="L648" s="92">
        <v>1</v>
      </c>
      <c r="M648" s="93">
        <v>1500</v>
      </c>
      <c r="N648" s="94">
        <f t="shared" si="227"/>
        <v>7</v>
      </c>
      <c r="O648" s="94">
        <f t="shared" si="228"/>
        <v>8234</v>
      </c>
      <c r="P648" s="88"/>
      <c r="Q648" s="88">
        <v>0</v>
      </c>
    </row>
    <row r="649" spans="1:19" x14ac:dyDescent="0.2">
      <c r="A649" s="6" t="s">
        <v>131</v>
      </c>
      <c r="B649" s="92" t="s">
        <v>162</v>
      </c>
      <c r="C649" s="92">
        <v>12</v>
      </c>
      <c r="D649" s="95">
        <v>0</v>
      </c>
      <c r="E649" s="95">
        <v>0</v>
      </c>
      <c r="F649" s="90">
        <f t="shared" si="225"/>
        <v>0</v>
      </c>
      <c r="G649" s="90">
        <f t="shared" si="225"/>
        <v>0</v>
      </c>
      <c r="H649" s="91">
        <v>0</v>
      </c>
      <c r="I649" s="91">
        <v>0</v>
      </c>
      <c r="J649" s="91">
        <f t="shared" si="226"/>
        <v>7</v>
      </c>
      <c r="K649" s="91">
        <f t="shared" si="226"/>
        <v>12341.5</v>
      </c>
      <c r="L649" s="92">
        <v>0</v>
      </c>
      <c r="M649" s="93">
        <v>0</v>
      </c>
      <c r="N649" s="94">
        <f t="shared" si="227"/>
        <v>7</v>
      </c>
      <c r="O649" s="94">
        <f t="shared" si="228"/>
        <v>8234</v>
      </c>
      <c r="P649" s="88"/>
      <c r="Q649" s="88">
        <v>0</v>
      </c>
    </row>
    <row r="650" spans="1:19" x14ac:dyDescent="0.2">
      <c r="A650" t="s">
        <v>302</v>
      </c>
      <c r="B650" s="92"/>
      <c r="C650" s="92"/>
      <c r="D650" s="95"/>
      <c r="E650" s="95"/>
      <c r="F650" s="90"/>
      <c r="G650" s="90"/>
      <c r="H650" s="91"/>
      <c r="I650" s="91"/>
      <c r="J650" s="91"/>
      <c r="K650" s="91"/>
      <c r="L650" s="92"/>
      <c r="M650" s="93"/>
      <c r="N650" s="94"/>
      <c r="O650" s="94"/>
      <c r="P650">
        <v>0</v>
      </c>
      <c r="Q650">
        <v>0</v>
      </c>
      <c r="R650">
        <v>0</v>
      </c>
      <c r="S650">
        <v>0</v>
      </c>
    </row>
    <row r="651" spans="1:19" x14ac:dyDescent="0.2">
      <c r="A651" t="s">
        <v>302</v>
      </c>
      <c r="B651" s="92"/>
      <c r="C651" s="92"/>
      <c r="D651" s="95"/>
      <c r="E651" s="95"/>
      <c r="F651" s="90"/>
      <c r="G651" s="90"/>
      <c r="H651" s="91"/>
      <c r="I651" s="91"/>
      <c r="J651" s="91"/>
      <c r="K651" s="91"/>
      <c r="L651" s="92"/>
      <c r="M651" s="93"/>
      <c r="N651" s="94"/>
      <c r="O651" s="94"/>
      <c r="P651">
        <v>0</v>
      </c>
      <c r="Q651">
        <v>0</v>
      </c>
      <c r="R651">
        <v>0</v>
      </c>
      <c r="S651">
        <v>0</v>
      </c>
    </row>
    <row r="652" spans="1:19" x14ac:dyDescent="0.2">
      <c r="A652" t="s">
        <v>302</v>
      </c>
      <c r="B652" s="92"/>
      <c r="C652" s="92"/>
      <c r="D652" s="95"/>
      <c r="E652" s="95"/>
      <c r="F652" s="90"/>
      <c r="G652" s="90"/>
      <c r="H652" s="91"/>
      <c r="I652" s="91"/>
      <c r="J652" s="91"/>
      <c r="K652" s="91"/>
      <c r="L652" s="92"/>
      <c r="M652" s="93"/>
      <c r="N652" s="94"/>
      <c r="O652" s="94"/>
      <c r="P652">
        <v>0</v>
      </c>
      <c r="Q652">
        <v>0</v>
      </c>
      <c r="R652">
        <v>0</v>
      </c>
      <c r="S652">
        <v>0</v>
      </c>
    </row>
    <row r="653" spans="1:19" x14ac:dyDescent="0.2">
      <c r="A653" t="s">
        <v>302</v>
      </c>
      <c r="B653" s="92"/>
      <c r="C653" s="92"/>
      <c r="D653" s="95"/>
      <c r="E653" s="95"/>
      <c r="F653" s="90"/>
      <c r="G653" s="90"/>
      <c r="H653" s="91"/>
      <c r="I653" s="91"/>
      <c r="J653" s="91"/>
      <c r="K653" s="91"/>
      <c r="L653" s="92"/>
      <c r="M653" s="93"/>
      <c r="N653" s="94"/>
      <c r="O653" s="94"/>
      <c r="P653">
        <v>0</v>
      </c>
      <c r="Q653">
        <v>0</v>
      </c>
      <c r="R653">
        <v>0</v>
      </c>
      <c r="S653">
        <v>0</v>
      </c>
    </row>
    <row r="654" spans="1:19" x14ac:dyDescent="0.2">
      <c r="A654" t="s">
        <v>302</v>
      </c>
      <c r="B654" s="92"/>
      <c r="C654" s="92"/>
      <c r="D654" s="95"/>
      <c r="E654" s="95"/>
      <c r="F654" s="90"/>
      <c r="G654" s="90"/>
      <c r="H654" s="91"/>
      <c r="I654" s="91"/>
      <c r="J654" s="91"/>
      <c r="K654" s="91"/>
      <c r="L654" s="92"/>
      <c r="M654" s="93"/>
      <c r="N654" s="94"/>
      <c r="O654" s="94"/>
      <c r="P654">
        <v>0</v>
      </c>
      <c r="Q654">
        <v>0</v>
      </c>
      <c r="R654">
        <v>0</v>
      </c>
      <c r="S654">
        <v>0</v>
      </c>
    </row>
    <row r="655" spans="1:19" x14ac:dyDescent="0.2">
      <c r="A655" t="s">
        <v>302</v>
      </c>
      <c r="B655" s="92"/>
      <c r="C655" s="92"/>
      <c r="D655" s="95"/>
      <c r="E655" s="95"/>
      <c r="F655" s="90"/>
      <c r="G655" s="90"/>
      <c r="H655" s="91"/>
      <c r="I655" s="91"/>
      <c r="J655" s="91"/>
      <c r="K655" s="91"/>
      <c r="L655" s="92"/>
      <c r="M655" s="93"/>
      <c r="N655" s="94"/>
      <c r="O655" s="94"/>
      <c r="P655">
        <v>0</v>
      </c>
      <c r="Q655">
        <v>0</v>
      </c>
      <c r="R655">
        <v>0</v>
      </c>
      <c r="S655">
        <v>0</v>
      </c>
    </row>
    <row r="656" spans="1:19" x14ac:dyDescent="0.2">
      <c r="A656" t="s">
        <v>302</v>
      </c>
      <c r="B656" s="92"/>
      <c r="C656" s="92"/>
      <c r="D656" s="95"/>
      <c r="E656" s="95"/>
      <c r="F656" s="90"/>
      <c r="G656" s="90"/>
      <c r="H656" s="91"/>
      <c r="I656" s="91"/>
      <c r="J656" s="91"/>
      <c r="K656" s="91"/>
      <c r="L656" s="92"/>
      <c r="M656" s="93"/>
      <c r="N656" s="94"/>
      <c r="O656" s="94"/>
      <c r="P656">
        <v>0</v>
      </c>
      <c r="Q656">
        <v>0</v>
      </c>
      <c r="R656">
        <v>0</v>
      </c>
      <c r="S656">
        <v>0</v>
      </c>
    </row>
    <row r="657" spans="1:19" x14ac:dyDescent="0.2">
      <c r="A657" t="s">
        <v>302</v>
      </c>
      <c r="B657" s="92"/>
      <c r="C657" s="92"/>
      <c r="D657" s="95"/>
      <c r="E657" s="95"/>
      <c r="F657" s="90"/>
      <c r="G657" s="90"/>
      <c r="H657" s="91"/>
      <c r="I657" s="91"/>
      <c r="J657" s="91"/>
      <c r="K657" s="91"/>
      <c r="L657" s="92"/>
      <c r="M657" s="93"/>
      <c r="N657" s="94"/>
      <c r="O657" s="94"/>
      <c r="P657" s="88"/>
      <c r="Q657" s="88"/>
    </row>
    <row r="658" spans="1:19" x14ac:dyDescent="0.2">
      <c r="A658" t="s">
        <v>302</v>
      </c>
      <c r="B658" s="92"/>
      <c r="C658" s="92"/>
      <c r="D658" s="95"/>
      <c r="E658" s="95"/>
      <c r="F658" s="90"/>
      <c r="G658" s="90"/>
      <c r="H658" s="91"/>
      <c r="I658" s="91"/>
      <c r="J658" s="91"/>
      <c r="K658" s="91"/>
      <c r="L658" s="92"/>
      <c r="M658" s="93"/>
      <c r="N658" s="94"/>
      <c r="O658" s="94"/>
      <c r="P658" s="88"/>
      <c r="Q658" s="88"/>
    </row>
    <row r="659" spans="1:19" x14ac:dyDescent="0.2">
      <c r="A659" t="s">
        <v>302</v>
      </c>
      <c r="B659" s="92"/>
      <c r="C659" s="92"/>
      <c r="D659" s="95"/>
      <c r="E659" s="95"/>
      <c r="F659" s="90"/>
      <c r="G659" s="90"/>
      <c r="H659" s="91"/>
      <c r="I659" s="91"/>
      <c r="J659" s="91"/>
      <c r="K659" s="91"/>
      <c r="L659" s="92"/>
      <c r="M659" s="93"/>
      <c r="N659" s="94"/>
      <c r="O659" s="94"/>
      <c r="P659" s="88"/>
      <c r="Q659" s="88"/>
    </row>
    <row r="660" spans="1:19" x14ac:dyDescent="0.2">
      <c r="A660" t="s">
        <v>302</v>
      </c>
      <c r="B660" s="92"/>
      <c r="C660" s="92"/>
      <c r="D660" s="95"/>
      <c r="E660" s="95"/>
      <c r="F660" s="90"/>
      <c r="G660" s="90"/>
      <c r="H660" s="91"/>
      <c r="I660" s="91"/>
      <c r="J660" s="91"/>
      <c r="K660" s="91"/>
      <c r="L660" s="92"/>
      <c r="M660" s="93"/>
      <c r="N660" s="94"/>
      <c r="O660" s="94"/>
      <c r="P660" s="88"/>
      <c r="Q660" s="88"/>
    </row>
    <row r="661" spans="1:19" x14ac:dyDescent="0.2">
      <c r="A661" t="s">
        <v>302</v>
      </c>
      <c r="B661" s="92"/>
      <c r="C661" s="92"/>
      <c r="D661" s="95"/>
      <c r="E661" s="95"/>
      <c r="F661" s="90"/>
      <c r="G661" s="90"/>
      <c r="H661" s="91"/>
      <c r="I661" s="91"/>
      <c r="J661" s="91"/>
      <c r="K661" s="91"/>
      <c r="L661" s="92"/>
      <c r="M661" s="93"/>
      <c r="N661" s="94"/>
      <c r="O661" s="94"/>
      <c r="P661" s="88"/>
      <c r="Q661" s="88"/>
    </row>
    <row r="662" spans="1:19" x14ac:dyDescent="0.2">
      <c r="A662" s="6" t="s">
        <v>42</v>
      </c>
      <c r="B662" s="92" t="s">
        <v>151</v>
      </c>
      <c r="C662" s="92">
        <v>1</v>
      </c>
      <c r="D662" s="95">
        <v>0</v>
      </c>
      <c r="E662" s="95">
        <v>0</v>
      </c>
      <c r="F662" s="90">
        <f>D662</f>
        <v>0</v>
      </c>
      <c r="G662" s="90">
        <f>E662</f>
        <v>0</v>
      </c>
      <c r="H662" s="91">
        <v>0</v>
      </c>
      <c r="I662" s="91">
        <v>0</v>
      </c>
      <c r="J662" s="91">
        <f>H662</f>
        <v>0</v>
      </c>
      <c r="K662" s="91">
        <f>I662</f>
        <v>0</v>
      </c>
      <c r="L662" s="92">
        <v>1</v>
      </c>
      <c r="M662" s="93">
        <v>240</v>
      </c>
      <c r="N662" s="94">
        <f>L662</f>
        <v>1</v>
      </c>
      <c r="O662" s="94">
        <f>M662</f>
        <v>240</v>
      </c>
      <c r="P662">
        <v>0</v>
      </c>
      <c r="Q662">
        <v>0</v>
      </c>
      <c r="R662">
        <v>0</v>
      </c>
      <c r="S662">
        <v>0</v>
      </c>
    </row>
    <row r="663" spans="1:19" x14ac:dyDescent="0.2">
      <c r="A663" s="6" t="s">
        <v>42</v>
      </c>
      <c r="B663" s="92" t="s">
        <v>152</v>
      </c>
      <c r="C663" s="92">
        <v>2</v>
      </c>
      <c r="D663" s="95">
        <v>1</v>
      </c>
      <c r="E663" s="95">
        <v>600</v>
      </c>
      <c r="F663" s="90">
        <f t="shared" ref="F663:G673" si="229">F662+D663</f>
        <v>1</v>
      </c>
      <c r="G663" s="90">
        <f t="shared" si="229"/>
        <v>600</v>
      </c>
      <c r="H663" s="91">
        <v>0</v>
      </c>
      <c r="I663" s="91">
        <v>0</v>
      </c>
      <c r="J663" s="91">
        <f t="shared" ref="J663:K673" si="230">J662+H663</f>
        <v>0</v>
      </c>
      <c r="K663" s="91">
        <f t="shared" si="230"/>
        <v>0</v>
      </c>
      <c r="L663" s="92">
        <v>0</v>
      </c>
      <c r="M663" s="93">
        <v>0</v>
      </c>
      <c r="N663" s="94">
        <f t="shared" ref="N663:N673" si="231">N662+L663</f>
        <v>1</v>
      </c>
      <c r="O663" s="94">
        <f t="shared" ref="O663:O673" si="232">O662+M663</f>
        <v>240</v>
      </c>
      <c r="P663">
        <v>1</v>
      </c>
      <c r="Q663">
        <v>600</v>
      </c>
      <c r="R663">
        <v>1</v>
      </c>
      <c r="S663">
        <v>600</v>
      </c>
    </row>
    <row r="664" spans="1:19" x14ac:dyDescent="0.2">
      <c r="A664" s="6" t="s">
        <v>42</v>
      </c>
      <c r="B664" s="92" t="s">
        <v>153</v>
      </c>
      <c r="C664" s="92">
        <v>3</v>
      </c>
      <c r="D664" s="95">
        <v>1</v>
      </c>
      <c r="E664" s="95">
        <v>2100</v>
      </c>
      <c r="F664" s="90">
        <f t="shared" si="229"/>
        <v>2</v>
      </c>
      <c r="G664" s="90">
        <f t="shared" si="229"/>
        <v>2700</v>
      </c>
      <c r="H664" s="91">
        <v>0</v>
      </c>
      <c r="I664" s="91">
        <v>0</v>
      </c>
      <c r="J664" s="91">
        <f t="shared" si="230"/>
        <v>0</v>
      </c>
      <c r="K664" s="91">
        <f t="shared" si="230"/>
        <v>0</v>
      </c>
      <c r="L664" s="92">
        <v>1</v>
      </c>
      <c r="M664" s="93">
        <v>755</v>
      </c>
      <c r="N664" s="94">
        <f t="shared" si="231"/>
        <v>2</v>
      </c>
      <c r="O664" s="94">
        <f t="shared" si="232"/>
        <v>995</v>
      </c>
      <c r="P664">
        <v>0</v>
      </c>
      <c r="Q664">
        <v>0</v>
      </c>
      <c r="R664">
        <v>1</v>
      </c>
      <c r="S664">
        <v>600</v>
      </c>
    </row>
    <row r="665" spans="1:19" x14ac:dyDescent="0.2">
      <c r="A665" s="6" t="s">
        <v>42</v>
      </c>
      <c r="B665" s="92" t="s">
        <v>154</v>
      </c>
      <c r="C665" s="92">
        <v>4</v>
      </c>
      <c r="D665" s="95">
        <v>0</v>
      </c>
      <c r="E665" s="95">
        <v>0</v>
      </c>
      <c r="F665" s="90">
        <f t="shared" si="229"/>
        <v>2</v>
      </c>
      <c r="G665" s="90">
        <f t="shared" si="229"/>
        <v>2700</v>
      </c>
      <c r="H665" s="91">
        <v>0</v>
      </c>
      <c r="I665" s="91">
        <v>0</v>
      </c>
      <c r="J665" s="91">
        <f t="shared" si="230"/>
        <v>0</v>
      </c>
      <c r="K665" s="91">
        <f t="shared" si="230"/>
        <v>0</v>
      </c>
      <c r="L665" s="92">
        <v>0</v>
      </c>
      <c r="M665" s="93">
        <v>0</v>
      </c>
      <c r="N665" s="94">
        <f t="shared" si="231"/>
        <v>2</v>
      </c>
      <c r="O665" s="94">
        <f t="shared" si="232"/>
        <v>995</v>
      </c>
      <c r="P665">
        <v>0</v>
      </c>
      <c r="Q665">
        <v>0</v>
      </c>
      <c r="R665">
        <v>1</v>
      </c>
      <c r="S665">
        <v>600</v>
      </c>
    </row>
    <row r="666" spans="1:19" x14ac:dyDescent="0.2">
      <c r="A666" s="6" t="s">
        <v>42</v>
      </c>
      <c r="B666" s="92" t="s">
        <v>155</v>
      </c>
      <c r="C666" s="92">
        <v>5</v>
      </c>
      <c r="D666" s="95">
        <v>1</v>
      </c>
      <c r="E666" s="95">
        <v>2100</v>
      </c>
      <c r="F666" s="90">
        <f t="shared" si="229"/>
        <v>3</v>
      </c>
      <c r="G666" s="90">
        <f t="shared" si="229"/>
        <v>4800</v>
      </c>
      <c r="H666" s="91">
        <v>6</v>
      </c>
      <c r="I666" s="91">
        <v>95.4</v>
      </c>
      <c r="J666" s="91">
        <f t="shared" si="230"/>
        <v>6</v>
      </c>
      <c r="K666" s="91">
        <f t="shared" si="230"/>
        <v>95.4</v>
      </c>
      <c r="L666" s="92">
        <v>7</v>
      </c>
      <c r="M666" s="93">
        <v>1225</v>
      </c>
      <c r="N666" s="94">
        <f t="shared" si="231"/>
        <v>9</v>
      </c>
      <c r="O666" s="94">
        <f t="shared" si="232"/>
        <v>2220</v>
      </c>
      <c r="P666">
        <v>1</v>
      </c>
      <c r="Q666">
        <v>283.5</v>
      </c>
      <c r="R666">
        <v>2</v>
      </c>
      <c r="S666">
        <v>883.5</v>
      </c>
    </row>
    <row r="667" spans="1:19" x14ac:dyDescent="0.2">
      <c r="A667" s="6" t="s">
        <v>42</v>
      </c>
      <c r="B667" s="92" t="s">
        <v>156</v>
      </c>
      <c r="C667" s="92">
        <v>6</v>
      </c>
      <c r="D667" s="95">
        <v>0</v>
      </c>
      <c r="E667" s="95">
        <v>0</v>
      </c>
      <c r="F667" s="90">
        <f t="shared" si="229"/>
        <v>3</v>
      </c>
      <c r="G667" s="90">
        <f t="shared" si="229"/>
        <v>4800</v>
      </c>
      <c r="H667" s="91">
        <v>8</v>
      </c>
      <c r="I667" s="91">
        <v>3290</v>
      </c>
      <c r="J667" s="91">
        <f t="shared" si="230"/>
        <v>14</v>
      </c>
      <c r="K667" s="91">
        <f t="shared" si="230"/>
        <v>3385.4</v>
      </c>
      <c r="L667" s="92">
        <v>1</v>
      </c>
      <c r="M667" s="93">
        <v>75</v>
      </c>
      <c r="N667" s="94">
        <f t="shared" si="231"/>
        <v>10</v>
      </c>
      <c r="O667" s="94">
        <f t="shared" si="232"/>
        <v>2295</v>
      </c>
      <c r="P667">
        <v>0</v>
      </c>
      <c r="Q667">
        <v>0</v>
      </c>
      <c r="R667">
        <v>2</v>
      </c>
      <c r="S667">
        <v>883.5</v>
      </c>
    </row>
    <row r="668" spans="1:19" x14ac:dyDescent="0.2">
      <c r="A668" s="6" t="s">
        <v>42</v>
      </c>
      <c r="B668" s="92" t="s">
        <v>157</v>
      </c>
      <c r="C668" s="92">
        <v>7</v>
      </c>
      <c r="D668" s="95">
        <v>0</v>
      </c>
      <c r="E668" s="95">
        <v>0</v>
      </c>
      <c r="F668" s="90">
        <f t="shared" si="229"/>
        <v>3</v>
      </c>
      <c r="G668" s="90">
        <f t="shared" si="229"/>
        <v>4800</v>
      </c>
      <c r="H668" s="91">
        <v>0</v>
      </c>
      <c r="I668" s="91">
        <v>0</v>
      </c>
      <c r="J668" s="91">
        <f t="shared" si="230"/>
        <v>14</v>
      </c>
      <c r="K668" s="91">
        <f t="shared" si="230"/>
        <v>3385.4</v>
      </c>
      <c r="L668" s="92">
        <v>3</v>
      </c>
      <c r="M668" s="93">
        <v>6901.5</v>
      </c>
      <c r="N668" s="94">
        <f t="shared" si="231"/>
        <v>13</v>
      </c>
      <c r="O668" s="94">
        <f t="shared" si="232"/>
        <v>9196.5</v>
      </c>
      <c r="P668">
        <v>1</v>
      </c>
      <c r="Q668">
        <v>150</v>
      </c>
      <c r="R668">
        <v>3</v>
      </c>
      <c r="S668">
        <v>1033.5</v>
      </c>
    </row>
    <row r="669" spans="1:19" x14ac:dyDescent="0.2">
      <c r="A669" s="6" t="s">
        <v>42</v>
      </c>
      <c r="B669" s="92" t="s">
        <v>158</v>
      </c>
      <c r="C669" s="92">
        <v>8</v>
      </c>
      <c r="D669" s="95">
        <v>0</v>
      </c>
      <c r="E669" s="95">
        <v>0</v>
      </c>
      <c r="F669" s="90">
        <f t="shared" si="229"/>
        <v>3</v>
      </c>
      <c r="G669" s="90">
        <f t="shared" si="229"/>
        <v>4800</v>
      </c>
      <c r="H669" s="91">
        <v>2</v>
      </c>
      <c r="I669" s="91">
        <v>620</v>
      </c>
      <c r="J669" s="91">
        <f t="shared" si="230"/>
        <v>16</v>
      </c>
      <c r="K669" s="91">
        <f t="shared" si="230"/>
        <v>4005.4</v>
      </c>
      <c r="L669" s="92">
        <v>0</v>
      </c>
      <c r="M669" s="93">
        <v>0</v>
      </c>
      <c r="N669" s="94">
        <f t="shared" si="231"/>
        <v>13</v>
      </c>
      <c r="O669" s="94">
        <f t="shared" si="232"/>
        <v>9196.5</v>
      </c>
      <c r="P669" s="88"/>
      <c r="Q669" s="88">
        <v>0</v>
      </c>
    </row>
    <row r="670" spans="1:19" x14ac:dyDescent="0.2">
      <c r="A670" s="6" t="s">
        <v>42</v>
      </c>
      <c r="B670" s="92" t="s">
        <v>159</v>
      </c>
      <c r="C670" s="92">
        <v>9</v>
      </c>
      <c r="D670" s="95">
        <v>0</v>
      </c>
      <c r="E670" s="95">
        <v>0</v>
      </c>
      <c r="F670" s="90">
        <f t="shared" si="229"/>
        <v>3</v>
      </c>
      <c r="G670" s="90">
        <f t="shared" si="229"/>
        <v>4800</v>
      </c>
      <c r="H670" s="91">
        <v>0</v>
      </c>
      <c r="I670" s="91">
        <v>0</v>
      </c>
      <c r="J670" s="91">
        <f t="shared" si="230"/>
        <v>16</v>
      </c>
      <c r="K670" s="91">
        <f t="shared" si="230"/>
        <v>4005.4</v>
      </c>
      <c r="L670" s="92">
        <v>2</v>
      </c>
      <c r="M670" s="93">
        <v>60</v>
      </c>
      <c r="N670" s="94">
        <f t="shared" si="231"/>
        <v>15</v>
      </c>
      <c r="O670" s="94">
        <f t="shared" si="232"/>
        <v>9256.5</v>
      </c>
      <c r="P670" s="88"/>
      <c r="Q670" s="88">
        <v>0</v>
      </c>
    </row>
    <row r="671" spans="1:19" x14ac:dyDescent="0.2">
      <c r="A671" s="6" t="s">
        <v>42</v>
      </c>
      <c r="B671" s="92" t="s">
        <v>160</v>
      </c>
      <c r="C671" s="92">
        <v>10</v>
      </c>
      <c r="D671" s="95">
        <v>16</v>
      </c>
      <c r="E671" s="90">
        <v>9200</v>
      </c>
      <c r="F671" s="90">
        <f t="shared" si="229"/>
        <v>19</v>
      </c>
      <c r="G671" s="90">
        <f t="shared" si="229"/>
        <v>14000</v>
      </c>
      <c r="H671" s="91">
        <v>5</v>
      </c>
      <c r="I671" s="91">
        <v>2450</v>
      </c>
      <c r="J671" s="91">
        <f t="shared" si="230"/>
        <v>21</v>
      </c>
      <c r="K671" s="91">
        <f t="shared" si="230"/>
        <v>6455.4</v>
      </c>
      <c r="L671" s="92">
        <v>0</v>
      </c>
      <c r="M671" s="93">
        <v>0</v>
      </c>
      <c r="N671" s="94">
        <f t="shared" si="231"/>
        <v>15</v>
      </c>
      <c r="O671" s="94">
        <f t="shared" si="232"/>
        <v>9256.5</v>
      </c>
      <c r="P671" s="88"/>
      <c r="Q671" s="88">
        <v>0</v>
      </c>
    </row>
    <row r="672" spans="1:19" x14ac:dyDescent="0.2">
      <c r="A672" s="6" t="s">
        <v>42</v>
      </c>
      <c r="B672" s="92" t="s">
        <v>161</v>
      </c>
      <c r="C672" s="92">
        <v>11</v>
      </c>
      <c r="D672" s="95">
        <v>0</v>
      </c>
      <c r="E672" s="95">
        <v>0</v>
      </c>
      <c r="F672" s="90">
        <f t="shared" si="229"/>
        <v>19</v>
      </c>
      <c r="G672" s="90">
        <f t="shared" si="229"/>
        <v>14000</v>
      </c>
      <c r="H672" s="91">
        <v>7</v>
      </c>
      <c r="I672" s="91">
        <v>1805</v>
      </c>
      <c r="J672" s="91">
        <f t="shared" si="230"/>
        <v>28</v>
      </c>
      <c r="K672" s="91">
        <f t="shared" si="230"/>
        <v>8260.4</v>
      </c>
      <c r="L672" s="92">
        <v>1</v>
      </c>
      <c r="M672" s="93">
        <v>4500</v>
      </c>
      <c r="N672" s="94">
        <f t="shared" si="231"/>
        <v>16</v>
      </c>
      <c r="O672" s="94">
        <f t="shared" si="232"/>
        <v>13756.5</v>
      </c>
      <c r="P672" s="88"/>
      <c r="Q672" s="88">
        <v>0</v>
      </c>
    </row>
    <row r="673" spans="1:19" x14ac:dyDescent="0.2">
      <c r="A673" s="6" t="s">
        <v>42</v>
      </c>
      <c r="B673" s="92" t="s">
        <v>162</v>
      </c>
      <c r="C673" s="92">
        <v>12</v>
      </c>
      <c r="D673" s="95">
        <v>0</v>
      </c>
      <c r="E673" s="95">
        <v>0</v>
      </c>
      <c r="F673" s="90">
        <f t="shared" si="229"/>
        <v>19</v>
      </c>
      <c r="G673" s="90">
        <f t="shared" si="229"/>
        <v>14000</v>
      </c>
      <c r="H673" s="91">
        <v>4</v>
      </c>
      <c r="I673" s="91">
        <v>2277</v>
      </c>
      <c r="J673" s="91">
        <f t="shared" si="230"/>
        <v>32</v>
      </c>
      <c r="K673" s="91">
        <f t="shared" si="230"/>
        <v>10537.4</v>
      </c>
      <c r="L673" s="92">
        <v>0</v>
      </c>
      <c r="M673" s="93">
        <v>0</v>
      </c>
      <c r="N673" s="94">
        <f t="shared" si="231"/>
        <v>16</v>
      </c>
      <c r="O673" s="94">
        <f t="shared" si="232"/>
        <v>13756.5</v>
      </c>
      <c r="P673" s="88"/>
      <c r="Q673" s="88">
        <v>0</v>
      </c>
    </row>
    <row r="674" spans="1:19" x14ac:dyDescent="0.2">
      <c r="A674" s="6" t="s">
        <v>108</v>
      </c>
      <c r="B674" s="92" t="s">
        <v>151</v>
      </c>
      <c r="C674" s="92">
        <v>1</v>
      </c>
      <c r="D674" s="95">
        <v>0</v>
      </c>
      <c r="E674" s="95">
        <v>0</v>
      </c>
      <c r="F674" s="90">
        <f>D674</f>
        <v>0</v>
      </c>
      <c r="G674" s="90">
        <f>E674</f>
        <v>0</v>
      </c>
      <c r="H674" s="91">
        <v>0</v>
      </c>
      <c r="I674" s="91">
        <v>0</v>
      </c>
      <c r="J674" s="91">
        <f>H674</f>
        <v>0</v>
      </c>
      <c r="K674" s="91">
        <f>I674</f>
        <v>0</v>
      </c>
      <c r="L674" s="92">
        <v>1</v>
      </c>
      <c r="M674" s="93">
        <v>5000</v>
      </c>
      <c r="N674" s="94">
        <f>L674</f>
        <v>1</v>
      </c>
      <c r="O674" s="94">
        <f>M674</f>
        <v>5000</v>
      </c>
      <c r="P674">
        <v>0</v>
      </c>
      <c r="Q674" s="88">
        <v>0</v>
      </c>
      <c r="R674">
        <v>0</v>
      </c>
      <c r="S674" s="87">
        <v>0</v>
      </c>
    </row>
    <row r="675" spans="1:19" x14ac:dyDescent="0.2">
      <c r="A675" s="6" t="s">
        <v>108</v>
      </c>
      <c r="B675" s="92" t="s">
        <v>152</v>
      </c>
      <c r="C675" s="92">
        <v>2</v>
      </c>
      <c r="D675" s="95">
        <v>0</v>
      </c>
      <c r="E675" s="95">
        <v>0</v>
      </c>
      <c r="F675" s="90">
        <f t="shared" ref="F675:G685" si="233">F674+D675</f>
        <v>0</v>
      </c>
      <c r="G675" s="90">
        <f t="shared" si="233"/>
        <v>0</v>
      </c>
      <c r="H675" s="91">
        <v>0</v>
      </c>
      <c r="I675" s="91">
        <v>0</v>
      </c>
      <c r="J675" s="91">
        <f t="shared" ref="J675:K685" si="234">J674+H675</f>
        <v>0</v>
      </c>
      <c r="K675" s="91">
        <f t="shared" si="234"/>
        <v>0</v>
      </c>
      <c r="L675" s="92">
        <v>0</v>
      </c>
      <c r="M675" s="93">
        <v>0</v>
      </c>
      <c r="N675" s="94">
        <f t="shared" ref="N675:N685" si="235">N674+L675</f>
        <v>1</v>
      </c>
      <c r="O675" s="94">
        <f t="shared" ref="O675:O685" si="236">O674+M675</f>
        <v>5000</v>
      </c>
      <c r="P675">
        <v>0</v>
      </c>
      <c r="Q675" s="88">
        <v>0</v>
      </c>
      <c r="R675">
        <v>0</v>
      </c>
      <c r="S675" s="87">
        <v>0</v>
      </c>
    </row>
    <row r="676" spans="1:19" x14ac:dyDescent="0.2">
      <c r="A676" s="6" t="s">
        <v>108</v>
      </c>
      <c r="B676" s="92" t="s">
        <v>153</v>
      </c>
      <c r="C676" s="92">
        <v>3</v>
      </c>
      <c r="D676" s="95">
        <v>1</v>
      </c>
      <c r="E676" s="95">
        <v>200</v>
      </c>
      <c r="F676" s="90">
        <f t="shared" si="233"/>
        <v>1</v>
      </c>
      <c r="G676" s="90">
        <f t="shared" si="233"/>
        <v>200</v>
      </c>
      <c r="H676" s="91">
        <v>0</v>
      </c>
      <c r="I676" s="91">
        <v>0</v>
      </c>
      <c r="J676" s="91">
        <f t="shared" si="234"/>
        <v>0</v>
      </c>
      <c r="K676" s="91">
        <f t="shared" si="234"/>
        <v>0</v>
      </c>
      <c r="L676" s="92">
        <v>0</v>
      </c>
      <c r="M676" s="93">
        <v>0</v>
      </c>
      <c r="N676" s="94">
        <f t="shared" si="235"/>
        <v>1</v>
      </c>
      <c r="O676" s="94">
        <f t="shared" si="236"/>
        <v>5000</v>
      </c>
      <c r="P676">
        <v>0</v>
      </c>
      <c r="Q676" s="88">
        <v>0</v>
      </c>
      <c r="R676">
        <v>0</v>
      </c>
      <c r="S676" s="87">
        <v>0</v>
      </c>
    </row>
    <row r="677" spans="1:19" x14ac:dyDescent="0.2">
      <c r="A677" s="6" t="s">
        <v>108</v>
      </c>
      <c r="B677" s="92" t="s">
        <v>154</v>
      </c>
      <c r="C677" s="92">
        <v>4</v>
      </c>
      <c r="D677" s="95">
        <v>0</v>
      </c>
      <c r="E677" s="95">
        <v>0</v>
      </c>
      <c r="F677" s="90">
        <f t="shared" si="233"/>
        <v>1</v>
      </c>
      <c r="G677" s="90">
        <f t="shared" si="233"/>
        <v>200</v>
      </c>
      <c r="H677" s="91">
        <v>0</v>
      </c>
      <c r="I677" s="91">
        <v>0</v>
      </c>
      <c r="J677" s="91">
        <f t="shared" si="234"/>
        <v>0</v>
      </c>
      <c r="K677" s="91">
        <f t="shared" si="234"/>
        <v>0</v>
      </c>
      <c r="L677" s="92">
        <v>0</v>
      </c>
      <c r="M677" s="93">
        <v>0</v>
      </c>
      <c r="N677" s="94">
        <f t="shared" si="235"/>
        <v>1</v>
      </c>
      <c r="O677" s="94">
        <f t="shared" si="236"/>
        <v>5000</v>
      </c>
      <c r="P677">
        <v>0</v>
      </c>
      <c r="Q677" s="88">
        <v>0</v>
      </c>
      <c r="R677">
        <v>0</v>
      </c>
      <c r="S677" s="87">
        <v>0</v>
      </c>
    </row>
    <row r="678" spans="1:19" x14ac:dyDescent="0.2">
      <c r="A678" s="6" t="s">
        <v>108</v>
      </c>
      <c r="B678" s="92" t="s">
        <v>155</v>
      </c>
      <c r="C678" s="92">
        <v>5</v>
      </c>
      <c r="D678" s="95">
        <v>0</v>
      </c>
      <c r="E678" s="95">
        <v>0</v>
      </c>
      <c r="F678" s="90">
        <f t="shared" si="233"/>
        <v>1</v>
      </c>
      <c r="G678" s="90">
        <f t="shared" si="233"/>
        <v>200</v>
      </c>
      <c r="H678" s="91">
        <v>1</v>
      </c>
      <c r="I678" s="91">
        <v>750</v>
      </c>
      <c r="J678" s="91">
        <f t="shared" si="234"/>
        <v>1</v>
      </c>
      <c r="K678" s="91">
        <f t="shared" si="234"/>
        <v>750</v>
      </c>
      <c r="L678" s="92">
        <v>0</v>
      </c>
      <c r="M678" s="93">
        <v>0</v>
      </c>
      <c r="N678" s="94">
        <f t="shared" si="235"/>
        <v>1</v>
      </c>
      <c r="O678" s="94">
        <f t="shared" si="236"/>
        <v>5000</v>
      </c>
      <c r="P678">
        <v>0</v>
      </c>
      <c r="Q678" s="88">
        <v>0</v>
      </c>
      <c r="R678">
        <v>0</v>
      </c>
      <c r="S678" s="87">
        <v>0</v>
      </c>
    </row>
    <row r="679" spans="1:19" x14ac:dyDescent="0.2">
      <c r="A679" s="6" t="s">
        <v>108</v>
      </c>
      <c r="B679" s="92" t="s">
        <v>156</v>
      </c>
      <c r="C679" s="92">
        <v>6</v>
      </c>
      <c r="D679" s="95">
        <v>1</v>
      </c>
      <c r="E679" s="95">
        <v>750</v>
      </c>
      <c r="F679" s="90">
        <f t="shared" si="233"/>
        <v>2</v>
      </c>
      <c r="G679" s="90">
        <f t="shared" si="233"/>
        <v>950</v>
      </c>
      <c r="H679" s="91">
        <v>0</v>
      </c>
      <c r="I679" s="91">
        <v>0</v>
      </c>
      <c r="J679" s="91">
        <f t="shared" si="234"/>
        <v>1</v>
      </c>
      <c r="K679" s="91">
        <f t="shared" si="234"/>
        <v>750</v>
      </c>
      <c r="L679" s="92">
        <v>0</v>
      </c>
      <c r="M679" s="93">
        <v>0</v>
      </c>
      <c r="N679" s="94">
        <f t="shared" si="235"/>
        <v>1</v>
      </c>
      <c r="O679" s="94">
        <f t="shared" si="236"/>
        <v>5000</v>
      </c>
      <c r="P679">
        <v>0</v>
      </c>
      <c r="Q679" s="88">
        <v>0</v>
      </c>
      <c r="R679">
        <v>0</v>
      </c>
      <c r="S679" s="87">
        <v>0</v>
      </c>
    </row>
    <row r="680" spans="1:19" x14ac:dyDescent="0.2">
      <c r="A680" s="6" t="s">
        <v>108</v>
      </c>
      <c r="B680" s="92" t="s">
        <v>157</v>
      </c>
      <c r="C680" s="92">
        <v>7</v>
      </c>
      <c r="D680" s="95">
        <v>1</v>
      </c>
      <c r="E680" s="95">
        <v>750</v>
      </c>
      <c r="F680" s="90">
        <f t="shared" si="233"/>
        <v>3</v>
      </c>
      <c r="G680" s="90">
        <f t="shared" si="233"/>
        <v>1700</v>
      </c>
      <c r="H680" s="91">
        <v>0</v>
      </c>
      <c r="I680" s="91">
        <v>0</v>
      </c>
      <c r="J680" s="91">
        <f t="shared" si="234"/>
        <v>1</v>
      </c>
      <c r="K680" s="91">
        <f t="shared" si="234"/>
        <v>750</v>
      </c>
      <c r="L680" s="92">
        <v>2</v>
      </c>
      <c r="M680" s="93">
        <v>2400</v>
      </c>
      <c r="N680" s="94">
        <f t="shared" si="235"/>
        <v>3</v>
      </c>
      <c r="O680" s="94">
        <f t="shared" si="236"/>
        <v>7400</v>
      </c>
      <c r="P680">
        <v>0</v>
      </c>
      <c r="Q680" s="88">
        <v>0</v>
      </c>
      <c r="R680">
        <v>0</v>
      </c>
      <c r="S680" s="87">
        <v>0</v>
      </c>
    </row>
    <row r="681" spans="1:19" x14ac:dyDescent="0.2">
      <c r="A681" s="6" t="s">
        <v>108</v>
      </c>
      <c r="B681" s="92" t="s">
        <v>158</v>
      </c>
      <c r="C681" s="92">
        <v>8</v>
      </c>
      <c r="D681" s="95">
        <v>1</v>
      </c>
      <c r="E681" s="95">
        <v>1600</v>
      </c>
      <c r="F681" s="90">
        <f t="shared" si="233"/>
        <v>4</v>
      </c>
      <c r="G681" s="90">
        <f t="shared" si="233"/>
        <v>3300</v>
      </c>
      <c r="H681" s="91">
        <v>0</v>
      </c>
      <c r="I681" s="91">
        <v>0</v>
      </c>
      <c r="J681" s="91">
        <f t="shared" si="234"/>
        <v>1</v>
      </c>
      <c r="K681" s="91">
        <f t="shared" si="234"/>
        <v>750</v>
      </c>
      <c r="L681" s="92">
        <v>0</v>
      </c>
      <c r="M681" s="93">
        <v>0</v>
      </c>
      <c r="N681" s="94">
        <f t="shared" si="235"/>
        <v>3</v>
      </c>
      <c r="O681" s="94">
        <f t="shared" si="236"/>
        <v>7400</v>
      </c>
      <c r="P681" s="88"/>
      <c r="Q681" s="88">
        <v>0</v>
      </c>
    </row>
    <row r="682" spans="1:19" x14ac:dyDescent="0.2">
      <c r="A682" s="6" t="s">
        <v>108</v>
      </c>
      <c r="B682" s="92" t="s">
        <v>159</v>
      </c>
      <c r="C682" s="92">
        <v>9</v>
      </c>
      <c r="D682" s="95">
        <v>0</v>
      </c>
      <c r="E682" s="95">
        <v>0</v>
      </c>
      <c r="F682" s="90">
        <f t="shared" si="233"/>
        <v>4</v>
      </c>
      <c r="G682" s="90">
        <f t="shared" si="233"/>
        <v>3300</v>
      </c>
      <c r="H682" s="91">
        <v>0</v>
      </c>
      <c r="I682" s="91">
        <v>0</v>
      </c>
      <c r="J682" s="91">
        <f t="shared" si="234"/>
        <v>1</v>
      </c>
      <c r="K682" s="91">
        <f t="shared" si="234"/>
        <v>750</v>
      </c>
      <c r="L682" s="92">
        <v>1</v>
      </c>
      <c r="M682" s="93">
        <v>750</v>
      </c>
      <c r="N682" s="94">
        <f t="shared" si="235"/>
        <v>4</v>
      </c>
      <c r="O682" s="94">
        <f t="shared" si="236"/>
        <v>8150</v>
      </c>
      <c r="P682" s="88"/>
      <c r="Q682" s="88">
        <v>0</v>
      </c>
    </row>
    <row r="683" spans="1:19" x14ac:dyDescent="0.2">
      <c r="A683" s="6" t="s">
        <v>108</v>
      </c>
      <c r="B683" s="92" t="s">
        <v>160</v>
      </c>
      <c r="C683" s="92">
        <v>10</v>
      </c>
      <c r="D683" s="95">
        <v>1</v>
      </c>
      <c r="E683" s="95">
        <v>1950</v>
      </c>
      <c r="F683" s="90">
        <f t="shared" si="233"/>
        <v>5</v>
      </c>
      <c r="G683" s="90">
        <f t="shared" si="233"/>
        <v>5250</v>
      </c>
      <c r="H683" s="91">
        <v>3</v>
      </c>
      <c r="I683" s="91">
        <v>6550</v>
      </c>
      <c r="J683" s="91">
        <f t="shared" si="234"/>
        <v>4</v>
      </c>
      <c r="K683" s="91">
        <f t="shared" si="234"/>
        <v>7300</v>
      </c>
      <c r="L683" s="92">
        <v>0</v>
      </c>
      <c r="M683" s="93">
        <v>0</v>
      </c>
      <c r="N683" s="94">
        <f t="shared" si="235"/>
        <v>4</v>
      </c>
      <c r="O683" s="94">
        <f t="shared" si="236"/>
        <v>8150</v>
      </c>
      <c r="P683" s="88"/>
      <c r="Q683" s="88">
        <v>0</v>
      </c>
    </row>
    <row r="684" spans="1:19" x14ac:dyDescent="0.2">
      <c r="A684" s="6" t="s">
        <v>108</v>
      </c>
      <c r="B684" s="92" t="s">
        <v>161</v>
      </c>
      <c r="C684" s="92">
        <v>11</v>
      </c>
      <c r="D684" s="95">
        <v>0</v>
      </c>
      <c r="E684" s="95">
        <v>0</v>
      </c>
      <c r="F684" s="90">
        <f t="shared" si="233"/>
        <v>5</v>
      </c>
      <c r="G684" s="90">
        <f t="shared" si="233"/>
        <v>5250</v>
      </c>
      <c r="H684" s="91">
        <v>3</v>
      </c>
      <c r="I684" s="91">
        <v>390</v>
      </c>
      <c r="J684" s="91">
        <f t="shared" si="234"/>
        <v>7</v>
      </c>
      <c r="K684" s="91">
        <f t="shared" si="234"/>
        <v>7690</v>
      </c>
      <c r="L684" s="92">
        <v>9</v>
      </c>
      <c r="M684" s="93">
        <v>14800</v>
      </c>
      <c r="N684" s="94">
        <f t="shared" si="235"/>
        <v>13</v>
      </c>
      <c r="O684" s="94">
        <f t="shared" si="236"/>
        <v>22950</v>
      </c>
      <c r="P684" s="88"/>
      <c r="Q684" s="88">
        <v>0</v>
      </c>
    </row>
    <row r="685" spans="1:19" x14ac:dyDescent="0.2">
      <c r="A685" s="6" t="s">
        <v>108</v>
      </c>
      <c r="B685" s="92" t="s">
        <v>162</v>
      </c>
      <c r="C685" s="92">
        <v>12</v>
      </c>
      <c r="D685" s="95">
        <v>0</v>
      </c>
      <c r="E685" s="95">
        <v>0</v>
      </c>
      <c r="F685" s="90">
        <f t="shared" si="233"/>
        <v>5</v>
      </c>
      <c r="G685" s="90">
        <f t="shared" si="233"/>
        <v>5250</v>
      </c>
      <c r="H685" s="91">
        <v>0</v>
      </c>
      <c r="I685" s="91">
        <v>0</v>
      </c>
      <c r="J685" s="91">
        <f t="shared" si="234"/>
        <v>7</v>
      </c>
      <c r="K685" s="91">
        <f t="shared" si="234"/>
        <v>7690</v>
      </c>
      <c r="L685" s="92">
        <v>0</v>
      </c>
      <c r="M685" s="93">
        <v>0</v>
      </c>
      <c r="N685" s="94">
        <f t="shared" si="235"/>
        <v>13</v>
      </c>
      <c r="O685" s="94">
        <f t="shared" si="236"/>
        <v>22950</v>
      </c>
      <c r="P685" s="88"/>
      <c r="Q685" s="88">
        <v>0</v>
      </c>
    </row>
    <row r="686" spans="1:19" x14ac:dyDescent="0.2">
      <c r="A686" s="6" t="s">
        <v>129</v>
      </c>
      <c r="B686" s="92" t="s">
        <v>151</v>
      </c>
      <c r="C686" s="92">
        <v>1</v>
      </c>
      <c r="D686" s="95">
        <v>0</v>
      </c>
      <c r="E686" s="95">
        <v>0</v>
      </c>
      <c r="F686" s="90">
        <f>D686</f>
        <v>0</v>
      </c>
      <c r="G686" s="90">
        <f>E686</f>
        <v>0</v>
      </c>
      <c r="H686" s="90">
        <v>0</v>
      </c>
      <c r="I686" s="90">
        <v>0</v>
      </c>
      <c r="J686" s="90">
        <f>H686</f>
        <v>0</v>
      </c>
      <c r="K686" s="90">
        <f>I686</f>
        <v>0</v>
      </c>
      <c r="L686" s="92">
        <v>0</v>
      </c>
      <c r="M686" s="93">
        <v>0</v>
      </c>
      <c r="N686" s="94">
        <f>L686</f>
        <v>0</v>
      </c>
      <c r="O686" s="94">
        <f>M686</f>
        <v>0</v>
      </c>
      <c r="P686">
        <v>0</v>
      </c>
      <c r="Q686" s="88">
        <v>0</v>
      </c>
      <c r="R686">
        <v>0</v>
      </c>
      <c r="S686" s="87">
        <v>0</v>
      </c>
    </row>
    <row r="687" spans="1:19" x14ac:dyDescent="0.2">
      <c r="A687" s="6" t="s">
        <v>129</v>
      </c>
      <c r="B687" s="92" t="s">
        <v>152</v>
      </c>
      <c r="C687" s="92">
        <v>2</v>
      </c>
      <c r="D687" s="95">
        <v>0</v>
      </c>
      <c r="E687" s="95">
        <v>0</v>
      </c>
      <c r="F687" s="90">
        <f t="shared" ref="F687:F697" si="237">F686+D687</f>
        <v>0</v>
      </c>
      <c r="G687" s="90">
        <f t="shared" ref="G687:G697" si="238">G686+E687</f>
        <v>0</v>
      </c>
      <c r="H687" s="90">
        <v>0</v>
      </c>
      <c r="I687" s="90">
        <v>0</v>
      </c>
      <c r="J687" s="90">
        <f t="shared" ref="J687:J697" si="239">J686+H687</f>
        <v>0</v>
      </c>
      <c r="K687" s="90">
        <f t="shared" ref="K687:K697" si="240">K686+I687</f>
        <v>0</v>
      </c>
      <c r="L687" s="92">
        <v>0</v>
      </c>
      <c r="M687" s="93">
        <v>0</v>
      </c>
      <c r="N687" s="94">
        <f t="shared" ref="N687:N697" si="241">N686+L687</f>
        <v>0</v>
      </c>
      <c r="O687" s="94">
        <f t="shared" ref="O687:O697" si="242">O686+M687</f>
        <v>0</v>
      </c>
      <c r="P687">
        <v>0</v>
      </c>
      <c r="Q687" s="88">
        <v>0</v>
      </c>
      <c r="R687">
        <v>0</v>
      </c>
      <c r="S687" s="87">
        <v>0</v>
      </c>
    </row>
    <row r="688" spans="1:19" x14ac:dyDescent="0.2">
      <c r="A688" s="6" t="s">
        <v>129</v>
      </c>
      <c r="B688" s="92" t="s">
        <v>153</v>
      </c>
      <c r="C688" s="92">
        <v>3</v>
      </c>
      <c r="D688" s="95">
        <v>0</v>
      </c>
      <c r="E688" s="95">
        <v>0</v>
      </c>
      <c r="F688" s="90">
        <f t="shared" si="237"/>
        <v>0</v>
      </c>
      <c r="G688" s="90">
        <f t="shared" si="238"/>
        <v>0</v>
      </c>
      <c r="H688" s="90">
        <v>0</v>
      </c>
      <c r="I688" s="90">
        <v>0</v>
      </c>
      <c r="J688" s="90">
        <f t="shared" si="239"/>
        <v>0</v>
      </c>
      <c r="K688" s="90">
        <f t="shared" si="240"/>
        <v>0</v>
      </c>
      <c r="L688" s="92">
        <v>0</v>
      </c>
      <c r="M688" s="93">
        <v>0</v>
      </c>
      <c r="N688" s="94">
        <f t="shared" si="241"/>
        <v>0</v>
      </c>
      <c r="O688" s="94">
        <f t="shared" si="242"/>
        <v>0</v>
      </c>
      <c r="P688">
        <v>0</v>
      </c>
      <c r="Q688" s="88">
        <v>0</v>
      </c>
      <c r="R688">
        <v>0</v>
      </c>
      <c r="S688" s="87">
        <v>0</v>
      </c>
    </row>
    <row r="689" spans="1:19" x14ac:dyDescent="0.2">
      <c r="A689" s="6" t="s">
        <v>129</v>
      </c>
      <c r="B689" s="92" t="s">
        <v>154</v>
      </c>
      <c r="C689" s="92">
        <v>4</v>
      </c>
      <c r="D689" s="95">
        <v>0</v>
      </c>
      <c r="E689" s="95">
        <v>0</v>
      </c>
      <c r="F689" s="90">
        <f t="shared" si="237"/>
        <v>0</v>
      </c>
      <c r="G689" s="90">
        <f t="shared" si="238"/>
        <v>0</v>
      </c>
      <c r="H689" s="90">
        <v>0</v>
      </c>
      <c r="I689" s="90">
        <v>0</v>
      </c>
      <c r="J689" s="90">
        <f t="shared" si="239"/>
        <v>0</v>
      </c>
      <c r="K689" s="90">
        <f t="shared" si="240"/>
        <v>0</v>
      </c>
      <c r="L689" s="92">
        <v>0</v>
      </c>
      <c r="M689" s="93">
        <v>0</v>
      </c>
      <c r="N689" s="94">
        <f t="shared" si="241"/>
        <v>0</v>
      </c>
      <c r="O689" s="94">
        <f t="shared" si="242"/>
        <v>0</v>
      </c>
      <c r="P689">
        <v>0</v>
      </c>
      <c r="Q689" s="88">
        <v>0</v>
      </c>
      <c r="R689">
        <v>0</v>
      </c>
      <c r="S689" s="87">
        <v>0</v>
      </c>
    </row>
    <row r="690" spans="1:19" x14ac:dyDescent="0.2">
      <c r="A690" s="6" t="s">
        <v>129</v>
      </c>
      <c r="B690" s="92" t="s">
        <v>155</v>
      </c>
      <c r="C690" s="92">
        <v>5</v>
      </c>
      <c r="D690" s="95">
        <v>0</v>
      </c>
      <c r="E690" s="95">
        <v>0</v>
      </c>
      <c r="F690" s="90">
        <f t="shared" si="237"/>
        <v>0</v>
      </c>
      <c r="G690" s="90">
        <f t="shared" si="238"/>
        <v>0</v>
      </c>
      <c r="H690" s="90">
        <v>0</v>
      </c>
      <c r="I690" s="90">
        <v>0</v>
      </c>
      <c r="J690" s="90">
        <f t="shared" si="239"/>
        <v>0</v>
      </c>
      <c r="K690" s="90">
        <f t="shared" si="240"/>
        <v>0</v>
      </c>
      <c r="L690" s="92">
        <v>0</v>
      </c>
      <c r="M690" s="93">
        <v>0</v>
      </c>
      <c r="N690" s="94">
        <f t="shared" si="241"/>
        <v>0</v>
      </c>
      <c r="O690" s="94">
        <f t="shared" si="242"/>
        <v>0</v>
      </c>
      <c r="P690">
        <v>0</v>
      </c>
      <c r="Q690" s="88">
        <v>0</v>
      </c>
      <c r="R690">
        <v>0</v>
      </c>
      <c r="S690" s="87">
        <v>0</v>
      </c>
    </row>
    <row r="691" spans="1:19" x14ac:dyDescent="0.2">
      <c r="A691" s="6" t="s">
        <v>129</v>
      </c>
      <c r="B691" s="92" t="s">
        <v>156</v>
      </c>
      <c r="C691" s="92">
        <v>6</v>
      </c>
      <c r="D691" s="95">
        <v>0</v>
      </c>
      <c r="E691" s="95">
        <v>0</v>
      </c>
      <c r="F691" s="90">
        <f t="shared" si="237"/>
        <v>0</v>
      </c>
      <c r="G691" s="90">
        <f t="shared" si="238"/>
        <v>0</v>
      </c>
      <c r="H691" s="90">
        <v>0</v>
      </c>
      <c r="I691" s="90">
        <v>0</v>
      </c>
      <c r="J691" s="90">
        <f t="shared" si="239"/>
        <v>0</v>
      </c>
      <c r="K691" s="90">
        <f t="shared" si="240"/>
        <v>0</v>
      </c>
      <c r="L691" s="92">
        <v>0</v>
      </c>
      <c r="M691" s="93">
        <v>0</v>
      </c>
      <c r="N691" s="94">
        <f t="shared" si="241"/>
        <v>0</v>
      </c>
      <c r="O691" s="94">
        <f t="shared" si="242"/>
        <v>0</v>
      </c>
      <c r="P691">
        <v>0</v>
      </c>
      <c r="Q691" s="88">
        <v>0</v>
      </c>
      <c r="R691">
        <v>0</v>
      </c>
      <c r="S691" s="87">
        <v>0</v>
      </c>
    </row>
    <row r="692" spans="1:19" x14ac:dyDescent="0.2">
      <c r="A692" s="6" t="s">
        <v>129</v>
      </c>
      <c r="B692" s="92" t="s">
        <v>157</v>
      </c>
      <c r="C692" s="92">
        <v>7</v>
      </c>
      <c r="D692" s="95">
        <v>0</v>
      </c>
      <c r="E692" s="95">
        <v>0</v>
      </c>
      <c r="F692" s="90">
        <f t="shared" si="237"/>
        <v>0</v>
      </c>
      <c r="G692" s="90">
        <f t="shared" si="238"/>
        <v>0</v>
      </c>
      <c r="H692" s="90">
        <v>0</v>
      </c>
      <c r="I692" s="90">
        <v>0</v>
      </c>
      <c r="J692" s="90">
        <f t="shared" si="239"/>
        <v>0</v>
      </c>
      <c r="K692" s="90">
        <f t="shared" si="240"/>
        <v>0</v>
      </c>
      <c r="L692" s="92">
        <v>0</v>
      </c>
      <c r="M692" s="93">
        <v>0</v>
      </c>
      <c r="N692" s="94">
        <f t="shared" si="241"/>
        <v>0</v>
      </c>
      <c r="O692" s="94">
        <f t="shared" si="242"/>
        <v>0</v>
      </c>
      <c r="P692">
        <v>0</v>
      </c>
      <c r="Q692" s="88">
        <v>0</v>
      </c>
      <c r="R692">
        <v>0</v>
      </c>
      <c r="S692" s="87">
        <v>0</v>
      </c>
    </row>
    <row r="693" spans="1:19" x14ac:dyDescent="0.2">
      <c r="A693" s="6" t="s">
        <v>129</v>
      </c>
      <c r="B693" s="92" t="s">
        <v>158</v>
      </c>
      <c r="C693" s="92">
        <v>8</v>
      </c>
      <c r="D693" s="95">
        <v>0</v>
      </c>
      <c r="E693" s="95">
        <v>0</v>
      </c>
      <c r="F693" s="90">
        <f t="shared" si="237"/>
        <v>0</v>
      </c>
      <c r="G693" s="90">
        <f t="shared" si="238"/>
        <v>0</v>
      </c>
      <c r="H693" s="90">
        <v>0</v>
      </c>
      <c r="I693" s="90">
        <v>0</v>
      </c>
      <c r="J693" s="90">
        <f t="shared" si="239"/>
        <v>0</v>
      </c>
      <c r="K693" s="90">
        <f t="shared" si="240"/>
        <v>0</v>
      </c>
      <c r="L693" s="92">
        <v>0</v>
      </c>
      <c r="M693" s="93">
        <v>0</v>
      </c>
      <c r="N693" s="94">
        <f t="shared" si="241"/>
        <v>0</v>
      </c>
      <c r="O693" s="94">
        <f t="shared" si="242"/>
        <v>0</v>
      </c>
      <c r="P693" s="88"/>
      <c r="Q693" s="88">
        <v>0</v>
      </c>
    </row>
    <row r="694" spans="1:19" x14ac:dyDescent="0.2">
      <c r="A694" s="6" t="s">
        <v>129</v>
      </c>
      <c r="B694" s="92" t="s">
        <v>159</v>
      </c>
      <c r="C694" s="92">
        <v>9</v>
      </c>
      <c r="D694" s="95">
        <v>0</v>
      </c>
      <c r="E694" s="95">
        <v>0</v>
      </c>
      <c r="F694" s="90">
        <f t="shared" si="237"/>
        <v>0</v>
      </c>
      <c r="G694" s="90">
        <f t="shared" si="238"/>
        <v>0</v>
      </c>
      <c r="H694" s="90">
        <v>0</v>
      </c>
      <c r="I694" s="90">
        <v>0</v>
      </c>
      <c r="J694" s="90">
        <f t="shared" si="239"/>
        <v>0</v>
      </c>
      <c r="K694" s="90">
        <f t="shared" si="240"/>
        <v>0</v>
      </c>
      <c r="L694" s="92">
        <v>0</v>
      </c>
      <c r="M694" s="93">
        <v>0</v>
      </c>
      <c r="N694" s="94">
        <f t="shared" si="241"/>
        <v>0</v>
      </c>
      <c r="O694" s="94">
        <f t="shared" si="242"/>
        <v>0</v>
      </c>
      <c r="P694" s="88"/>
      <c r="Q694" s="88">
        <v>0</v>
      </c>
    </row>
    <row r="695" spans="1:19" x14ac:dyDescent="0.2">
      <c r="A695" s="6" t="s">
        <v>129</v>
      </c>
      <c r="B695" s="92" t="s">
        <v>160</v>
      </c>
      <c r="C695" s="92">
        <v>10</v>
      </c>
      <c r="D695" s="95">
        <v>0</v>
      </c>
      <c r="E695" s="95">
        <v>0</v>
      </c>
      <c r="F695" s="90">
        <f t="shared" si="237"/>
        <v>0</v>
      </c>
      <c r="G695" s="90">
        <f t="shared" si="238"/>
        <v>0</v>
      </c>
      <c r="H695" s="90">
        <v>0</v>
      </c>
      <c r="I695" s="90">
        <v>0</v>
      </c>
      <c r="J695" s="90">
        <f t="shared" si="239"/>
        <v>0</v>
      </c>
      <c r="K695" s="90">
        <f t="shared" si="240"/>
        <v>0</v>
      </c>
      <c r="L695" s="92">
        <v>0</v>
      </c>
      <c r="M695" s="93">
        <v>0</v>
      </c>
      <c r="N695" s="94">
        <f t="shared" si="241"/>
        <v>0</v>
      </c>
      <c r="O695" s="94">
        <f t="shared" si="242"/>
        <v>0</v>
      </c>
      <c r="P695" s="88"/>
      <c r="Q695" s="88">
        <v>0</v>
      </c>
    </row>
    <row r="696" spans="1:19" x14ac:dyDescent="0.2">
      <c r="A696" s="6" t="s">
        <v>129</v>
      </c>
      <c r="B696" s="92" t="s">
        <v>161</v>
      </c>
      <c r="C696" s="92">
        <v>11</v>
      </c>
      <c r="D696" s="95">
        <v>0</v>
      </c>
      <c r="E696" s="95">
        <v>0</v>
      </c>
      <c r="F696" s="90">
        <f t="shared" si="237"/>
        <v>0</v>
      </c>
      <c r="G696" s="90">
        <f t="shared" si="238"/>
        <v>0</v>
      </c>
      <c r="H696" s="90">
        <v>0</v>
      </c>
      <c r="I696" s="90">
        <v>0</v>
      </c>
      <c r="J696" s="90">
        <f t="shared" si="239"/>
        <v>0</v>
      </c>
      <c r="K696" s="90">
        <f t="shared" si="240"/>
        <v>0</v>
      </c>
      <c r="L696" s="92">
        <v>0</v>
      </c>
      <c r="M696" s="93">
        <v>0</v>
      </c>
      <c r="N696" s="94">
        <f t="shared" si="241"/>
        <v>0</v>
      </c>
      <c r="O696" s="94">
        <f t="shared" si="242"/>
        <v>0</v>
      </c>
      <c r="P696" s="88"/>
      <c r="Q696" s="88">
        <v>0</v>
      </c>
    </row>
    <row r="697" spans="1:19" x14ac:dyDescent="0.2">
      <c r="A697" s="6" t="s">
        <v>129</v>
      </c>
      <c r="B697" s="92" t="s">
        <v>162</v>
      </c>
      <c r="C697" s="92">
        <v>12</v>
      </c>
      <c r="D697" s="95">
        <v>0</v>
      </c>
      <c r="E697" s="95">
        <v>0</v>
      </c>
      <c r="F697" s="90">
        <f t="shared" si="237"/>
        <v>0</v>
      </c>
      <c r="G697" s="90">
        <f t="shared" si="238"/>
        <v>0</v>
      </c>
      <c r="H697" s="90">
        <v>0</v>
      </c>
      <c r="I697" s="90">
        <v>0</v>
      </c>
      <c r="J697" s="90">
        <f t="shared" si="239"/>
        <v>0</v>
      </c>
      <c r="K697" s="90">
        <f t="shared" si="240"/>
        <v>0</v>
      </c>
      <c r="L697" s="92">
        <v>0</v>
      </c>
      <c r="M697" s="93">
        <v>0</v>
      </c>
      <c r="N697" s="94">
        <f t="shared" si="241"/>
        <v>0</v>
      </c>
      <c r="O697" s="94">
        <f t="shared" si="242"/>
        <v>0</v>
      </c>
      <c r="P697" s="88"/>
      <c r="Q697" s="88">
        <v>0</v>
      </c>
    </row>
    <row r="698" spans="1:19" x14ac:dyDescent="0.2">
      <c r="A698" s="6" t="s">
        <v>125</v>
      </c>
      <c r="B698" s="92" t="s">
        <v>151</v>
      </c>
      <c r="C698" s="92">
        <v>1</v>
      </c>
      <c r="D698" s="95">
        <v>0</v>
      </c>
      <c r="E698" s="95">
        <v>0</v>
      </c>
      <c r="F698" s="90">
        <f>D698</f>
        <v>0</v>
      </c>
      <c r="G698" s="90">
        <f>E698</f>
        <v>0</v>
      </c>
      <c r="H698" s="91">
        <v>0</v>
      </c>
      <c r="I698" s="91">
        <v>0</v>
      </c>
      <c r="J698" s="91">
        <f>H698</f>
        <v>0</v>
      </c>
      <c r="K698" s="91">
        <f>I698</f>
        <v>0</v>
      </c>
      <c r="L698" s="92">
        <v>0</v>
      </c>
      <c r="M698" s="93">
        <v>0</v>
      </c>
      <c r="N698" s="94">
        <f>L698</f>
        <v>0</v>
      </c>
      <c r="O698" s="94">
        <f>M698</f>
        <v>0</v>
      </c>
      <c r="P698">
        <v>0</v>
      </c>
      <c r="Q698" s="88">
        <v>0</v>
      </c>
      <c r="R698">
        <v>0</v>
      </c>
      <c r="S698">
        <v>0</v>
      </c>
    </row>
    <row r="699" spans="1:19" x14ac:dyDescent="0.2">
      <c r="A699" s="6" t="s">
        <v>125</v>
      </c>
      <c r="B699" s="92" t="s">
        <v>152</v>
      </c>
      <c r="C699" s="92">
        <v>2</v>
      </c>
      <c r="D699" s="95">
        <v>0</v>
      </c>
      <c r="E699" s="95">
        <v>0</v>
      </c>
      <c r="F699" s="90">
        <f t="shared" ref="F699:G709" si="243">F698+D699</f>
        <v>0</v>
      </c>
      <c r="G699" s="90">
        <f t="shared" si="243"/>
        <v>0</v>
      </c>
      <c r="H699" s="91">
        <v>1</v>
      </c>
      <c r="I699" s="91">
        <v>50</v>
      </c>
      <c r="J699" s="91">
        <f t="shared" ref="J699:K709" si="244">J698+H699</f>
        <v>1</v>
      </c>
      <c r="K699" s="91">
        <f t="shared" si="244"/>
        <v>50</v>
      </c>
      <c r="L699" s="92">
        <v>10</v>
      </c>
      <c r="M699" s="93">
        <v>4706.1000000000004</v>
      </c>
      <c r="N699" s="94">
        <f t="shared" ref="N699:N709" si="245">N698+L699</f>
        <v>10</v>
      </c>
      <c r="O699" s="94">
        <f t="shared" ref="O699:O709" si="246">O698+M699</f>
        <v>4706.1000000000004</v>
      </c>
      <c r="P699">
        <v>0</v>
      </c>
      <c r="Q699" s="88">
        <v>0</v>
      </c>
      <c r="R699">
        <v>0</v>
      </c>
      <c r="S699">
        <v>0</v>
      </c>
    </row>
    <row r="700" spans="1:19" x14ac:dyDescent="0.2">
      <c r="A700" s="6" t="s">
        <v>125</v>
      </c>
      <c r="B700" s="92" t="s">
        <v>153</v>
      </c>
      <c r="C700" s="92">
        <v>3</v>
      </c>
      <c r="D700" s="95">
        <v>0</v>
      </c>
      <c r="E700" s="95">
        <v>0</v>
      </c>
      <c r="F700" s="90">
        <f t="shared" si="243"/>
        <v>0</v>
      </c>
      <c r="G700" s="90">
        <f t="shared" si="243"/>
        <v>0</v>
      </c>
      <c r="H700" s="91">
        <v>13</v>
      </c>
      <c r="I700" s="91">
        <v>6403.8</v>
      </c>
      <c r="J700" s="91">
        <f t="shared" si="244"/>
        <v>14</v>
      </c>
      <c r="K700" s="91">
        <f t="shared" si="244"/>
        <v>6453.8</v>
      </c>
      <c r="L700" s="92">
        <v>0</v>
      </c>
      <c r="M700" s="93">
        <v>0</v>
      </c>
      <c r="N700" s="94">
        <f t="shared" si="245"/>
        <v>10</v>
      </c>
      <c r="O700" s="94">
        <f t="shared" si="246"/>
        <v>4706.1000000000004</v>
      </c>
      <c r="P700">
        <v>1</v>
      </c>
      <c r="Q700" s="88">
        <v>1500</v>
      </c>
      <c r="R700">
        <v>1</v>
      </c>
      <c r="S700">
        <v>1500</v>
      </c>
    </row>
    <row r="701" spans="1:19" x14ac:dyDescent="0.2">
      <c r="A701" s="6" t="s">
        <v>125</v>
      </c>
      <c r="B701" s="92" t="s">
        <v>154</v>
      </c>
      <c r="C701" s="92">
        <v>4</v>
      </c>
      <c r="D701" s="95">
        <v>0</v>
      </c>
      <c r="E701" s="95">
        <v>0</v>
      </c>
      <c r="F701" s="90">
        <f t="shared" si="243"/>
        <v>0</v>
      </c>
      <c r="G701" s="90">
        <f t="shared" si="243"/>
        <v>0</v>
      </c>
      <c r="H701" s="91">
        <v>3</v>
      </c>
      <c r="I701" s="91">
        <v>3450</v>
      </c>
      <c r="J701" s="91">
        <f t="shared" si="244"/>
        <v>17</v>
      </c>
      <c r="K701" s="91">
        <f t="shared" si="244"/>
        <v>9903.7999999999993</v>
      </c>
      <c r="L701" s="92">
        <v>0</v>
      </c>
      <c r="M701" s="93">
        <v>0</v>
      </c>
      <c r="N701" s="94">
        <f t="shared" si="245"/>
        <v>10</v>
      </c>
      <c r="O701" s="94">
        <f t="shared" si="246"/>
        <v>4706.1000000000004</v>
      </c>
      <c r="P701">
        <v>0</v>
      </c>
      <c r="Q701" s="88">
        <v>0</v>
      </c>
      <c r="R701">
        <v>1</v>
      </c>
      <c r="S701">
        <v>1500</v>
      </c>
    </row>
    <row r="702" spans="1:19" x14ac:dyDescent="0.2">
      <c r="A702" s="6" t="s">
        <v>125</v>
      </c>
      <c r="B702" s="92" t="s">
        <v>155</v>
      </c>
      <c r="C702" s="92">
        <v>5</v>
      </c>
      <c r="D702" s="95">
        <v>0</v>
      </c>
      <c r="E702" s="95">
        <v>0</v>
      </c>
      <c r="F702" s="90">
        <f t="shared" si="243"/>
        <v>0</v>
      </c>
      <c r="G702" s="90">
        <f t="shared" si="243"/>
        <v>0</v>
      </c>
      <c r="H702" s="91">
        <v>0</v>
      </c>
      <c r="I702" s="91">
        <v>0</v>
      </c>
      <c r="J702" s="91">
        <f t="shared" si="244"/>
        <v>17</v>
      </c>
      <c r="K702" s="91">
        <f t="shared" si="244"/>
        <v>9903.7999999999993</v>
      </c>
      <c r="L702" s="92">
        <v>0</v>
      </c>
      <c r="M702" s="93">
        <v>0</v>
      </c>
      <c r="N702" s="94">
        <f t="shared" si="245"/>
        <v>10</v>
      </c>
      <c r="O702" s="94">
        <f t="shared" si="246"/>
        <v>4706.1000000000004</v>
      </c>
      <c r="P702">
        <v>0</v>
      </c>
      <c r="Q702" s="88">
        <v>0</v>
      </c>
      <c r="R702">
        <v>1</v>
      </c>
      <c r="S702">
        <v>1500</v>
      </c>
    </row>
    <row r="703" spans="1:19" x14ac:dyDescent="0.2">
      <c r="A703" s="6" t="s">
        <v>125</v>
      </c>
      <c r="B703" s="92" t="s">
        <v>156</v>
      </c>
      <c r="C703" s="92">
        <v>6</v>
      </c>
      <c r="D703" s="95">
        <v>2</v>
      </c>
      <c r="E703" s="95">
        <v>2300</v>
      </c>
      <c r="F703" s="90">
        <f t="shared" si="243"/>
        <v>2</v>
      </c>
      <c r="G703" s="90">
        <f t="shared" si="243"/>
        <v>2300</v>
      </c>
      <c r="H703" s="91">
        <v>3</v>
      </c>
      <c r="I703" s="91">
        <v>2199.9899999999998</v>
      </c>
      <c r="J703" s="91">
        <f t="shared" si="244"/>
        <v>20</v>
      </c>
      <c r="K703" s="91">
        <f t="shared" si="244"/>
        <v>12103.789999999999</v>
      </c>
      <c r="L703" s="92">
        <v>3</v>
      </c>
      <c r="M703" s="93">
        <v>2650</v>
      </c>
      <c r="N703" s="94">
        <f t="shared" si="245"/>
        <v>13</v>
      </c>
      <c r="O703" s="94">
        <f t="shared" si="246"/>
        <v>7356.1</v>
      </c>
      <c r="P703">
        <v>0</v>
      </c>
      <c r="Q703" s="88">
        <v>0</v>
      </c>
      <c r="R703">
        <v>1</v>
      </c>
      <c r="S703">
        <v>1500</v>
      </c>
    </row>
    <row r="704" spans="1:19" x14ac:dyDescent="0.2">
      <c r="A704" s="6" t="s">
        <v>125</v>
      </c>
      <c r="B704" s="92" t="s">
        <v>157</v>
      </c>
      <c r="C704" s="92">
        <v>7</v>
      </c>
      <c r="D704" s="95">
        <v>1</v>
      </c>
      <c r="E704" s="95">
        <v>1600</v>
      </c>
      <c r="F704" s="90">
        <f t="shared" si="243"/>
        <v>3</v>
      </c>
      <c r="G704" s="90">
        <f t="shared" si="243"/>
        <v>3900</v>
      </c>
      <c r="H704" s="91">
        <v>1</v>
      </c>
      <c r="I704" s="91">
        <v>1804.05</v>
      </c>
      <c r="J704" s="91">
        <f t="shared" si="244"/>
        <v>21</v>
      </c>
      <c r="K704" s="91">
        <f t="shared" si="244"/>
        <v>13907.839999999998</v>
      </c>
      <c r="L704" s="92">
        <v>1</v>
      </c>
      <c r="M704" s="93">
        <v>100</v>
      </c>
      <c r="N704" s="94">
        <f t="shared" si="245"/>
        <v>14</v>
      </c>
      <c r="O704" s="94">
        <f t="shared" si="246"/>
        <v>7456.1</v>
      </c>
      <c r="P704">
        <v>11</v>
      </c>
      <c r="Q704" s="88">
        <v>2552.5</v>
      </c>
      <c r="R704">
        <v>12</v>
      </c>
      <c r="S704">
        <v>4052.5</v>
      </c>
    </row>
    <row r="705" spans="1:17" x14ac:dyDescent="0.2">
      <c r="A705" s="6" t="s">
        <v>125</v>
      </c>
      <c r="B705" s="92" t="s">
        <v>158</v>
      </c>
      <c r="C705" s="92">
        <v>8</v>
      </c>
      <c r="D705" s="90">
        <v>3</v>
      </c>
      <c r="E705" s="90">
        <v>2004</v>
      </c>
      <c r="F705" s="90">
        <f t="shared" si="243"/>
        <v>6</v>
      </c>
      <c r="G705" s="90">
        <f t="shared" si="243"/>
        <v>5904</v>
      </c>
      <c r="H705" s="91">
        <v>1</v>
      </c>
      <c r="I705" s="91">
        <v>475</v>
      </c>
      <c r="J705" s="91">
        <f t="shared" si="244"/>
        <v>22</v>
      </c>
      <c r="K705" s="91">
        <f t="shared" si="244"/>
        <v>14382.839999999998</v>
      </c>
      <c r="L705" s="92">
        <v>1</v>
      </c>
      <c r="M705" s="93">
        <v>1623.47</v>
      </c>
      <c r="N705" s="94">
        <f t="shared" si="245"/>
        <v>15</v>
      </c>
      <c r="O705" s="94">
        <f t="shared" si="246"/>
        <v>9079.57</v>
      </c>
      <c r="P705" s="88"/>
      <c r="Q705" s="88">
        <v>0</v>
      </c>
    </row>
    <row r="706" spans="1:17" x14ac:dyDescent="0.2">
      <c r="A706" s="6" t="s">
        <v>125</v>
      </c>
      <c r="B706" s="92" t="s">
        <v>159</v>
      </c>
      <c r="C706" s="92">
        <v>9</v>
      </c>
      <c r="D706" s="95">
        <v>0</v>
      </c>
      <c r="E706" s="95">
        <v>0</v>
      </c>
      <c r="F706" s="90">
        <f t="shared" si="243"/>
        <v>6</v>
      </c>
      <c r="G706" s="90">
        <f t="shared" si="243"/>
        <v>5904</v>
      </c>
      <c r="H706" s="91">
        <v>1</v>
      </c>
      <c r="I706" s="91">
        <v>4983.82</v>
      </c>
      <c r="J706" s="91">
        <f t="shared" si="244"/>
        <v>23</v>
      </c>
      <c r="K706" s="91">
        <f t="shared" si="244"/>
        <v>19366.659999999996</v>
      </c>
      <c r="L706" s="92">
        <v>1</v>
      </c>
      <c r="M706" s="93">
        <v>90</v>
      </c>
      <c r="N706" s="94">
        <f t="shared" si="245"/>
        <v>16</v>
      </c>
      <c r="O706" s="94">
        <f t="shared" si="246"/>
        <v>9169.57</v>
      </c>
      <c r="P706" s="88"/>
      <c r="Q706" s="88">
        <v>0</v>
      </c>
    </row>
    <row r="707" spans="1:17" x14ac:dyDescent="0.2">
      <c r="A707" s="6" t="s">
        <v>125</v>
      </c>
      <c r="B707" s="92" t="s">
        <v>160</v>
      </c>
      <c r="C707" s="92">
        <v>10</v>
      </c>
      <c r="D707" s="95">
        <v>0</v>
      </c>
      <c r="E707" s="95">
        <v>0</v>
      </c>
      <c r="F707" s="90">
        <f t="shared" si="243"/>
        <v>6</v>
      </c>
      <c r="G707" s="90">
        <f t="shared" si="243"/>
        <v>5904</v>
      </c>
      <c r="H707" s="91">
        <v>0</v>
      </c>
      <c r="I707" s="91">
        <v>0</v>
      </c>
      <c r="J707" s="91">
        <f t="shared" si="244"/>
        <v>23</v>
      </c>
      <c r="K707" s="91">
        <f t="shared" si="244"/>
        <v>19366.659999999996</v>
      </c>
      <c r="L707" s="92">
        <v>2</v>
      </c>
      <c r="M707" s="93">
        <v>549.02</v>
      </c>
      <c r="N707" s="94">
        <f t="shared" si="245"/>
        <v>18</v>
      </c>
      <c r="O707" s="94">
        <f t="shared" si="246"/>
        <v>9718.59</v>
      </c>
      <c r="P707" s="88"/>
      <c r="Q707" s="88">
        <v>0</v>
      </c>
    </row>
    <row r="708" spans="1:17" x14ac:dyDescent="0.2">
      <c r="A708" s="6" t="s">
        <v>125</v>
      </c>
      <c r="B708" s="92" t="s">
        <v>161</v>
      </c>
      <c r="C708" s="92">
        <v>11</v>
      </c>
      <c r="D708" s="95">
        <v>3</v>
      </c>
      <c r="E708" s="90">
        <v>2837</v>
      </c>
      <c r="F708" s="90">
        <f t="shared" si="243"/>
        <v>9</v>
      </c>
      <c r="G708" s="90">
        <f t="shared" si="243"/>
        <v>8741</v>
      </c>
      <c r="H708" s="91">
        <v>0</v>
      </c>
      <c r="I708" s="91">
        <v>0</v>
      </c>
      <c r="J708" s="91">
        <f t="shared" si="244"/>
        <v>23</v>
      </c>
      <c r="K708" s="91">
        <f t="shared" si="244"/>
        <v>19366.659999999996</v>
      </c>
      <c r="L708" s="92">
        <v>0</v>
      </c>
      <c r="M708" s="93">
        <v>0</v>
      </c>
      <c r="N708" s="94">
        <f t="shared" si="245"/>
        <v>18</v>
      </c>
      <c r="O708" s="94">
        <f t="shared" si="246"/>
        <v>9718.59</v>
      </c>
      <c r="P708" s="88"/>
      <c r="Q708" s="88">
        <v>0</v>
      </c>
    </row>
    <row r="709" spans="1:17" x14ac:dyDescent="0.2">
      <c r="A709" s="6" t="s">
        <v>125</v>
      </c>
      <c r="B709" s="92" t="s">
        <v>162</v>
      </c>
      <c r="C709" s="92">
        <v>12</v>
      </c>
      <c r="D709" s="95">
        <v>0</v>
      </c>
      <c r="E709" s="95">
        <v>0</v>
      </c>
      <c r="F709" s="90">
        <f t="shared" si="243"/>
        <v>9</v>
      </c>
      <c r="G709" s="90">
        <f t="shared" si="243"/>
        <v>8741</v>
      </c>
      <c r="H709" s="91">
        <v>0</v>
      </c>
      <c r="I709" s="91">
        <v>0</v>
      </c>
      <c r="J709" s="91">
        <f t="shared" si="244"/>
        <v>23</v>
      </c>
      <c r="K709" s="91">
        <f t="shared" si="244"/>
        <v>19366.659999999996</v>
      </c>
      <c r="L709" s="92">
        <v>0</v>
      </c>
      <c r="M709" s="96">
        <v>0</v>
      </c>
      <c r="N709" s="97">
        <f t="shared" si="245"/>
        <v>18</v>
      </c>
      <c r="O709" s="97">
        <f t="shared" si="246"/>
        <v>9718.59</v>
      </c>
      <c r="P709" s="89"/>
      <c r="Q709" s="89">
        <v>0</v>
      </c>
    </row>
    <row r="710" spans="1:17" x14ac:dyDescent="0.2">
      <c r="A710" s="7"/>
    </row>
    <row r="711" spans="1:17" x14ac:dyDescent="0.2">
      <c r="A711" s="7"/>
    </row>
    <row r="712" spans="1:17" x14ac:dyDescent="0.2">
      <c r="A71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9"/>
  <sheetViews>
    <sheetView showGridLines="0" workbookViewId="0">
      <pane xSplit="3" ySplit="1" topLeftCell="D2" activePane="bottomRight" state="frozen"/>
      <selection pane="topRight" activeCell="C1" sqref="C1"/>
      <selection pane="bottomLeft" activeCell="A2" sqref="A2"/>
      <selection pane="bottomRight" activeCell="C20" sqref="C20"/>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287</v>
      </c>
      <c r="C1" s="9" t="s">
        <v>165</v>
      </c>
      <c r="D1" s="11" t="s">
        <v>2</v>
      </c>
      <c r="E1" s="11" t="s">
        <v>8</v>
      </c>
      <c r="F1" s="12" t="s">
        <v>196</v>
      </c>
      <c r="G1" s="12" t="s">
        <v>288</v>
      </c>
      <c r="H1" s="13" t="s">
        <v>197</v>
      </c>
      <c r="I1" s="13" t="s">
        <v>198</v>
      </c>
      <c r="J1" s="13" t="s">
        <v>199</v>
      </c>
      <c r="K1" s="15" t="s">
        <v>1</v>
      </c>
      <c r="L1" s="15" t="s">
        <v>4</v>
      </c>
      <c r="M1" s="16" t="s">
        <v>200</v>
      </c>
      <c r="N1" s="50" t="s">
        <v>232</v>
      </c>
      <c r="O1" s="17" t="s">
        <v>201</v>
      </c>
      <c r="P1" s="17" t="s">
        <v>202</v>
      </c>
      <c r="Q1" s="17" t="s">
        <v>203</v>
      </c>
      <c r="R1" s="18" t="s">
        <v>204</v>
      </c>
      <c r="S1" s="47" t="s">
        <v>20</v>
      </c>
      <c r="T1" s="19" t="s">
        <v>150</v>
      </c>
      <c r="U1" s="49" t="s">
        <v>231</v>
      </c>
      <c r="V1" s="19" t="s">
        <v>205</v>
      </c>
      <c r="W1" s="19" t="s">
        <v>206</v>
      </c>
      <c r="X1" s="19" t="s">
        <v>207</v>
      </c>
      <c r="Y1" s="19" t="s">
        <v>208</v>
      </c>
      <c r="Z1" s="19" t="s">
        <v>209</v>
      </c>
    </row>
    <row r="2" spans="1:26" ht="15" x14ac:dyDescent="0.2">
      <c r="A2" s="7" t="s">
        <v>83</v>
      </c>
      <c r="B2" s="6">
        <f>_xlfn.IFS(C2="Janeiro",1,C2="Fevereiro",2,C2="Março",3,C2="Abril",4,C2="Maio",5,C2="Junho",6,C2="Julho",7,C2="Agosto",8,C2="Setembro",9,C2="Outubro",10,C2="Novembro",11,C2="Dezembro",12,TRUE,0)</f>
        <v>1</v>
      </c>
      <c r="C2" s="7" t="s">
        <v>151</v>
      </c>
      <c r="D2" s="69">
        <v>75</v>
      </c>
      <c r="E2" s="69">
        <v>50</v>
      </c>
      <c r="F2" s="66">
        <f>E2/D2</f>
        <v>0.66666666666666663</v>
      </c>
      <c r="G2" s="61" t="e">
        <f>IF(F2&gt;=I2,"Desempenho Ótimo",(IF(F2&gt;H2,"Desempenho Bom",(IF(F2&gt;J2,"Desempenho Médio",IF(F2&lt;=J2,"Desempenho Deficitário",0))))))</f>
        <v>#DIV/0!</v>
      </c>
      <c r="H2" s="67" t="e">
        <f>'Cálculo Banda Part. Proj'!BI2</f>
        <v>#DIV/0!</v>
      </c>
      <c r="I2" s="67" t="e">
        <f>'Cálculo Banda Part. Proj'!BJ2</f>
        <v>#DIV/0!</v>
      </c>
      <c r="J2" s="67" t="e">
        <f>'Cálculo Banda Part. Proj'!BK2</f>
        <v>#DIV/0!</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Faturamento'!BI2</f>
        <v>3.4274647562211005E-2</v>
      </c>
      <c r="P2" s="14">
        <f>'Cálculo Banda Faturamento'!BJ2</f>
        <v>0.10289217685709087</v>
      </c>
      <c r="Q2" s="14">
        <f>'Cálculo Banda Faturamento'!BK2</f>
        <v>-3.4342881732668862E-2</v>
      </c>
      <c r="R2" s="70">
        <v>80</v>
      </c>
      <c r="S2" s="70">
        <v>0</v>
      </c>
      <c r="T2" s="6">
        <f t="shared" ref="T2:T65" si="0">S2/R2</f>
        <v>0</v>
      </c>
      <c r="U2" s="35" t="e">
        <f>IF(T2&gt;=W2,"Desempenho Ótimo",(IF(T2&gt;V2,"Desempenho Bom",(IF(T2&gt;X2,"Desempenho Médio",IF(T2&lt;=X2,"Desempenho Deficitário",0))))))</f>
        <v>#DIV/0!</v>
      </c>
      <c r="V2" s="6" t="e">
        <f>'Cálculo Banda Part. Event.'!BI2</f>
        <v>#DIV/0!</v>
      </c>
      <c r="W2" s="6" t="e">
        <f>'Cálculo Banda Part. Event.'!BJ2</f>
        <v>#DIV/0!</v>
      </c>
      <c r="X2" s="6" t="e">
        <f>'Cálculo Banda Part. Event.'!BK2</f>
        <v>#DIV/0!</v>
      </c>
      <c r="Y2" s="6" t="e">
        <f t="shared" ref="Y2:Y13" si="1">IF(X2&lt;0,X2+(Z2/2),X2)</f>
        <v>#DIV/0!</v>
      </c>
      <c r="Z2" s="6" t="e">
        <f>'Cálculo Banda Part. Event.'!BL2</f>
        <v>#DIV/0!</v>
      </c>
    </row>
    <row r="3" spans="1:26" ht="15" x14ac:dyDescent="0.2">
      <c r="A3" s="7" t="s">
        <v>83</v>
      </c>
      <c r="B3" s="6">
        <f t="shared" ref="B3:B66" si="2">_xlfn.IFS(C3="Janeiro",1,C3="Fevereiro",2,C3="Março",3,C3="Abril",4,C3="Maio",5,C3="Junho",6,C3="Julho",7,C3="Agosto",8,C3="Setembro",9,C3="Outubro",10,C3="Novembro",11,C3="Dezembro",12,TRUE,0)</f>
        <v>2</v>
      </c>
      <c r="C3" s="7" t="s">
        <v>152</v>
      </c>
      <c r="D3" s="69">
        <v>75</v>
      </c>
      <c r="E3" s="69">
        <v>100</v>
      </c>
      <c r="F3" s="66">
        <f t="shared" ref="F3:F65" si="3">E3/D3</f>
        <v>1.3333333333333333</v>
      </c>
      <c r="G3" s="61" t="e">
        <f t="shared" ref="G3:G66" si="4">IF(F3&gt;=I3,"Desempenho Ótimo",(IF(F3&gt;H3,"Desempenho Bom",(IF(F3&gt;J3,"Desempenho Médio",IF(F3&lt;=J3,"Desempenho Deficitário",0))))))</f>
        <v>#DIV/0!</v>
      </c>
      <c r="H3" s="67" t="e">
        <f>'Cálculo Banda Part. Proj'!BI3</f>
        <v>#DIV/0!</v>
      </c>
      <c r="I3" s="67" t="e">
        <f>'Cálculo Banda Part. Proj'!BJ3</f>
        <v>#DIV/0!</v>
      </c>
      <c r="J3" s="67" t="e">
        <f>'Cálculo Banda Part. Proj'!BK3</f>
        <v>#DIV/0!</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Faturamento'!BI3</f>
        <v>8.1815188943147363E-2</v>
      </c>
      <c r="P3" s="14">
        <f>'Cálculo Banda Faturamento'!BJ3</f>
        <v>0.20623883252423067</v>
      </c>
      <c r="Q3" s="14">
        <f>'Cálculo Banda Faturamento'!BK3</f>
        <v>-4.2608454637935944E-2</v>
      </c>
      <c r="R3" s="70">
        <v>80</v>
      </c>
      <c r="S3" s="70">
        <v>0</v>
      </c>
      <c r="T3" s="6">
        <f t="shared" si="0"/>
        <v>0</v>
      </c>
      <c r="U3" s="35" t="e">
        <f t="shared" ref="U3:U66" si="6">IF(T3&gt;=W3,"Desempenho Ótimo",(IF(T3&gt;V3,"Desempenho Bom",(IF(T3&gt;X3,"Desempenho Médio",IF(T3&lt;=X3,"Desempenho Deficitário",0))))))</f>
        <v>#DIV/0!</v>
      </c>
      <c r="V3" s="6" t="e">
        <f>'Cálculo Banda Part. Event.'!BI3</f>
        <v>#DIV/0!</v>
      </c>
      <c r="W3" s="6" t="e">
        <f>'Cálculo Banda Part. Event.'!BJ3</f>
        <v>#DIV/0!</v>
      </c>
      <c r="X3" s="6" t="e">
        <f>'Cálculo Banda Part. Event.'!BK3</f>
        <v>#DIV/0!</v>
      </c>
      <c r="Y3" s="6" t="e">
        <f t="shared" si="1"/>
        <v>#DIV/0!</v>
      </c>
      <c r="Z3" s="6" t="e">
        <f>'Cálculo Banda Part. Event.'!BL3</f>
        <v>#DIV/0!</v>
      </c>
    </row>
    <row r="4" spans="1:26" ht="15" x14ac:dyDescent="0.2">
      <c r="A4" s="7" t="s">
        <v>83</v>
      </c>
      <c r="B4" s="6">
        <f t="shared" si="2"/>
        <v>3</v>
      </c>
      <c r="C4" s="7" t="s">
        <v>153</v>
      </c>
      <c r="D4" s="69">
        <v>75</v>
      </c>
      <c r="E4" s="69">
        <v>100</v>
      </c>
      <c r="F4" s="66">
        <f t="shared" si="3"/>
        <v>1.3333333333333333</v>
      </c>
      <c r="G4" s="61" t="e">
        <f t="shared" si="4"/>
        <v>#DIV/0!</v>
      </c>
      <c r="H4" s="67" t="e">
        <f>'Cálculo Banda Part. Proj'!BI4</f>
        <v>#DIV/0!</v>
      </c>
      <c r="I4" s="67" t="e">
        <f>'Cálculo Banda Part. Proj'!BJ4</f>
        <v>#DIV/0!</v>
      </c>
      <c r="J4" s="67" t="e">
        <f>'Cálculo Banda Part. Proj'!BK4</f>
        <v>#DIV/0!</v>
      </c>
      <c r="K4" s="70">
        <v>16700</v>
      </c>
      <c r="L4" s="70">
        <f>'Monitoramento Acumulado Geral'!Q4</f>
        <v>0</v>
      </c>
      <c r="M4" s="6">
        <f>(SUM(L2:L4))/K3</f>
        <v>0.44892215568862276</v>
      </c>
      <c r="N4" s="35" t="str">
        <f t="shared" si="5"/>
        <v>Desempenho Ótimo</v>
      </c>
      <c r="O4" s="14">
        <f>'Cálculo Banda Faturamento'!BI4</f>
        <v>0.13411292471649494</v>
      </c>
      <c r="P4" s="14">
        <f>'Cálculo Banda Faturamento'!BJ4</f>
        <v>0.29721906787058483</v>
      </c>
      <c r="Q4" s="14">
        <f>'Cálculo Banda Faturamento'!BK4</f>
        <v>-2.899321843759492E-2</v>
      </c>
      <c r="R4" s="70">
        <v>80</v>
      </c>
      <c r="S4" s="70">
        <v>0</v>
      </c>
      <c r="T4" s="6">
        <f t="shared" si="0"/>
        <v>0</v>
      </c>
      <c r="U4" s="35" t="e">
        <f t="shared" si="6"/>
        <v>#DIV/0!</v>
      </c>
      <c r="V4" s="6" t="e">
        <f>'Cálculo Banda Part. Event.'!BI4</f>
        <v>#DIV/0!</v>
      </c>
      <c r="W4" s="6" t="e">
        <f>'Cálculo Banda Part. Event.'!BJ4</f>
        <v>#DIV/0!</v>
      </c>
      <c r="X4" s="6" t="e">
        <f>'Cálculo Banda Part. Event.'!BK4</f>
        <v>#DIV/0!</v>
      </c>
      <c r="Y4" s="6" t="e">
        <f t="shared" si="1"/>
        <v>#DIV/0!</v>
      </c>
      <c r="Z4" s="6" t="e">
        <f>'Cálculo Banda Part. Event.'!BL4</f>
        <v>#DIV/0!</v>
      </c>
    </row>
    <row r="5" spans="1:26" ht="15" x14ac:dyDescent="0.2">
      <c r="A5" s="7" t="s">
        <v>83</v>
      </c>
      <c r="B5" s="6">
        <f t="shared" si="2"/>
        <v>4</v>
      </c>
      <c r="C5" s="7" t="s">
        <v>154</v>
      </c>
      <c r="D5" s="69">
        <v>75</v>
      </c>
      <c r="E5" s="69">
        <v>100</v>
      </c>
      <c r="F5" s="66">
        <f t="shared" si="3"/>
        <v>1.3333333333333333</v>
      </c>
      <c r="G5" s="61" t="e">
        <f t="shared" si="4"/>
        <v>#DIV/0!</v>
      </c>
      <c r="H5" s="67" t="e">
        <f>'Cálculo Banda Part. Proj'!BI5</f>
        <v>#DIV/0!</v>
      </c>
      <c r="I5" s="67" t="e">
        <f>'Cálculo Banda Part. Proj'!BJ5</f>
        <v>#DIV/0!</v>
      </c>
      <c r="J5" s="67" t="e">
        <f>'Cálculo Banda Part. Proj'!BK5</f>
        <v>#DIV/0!</v>
      </c>
      <c r="K5" s="70">
        <v>16700</v>
      </c>
      <c r="L5" s="70">
        <f>'Monitoramento Acumulado Geral'!Q5</f>
        <v>0</v>
      </c>
      <c r="M5" s="6">
        <f>(SUM(L2:L5))/K4</f>
        <v>0.44892215568862276</v>
      </c>
      <c r="N5" s="35" t="str">
        <f t="shared" si="5"/>
        <v>Desempenho Ótimo</v>
      </c>
      <c r="O5" s="14">
        <f>'Cálculo Banda Faturamento'!BI5</f>
        <v>0.15392483870093213</v>
      </c>
      <c r="P5" s="14">
        <f>'Cálculo Banda Faturamento'!BJ5</f>
        <v>0.32772007016950033</v>
      </c>
      <c r="Q5" s="14">
        <f>'Cálculo Banda Faturamento'!BK5</f>
        <v>-1.9870392767636053E-2</v>
      </c>
      <c r="R5" s="70">
        <v>80</v>
      </c>
      <c r="S5" s="70">
        <v>0</v>
      </c>
      <c r="T5" s="6">
        <f t="shared" si="0"/>
        <v>0</v>
      </c>
      <c r="U5" s="35" t="e">
        <f t="shared" si="6"/>
        <v>#DIV/0!</v>
      </c>
      <c r="V5" s="6" t="e">
        <f>'Cálculo Banda Part. Event.'!BI5</f>
        <v>#DIV/0!</v>
      </c>
      <c r="W5" s="6" t="e">
        <f>'Cálculo Banda Part. Event.'!BJ5</f>
        <v>#DIV/0!</v>
      </c>
      <c r="X5" s="6" t="e">
        <f>'Cálculo Banda Part. Event.'!BK5</f>
        <v>#DIV/0!</v>
      </c>
      <c r="Y5" s="6" t="e">
        <f t="shared" si="1"/>
        <v>#DIV/0!</v>
      </c>
      <c r="Z5" s="6" t="e">
        <f>'Cálculo Banda Part. Event.'!BL5</f>
        <v>#DIV/0!</v>
      </c>
    </row>
    <row r="6" spans="1:26" ht="15" x14ac:dyDescent="0.2">
      <c r="A6" s="7" t="s">
        <v>83</v>
      </c>
      <c r="B6" s="6">
        <f t="shared" si="2"/>
        <v>5</v>
      </c>
      <c r="C6" s="7" t="s">
        <v>155</v>
      </c>
      <c r="D6" s="69">
        <v>75</v>
      </c>
      <c r="E6" s="69">
        <v>100</v>
      </c>
      <c r="F6" s="66">
        <f t="shared" si="3"/>
        <v>1.3333333333333333</v>
      </c>
      <c r="G6" s="61" t="e">
        <f t="shared" si="4"/>
        <v>#DIV/0!</v>
      </c>
      <c r="H6" s="67" t="e">
        <f>'Cálculo Banda Part. Proj'!BI6</f>
        <v>#DIV/0!</v>
      </c>
      <c r="I6" s="67" t="e">
        <f>'Cálculo Banda Part. Proj'!BJ6</f>
        <v>#DIV/0!</v>
      </c>
      <c r="J6" s="67" t="e">
        <f>'Cálculo Banda Part. Proj'!BK6</f>
        <v>#DIV/0!</v>
      </c>
      <c r="K6" s="70">
        <v>16700</v>
      </c>
      <c r="L6" s="70">
        <f>'Monitoramento Acumulado Geral'!Q6</f>
        <v>0</v>
      </c>
      <c r="M6" s="6">
        <f>(SUM(L2:L6))/K5</f>
        <v>0.44892215568862276</v>
      </c>
      <c r="N6" s="35" t="str">
        <f t="shared" si="5"/>
        <v>Desempenho Ótimo</v>
      </c>
      <c r="O6" s="14">
        <f>'Cálculo Banda Faturamento'!BI6</f>
        <v>0.21139287248463789</v>
      </c>
      <c r="P6" s="14">
        <f>'Cálculo Banda Faturamento'!BJ6</f>
        <v>0.43680804416292918</v>
      </c>
      <c r="Q6" s="14">
        <f>'Cálculo Banda Faturamento'!BK6</f>
        <v>-1.4022299193653387E-2</v>
      </c>
      <c r="R6" s="70">
        <v>80</v>
      </c>
      <c r="S6" s="70">
        <v>0</v>
      </c>
      <c r="T6" s="6">
        <f t="shared" si="0"/>
        <v>0</v>
      </c>
      <c r="U6" s="35" t="e">
        <f t="shared" si="6"/>
        <v>#DIV/0!</v>
      </c>
      <c r="V6" s="6" t="e">
        <f>'Cálculo Banda Part. Event.'!BI6</f>
        <v>#DIV/0!</v>
      </c>
      <c r="W6" s="6" t="e">
        <f>'Cálculo Banda Part. Event.'!BJ6</f>
        <v>#DIV/0!</v>
      </c>
      <c r="X6" s="6" t="e">
        <f>'Cálculo Banda Part. Event.'!BK6</f>
        <v>#DIV/0!</v>
      </c>
      <c r="Y6" s="6" t="e">
        <f t="shared" si="1"/>
        <v>#DIV/0!</v>
      </c>
      <c r="Z6" s="6" t="e">
        <f>'Cálculo Banda Part. Event.'!BL6</f>
        <v>#DIV/0!</v>
      </c>
    </row>
    <row r="7" spans="1:26" ht="15" x14ac:dyDescent="0.2">
      <c r="A7" s="7" t="s">
        <v>83</v>
      </c>
      <c r="B7" s="6">
        <f t="shared" si="2"/>
        <v>6</v>
      </c>
      <c r="C7" s="7" t="s">
        <v>156</v>
      </c>
      <c r="D7" s="69">
        <v>75</v>
      </c>
      <c r="E7" s="69">
        <v>100</v>
      </c>
      <c r="F7" s="66">
        <f t="shared" si="3"/>
        <v>1.3333333333333333</v>
      </c>
      <c r="G7" s="61" t="e">
        <f t="shared" si="4"/>
        <v>#DIV/0!</v>
      </c>
      <c r="H7" s="67" t="e">
        <f>'Cálculo Banda Part. Proj'!BI7</f>
        <v>#DIV/0!</v>
      </c>
      <c r="I7" s="67" t="e">
        <f>'Cálculo Banda Part. Proj'!BJ7</f>
        <v>#DIV/0!</v>
      </c>
      <c r="J7" s="67" t="e">
        <f>'Cálculo Banda Part. Proj'!BK7</f>
        <v>#DIV/0!</v>
      </c>
      <c r="K7" s="70">
        <v>16700</v>
      </c>
      <c r="L7" s="70">
        <f>'Monitoramento Acumulado Geral'!Q7</f>
        <v>2220</v>
      </c>
      <c r="M7" s="6">
        <f>(SUM(L2:L7))/K6</f>
        <v>0.58185628742514972</v>
      </c>
      <c r="N7" s="35" t="str">
        <f t="shared" si="5"/>
        <v>Desempenho Ótimo</v>
      </c>
      <c r="O7" s="14">
        <f>'Cálculo Banda Faturamento'!BI7</f>
        <v>0.28403291059934432</v>
      </c>
      <c r="P7" s="14">
        <f>'Cálculo Banda Faturamento'!BJ7</f>
        <v>0.56118246348434164</v>
      </c>
      <c r="Q7" s="14">
        <f>'Cálculo Banda Faturamento'!BK7</f>
        <v>6.8833577143469493E-3</v>
      </c>
      <c r="R7" s="70">
        <v>80</v>
      </c>
      <c r="S7" s="70">
        <v>0</v>
      </c>
      <c r="T7" s="6">
        <f t="shared" si="0"/>
        <v>0</v>
      </c>
      <c r="U7" s="35" t="e">
        <f t="shared" si="6"/>
        <v>#DIV/0!</v>
      </c>
      <c r="V7" s="6" t="e">
        <f>'Cálculo Banda Part. Event.'!BI7</f>
        <v>#DIV/0!</v>
      </c>
      <c r="W7" s="6" t="e">
        <f>'Cálculo Banda Part. Event.'!BJ7</f>
        <v>#DIV/0!</v>
      </c>
      <c r="X7" s="6" t="e">
        <f>'Cálculo Banda Part. Event.'!BK7</f>
        <v>#DIV/0!</v>
      </c>
      <c r="Y7" s="6" t="e">
        <f t="shared" si="1"/>
        <v>#DIV/0!</v>
      </c>
      <c r="Z7" s="6" t="e">
        <f>'Cálculo Banda Part. Event.'!BL7</f>
        <v>#DIV/0!</v>
      </c>
    </row>
    <row r="8" spans="1:26" ht="15" x14ac:dyDescent="0.2">
      <c r="A8" s="7" t="s">
        <v>83</v>
      </c>
      <c r="B8" s="6">
        <f t="shared" si="2"/>
        <v>7</v>
      </c>
      <c r="C8" s="7" t="s">
        <v>157</v>
      </c>
      <c r="D8" s="69">
        <v>75</v>
      </c>
      <c r="E8" s="69">
        <v>100</v>
      </c>
      <c r="F8" s="66">
        <f t="shared" si="3"/>
        <v>1.3333333333333333</v>
      </c>
      <c r="G8" s="61" t="e">
        <f t="shared" si="4"/>
        <v>#DIV/0!</v>
      </c>
      <c r="H8" s="67" t="e">
        <f>'Cálculo Banda Part. Proj'!BI8</f>
        <v>#DIV/0!</v>
      </c>
      <c r="I8" s="67" t="e">
        <f>'Cálculo Banda Part. Proj'!BJ8</f>
        <v>#DIV/0!</v>
      </c>
      <c r="J8" s="67" t="e">
        <f>'Cálculo Banda Part. Proj'!BK8</f>
        <v>#DIV/0!</v>
      </c>
      <c r="K8" s="70">
        <v>16700</v>
      </c>
      <c r="L8" s="70">
        <f>'Monitoramento Acumulado Geral'!Q8</f>
        <v>0</v>
      </c>
      <c r="M8" s="6">
        <f>(SUM(L2:L8))/K7</f>
        <v>0.58185628742514972</v>
      </c>
      <c r="N8" s="35" t="str">
        <f t="shared" si="5"/>
        <v>Desempenho Bom</v>
      </c>
      <c r="O8" s="14">
        <f>'Cálculo Banda Faturamento'!BI8</f>
        <v>0.42046470140126019</v>
      </c>
      <c r="P8" s="14">
        <f>'Cálculo Banda Faturamento'!BJ8</f>
        <v>0.84574683442734511</v>
      </c>
      <c r="Q8" s="14">
        <f>'Cálculo Banda Faturamento'!BK8</f>
        <v>-4.8174316248247306E-3</v>
      </c>
      <c r="R8" s="70">
        <v>80</v>
      </c>
      <c r="S8" s="70">
        <v>0</v>
      </c>
      <c r="T8" s="6">
        <f t="shared" si="0"/>
        <v>0</v>
      </c>
      <c r="U8" s="35" t="e">
        <f t="shared" si="6"/>
        <v>#DIV/0!</v>
      </c>
      <c r="V8" s="6" t="e">
        <f>'Cálculo Banda Part. Event.'!BI8</f>
        <v>#DIV/0!</v>
      </c>
      <c r="W8" s="6" t="e">
        <f>'Cálculo Banda Part. Event.'!BJ8</f>
        <v>#DIV/0!</v>
      </c>
      <c r="X8" s="6" t="e">
        <f>'Cálculo Banda Part. Event.'!BK8</f>
        <v>#DIV/0!</v>
      </c>
      <c r="Y8" s="6" t="e">
        <f t="shared" si="1"/>
        <v>#DIV/0!</v>
      </c>
      <c r="Z8" s="6" t="e">
        <f>'Cálculo Banda Part. Event.'!BL8</f>
        <v>#DIV/0!</v>
      </c>
    </row>
    <row r="9" spans="1:26" ht="15" x14ac:dyDescent="0.2">
      <c r="A9" s="7" t="s">
        <v>83</v>
      </c>
      <c r="B9" s="6">
        <f t="shared" si="2"/>
        <v>8</v>
      </c>
      <c r="C9" s="7" t="s">
        <v>158</v>
      </c>
      <c r="D9" s="69">
        <v>75</v>
      </c>
      <c r="E9" s="69">
        <v>0</v>
      </c>
      <c r="F9" s="66">
        <f t="shared" si="3"/>
        <v>0</v>
      </c>
      <c r="G9" s="61" t="e">
        <f t="shared" si="4"/>
        <v>#DIV/0!</v>
      </c>
      <c r="H9" s="67" t="e">
        <f>'Cálculo Banda Part. Proj'!BI9</f>
        <v>#DIV/0!</v>
      </c>
      <c r="I9" s="67" t="e">
        <f>'Cálculo Banda Part. Proj'!BJ9</f>
        <v>#DIV/0!</v>
      </c>
      <c r="J9" s="67" t="e">
        <f>'Cálculo Banda Part. Proj'!BK9</f>
        <v>#DIV/0!</v>
      </c>
      <c r="K9" s="70">
        <v>16700</v>
      </c>
      <c r="L9" s="70">
        <f>'Monitoramento Acumulado Geral'!Q9</f>
        <v>0</v>
      </c>
      <c r="M9" s="6">
        <f>(SUM(L2:L9))/K8</f>
        <v>0.58185628742514972</v>
      </c>
      <c r="N9" s="35" t="str">
        <f t="shared" si="5"/>
        <v>Desempenho Bom</v>
      </c>
      <c r="O9" s="14">
        <f>'Cálculo Banda Faturamento'!BI9</f>
        <v>0.42046470140126019</v>
      </c>
      <c r="P9" s="14">
        <f>'Cálculo Banda Faturamento'!BJ9</f>
        <v>0.84574683442734511</v>
      </c>
      <c r="Q9" s="14">
        <f>'Cálculo Banda Faturamento'!BK9</f>
        <v>-4.8174316248247306E-3</v>
      </c>
      <c r="R9" s="70">
        <v>80</v>
      </c>
      <c r="S9" s="70">
        <v>0</v>
      </c>
      <c r="T9" s="6">
        <f t="shared" si="0"/>
        <v>0</v>
      </c>
      <c r="U9" s="35" t="e">
        <f t="shared" si="6"/>
        <v>#DIV/0!</v>
      </c>
      <c r="V9" s="6" t="e">
        <f>'Cálculo Banda Part. Event.'!BI9</f>
        <v>#DIV/0!</v>
      </c>
      <c r="W9" s="6" t="e">
        <f>'Cálculo Banda Part. Event.'!BJ9</f>
        <v>#DIV/0!</v>
      </c>
      <c r="X9" s="6" t="e">
        <f>'Cálculo Banda Part. Event.'!BK9</f>
        <v>#DIV/0!</v>
      </c>
      <c r="Y9" s="6" t="e">
        <f t="shared" si="1"/>
        <v>#DIV/0!</v>
      </c>
      <c r="Z9" s="6" t="e">
        <f>'Cálculo Banda Part. Event.'!BL9</f>
        <v>#DIV/0!</v>
      </c>
    </row>
    <row r="10" spans="1:26" ht="15" x14ac:dyDescent="0.2">
      <c r="A10" s="7" t="s">
        <v>83</v>
      </c>
      <c r="B10" s="6">
        <f t="shared" si="2"/>
        <v>9</v>
      </c>
      <c r="C10" s="7" t="s">
        <v>159</v>
      </c>
      <c r="D10" s="69">
        <v>75</v>
      </c>
      <c r="E10" s="69">
        <v>0</v>
      </c>
      <c r="F10" s="66">
        <f t="shared" si="3"/>
        <v>0</v>
      </c>
      <c r="G10" s="61" t="e">
        <f t="shared" si="4"/>
        <v>#DIV/0!</v>
      </c>
      <c r="H10" s="67" t="e">
        <f>'Cálculo Banda Part. Proj'!BI10</f>
        <v>#DIV/0!</v>
      </c>
      <c r="I10" s="67" t="e">
        <f>'Cálculo Banda Part. Proj'!BJ10</f>
        <v>#DIV/0!</v>
      </c>
      <c r="J10" s="67" t="e">
        <f>'Cálculo Banda Part. Proj'!BK10</f>
        <v>#DIV/0!</v>
      </c>
      <c r="K10" s="70">
        <v>16700</v>
      </c>
      <c r="L10" s="70">
        <f>'Monitoramento Acumulado Geral'!Q10</f>
        <v>0</v>
      </c>
      <c r="M10" s="6">
        <f>(SUM(L2:L10))/K9</f>
        <v>0.58185628742514972</v>
      </c>
      <c r="N10" s="35" t="str">
        <f t="shared" si="5"/>
        <v>Desempenho Bom</v>
      </c>
      <c r="O10" s="14">
        <f>'Cálculo Banda Faturamento'!BI10</f>
        <v>0.42046470140126019</v>
      </c>
      <c r="P10" s="14">
        <f>'Cálculo Banda Faturamento'!BJ10</f>
        <v>0.84574683442734511</v>
      </c>
      <c r="Q10" s="14">
        <f>'Cálculo Banda Faturamento'!BK10</f>
        <v>-4.8174316248247306E-3</v>
      </c>
      <c r="R10" s="70">
        <v>80</v>
      </c>
      <c r="S10" s="70">
        <v>0</v>
      </c>
      <c r="T10" s="6">
        <f t="shared" si="0"/>
        <v>0</v>
      </c>
      <c r="U10" s="35" t="e">
        <f t="shared" si="6"/>
        <v>#DIV/0!</v>
      </c>
      <c r="V10" s="6" t="e">
        <f>'Cálculo Banda Part. Event.'!BI10</f>
        <v>#DIV/0!</v>
      </c>
      <c r="W10" s="6" t="e">
        <f>'Cálculo Banda Part. Event.'!BJ10</f>
        <v>#DIV/0!</v>
      </c>
      <c r="X10" s="6" t="e">
        <f>'Cálculo Banda Part. Event.'!BK10</f>
        <v>#DIV/0!</v>
      </c>
      <c r="Y10" s="6" t="e">
        <f t="shared" si="1"/>
        <v>#DIV/0!</v>
      </c>
      <c r="Z10" s="6" t="e">
        <f>'Cálculo Banda Part. Event.'!BL10</f>
        <v>#DIV/0!</v>
      </c>
    </row>
    <row r="11" spans="1:26" ht="15" x14ac:dyDescent="0.2">
      <c r="A11" s="7" t="s">
        <v>83</v>
      </c>
      <c r="B11" s="6">
        <f t="shared" si="2"/>
        <v>10</v>
      </c>
      <c r="C11" s="7" t="s">
        <v>160</v>
      </c>
      <c r="D11" s="69">
        <v>75</v>
      </c>
      <c r="E11" s="69">
        <v>0</v>
      </c>
      <c r="F11" s="66">
        <f t="shared" si="3"/>
        <v>0</v>
      </c>
      <c r="G11" s="61" t="e">
        <f t="shared" si="4"/>
        <v>#DIV/0!</v>
      </c>
      <c r="H11" s="67" t="e">
        <f>'Cálculo Banda Part. Proj'!BI11</f>
        <v>#DIV/0!</v>
      </c>
      <c r="I11" s="67" t="e">
        <f>'Cálculo Banda Part. Proj'!BJ11</f>
        <v>#DIV/0!</v>
      </c>
      <c r="J11" s="67" t="e">
        <f>'Cálculo Banda Part. Proj'!BK11</f>
        <v>#DIV/0!</v>
      </c>
      <c r="K11" s="70">
        <v>16700</v>
      </c>
      <c r="L11" s="70">
        <f>'Monitoramento Acumulado Geral'!Q11</f>
        <v>0</v>
      </c>
      <c r="M11" s="6">
        <f>(SUM(L2:L11))/K10</f>
        <v>0.58185628742514972</v>
      </c>
      <c r="N11" s="35" t="str">
        <f t="shared" si="5"/>
        <v>Desempenho Bom</v>
      </c>
      <c r="O11" s="14">
        <f>'Cálculo Banda Faturamento'!BI11</f>
        <v>0.42046470140126019</v>
      </c>
      <c r="P11" s="14">
        <f>'Cálculo Banda Faturamento'!BJ11</f>
        <v>0.84574683442734511</v>
      </c>
      <c r="Q11" s="14">
        <f>'Cálculo Banda Faturamento'!BK11</f>
        <v>-4.8174316248247306E-3</v>
      </c>
      <c r="R11" s="70">
        <v>80</v>
      </c>
      <c r="S11" s="70">
        <v>0</v>
      </c>
      <c r="T11" s="6">
        <f t="shared" si="0"/>
        <v>0</v>
      </c>
      <c r="U11" s="35" t="e">
        <f t="shared" si="6"/>
        <v>#DIV/0!</v>
      </c>
      <c r="V11" s="6" t="e">
        <f>'Cálculo Banda Part. Event.'!BI11</f>
        <v>#DIV/0!</v>
      </c>
      <c r="W11" s="6" t="e">
        <f>'Cálculo Banda Part. Event.'!BJ11</f>
        <v>#DIV/0!</v>
      </c>
      <c r="X11" s="6" t="e">
        <f>'Cálculo Banda Part. Event.'!BK11</f>
        <v>#DIV/0!</v>
      </c>
      <c r="Y11" s="6" t="e">
        <f t="shared" si="1"/>
        <v>#DIV/0!</v>
      </c>
      <c r="Z11" s="6" t="e">
        <f>'Cálculo Banda Part. Event.'!BL11</f>
        <v>#DIV/0!</v>
      </c>
    </row>
    <row r="12" spans="1:26" ht="15" x14ac:dyDescent="0.2">
      <c r="A12" s="7" t="s">
        <v>83</v>
      </c>
      <c r="B12" s="6">
        <f t="shared" si="2"/>
        <v>11</v>
      </c>
      <c r="C12" s="7" t="s">
        <v>161</v>
      </c>
      <c r="D12" s="69">
        <v>75</v>
      </c>
      <c r="E12" s="69">
        <v>0</v>
      </c>
      <c r="F12" s="66">
        <f t="shared" si="3"/>
        <v>0</v>
      </c>
      <c r="G12" s="61" t="e">
        <f t="shared" si="4"/>
        <v>#DIV/0!</v>
      </c>
      <c r="H12" s="67" t="e">
        <f>'Cálculo Banda Part. Proj'!BI12</f>
        <v>#DIV/0!</v>
      </c>
      <c r="I12" s="67" t="e">
        <f>'Cálculo Banda Part. Proj'!BJ12</f>
        <v>#DIV/0!</v>
      </c>
      <c r="J12" s="67" t="e">
        <f>'Cálculo Banda Part. Proj'!BK12</f>
        <v>#DIV/0!</v>
      </c>
      <c r="K12" s="70">
        <v>16700</v>
      </c>
      <c r="L12" s="70">
        <f>'Monitoramento Acumulado Geral'!Q12</f>
        <v>0</v>
      </c>
      <c r="M12" s="6">
        <f>(SUM(L2:L12))/K11</f>
        <v>0.58185628742514972</v>
      </c>
      <c r="N12" s="35" t="str">
        <f t="shared" si="5"/>
        <v>Desempenho Bom</v>
      </c>
      <c r="O12" s="14">
        <f>'Cálculo Banda Faturamento'!BI12</f>
        <v>0.42046470140126019</v>
      </c>
      <c r="P12" s="14">
        <f>'Cálculo Banda Faturamento'!BJ12</f>
        <v>0.84574683442734511</v>
      </c>
      <c r="Q12" s="14">
        <f>'Cálculo Banda Faturamento'!BK12</f>
        <v>-4.8174316248247306E-3</v>
      </c>
      <c r="R12" s="70">
        <v>80</v>
      </c>
      <c r="S12" s="70">
        <v>0</v>
      </c>
      <c r="T12" s="6">
        <f t="shared" si="0"/>
        <v>0</v>
      </c>
      <c r="U12" s="35" t="e">
        <f t="shared" si="6"/>
        <v>#DIV/0!</v>
      </c>
      <c r="V12" s="6" t="e">
        <f>'Cálculo Banda Part. Event.'!BI12</f>
        <v>#DIV/0!</v>
      </c>
      <c r="W12" s="6" t="e">
        <f>'Cálculo Banda Part. Event.'!BJ12</f>
        <v>#DIV/0!</v>
      </c>
      <c r="X12" s="6" t="e">
        <f>'Cálculo Banda Part. Event.'!BK12</f>
        <v>#DIV/0!</v>
      </c>
      <c r="Y12" s="6" t="e">
        <f t="shared" si="1"/>
        <v>#DIV/0!</v>
      </c>
      <c r="Z12" s="6" t="e">
        <f>'Cálculo Banda Part. Event.'!BL12</f>
        <v>#DIV/0!</v>
      </c>
    </row>
    <row r="13" spans="1:26" ht="15" x14ac:dyDescent="0.2">
      <c r="A13" s="7" t="s">
        <v>83</v>
      </c>
      <c r="B13" s="6">
        <f t="shared" si="2"/>
        <v>12</v>
      </c>
      <c r="C13" s="7" t="s">
        <v>162</v>
      </c>
      <c r="D13" s="69">
        <v>75</v>
      </c>
      <c r="E13" s="69">
        <v>0</v>
      </c>
      <c r="F13" s="66">
        <f t="shared" si="3"/>
        <v>0</v>
      </c>
      <c r="G13" s="61" t="e">
        <f t="shared" si="4"/>
        <v>#DIV/0!</v>
      </c>
      <c r="H13" s="67" t="e">
        <f>'Cálculo Banda Part. Proj'!BI13</f>
        <v>#DIV/0!</v>
      </c>
      <c r="I13" s="67" t="e">
        <f>'Cálculo Banda Part. Proj'!BJ13</f>
        <v>#DIV/0!</v>
      </c>
      <c r="J13" s="67" t="e">
        <f>'Cálculo Banda Part. Proj'!BK13</f>
        <v>#DIV/0!</v>
      </c>
      <c r="K13" s="70">
        <v>16700</v>
      </c>
      <c r="L13" s="70">
        <f>'Monitoramento Acumulado Geral'!Q13</f>
        <v>0</v>
      </c>
      <c r="M13" s="6">
        <f>(SUM(L2:L13))/K12</f>
        <v>0.58185628742514972</v>
      </c>
      <c r="N13" s="35" t="str">
        <f t="shared" si="5"/>
        <v>Desempenho Bom</v>
      </c>
      <c r="O13" s="14">
        <f>'Cálculo Banda Faturamento'!BI13</f>
        <v>0.41824651958307835</v>
      </c>
      <c r="P13" s="14">
        <f>'Cálculo Banda Faturamento'!BJ13</f>
        <v>0.84510274859297763</v>
      </c>
      <c r="Q13" s="14">
        <f>'Cálculo Banda Faturamento'!BK13</f>
        <v>-8.6097094268208774E-3</v>
      </c>
      <c r="R13" s="70">
        <v>80</v>
      </c>
      <c r="S13" s="70">
        <v>0</v>
      </c>
      <c r="T13" s="6">
        <f t="shared" si="0"/>
        <v>0</v>
      </c>
      <c r="U13" s="35" t="e">
        <f t="shared" si="6"/>
        <v>#DIV/0!</v>
      </c>
      <c r="V13" s="6" t="e">
        <f>'Cálculo Banda Part. Event.'!BI13</f>
        <v>#DIV/0!</v>
      </c>
      <c r="W13" s="6" t="e">
        <f>'Cálculo Banda Part. Event.'!BJ13</f>
        <v>#DIV/0!</v>
      </c>
      <c r="X13" s="6" t="e">
        <f>'Cálculo Banda Part. Event.'!BK13</f>
        <v>#DIV/0!</v>
      </c>
      <c r="Y13" s="6" t="e">
        <f t="shared" si="1"/>
        <v>#DIV/0!</v>
      </c>
      <c r="Z13" s="6" t="e">
        <f>'Cálculo Banda Part. Event.'!BL13</f>
        <v>#DIV/0!</v>
      </c>
    </row>
    <row r="14" spans="1:26" x14ac:dyDescent="0.2">
      <c r="A14" s="7" t="s">
        <v>94</v>
      </c>
      <c r="B14" s="6">
        <f t="shared" si="2"/>
        <v>1</v>
      </c>
      <c r="C14" s="7" t="s">
        <v>151</v>
      </c>
      <c r="D14" s="69">
        <v>55</v>
      </c>
      <c r="E14" s="69">
        <v>28</v>
      </c>
      <c r="F14" s="66">
        <f t="shared" si="3"/>
        <v>0.50909090909090904</v>
      </c>
      <c r="G14" s="61" t="e">
        <f t="shared" si="4"/>
        <v>#DIV/0!</v>
      </c>
      <c r="H14" s="66" t="e">
        <f>H2</f>
        <v>#DIV/0!</v>
      </c>
      <c r="I14" s="66" t="e">
        <f t="shared" ref="I14:J14" si="7">I2</f>
        <v>#DIV/0!</v>
      </c>
      <c r="J14" s="66" t="e">
        <f t="shared" si="7"/>
        <v>#DIV/0!</v>
      </c>
      <c r="K14" s="70">
        <v>2000</v>
      </c>
      <c r="L14" s="70">
        <f>'Monitoramento Acumulado Geral'!Q14</f>
        <v>244</v>
      </c>
      <c r="M14" s="6">
        <f>L14/K14</f>
        <v>0.122</v>
      </c>
      <c r="N14" s="35" t="str">
        <f t="shared" si="5"/>
        <v>Desempenho Ótimo</v>
      </c>
      <c r="O14" s="6">
        <f>O2</f>
        <v>3.4274647562211005E-2</v>
      </c>
      <c r="P14" s="6">
        <f t="shared" ref="P14:Q14" si="8">P2</f>
        <v>0.10289217685709087</v>
      </c>
      <c r="Q14" s="6">
        <f t="shared" si="8"/>
        <v>-3.4342881732668862E-2</v>
      </c>
      <c r="R14" s="70">
        <v>35</v>
      </c>
      <c r="S14" s="70">
        <v>0</v>
      </c>
      <c r="T14" s="6">
        <f t="shared" si="0"/>
        <v>0</v>
      </c>
      <c r="U14" s="35" t="e">
        <f t="shared" si="6"/>
        <v>#DIV/0!</v>
      </c>
      <c r="V14" s="6" t="e">
        <f>V2</f>
        <v>#DIV/0!</v>
      </c>
      <c r="W14" s="6" t="e">
        <f t="shared" ref="W14:Z14" si="9">W2</f>
        <v>#DIV/0!</v>
      </c>
      <c r="X14" s="6" t="e">
        <f t="shared" si="9"/>
        <v>#DIV/0!</v>
      </c>
      <c r="Y14" s="6" t="e">
        <f t="shared" si="9"/>
        <v>#DIV/0!</v>
      </c>
      <c r="Z14" s="6" t="e">
        <f t="shared" si="9"/>
        <v>#DIV/0!</v>
      </c>
    </row>
    <row r="15" spans="1:26" x14ac:dyDescent="0.2">
      <c r="A15" s="7" t="s">
        <v>94</v>
      </c>
      <c r="B15" s="6">
        <f t="shared" si="2"/>
        <v>2</v>
      </c>
      <c r="C15" s="7" t="s">
        <v>152</v>
      </c>
      <c r="D15" s="69">
        <v>55</v>
      </c>
      <c r="E15" s="69">
        <v>28</v>
      </c>
      <c r="F15" s="66">
        <f t="shared" si="3"/>
        <v>0.50909090909090904</v>
      </c>
      <c r="G15" s="61" t="e">
        <f t="shared" si="4"/>
        <v>#DIV/0!</v>
      </c>
      <c r="H15" s="66" t="e">
        <f t="shared" ref="H15:J78" si="10">H3</f>
        <v>#DIV/0!</v>
      </c>
      <c r="I15" s="66" t="e">
        <f t="shared" si="10"/>
        <v>#DIV/0!</v>
      </c>
      <c r="J15" s="66" t="e">
        <f t="shared" si="10"/>
        <v>#DIV/0!</v>
      </c>
      <c r="K15" s="70">
        <v>2000</v>
      </c>
      <c r="L15" s="70">
        <f>'Monitoramento Acumulado Geral'!Q15</f>
        <v>0</v>
      </c>
      <c r="M15" s="6">
        <f>(SUM(L14:L15))/K14</f>
        <v>0.122</v>
      </c>
      <c r="N15" s="35" t="str">
        <f t="shared" si="5"/>
        <v>Desempenho Bom</v>
      </c>
      <c r="O15" s="6">
        <f t="shared" ref="O15:Q25" si="11">O3</f>
        <v>8.1815188943147363E-2</v>
      </c>
      <c r="P15" s="6">
        <f t="shared" si="11"/>
        <v>0.20623883252423067</v>
      </c>
      <c r="Q15" s="6">
        <f t="shared" si="11"/>
        <v>-4.2608454637935944E-2</v>
      </c>
      <c r="R15" s="70">
        <v>35</v>
      </c>
      <c r="S15" s="70">
        <v>0</v>
      </c>
      <c r="T15" s="6">
        <f t="shared" si="0"/>
        <v>0</v>
      </c>
      <c r="U15" s="35" t="e">
        <f t="shared" si="6"/>
        <v>#DIV/0!</v>
      </c>
      <c r="V15" s="6" t="e">
        <f t="shared" ref="V15:Z30" si="12">V3</f>
        <v>#DIV/0!</v>
      </c>
      <c r="W15" s="6" t="e">
        <f t="shared" si="12"/>
        <v>#DIV/0!</v>
      </c>
      <c r="X15" s="6" t="e">
        <f t="shared" si="12"/>
        <v>#DIV/0!</v>
      </c>
      <c r="Y15" s="6" t="e">
        <f t="shared" si="12"/>
        <v>#DIV/0!</v>
      </c>
      <c r="Z15" s="6" t="e">
        <f t="shared" si="12"/>
        <v>#DIV/0!</v>
      </c>
    </row>
    <row r="16" spans="1:26" x14ac:dyDescent="0.2">
      <c r="A16" s="7" t="s">
        <v>94</v>
      </c>
      <c r="B16" s="6">
        <f t="shared" si="2"/>
        <v>3</v>
      </c>
      <c r="C16" s="7" t="s">
        <v>153</v>
      </c>
      <c r="D16" s="69">
        <v>55</v>
      </c>
      <c r="E16" s="69">
        <v>28</v>
      </c>
      <c r="F16" s="66">
        <f t="shared" si="3"/>
        <v>0.50909090909090904</v>
      </c>
      <c r="G16" s="61" t="e">
        <f t="shared" si="4"/>
        <v>#DIV/0!</v>
      </c>
      <c r="H16" s="66" t="e">
        <f t="shared" si="10"/>
        <v>#DIV/0!</v>
      </c>
      <c r="I16" s="66" t="e">
        <f t="shared" si="10"/>
        <v>#DIV/0!</v>
      </c>
      <c r="J16" s="66" t="e">
        <f t="shared" si="10"/>
        <v>#DIV/0!</v>
      </c>
      <c r="K16" s="70">
        <v>2000</v>
      </c>
      <c r="L16" s="70">
        <f>'Monitoramento Acumulado Geral'!Q16</f>
        <v>0</v>
      </c>
      <c r="M16" s="6">
        <f>(SUM(L14:L16))/K15</f>
        <v>0.122</v>
      </c>
      <c r="N16" s="35" t="str">
        <f t="shared" si="5"/>
        <v>Desempenho Médio</v>
      </c>
      <c r="O16" s="6">
        <f t="shared" si="11"/>
        <v>0.13411292471649494</v>
      </c>
      <c r="P16" s="6">
        <f t="shared" si="11"/>
        <v>0.29721906787058483</v>
      </c>
      <c r="Q16" s="6">
        <f t="shared" si="11"/>
        <v>-2.899321843759492E-2</v>
      </c>
      <c r="R16" s="70">
        <v>35</v>
      </c>
      <c r="S16" s="70">
        <v>0</v>
      </c>
      <c r="T16" s="6">
        <f t="shared" si="0"/>
        <v>0</v>
      </c>
      <c r="U16" s="35" t="e">
        <f t="shared" si="6"/>
        <v>#DIV/0!</v>
      </c>
      <c r="V16" s="6" t="e">
        <f t="shared" si="12"/>
        <v>#DIV/0!</v>
      </c>
      <c r="W16" s="6" t="e">
        <f t="shared" si="12"/>
        <v>#DIV/0!</v>
      </c>
      <c r="X16" s="6" t="e">
        <f t="shared" si="12"/>
        <v>#DIV/0!</v>
      </c>
      <c r="Y16" s="6" t="e">
        <f t="shared" si="12"/>
        <v>#DIV/0!</v>
      </c>
      <c r="Z16" s="6" t="e">
        <f t="shared" si="12"/>
        <v>#DIV/0!</v>
      </c>
    </row>
    <row r="17" spans="1:26" x14ac:dyDescent="0.2">
      <c r="A17" s="7" t="s">
        <v>94</v>
      </c>
      <c r="B17" s="6">
        <f t="shared" si="2"/>
        <v>4</v>
      </c>
      <c r="C17" s="7" t="s">
        <v>154</v>
      </c>
      <c r="D17" s="69">
        <v>55</v>
      </c>
      <c r="E17" s="69">
        <v>56</v>
      </c>
      <c r="F17" s="66">
        <f t="shared" si="3"/>
        <v>1.0181818181818181</v>
      </c>
      <c r="G17" s="61" t="e">
        <f t="shared" si="4"/>
        <v>#DIV/0!</v>
      </c>
      <c r="H17" s="66" t="e">
        <f t="shared" si="10"/>
        <v>#DIV/0!</v>
      </c>
      <c r="I17" s="66" t="e">
        <f t="shared" si="10"/>
        <v>#DIV/0!</v>
      </c>
      <c r="J17" s="66" t="e">
        <f t="shared" si="10"/>
        <v>#DIV/0!</v>
      </c>
      <c r="K17" s="70">
        <v>2000</v>
      </c>
      <c r="L17" s="70">
        <f>'Monitoramento Acumulado Geral'!Q17</f>
        <v>122</v>
      </c>
      <c r="M17" s="6">
        <f>(SUM(L14:L17))/K16</f>
        <v>0.183</v>
      </c>
      <c r="N17" s="35" t="str">
        <f t="shared" si="5"/>
        <v>Desempenho Bom</v>
      </c>
      <c r="O17" s="6">
        <f t="shared" si="11"/>
        <v>0.15392483870093213</v>
      </c>
      <c r="P17" s="6">
        <f t="shared" si="11"/>
        <v>0.32772007016950033</v>
      </c>
      <c r="Q17" s="6">
        <f t="shared" si="11"/>
        <v>-1.9870392767636053E-2</v>
      </c>
      <c r="R17" s="70">
        <v>35</v>
      </c>
      <c r="S17" s="70">
        <v>0</v>
      </c>
      <c r="T17" s="6">
        <f t="shared" si="0"/>
        <v>0</v>
      </c>
      <c r="U17" s="35" t="e">
        <f t="shared" si="6"/>
        <v>#DIV/0!</v>
      </c>
      <c r="V17" s="6" t="e">
        <f t="shared" si="12"/>
        <v>#DIV/0!</v>
      </c>
      <c r="W17" s="6" t="e">
        <f t="shared" si="12"/>
        <v>#DIV/0!</v>
      </c>
      <c r="X17" s="6" t="e">
        <f t="shared" si="12"/>
        <v>#DIV/0!</v>
      </c>
      <c r="Y17" s="6" t="e">
        <f t="shared" si="12"/>
        <v>#DIV/0!</v>
      </c>
      <c r="Z17" s="6" t="e">
        <f t="shared" si="12"/>
        <v>#DIV/0!</v>
      </c>
    </row>
    <row r="18" spans="1:26" x14ac:dyDescent="0.2">
      <c r="A18" s="7" t="s">
        <v>94</v>
      </c>
      <c r="B18" s="6">
        <f t="shared" si="2"/>
        <v>5</v>
      </c>
      <c r="C18" s="7" t="s">
        <v>155</v>
      </c>
      <c r="D18" s="69">
        <v>55</v>
      </c>
      <c r="E18" s="69">
        <v>56</v>
      </c>
      <c r="F18" s="66">
        <f t="shared" si="3"/>
        <v>1.0181818181818181</v>
      </c>
      <c r="G18" s="61" t="e">
        <f t="shared" si="4"/>
        <v>#DIV/0!</v>
      </c>
      <c r="H18" s="66" t="e">
        <f t="shared" si="10"/>
        <v>#DIV/0!</v>
      </c>
      <c r="I18" s="66" t="e">
        <f t="shared" si="10"/>
        <v>#DIV/0!</v>
      </c>
      <c r="J18" s="66" t="e">
        <f t="shared" si="10"/>
        <v>#DIV/0!</v>
      </c>
      <c r="K18" s="70">
        <v>2000</v>
      </c>
      <c r="L18" s="70">
        <f>'Monitoramento Acumulado Geral'!Q18</f>
        <v>0</v>
      </c>
      <c r="M18" s="6">
        <f>(SUM(L14:L18))/K17</f>
        <v>0.183</v>
      </c>
      <c r="N18" s="35" t="str">
        <f t="shared" si="5"/>
        <v>Desempenho Médio</v>
      </c>
      <c r="O18" s="6">
        <f t="shared" si="11"/>
        <v>0.21139287248463789</v>
      </c>
      <c r="P18" s="6">
        <f t="shared" si="11"/>
        <v>0.43680804416292918</v>
      </c>
      <c r="Q18" s="6">
        <f t="shared" si="11"/>
        <v>-1.4022299193653387E-2</v>
      </c>
      <c r="R18" s="70">
        <v>35</v>
      </c>
      <c r="S18" s="70">
        <v>0</v>
      </c>
      <c r="T18" s="6">
        <f t="shared" si="0"/>
        <v>0</v>
      </c>
      <c r="U18" s="35" t="e">
        <f t="shared" si="6"/>
        <v>#DIV/0!</v>
      </c>
      <c r="V18" s="6" t="e">
        <f t="shared" si="12"/>
        <v>#DIV/0!</v>
      </c>
      <c r="W18" s="6" t="e">
        <f t="shared" si="12"/>
        <v>#DIV/0!</v>
      </c>
      <c r="X18" s="6" t="e">
        <f t="shared" si="12"/>
        <v>#DIV/0!</v>
      </c>
      <c r="Y18" s="6" t="e">
        <f t="shared" si="12"/>
        <v>#DIV/0!</v>
      </c>
      <c r="Z18" s="6" t="e">
        <f t="shared" si="12"/>
        <v>#DIV/0!</v>
      </c>
    </row>
    <row r="19" spans="1:26" x14ac:dyDescent="0.2">
      <c r="A19" s="7" t="s">
        <v>94</v>
      </c>
      <c r="B19" s="6">
        <f t="shared" si="2"/>
        <v>6</v>
      </c>
      <c r="C19" s="7" t="s">
        <v>156</v>
      </c>
      <c r="D19" s="69">
        <v>55</v>
      </c>
      <c r="E19" s="69">
        <v>86</v>
      </c>
      <c r="F19" s="66">
        <f t="shared" si="3"/>
        <v>1.5636363636363637</v>
      </c>
      <c r="G19" s="61" t="e">
        <f t="shared" si="4"/>
        <v>#DIV/0!</v>
      </c>
      <c r="H19" s="66" t="e">
        <f t="shared" si="10"/>
        <v>#DIV/0!</v>
      </c>
      <c r="I19" s="66" t="e">
        <f t="shared" si="10"/>
        <v>#DIV/0!</v>
      </c>
      <c r="J19" s="66" t="e">
        <f t="shared" si="10"/>
        <v>#DIV/0!</v>
      </c>
      <c r="K19" s="70">
        <v>2000</v>
      </c>
      <c r="L19" s="70">
        <f>'Monitoramento Acumulado Geral'!Q19</f>
        <v>1</v>
      </c>
      <c r="M19" s="6">
        <f>(SUM(L14:L19))/K18</f>
        <v>0.1835</v>
      </c>
      <c r="N19" s="35" t="str">
        <f t="shared" si="5"/>
        <v>Desempenho Médio</v>
      </c>
      <c r="O19" s="6">
        <f t="shared" si="11"/>
        <v>0.28403291059934432</v>
      </c>
      <c r="P19" s="6">
        <f t="shared" si="11"/>
        <v>0.56118246348434164</v>
      </c>
      <c r="Q19" s="6">
        <f t="shared" si="11"/>
        <v>6.8833577143469493E-3</v>
      </c>
      <c r="R19" s="70">
        <v>35</v>
      </c>
      <c r="S19" s="70">
        <v>0</v>
      </c>
      <c r="T19" s="6">
        <f t="shared" si="0"/>
        <v>0</v>
      </c>
      <c r="U19" s="35" t="e">
        <f t="shared" si="6"/>
        <v>#DIV/0!</v>
      </c>
      <c r="V19" s="6" t="e">
        <f t="shared" si="12"/>
        <v>#DIV/0!</v>
      </c>
      <c r="W19" s="6" t="e">
        <f t="shared" si="12"/>
        <v>#DIV/0!</v>
      </c>
      <c r="X19" s="6" t="e">
        <f t="shared" si="12"/>
        <v>#DIV/0!</v>
      </c>
      <c r="Y19" s="6" t="e">
        <f t="shared" si="12"/>
        <v>#DIV/0!</v>
      </c>
      <c r="Z19" s="6" t="e">
        <f t="shared" si="12"/>
        <v>#DIV/0!</v>
      </c>
    </row>
    <row r="20" spans="1:26" x14ac:dyDescent="0.2">
      <c r="A20" s="7" t="s">
        <v>94</v>
      </c>
      <c r="B20" s="6">
        <f t="shared" si="2"/>
        <v>7</v>
      </c>
      <c r="C20" s="7" t="s">
        <v>157</v>
      </c>
      <c r="D20" s="69">
        <v>55</v>
      </c>
      <c r="E20" s="69">
        <v>86</v>
      </c>
      <c r="F20" s="66">
        <f t="shared" si="3"/>
        <v>1.5636363636363637</v>
      </c>
      <c r="G20" s="61" t="e">
        <f t="shared" si="4"/>
        <v>#DIV/0!</v>
      </c>
      <c r="H20" s="66" t="e">
        <f t="shared" si="10"/>
        <v>#DIV/0!</v>
      </c>
      <c r="I20" s="66" t="e">
        <f t="shared" si="10"/>
        <v>#DIV/0!</v>
      </c>
      <c r="J20" s="66" t="e">
        <f t="shared" si="10"/>
        <v>#DIV/0!</v>
      </c>
      <c r="K20" s="70">
        <v>2000</v>
      </c>
      <c r="L20" s="70">
        <f>'Monitoramento Acumulado Geral'!Q20</f>
        <v>0</v>
      </c>
      <c r="M20" s="6">
        <f>(SUM(L14:L20))/K19</f>
        <v>0.1835</v>
      </c>
      <c r="N20" s="35" t="str">
        <f t="shared" si="5"/>
        <v>Desempenho Médio</v>
      </c>
      <c r="O20" s="6">
        <f t="shared" si="11"/>
        <v>0.42046470140126019</v>
      </c>
      <c r="P20" s="6">
        <f t="shared" si="11"/>
        <v>0.84574683442734511</v>
      </c>
      <c r="Q20" s="6">
        <f t="shared" si="11"/>
        <v>-4.8174316248247306E-3</v>
      </c>
      <c r="R20" s="70">
        <v>35</v>
      </c>
      <c r="S20" s="70">
        <v>0</v>
      </c>
      <c r="T20" s="6">
        <f t="shared" si="0"/>
        <v>0</v>
      </c>
      <c r="U20" s="35" t="e">
        <f t="shared" si="6"/>
        <v>#DIV/0!</v>
      </c>
      <c r="V20" s="6" t="e">
        <f t="shared" si="12"/>
        <v>#DIV/0!</v>
      </c>
      <c r="W20" s="6" t="e">
        <f t="shared" si="12"/>
        <v>#DIV/0!</v>
      </c>
      <c r="X20" s="6" t="e">
        <f t="shared" si="12"/>
        <v>#DIV/0!</v>
      </c>
      <c r="Y20" s="6" t="e">
        <f t="shared" si="12"/>
        <v>#DIV/0!</v>
      </c>
      <c r="Z20" s="6" t="e">
        <f t="shared" si="12"/>
        <v>#DIV/0!</v>
      </c>
    </row>
    <row r="21" spans="1:26" x14ac:dyDescent="0.2">
      <c r="A21" s="7" t="s">
        <v>94</v>
      </c>
      <c r="B21" s="6">
        <f t="shared" si="2"/>
        <v>8</v>
      </c>
      <c r="C21" s="7" t="s">
        <v>158</v>
      </c>
      <c r="D21" s="69">
        <v>55</v>
      </c>
      <c r="E21" s="69">
        <v>0</v>
      </c>
      <c r="F21" s="66">
        <f t="shared" si="3"/>
        <v>0</v>
      </c>
      <c r="G21" s="61" t="e">
        <f t="shared" si="4"/>
        <v>#DIV/0!</v>
      </c>
      <c r="H21" s="66" t="e">
        <f t="shared" si="10"/>
        <v>#DIV/0!</v>
      </c>
      <c r="I21" s="66" t="e">
        <f t="shared" si="10"/>
        <v>#DIV/0!</v>
      </c>
      <c r="J21" s="66" t="e">
        <f t="shared" si="10"/>
        <v>#DIV/0!</v>
      </c>
      <c r="K21" s="70">
        <v>2000</v>
      </c>
      <c r="L21" s="70">
        <f>'Monitoramento Acumulado Geral'!Q21</f>
        <v>0</v>
      </c>
      <c r="M21" s="6">
        <f>(SUM(L14:L21))/K20</f>
        <v>0.1835</v>
      </c>
      <c r="N21" s="35" t="str">
        <f t="shared" si="5"/>
        <v>Desempenho Médio</v>
      </c>
      <c r="O21" s="6">
        <f t="shared" si="11"/>
        <v>0.42046470140126019</v>
      </c>
      <c r="P21" s="6">
        <f t="shared" si="11"/>
        <v>0.84574683442734511</v>
      </c>
      <c r="Q21" s="6">
        <f t="shared" si="11"/>
        <v>-4.8174316248247306E-3</v>
      </c>
      <c r="R21" s="70">
        <v>35</v>
      </c>
      <c r="S21" s="70">
        <v>0</v>
      </c>
      <c r="T21" s="6">
        <f t="shared" si="0"/>
        <v>0</v>
      </c>
      <c r="U21" s="35" t="e">
        <f t="shared" si="6"/>
        <v>#DIV/0!</v>
      </c>
      <c r="V21" s="6" t="e">
        <f t="shared" si="12"/>
        <v>#DIV/0!</v>
      </c>
      <c r="W21" s="6" t="e">
        <f t="shared" si="12"/>
        <v>#DIV/0!</v>
      </c>
      <c r="X21" s="6" t="e">
        <f t="shared" si="12"/>
        <v>#DIV/0!</v>
      </c>
      <c r="Y21" s="6" t="e">
        <f t="shared" si="12"/>
        <v>#DIV/0!</v>
      </c>
      <c r="Z21" s="6" t="e">
        <f t="shared" si="12"/>
        <v>#DIV/0!</v>
      </c>
    </row>
    <row r="22" spans="1:26" x14ac:dyDescent="0.2">
      <c r="A22" s="7" t="s">
        <v>94</v>
      </c>
      <c r="B22" s="6">
        <f t="shared" si="2"/>
        <v>9</v>
      </c>
      <c r="C22" s="7" t="s">
        <v>159</v>
      </c>
      <c r="D22" s="69">
        <v>55</v>
      </c>
      <c r="E22" s="69">
        <v>0</v>
      </c>
      <c r="F22" s="66">
        <f t="shared" si="3"/>
        <v>0</v>
      </c>
      <c r="G22" s="61" t="e">
        <f t="shared" si="4"/>
        <v>#DIV/0!</v>
      </c>
      <c r="H22" s="66" t="e">
        <f t="shared" si="10"/>
        <v>#DIV/0!</v>
      </c>
      <c r="I22" s="66" t="e">
        <f t="shared" si="10"/>
        <v>#DIV/0!</v>
      </c>
      <c r="J22" s="66" t="e">
        <f t="shared" si="10"/>
        <v>#DIV/0!</v>
      </c>
      <c r="K22" s="70">
        <v>2000</v>
      </c>
      <c r="L22" s="70">
        <f>'Monitoramento Acumulado Geral'!Q22</f>
        <v>0</v>
      </c>
      <c r="M22" s="6">
        <f>(SUM(L14:L22))/K21</f>
        <v>0.1835</v>
      </c>
      <c r="N22" s="35" t="str">
        <f t="shared" si="5"/>
        <v>Desempenho Médio</v>
      </c>
      <c r="O22" s="6">
        <f t="shared" si="11"/>
        <v>0.42046470140126019</v>
      </c>
      <c r="P22" s="6">
        <f t="shared" si="11"/>
        <v>0.84574683442734511</v>
      </c>
      <c r="Q22" s="6">
        <f t="shared" si="11"/>
        <v>-4.8174316248247306E-3</v>
      </c>
      <c r="R22" s="70">
        <v>35</v>
      </c>
      <c r="S22" s="70">
        <v>0</v>
      </c>
      <c r="T22" s="6">
        <f t="shared" si="0"/>
        <v>0</v>
      </c>
      <c r="U22" s="35" t="e">
        <f t="shared" si="6"/>
        <v>#DIV/0!</v>
      </c>
      <c r="V22" s="6" t="e">
        <f t="shared" si="12"/>
        <v>#DIV/0!</v>
      </c>
      <c r="W22" s="6" t="e">
        <f t="shared" si="12"/>
        <v>#DIV/0!</v>
      </c>
      <c r="X22" s="6" t="e">
        <f t="shared" si="12"/>
        <v>#DIV/0!</v>
      </c>
      <c r="Y22" s="6" t="e">
        <f t="shared" si="12"/>
        <v>#DIV/0!</v>
      </c>
      <c r="Z22" s="6" t="e">
        <f t="shared" si="12"/>
        <v>#DIV/0!</v>
      </c>
    </row>
    <row r="23" spans="1:26" x14ac:dyDescent="0.2">
      <c r="A23" s="7" t="s">
        <v>94</v>
      </c>
      <c r="B23" s="6">
        <f t="shared" si="2"/>
        <v>10</v>
      </c>
      <c r="C23" s="7" t="s">
        <v>160</v>
      </c>
      <c r="D23" s="69">
        <v>55</v>
      </c>
      <c r="E23" s="69">
        <v>0</v>
      </c>
      <c r="F23" s="66">
        <f t="shared" si="3"/>
        <v>0</v>
      </c>
      <c r="G23" s="61" t="e">
        <f t="shared" si="4"/>
        <v>#DIV/0!</v>
      </c>
      <c r="H23" s="66" t="e">
        <f t="shared" si="10"/>
        <v>#DIV/0!</v>
      </c>
      <c r="I23" s="66" t="e">
        <f t="shared" si="10"/>
        <v>#DIV/0!</v>
      </c>
      <c r="J23" s="66" t="e">
        <f t="shared" si="10"/>
        <v>#DIV/0!</v>
      </c>
      <c r="K23" s="70">
        <v>2000</v>
      </c>
      <c r="L23" s="70">
        <f>'Monitoramento Acumulado Geral'!Q23</f>
        <v>0</v>
      </c>
      <c r="M23" s="6">
        <f>(SUM(L14:L23))/K22</f>
        <v>0.1835</v>
      </c>
      <c r="N23" s="35" t="str">
        <f t="shared" si="5"/>
        <v>Desempenho Médio</v>
      </c>
      <c r="O23" s="6">
        <f t="shared" si="11"/>
        <v>0.42046470140126019</v>
      </c>
      <c r="P23" s="6">
        <f t="shared" si="11"/>
        <v>0.84574683442734511</v>
      </c>
      <c r="Q23" s="6">
        <f t="shared" si="11"/>
        <v>-4.8174316248247306E-3</v>
      </c>
      <c r="R23" s="70">
        <v>35</v>
      </c>
      <c r="S23" s="70">
        <v>0</v>
      </c>
      <c r="T23" s="6">
        <f t="shared" si="0"/>
        <v>0</v>
      </c>
      <c r="U23" s="35" t="e">
        <f t="shared" si="6"/>
        <v>#DIV/0!</v>
      </c>
      <c r="V23" s="6" t="e">
        <f t="shared" si="12"/>
        <v>#DIV/0!</v>
      </c>
      <c r="W23" s="6" t="e">
        <f t="shared" si="12"/>
        <v>#DIV/0!</v>
      </c>
      <c r="X23" s="6" t="e">
        <f t="shared" si="12"/>
        <v>#DIV/0!</v>
      </c>
      <c r="Y23" s="6" t="e">
        <f t="shared" si="12"/>
        <v>#DIV/0!</v>
      </c>
      <c r="Z23" s="6" t="e">
        <f t="shared" si="12"/>
        <v>#DIV/0!</v>
      </c>
    </row>
    <row r="24" spans="1:26" x14ac:dyDescent="0.2">
      <c r="A24" s="7" t="s">
        <v>94</v>
      </c>
      <c r="B24" s="6">
        <f t="shared" si="2"/>
        <v>11</v>
      </c>
      <c r="C24" s="7" t="s">
        <v>161</v>
      </c>
      <c r="D24" s="69">
        <v>55</v>
      </c>
      <c r="E24" s="69">
        <v>0</v>
      </c>
      <c r="F24" s="66">
        <f t="shared" si="3"/>
        <v>0</v>
      </c>
      <c r="G24" s="61" t="e">
        <f t="shared" si="4"/>
        <v>#DIV/0!</v>
      </c>
      <c r="H24" s="66" t="e">
        <f t="shared" si="10"/>
        <v>#DIV/0!</v>
      </c>
      <c r="I24" s="66" t="e">
        <f t="shared" si="10"/>
        <v>#DIV/0!</v>
      </c>
      <c r="J24" s="66" t="e">
        <f t="shared" si="10"/>
        <v>#DIV/0!</v>
      </c>
      <c r="K24" s="70">
        <v>2000</v>
      </c>
      <c r="L24" s="70">
        <f>'Monitoramento Acumulado Geral'!Q24</f>
        <v>0</v>
      </c>
      <c r="M24" s="6">
        <f>(SUM(L14:L24))/K23</f>
        <v>0.1835</v>
      </c>
      <c r="N24" s="35" t="str">
        <f t="shared" si="5"/>
        <v>Desempenho Médio</v>
      </c>
      <c r="O24" s="6">
        <f t="shared" si="11"/>
        <v>0.42046470140126019</v>
      </c>
      <c r="P24" s="6">
        <f t="shared" si="11"/>
        <v>0.84574683442734511</v>
      </c>
      <c r="Q24" s="6">
        <f t="shared" si="11"/>
        <v>-4.8174316248247306E-3</v>
      </c>
      <c r="R24" s="70">
        <v>35</v>
      </c>
      <c r="S24" s="70">
        <v>0</v>
      </c>
      <c r="T24" s="6">
        <f t="shared" si="0"/>
        <v>0</v>
      </c>
      <c r="U24" s="35" t="e">
        <f t="shared" si="6"/>
        <v>#DIV/0!</v>
      </c>
      <c r="V24" s="6" t="e">
        <f t="shared" si="12"/>
        <v>#DIV/0!</v>
      </c>
      <c r="W24" s="6" t="e">
        <f t="shared" si="12"/>
        <v>#DIV/0!</v>
      </c>
      <c r="X24" s="6" t="e">
        <f t="shared" si="12"/>
        <v>#DIV/0!</v>
      </c>
      <c r="Y24" s="6" t="e">
        <f t="shared" si="12"/>
        <v>#DIV/0!</v>
      </c>
      <c r="Z24" s="6" t="e">
        <f t="shared" si="12"/>
        <v>#DIV/0!</v>
      </c>
    </row>
    <row r="25" spans="1:26" x14ac:dyDescent="0.2">
      <c r="A25" s="7" t="s">
        <v>94</v>
      </c>
      <c r="B25" s="6">
        <f t="shared" si="2"/>
        <v>12</v>
      </c>
      <c r="C25" s="7" t="s">
        <v>162</v>
      </c>
      <c r="D25" s="69">
        <v>55</v>
      </c>
      <c r="E25" s="69">
        <v>0</v>
      </c>
      <c r="F25" s="66">
        <f t="shared" si="3"/>
        <v>0</v>
      </c>
      <c r="G25" s="61" t="e">
        <f t="shared" si="4"/>
        <v>#DIV/0!</v>
      </c>
      <c r="H25" s="66" t="e">
        <f t="shared" si="10"/>
        <v>#DIV/0!</v>
      </c>
      <c r="I25" s="66" t="e">
        <f t="shared" si="10"/>
        <v>#DIV/0!</v>
      </c>
      <c r="J25" s="66" t="e">
        <f t="shared" si="10"/>
        <v>#DIV/0!</v>
      </c>
      <c r="K25" s="70">
        <v>2000</v>
      </c>
      <c r="L25" s="70">
        <f>'Monitoramento Acumulado Geral'!Q25</f>
        <v>0</v>
      </c>
      <c r="M25" s="6">
        <f>(SUM(L15:L25))/K24</f>
        <v>6.1499999999999999E-2</v>
      </c>
      <c r="N25" s="35" t="str">
        <f t="shared" si="5"/>
        <v>Desempenho Médio</v>
      </c>
      <c r="O25" s="6">
        <f>O13</f>
        <v>0.41824651958307835</v>
      </c>
      <c r="P25" s="6">
        <f t="shared" si="11"/>
        <v>0.84510274859297763</v>
      </c>
      <c r="Q25" s="6">
        <f t="shared" si="11"/>
        <v>-8.6097094268208774E-3</v>
      </c>
      <c r="R25" s="70">
        <v>35</v>
      </c>
      <c r="S25" s="70">
        <v>0</v>
      </c>
      <c r="T25" s="6">
        <f t="shared" si="0"/>
        <v>0</v>
      </c>
      <c r="U25" s="35" t="e">
        <f t="shared" si="6"/>
        <v>#DIV/0!</v>
      </c>
      <c r="V25" s="6" t="e">
        <f t="shared" si="12"/>
        <v>#DIV/0!</v>
      </c>
      <c r="W25" s="6" t="e">
        <f t="shared" si="12"/>
        <v>#DIV/0!</v>
      </c>
      <c r="X25" s="6" t="e">
        <f t="shared" si="12"/>
        <v>#DIV/0!</v>
      </c>
      <c r="Y25" s="6" t="e">
        <f t="shared" si="12"/>
        <v>#DIV/0!</v>
      </c>
      <c r="Z25" s="6" t="e">
        <f t="shared" si="12"/>
        <v>#DIV/0!</v>
      </c>
    </row>
    <row r="26" spans="1:26" x14ac:dyDescent="0.2">
      <c r="A26" s="7" t="s">
        <v>55</v>
      </c>
      <c r="B26" s="6">
        <f t="shared" si="2"/>
        <v>1</v>
      </c>
      <c r="C26" s="7" t="s">
        <v>151</v>
      </c>
      <c r="D26" s="69">
        <v>75</v>
      </c>
      <c r="E26" s="69">
        <v>0</v>
      </c>
      <c r="F26" s="66">
        <f t="shared" si="3"/>
        <v>0</v>
      </c>
      <c r="G26" s="61" t="e">
        <f t="shared" si="4"/>
        <v>#DIV/0!</v>
      </c>
      <c r="H26" s="66" t="e">
        <f t="shared" si="10"/>
        <v>#DIV/0!</v>
      </c>
      <c r="I26" s="66" t="e">
        <f t="shared" si="10"/>
        <v>#DIV/0!</v>
      </c>
      <c r="J26" s="66" t="e">
        <f t="shared" si="10"/>
        <v>#DIV/0!</v>
      </c>
      <c r="K26" s="70">
        <v>19817.25</v>
      </c>
      <c r="L26" s="70">
        <f>'Monitoramento Acumulado Geral'!Q26</f>
        <v>0</v>
      </c>
      <c r="M26" s="51">
        <f>L26/K26</f>
        <v>0</v>
      </c>
      <c r="N26" s="35" t="str">
        <f t="shared" si="5"/>
        <v>Desempenho Médio</v>
      </c>
      <c r="O26" s="6">
        <f t="shared" ref="O26:Q37" si="13">O14</f>
        <v>3.4274647562211005E-2</v>
      </c>
      <c r="P26" s="6">
        <f t="shared" si="13"/>
        <v>0.10289217685709087</v>
      </c>
      <c r="Q26" s="6">
        <f t="shared" si="13"/>
        <v>-3.4342881732668862E-2</v>
      </c>
      <c r="R26" s="70">
        <v>80</v>
      </c>
      <c r="S26" s="70">
        <v>0</v>
      </c>
      <c r="T26" s="6">
        <f t="shared" si="0"/>
        <v>0</v>
      </c>
      <c r="U26" s="35" t="e">
        <f t="shared" si="6"/>
        <v>#DIV/0!</v>
      </c>
      <c r="V26" s="6" t="e">
        <f t="shared" si="12"/>
        <v>#DIV/0!</v>
      </c>
      <c r="W26" s="6" t="e">
        <f t="shared" si="12"/>
        <v>#DIV/0!</v>
      </c>
      <c r="X26" s="6" t="e">
        <f t="shared" si="12"/>
        <v>#DIV/0!</v>
      </c>
      <c r="Y26" s="6" t="e">
        <f t="shared" si="12"/>
        <v>#DIV/0!</v>
      </c>
      <c r="Z26" s="6" t="e">
        <f t="shared" si="12"/>
        <v>#DIV/0!</v>
      </c>
    </row>
    <row r="27" spans="1:26" x14ac:dyDescent="0.2">
      <c r="A27" s="7" t="s">
        <v>55</v>
      </c>
      <c r="B27" s="6">
        <f t="shared" si="2"/>
        <v>2</v>
      </c>
      <c r="C27" s="7" t="s">
        <v>152</v>
      </c>
      <c r="D27" s="69">
        <v>75</v>
      </c>
      <c r="E27" s="69">
        <v>15</v>
      </c>
      <c r="F27" s="66">
        <f t="shared" si="3"/>
        <v>0.2</v>
      </c>
      <c r="G27" s="61" t="e">
        <f t="shared" si="4"/>
        <v>#DIV/0!</v>
      </c>
      <c r="H27" s="66" t="e">
        <f t="shared" si="10"/>
        <v>#DIV/0!</v>
      </c>
      <c r="I27" s="66" t="e">
        <f t="shared" si="10"/>
        <v>#DIV/0!</v>
      </c>
      <c r="J27" s="66" t="e">
        <f t="shared" si="10"/>
        <v>#DIV/0!</v>
      </c>
      <c r="K27" s="70">
        <v>19817.25</v>
      </c>
      <c r="L27" s="70">
        <f>'Monitoramento Acumulado Geral'!Q27</f>
        <v>900</v>
      </c>
      <c r="M27" s="6">
        <f>(SUM(L26:L27))/K26</f>
        <v>4.5414979374030204E-2</v>
      </c>
      <c r="N27" s="35" t="str">
        <f t="shared" si="5"/>
        <v>Desempenho Médio</v>
      </c>
      <c r="O27" s="6">
        <f t="shared" si="13"/>
        <v>8.1815188943147363E-2</v>
      </c>
      <c r="P27" s="6">
        <f t="shared" si="13"/>
        <v>0.20623883252423067</v>
      </c>
      <c r="Q27" s="6">
        <f t="shared" si="13"/>
        <v>-4.2608454637935944E-2</v>
      </c>
      <c r="R27" s="70">
        <v>80</v>
      </c>
      <c r="S27" s="70">
        <v>0</v>
      </c>
      <c r="T27" s="6">
        <f t="shared" si="0"/>
        <v>0</v>
      </c>
      <c r="U27" s="35" t="e">
        <f t="shared" si="6"/>
        <v>#DIV/0!</v>
      </c>
      <c r="V27" s="6" t="e">
        <f t="shared" si="12"/>
        <v>#DIV/0!</v>
      </c>
      <c r="W27" s="6" t="e">
        <f t="shared" si="12"/>
        <v>#DIV/0!</v>
      </c>
      <c r="X27" s="6" t="e">
        <f t="shared" si="12"/>
        <v>#DIV/0!</v>
      </c>
      <c r="Y27" s="6" t="e">
        <f t="shared" si="12"/>
        <v>#DIV/0!</v>
      </c>
      <c r="Z27" s="6" t="e">
        <f t="shared" si="12"/>
        <v>#DIV/0!</v>
      </c>
    </row>
    <row r="28" spans="1:26" x14ac:dyDescent="0.2">
      <c r="A28" s="7" t="s">
        <v>55</v>
      </c>
      <c r="B28" s="6">
        <f t="shared" si="2"/>
        <v>3</v>
      </c>
      <c r="C28" s="7" t="s">
        <v>153</v>
      </c>
      <c r="D28" s="69">
        <v>75</v>
      </c>
      <c r="E28" s="69">
        <v>38</v>
      </c>
      <c r="F28" s="66">
        <f t="shared" si="3"/>
        <v>0.50666666666666671</v>
      </c>
      <c r="G28" s="61" t="e">
        <f t="shared" si="4"/>
        <v>#DIV/0!</v>
      </c>
      <c r="H28" s="66" t="e">
        <f t="shared" si="10"/>
        <v>#DIV/0!</v>
      </c>
      <c r="I28" s="66" t="e">
        <f t="shared" si="10"/>
        <v>#DIV/0!</v>
      </c>
      <c r="J28" s="66" t="e">
        <f t="shared" si="10"/>
        <v>#DIV/0!</v>
      </c>
      <c r="K28" s="70">
        <v>19817.25</v>
      </c>
      <c r="L28" s="70">
        <f>'Monitoramento Acumulado Geral'!Q28</f>
        <v>3464.08</v>
      </c>
      <c r="M28" s="6">
        <f>(SUM(L26:L28))/K27</f>
        <v>0.22021622576290859</v>
      </c>
      <c r="N28" s="35" t="str">
        <f t="shared" si="5"/>
        <v>Desempenho Bom</v>
      </c>
      <c r="O28" s="6">
        <f t="shared" si="13"/>
        <v>0.13411292471649494</v>
      </c>
      <c r="P28" s="6">
        <f t="shared" si="13"/>
        <v>0.29721906787058483</v>
      </c>
      <c r="Q28" s="6">
        <f t="shared" si="13"/>
        <v>-2.899321843759492E-2</v>
      </c>
      <c r="R28" s="70">
        <v>80</v>
      </c>
      <c r="S28" s="70">
        <v>0</v>
      </c>
      <c r="T28" s="6">
        <f t="shared" si="0"/>
        <v>0</v>
      </c>
      <c r="U28" s="35" t="e">
        <f t="shared" si="6"/>
        <v>#DIV/0!</v>
      </c>
      <c r="V28" s="6" t="e">
        <f t="shared" si="12"/>
        <v>#DIV/0!</v>
      </c>
      <c r="W28" s="6" t="e">
        <f t="shared" si="12"/>
        <v>#DIV/0!</v>
      </c>
      <c r="X28" s="6" t="e">
        <f t="shared" si="12"/>
        <v>#DIV/0!</v>
      </c>
      <c r="Y28" s="6" t="e">
        <f t="shared" si="12"/>
        <v>#DIV/0!</v>
      </c>
      <c r="Z28" s="6" t="e">
        <f t="shared" si="12"/>
        <v>#DIV/0!</v>
      </c>
    </row>
    <row r="29" spans="1:26" x14ac:dyDescent="0.2">
      <c r="A29" s="7" t="s">
        <v>55</v>
      </c>
      <c r="B29" s="6">
        <f t="shared" si="2"/>
        <v>4</v>
      </c>
      <c r="C29" s="7" t="s">
        <v>154</v>
      </c>
      <c r="D29" s="69">
        <v>75</v>
      </c>
      <c r="E29" s="69">
        <v>54</v>
      </c>
      <c r="F29" s="66">
        <f t="shared" si="3"/>
        <v>0.72</v>
      </c>
      <c r="G29" s="61" t="e">
        <f t="shared" si="4"/>
        <v>#DIV/0!</v>
      </c>
      <c r="H29" s="66" t="e">
        <f t="shared" si="10"/>
        <v>#DIV/0!</v>
      </c>
      <c r="I29" s="66" t="e">
        <f t="shared" si="10"/>
        <v>#DIV/0!</v>
      </c>
      <c r="J29" s="66" t="e">
        <f t="shared" si="10"/>
        <v>#DIV/0!</v>
      </c>
      <c r="K29" s="70">
        <v>19817.25</v>
      </c>
      <c r="L29" s="70">
        <f>'Monitoramento Acumulado Geral'!Q29</f>
        <v>1454</v>
      </c>
      <c r="M29" s="6">
        <f>(SUM(L26:L29))/K28</f>
        <v>0.29358664799606404</v>
      </c>
      <c r="N29" s="35" t="str">
        <f t="shared" si="5"/>
        <v>Desempenho Bom</v>
      </c>
      <c r="O29" s="6">
        <f t="shared" si="13"/>
        <v>0.15392483870093213</v>
      </c>
      <c r="P29" s="6">
        <f t="shared" si="13"/>
        <v>0.32772007016950033</v>
      </c>
      <c r="Q29" s="6">
        <f t="shared" si="13"/>
        <v>-1.9870392767636053E-2</v>
      </c>
      <c r="R29" s="70">
        <v>80</v>
      </c>
      <c r="S29" s="70">
        <v>0</v>
      </c>
      <c r="T29" s="6">
        <f t="shared" si="0"/>
        <v>0</v>
      </c>
      <c r="U29" s="35" t="e">
        <f t="shared" si="6"/>
        <v>#DIV/0!</v>
      </c>
      <c r="V29" s="6" t="e">
        <f t="shared" si="12"/>
        <v>#DIV/0!</v>
      </c>
      <c r="W29" s="6" t="e">
        <f t="shared" si="12"/>
        <v>#DIV/0!</v>
      </c>
      <c r="X29" s="6" t="e">
        <f t="shared" si="12"/>
        <v>#DIV/0!</v>
      </c>
      <c r="Y29" s="6" t="e">
        <f t="shared" si="12"/>
        <v>#DIV/0!</v>
      </c>
      <c r="Z29" s="6" t="e">
        <f t="shared" si="12"/>
        <v>#DIV/0!</v>
      </c>
    </row>
    <row r="30" spans="1:26" x14ac:dyDescent="0.2">
      <c r="A30" s="7" t="s">
        <v>55</v>
      </c>
      <c r="B30" s="6">
        <f t="shared" si="2"/>
        <v>5</v>
      </c>
      <c r="C30" s="7" t="s">
        <v>155</v>
      </c>
      <c r="D30" s="69">
        <v>75</v>
      </c>
      <c r="E30" s="69">
        <v>54</v>
      </c>
      <c r="F30" s="66">
        <f t="shared" si="3"/>
        <v>0.72</v>
      </c>
      <c r="G30" s="61" t="e">
        <f t="shared" si="4"/>
        <v>#DIV/0!</v>
      </c>
      <c r="H30" s="66" t="e">
        <f t="shared" si="10"/>
        <v>#DIV/0!</v>
      </c>
      <c r="I30" s="66" t="e">
        <f t="shared" si="10"/>
        <v>#DIV/0!</v>
      </c>
      <c r="J30" s="66" t="e">
        <f t="shared" si="10"/>
        <v>#DIV/0!</v>
      </c>
      <c r="K30" s="70">
        <v>19817.25</v>
      </c>
      <c r="L30" s="70">
        <f>'Monitoramento Acumulado Geral'!Q30</f>
        <v>0</v>
      </c>
      <c r="M30" s="6">
        <f>(SUM(L26:L30))/K29</f>
        <v>0.29358664799606404</v>
      </c>
      <c r="N30" s="35" t="str">
        <f t="shared" si="5"/>
        <v>Desempenho Bom</v>
      </c>
      <c r="O30" s="6">
        <f t="shared" si="13"/>
        <v>0.21139287248463789</v>
      </c>
      <c r="P30" s="6">
        <f t="shared" si="13"/>
        <v>0.43680804416292918</v>
      </c>
      <c r="Q30" s="6">
        <f t="shared" si="13"/>
        <v>-1.4022299193653387E-2</v>
      </c>
      <c r="R30" s="70">
        <v>80</v>
      </c>
      <c r="S30" s="70">
        <v>0</v>
      </c>
      <c r="T30" s="6">
        <f t="shared" si="0"/>
        <v>0</v>
      </c>
      <c r="U30" s="35" t="e">
        <f t="shared" si="6"/>
        <v>#DIV/0!</v>
      </c>
      <c r="V30" s="6" t="e">
        <f t="shared" si="12"/>
        <v>#DIV/0!</v>
      </c>
      <c r="W30" s="6" t="e">
        <f t="shared" si="12"/>
        <v>#DIV/0!</v>
      </c>
      <c r="X30" s="6" t="e">
        <f t="shared" si="12"/>
        <v>#DIV/0!</v>
      </c>
      <c r="Y30" s="6" t="e">
        <f t="shared" si="12"/>
        <v>#DIV/0!</v>
      </c>
      <c r="Z30" s="6" t="e">
        <f t="shared" si="12"/>
        <v>#DIV/0!</v>
      </c>
    </row>
    <row r="31" spans="1:26" x14ac:dyDescent="0.2">
      <c r="A31" s="7" t="s">
        <v>55</v>
      </c>
      <c r="B31" s="6">
        <f t="shared" si="2"/>
        <v>6</v>
      </c>
      <c r="C31" s="7" t="s">
        <v>156</v>
      </c>
      <c r="D31" s="69">
        <v>75</v>
      </c>
      <c r="E31" s="69">
        <v>54</v>
      </c>
      <c r="F31" s="66">
        <f t="shared" si="3"/>
        <v>0.72</v>
      </c>
      <c r="G31" s="61" t="e">
        <f t="shared" si="4"/>
        <v>#DIV/0!</v>
      </c>
      <c r="H31" s="66" t="e">
        <f t="shared" si="10"/>
        <v>#DIV/0!</v>
      </c>
      <c r="I31" s="66" t="e">
        <f t="shared" si="10"/>
        <v>#DIV/0!</v>
      </c>
      <c r="J31" s="66" t="e">
        <f t="shared" si="10"/>
        <v>#DIV/0!</v>
      </c>
      <c r="K31" s="70">
        <v>19817.25</v>
      </c>
      <c r="L31" s="70">
        <f>'Monitoramento Acumulado Geral'!Q31</f>
        <v>300</v>
      </c>
      <c r="M31" s="6">
        <f>(SUM(L26:L31))/K30</f>
        <v>0.3087249744540741</v>
      </c>
      <c r="N31" s="35" t="str">
        <f t="shared" si="5"/>
        <v>Desempenho Bom</v>
      </c>
      <c r="O31" s="6">
        <f t="shared" si="13"/>
        <v>0.28403291059934432</v>
      </c>
      <c r="P31" s="6">
        <f t="shared" si="13"/>
        <v>0.56118246348434164</v>
      </c>
      <c r="Q31" s="6">
        <f t="shared" si="13"/>
        <v>6.8833577143469493E-3</v>
      </c>
      <c r="R31" s="70">
        <v>80</v>
      </c>
      <c r="S31" s="70">
        <v>0</v>
      </c>
      <c r="T31" s="6">
        <f t="shared" si="0"/>
        <v>0</v>
      </c>
      <c r="U31" s="35" t="e">
        <f t="shared" si="6"/>
        <v>#DIV/0!</v>
      </c>
      <c r="V31" s="6" t="e">
        <f t="shared" ref="V31:Z46" si="14">V19</f>
        <v>#DIV/0!</v>
      </c>
      <c r="W31" s="6" t="e">
        <f t="shared" si="14"/>
        <v>#DIV/0!</v>
      </c>
      <c r="X31" s="6" t="e">
        <f t="shared" si="14"/>
        <v>#DIV/0!</v>
      </c>
      <c r="Y31" s="6" t="e">
        <f t="shared" si="14"/>
        <v>#DIV/0!</v>
      </c>
      <c r="Z31" s="6" t="e">
        <f t="shared" si="14"/>
        <v>#DIV/0!</v>
      </c>
    </row>
    <row r="32" spans="1:26" x14ac:dyDescent="0.2">
      <c r="A32" s="7" t="s">
        <v>55</v>
      </c>
      <c r="B32" s="6">
        <f t="shared" si="2"/>
        <v>7</v>
      </c>
      <c r="C32" s="7" t="s">
        <v>157</v>
      </c>
      <c r="D32" s="69">
        <v>75</v>
      </c>
      <c r="E32" s="69">
        <v>69</v>
      </c>
      <c r="F32" s="66">
        <f t="shared" si="3"/>
        <v>0.92</v>
      </c>
      <c r="G32" s="61" t="e">
        <f t="shared" si="4"/>
        <v>#DIV/0!</v>
      </c>
      <c r="H32" s="66" t="e">
        <f t="shared" si="10"/>
        <v>#DIV/0!</v>
      </c>
      <c r="I32" s="66" t="e">
        <f t="shared" si="10"/>
        <v>#DIV/0!</v>
      </c>
      <c r="J32" s="66" t="e">
        <f t="shared" si="10"/>
        <v>#DIV/0!</v>
      </c>
      <c r="K32" s="70">
        <v>19817.25</v>
      </c>
      <c r="L32" s="70">
        <f>'Monitoramento Acumulado Geral'!Q32</f>
        <v>14140</v>
      </c>
      <c r="M32" s="6">
        <f>(SUM(L26:L32))/K31</f>
        <v>1.0222447615082819</v>
      </c>
      <c r="N32" s="35" t="str">
        <f t="shared" si="5"/>
        <v>Desempenho Ótimo</v>
      </c>
      <c r="O32" s="6">
        <f t="shared" si="13"/>
        <v>0.42046470140126019</v>
      </c>
      <c r="P32" s="6">
        <f t="shared" si="13"/>
        <v>0.84574683442734511</v>
      </c>
      <c r="Q32" s="6">
        <f t="shared" si="13"/>
        <v>-4.8174316248247306E-3</v>
      </c>
      <c r="R32" s="70">
        <v>80</v>
      </c>
      <c r="S32" s="70">
        <v>0</v>
      </c>
      <c r="T32" s="6">
        <f t="shared" si="0"/>
        <v>0</v>
      </c>
      <c r="U32" s="35" t="e">
        <f t="shared" si="6"/>
        <v>#DIV/0!</v>
      </c>
      <c r="V32" s="6" t="e">
        <f t="shared" si="14"/>
        <v>#DIV/0!</v>
      </c>
      <c r="W32" s="6" t="e">
        <f t="shared" si="14"/>
        <v>#DIV/0!</v>
      </c>
      <c r="X32" s="6" t="e">
        <f t="shared" si="14"/>
        <v>#DIV/0!</v>
      </c>
      <c r="Y32" s="6" t="e">
        <f t="shared" si="14"/>
        <v>#DIV/0!</v>
      </c>
      <c r="Z32" s="6" t="e">
        <f t="shared" si="14"/>
        <v>#DIV/0!</v>
      </c>
    </row>
    <row r="33" spans="1:26" x14ac:dyDescent="0.2">
      <c r="A33" s="7" t="s">
        <v>55</v>
      </c>
      <c r="B33" s="6">
        <f t="shared" si="2"/>
        <v>8</v>
      </c>
      <c r="C33" s="7" t="s">
        <v>158</v>
      </c>
      <c r="D33" s="69">
        <v>75</v>
      </c>
      <c r="E33" s="69">
        <v>0</v>
      </c>
      <c r="F33" s="66">
        <f t="shared" si="3"/>
        <v>0</v>
      </c>
      <c r="G33" s="61" t="e">
        <f t="shared" si="4"/>
        <v>#DIV/0!</v>
      </c>
      <c r="H33" s="66" t="e">
        <f t="shared" si="10"/>
        <v>#DIV/0!</v>
      </c>
      <c r="I33" s="66" t="e">
        <f t="shared" si="10"/>
        <v>#DIV/0!</v>
      </c>
      <c r="J33" s="66" t="e">
        <f t="shared" si="10"/>
        <v>#DIV/0!</v>
      </c>
      <c r="K33" s="70">
        <v>19817.25</v>
      </c>
      <c r="L33" s="70">
        <f>'Monitoramento Acumulado Geral'!Q33</f>
        <v>0</v>
      </c>
      <c r="M33" s="6">
        <f>(SUM(L26:L33))/K32</f>
        <v>1.0222447615082819</v>
      </c>
      <c r="N33" s="35" t="str">
        <f t="shared" si="5"/>
        <v>Desempenho Ótimo</v>
      </c>
      <c r="O33" s="6">
        <f t="shared" si="13"/>
        <v>0.42046470140126019</v>
      </c>
      <c r="P33" s="6">
        <f t="shared" si="13"/>
        <v>0.84574683442734511</v>
      </c>
      <c r="Q33" s="6">
        <f t="shared" si="13"/>
        <v>-4.8174316248247306E-3</v>
      </c>
      <c r="R33" s="70">
        <v>80</v>
      </c>
      <c r="S33" s="70">
        <v>0</v>
      </c>
      <c r="T33" s="6">
        <f t="shared" si="0"/>
        <v>0</v>
      </c>
      <c r="U33" s="35" t="e">
        <f t="shared" si="6"/>
        <v>#DIV/0!</v>
      </c>
      <c r="V33" s="6" t="e">
        <f t="shared" si="14"/>
        <v>#DIV/0!</v>
      </c>
      <c r="W33" s="6" t="e">
        <f t="shared" si="14"/>
        <v>#DIV/0!</v>
      </c>
      <c r="X33" s="6" t="e">
        <f t="shared" si="14"/>
        <v>#DIV/0!</v>
      </c>
      <c r="Y33" s="6" t="e">
        <f t="shared" si="14"/>
        <v>#DIV/0!</v>
      </c>
      <c r="Z33" s="6" t="e">
        <f t="shared" si="14"/>
        <v>#DIV/0!</v>
      </c>
    </row>
    <row r="34" spans="1:26" x14ac:dyDescent="0.2">
      <c r="A34" s="7" t="s">
        <v>55</v>
      </c>
      <c r="B34" s="6">
        <f t="shared" si="2"/>
        <v>9</v>
      </c>
      <c r="C34" s="7" t="s">
        <v>159</v>
      </c>
      <c r="D34" s="69">
        <v>75</v>
      </c>
      <c r="E34" s="69">
        <v>0</v>
      </c>
      <c r="F34" s="66">
        <f t="shared" si="3"/>
        <v>0</v>
      </c>
      <c r="G34" s="61" t="e">
        <f t="shared" si="4"/>
        <v>#DIV/0!</v>
      </c>
      <c r="H34" s="66" t="e">
        <f t="shared" si="10"/>
        <v>#DIV/0!</v>
      </c>
      <c r="I34" s="66" t="e">
        <f t="shared" si="10"/>
        <v>#DIV/0!</v>
      </c>
      <c r="J34" s="66" t="e">
        <f t="shared" si="10"/>
        <v>#DIV/0!</v>
      </c>
      <c r="K34" s="70">
        <v>19817.25</v>
      </c>
      <c r="L34" s="70">
        <f>'Monitoramento Acumulado Geral'!Q34</f>
        <v>0</v>
      </c>
      <c r="M34" s="6">
        <f>(SUM(L26:L34))/K33</f>
        <v>1.0222447615082819</v>
      </c>
      <c r="N34" s="35" t="str">
        <f t="shared" si="5"/>
        <v>Desempenho Ótimo</v>
      </c>
      <c r="O34" s="6">
        <f t="shared" si="13"/>
        <v>0.42046470140126019</v>
      </c>
      <c r="P34" s="6">
        <f t="shared" si="13"/>
        <v>0.84574683442734511</v>
      </c>
      <c r="Q34" s="6">
        <f t="shared" si="13"/>
        <v>-4.8174316248247306E-3</v>
      </c>
      <c r="R34" s="70">
        <v>80</v>
      </c>
      <c r="S34" s="70">
        <v>0</v>
      </c>
      <c r="T34" s="6">
        <f t="shared" si="0"/>
        <v>0</v>
      </c>
      <c r="U34" s="35" t="e">
        <f t="shared" si="6"/>
        <v>#DIV/0!</v>
      </c>
      <c r="V34" s="6" t="e">
        <f t="shared" si="14"/>
        <v>#DIV/0!</v>
      </c>
      <c r="W34" s="6" t="e">
        <f t="shared" si="14"/>
        <v>#DIV/0!</v>
      </c>
      <c r="X34" s="6" t="e">
        <f t="shared" si="14"/>
        <v>#DIV/0!</v>
      </c>
      <c r="Y34" s="6" t="e">
        <f t="shared" si="14"/>
        <v>#DIV/0!</v>
      </c>
      <c r="Z34" s="6" t="e">
        <f t="shared" si="14"/>
        <v>#DIV/0!</v>
      </c>
    </row>
    <row r="35" spans="1:26" x14ac:dyDescent="0.2">
      <c r="A35" s="7" t="s">
        <v>55</v>
      </c>
      <c r="B35" s="6">
        <f t="shared" si="2"/>
        <v>10</v>
      </c>
      <c r="C35" s="7" t="s">
        <v>160</v>
      </c>
      <c r="D35" s="69">
        <v>75</v>
      </c>
      <c r="E35" s="69">
        <v>0</v>
      </c>
      <c r="F35" s="66">
        <f t="shared" si="3"/>
        <v>0</v>
      </c>
      <c r="G35" s="61" t="e">
        <f t="shared" si="4"/>
        <v>#DIV/0!</v>
      </c>
      <c r="H35" s="66" t="e">
        <f t="shared" si="10"/>
        <v>#DIV/0!</v>
      </c>
      <c r="I35" s="66" t="e">
        <f t="shared" si="10"/>
        <v>#DIV/0!</v>
      </c>
      <c r="J35" s="66" t="e">
        <f t="shared" si="10"/>
        <v>#DIV/0!</v>
      </c>
      <c r="K35" s="70">
        <v>19817.25</v>
      </c>
      <c r="L35" s="70">
        <f>'Monitoramento Acumulado Geral'!Q35</f>
        <v>0</v>
      </c>
      <c r="M35" s="6">
        <f>(SUM(L26:L35))/K34</f>
        <v>1.0222447615082819</v>
      </c>
      <c r="N35" s="35" t="str">
        <f t="shared" si="5"/>
        <v>Desempenho Ótimo</v>
      </c>
      <c r="O35" s="6">
        <f t="shared" si="13"/>
        <v>0.42046470140126019</v>
      </c>
      <c r="P35" s="6">
        <f t="shared" si="13"/>
        <v>0.84574683442734511</v>
      </c>
      <c r="Q35" s="6">
        <f t="shared" si="13"/>
        <v>-4.8174316248247306E-3</v>
      </c>
      <c r="R35" s="70">
        <v>80</v>
      </c>
      <c r="S35" s="70">
        <v>0</v>
      </c>
      <c r="T35" s="6">
        <f t="shared" si="0"/>
        <v>0</v>
      </c>
      <c r="U35" s="35" t="e">
        <f t="shared" si="6"/>
        <v>#DIV/0!</v>
      </c>
      <c r="V35" s="6" t="e">
        <f t="shared" si="14"/>
        <v>#DIV/0!</v>
      </c>
      <c r="W35" s="6" t="e">
        <f t="shared" si="14"/>
        <v>#DIV/0!</v>
      </c>
      <c r="X35" s="6" t="e">
        <f t="shared" si="14"/>
        <v>#DIV/0!</v>
      </c>
      <c r="Y35" s="6" t="e">
        <f t="shared" si="14"/>
        <v>#DIV/0!</v>
      </c>
      <c r="Z35" s="6" t="e">
        <f t="shared" si="14"/>
        <v>#DIV/0!</v>
      </c>
    </row>
    <row r="36" spans="1:26" x14ac:dyDescent="0.2">
      <c r="A36" s="7" t="s">
        <v>55</v>
      </c>
      <c r="B36" s="6">
        <f t="shared" si="2"/>
        <v>11</v>
      </c>
      <c r="C36" s="7" t="s">
        <v>161</v>
      </c>
      <c r="D36" s="69">
        <v>75</v>
      </c>
      <c r="E36" s="69">
        <v>0</v>
      </c>
      <c r="F36" s="66">
        <f t="shared" si="3"/>
        <v>0</v>
      </c>
      <c r="G36" s="61" t="e">
        <f t="shared" si="4"/>
        <v>#DIV/0!</v>
      </c>
      <c r="H36" s="66" t="e">
        <f t="shared" si="10"/>
        <v>#DIV/0!</v>
      </c>
      <c r="I36" s="66" t="e">
        <f t="shared" si="10"/>
        <v>#DIV/0!</v>
      </c>
      <c r="J36" s="66" t="e">
        <f t="shared" si="10"/>
        <v>#DIV/0!</v>
      </c>
      <c r="K36" s="70">
        <v>19817.25</v>
      </c>
      <c r="L36" s="70">
        <f>'Monitoramento Acumulado Geral'!Q36</f>
        <v>0</v>
      </c>
      <c r="M36" s="6">
        <f>(SUM(L26:L36))/K35</f>
        <v>1.0222447615082819</v>
      </c>
      <c r="N36" s="35" t="str">
        <f t="shared" si="5"/>
        <v>Desempenho Ótimo</v>
      </c>
      <c r="O36" s="6">
        <f t="shared" si="13"/>
        <v>0.42046470140126019</v>
      </c>
      <c r="P36" s="6">
        <f t="shared" si="13"/>
        <v>0.84574683442734511</v>
      </c>
      <c r="Q36" s="6">
        <f t="shared" si="13"/>
        <v>-4.8174316248247306E-3</v>
      </c>
      <c r="R36" s="70">
        <v>80</v>
      </c>
      <c r="S36" s="70">
        <v>0</v>
      </c>
      <c r="T36" s="6">
        <f t="shared" si="0"/>
        <v>0</v>
      </c>
      <c r="U36" s="35" t="e">
        <f t="shared" si="6"/>
        <v>#DIV/0!</v>
      </c>
      <c r="V36" s="6" t="e">
        <f t="shared" si="14"/>
        <v>#DIV/0!</v>
      </c>
      <c r="W36" s="6" t="e">
        <f t="shared" si="14"/>
        <v>#DIV/0!</v>
      </c>
      <c r="X36" s="6" t="e">
        <f t="shared" si="14"/>
        <v>#DIV/0!</v>
      </c>
      <c r="Y36" s="6" t="e">
        <f t="shared" si="14"/>
        <v>#DIV/0!</v>
      </c>
      <c r="Z36" s="6" t="e">
        <f t="shared" si="14"/>
        <v>#DIV/0!</v>
      </c>
    </row>
    <row r="37" spans="1:26" x14ac:dyDescent="0.2">
      <c r="A37" s="7" t="s">
        <v>55</v>
      </c>
      <c r="B37" s="6">
        <f t="shared" si="2"/>
        <v>12</v>
      </c>
      <c r="C37" s="7" t="s">
        <v>162</v>
      </c>
      <c r="D37" s="69">
        <v>75</v>
      </c>
      <c r="E37" s="69">
        <v>0</v>
      </c>
      <c r="F37" s="66">
        <f t="shared" si="3"/>
        <v>0</v>
      </c>
      <c r="G37" s="61" t="e">
        <f t="shared" si="4"/>
        <v>#DIV/0!</v>
      </c>
      <c r="H37" s="66" t="e">
        <f t="shared" si="10"/>
        <v>#DIV/0!</v>
      </c>
      <c r="I37" s="66" t="e">
        <f t="shared" si="10"/>
        <v>#DIV/0!</v>
      </c>
      <c r="J37" s="66" t="e">
        <f t="shared" si="10"/>
        <v>#DIV/0!</v>
      </c>
      <c r="K37" s="70">
        <v>19817.25</v>
      </c>
      <c r="L37" s="70">
        <f>'Monitoramento Acumulado Geral'!Q37</f>
        <v>0</v>
      </c>
      <c r="M37" s="6">
        <f>(SUM(L26:L37))/K36</f>
        <v>1.0222447615082819</v>
      </c>
      <c r="N37" s="35" t="str">
        <f t="shared" si="5"/>
        <v>Desempenho Ótimo</v>
      </c>
      <c r="O37" s="6">
        <f>O25</f>
        <v>0.41824651958307835</v>
      </c>
      <c r="P37" s="6">
        <f t="shared" si="13"/>
        <v>0.84510274859297763</v>
      </c>
      <c r="Q37" s="6">
        <f t="shared" si="13"/>
        <v>-8.6097094268208774E-3</v>
      </c>
      <c r="R37" s="70">
        <v>80</v>
      </c>
      <c r="S37" s="70">
        <v>0</v>
      </c>
      <c r="T37" s="6">
        <f t="shared" si="0"/>
        <v>0</v>
      </c>
      <c r="U37" s="35" t="e">
        <f t="shared" si="6"/>
        <v>#DIV/0!</v>
      </c>
      <c r="V37" s="6" t="e">
        <f t="shared" si="14"/>
        <v>#DIV/0!</v>
      </c>
      <c r="W37" s="6" t="e">
        <f t="shared" si="14"/>
        <v>#DIV/0!</v>
      </c>
      <c r="X37" s="6" t="e">
        <f t="shared" si="14"/>
        <v>#DIV/0!</v>
      </c>
      <c r="Y37" s="6" t="e">
        <f t="shared" si="14"/>
        <v>#DIV/0!</v>
      </c>
      <c r="Z37" s="6" t="e">
        <f t="shared" si="14"/>
        <v>#DIV/0!</v>
      </c>
    </row>
    <row r="38" spans="1:26" x14ac:dyDescent="0.2">
      <c r="A38" s="7" t="s">
        <v>142</v>
      </c>
      <c r="B38" s="6">
        <f t="shared" si="2"/>
        <v>1</v>
      </c>
      <c r="C38" s="7" t="s">
        <v>151</v>
      </c>
      <c r="D38" s="69">
        <v>75</v>
      </c>
      <c r="E38" s="69">
        <v>4</v>
      </c>
      <c r="F38" s="66">
        <f t="shared" si="3"/>
        <v>5.3333333333333337E-2</v>
      </c>
      <c r="G38" s="61" t="e">
        <f t="shared" si="4"/>
        <v>#DIV/0!</v>
      </c>
      <c r="H38" s="66" t="e">
        <f t="shared" si="10"/>
        <v>#DIV/0!</v>
      </c>
      <c r="I38" s="66" t="e">
        <f t="shared" si="10"/>
        <v>#DIV/0!</v>
      </c>
      <c r="J38" s="66" t="e">
        <f t="shared" si="10"/>
        <v>#DIV/0!</v>
      </c>
      <c r="K38" s="70">
        <v>50000</v>
      </c>
      <c r="L38" s="70">
        <f>'Monitoramento Acumulado Geral'!Q38</f>
        <v>1305</v>
      </c>
      <c r="M38" s="6">
        <f>L38/K38</f>
        <v>2.6100000000000002E-2</v>
      </c>
      <c r="N38" s="35" t="str">
        <f t="shared" si="5"/>
        <v>Desempenho Médio</v>
      </c>
      <c r="O38" s="6">
        <f t="shared" ref="O38:Q53" si="15">O26</f>
        <v>3.4274647562211005E-2</v>
      </c>
      <c r="P38" s="6">
        <f t="shared" si="15"/>
        <v>0.10289217685709087</v>
      </c>
      <c r="Q38" s="6">
        <f t="shared" si="15"/>
        <v>-3.4342881732668862E-2</v>
      </c>
      <c r="R38" s="70">
        <v>80</v>
      </c>
      <c r="S38" s="70">
        <v>0</v>
      </c>
      <c r="T38" s="6">
        <f t="shared" si="0"/>
        <v>0</v>
      </c>
      <c r="U38" s="35" t="e">
        <f t="shared" si="6"/>
        <v>#DIV/0!</v>
      </c>
      <c r="V38" s="6" t="e">
        <f t="shared" si="14"/>
        <v>#DIV/0!</v>
      </c>
      <c r="W38" s="6" t="e">
        <f t="shared" si="14"/>
        <v>#DIV/0!</v>
      </c>
      <c r="X38" s="6" t="e">
        <f t="shared" si="14"/>
        <v>#DIV/0!</v>
      </c>
      <c r="Y38" s="6" t="e">
        <f t="shared" si="14"/>
        <v>#DIV/0!</v>
      </c>
      <c r="Z38" s="6" t="e">
        <f t="shared" si="14"/>
        <v>#DIV/0!</v>
      </c>
    </row>
    <row r="39" spans="1:26" x14ac:dyDescent="0.2">
      <c r="A39" s="7" t="s">
        <v>142</v>
      </c>
      <c r="B39" s="6">
        <f t="shared" si="2"/>
        <v>2</v>
      </c>
      <c r="C39" s="7" t="s">
        <v>152</v>
      </c>
      <c r="D39" s="69">
        <v>75</v>
      </c>
      <c r="E39" s="69">
        <v>17</v>
      </c>
      <c r="F39" s="66">
        <f t="shared" si="3"/>
        <v>0.22666666666666666</v>
      </c>
      <c r="G39" s="61" t="e">
        <f t="shared" si="4"/>
        <v>#DIV/0!</v>
      </c>
      <c r="H39" s="66" t="e">
        <f t="shared" si="10"/>
        <v>#DIV/0!</v>
      </c>
      <c r="I39" s="66" t="e">
        <f t="shared" si="10"/>
        <v>#DIV/0!</v>
      </c>
      <c r="J39" s="66" t="e">
        <f t="shared" si="10"/>
        <v>#DIV/0!</v>
      </c>
      <c r="K39" s="70">
        <v>50000</v>
      </c>
      <c r="L39" s="70">
        <f>'Monitoramento Acumulado Geral'!Q39</f>
        <v>6368.8</v>
      </c>
      <c r="M39" s="6">
        <f>(SUM(L38:L39))/K38</f>
        <v>0.153476</v>
      </c>
      <c r="N39" s="35" t="str">
        <f t="shared" si="5"/>
        <v>Desempenho Bom</v>
      </c>
      <c r="O39" s="6">
        <f t="shared" si="15"/>
        <v>8.1815188943147363E-2</v>
      </c>
      <c r="P39" s="6">
        <f t="shared" si="15"/>
        <v>0.20623883252423067</v>
      </c>
      <c r="Q39" s="6">
        <f t="shared" si="15"/>
        <v>-4.2608454637935944E-2</v>
      </c>
      <c r="R39" s="70">
        <v>80</v>
      </c>
      <c r="S39" s="70">
        <v>0</v>
      </c>
      <c r="T39" s="6">
        <f t="shared" si="0"/>
        <v>0</v>
      </c>
      <c r="U39" s="35" t="e">
        <f t="shared" si="6"/>
        <v>#DIV/0!</v>
      </c>
      <c r="V39" s="6" t="e">
        <f t="shared" si="14"/>
        <v>#DIV/0!</v>
      </c>
      <c r="W39" s="6" t="e">
        <f t="shared" si="14"/>
        <v>#DIV/0!</v>
      </c>
      <c r="X39" s="6" t="e">
        <f t="shared" si="14"/>
        <v>#DIV/0!</v>
      </c>
      <c r="Y39" s="6" t="e">
        <f t="shared" si="14"/>
        <v>#DIV/0!</v>
      </c>
      <c r="Z39" s="6" t="e">
        <f t="shared" si="14"/>
        <v>#DIV/0!</v>
      </c>
    </row>
    <row r="40" spans="1:26" x14ac:dyDescent="0.2">
      <c r="A40" s="7" t="s">
        <v>142</v>
      </c>
      <c r="B40" s="6">
        <f t="shared" si="2"/>
        <v>3</v>
      </c>
      <c r="C40" s="7" t="s">
        <v>153</v>
      </c>
      <c r="D40" s="69">
        <v>75</v>
      </c>
      <c r="E40" s="69">
        <v>21</v>
      </c>
      <c r="F40" s="66">
        <f t="shared" si="3"/>
        <v>0.28000000000000003</v>
      </c>
      <c r="G40" s="61" t="e">
        <f t="shared" si="4"/>
        <v>#DIV/0!</v>
      </c>
      <c r="H40" s="66" t="e">
        <f t="shared" si="10"/>
        <v>#DIV/0!</v>
      </c>
      <c r="I40" s="66" t="e">
        <f t="shared" si="10"/>
        <v>#DIV/0!</v>
      </c>
      <c r="J40" s="66" t="e">
        <f t="shared" si="10"/>
        <v>#DIV/0!</v>
      </c>
      <c r="K40" s="70">
        <v>50000</v>
      </c>
      <c r="L40" s="70">
        <f>'Monitoramento Acumulado Geral'!Q40</f>
        <v>3500</v>
      </c>
      <c r="M40" s="6">
        <f>(SUM(L38:L40))/K39</f>
        <v>0.22347599999999998</v>
      </c>
      <c r="N40" s="35" t="str">
        <f t="shared" si="5"/>
        <v>Desempenho Bom</v>
      </c>
      <c r="O40" s="6">
        <f t="shared" si="15"/>
        <v>0.13411292471649494</v>
      </c>
      <c r="P40" s="6">
        <f t="shared" si="15"/>
        <v>0.29721906787058483</v>
      </c>
      <c r="Q40" s="6">
        <f t="shared" si="15"/>
        <v>-2.899321843759492E-2</v>
      </c>
      <c r="R40" s="70">
        <v>80</v>
      </c>
      <c r="S40" s="70">
        <v>0</v>
      </c>
      <c r="T40" s="6">
        <f t="shared" si="0"/>
        <v>0</v>
      </c>
      <c r="U40" s="35" t="e">
        <f t="shared" si="6"/>
        <v>#DIV/0!</v>
      </c>
      <c r="V40" s="6" t="e">
        <f t="shared" si="14"/>
        <v>#DIV/0!</v>
      </c>
      <c r="W40" s="6" t="e">
        <f t="shared" si="14"/>
        <v>#DIV/0!</v>
      </c>
      <c r="X40" s="6" t="e">
        <f t="shared" si="14"/>
        <v>#DIV/0!</v>
      </c>
      <c r="Y40" s="6" t="e">
        <f t="shared" si="14"/>
        <v>#DIV/0!</v>
      </c>
      <c r="Z40" s="6" t="e">
        <f t="shared" si="14"/>
        <v>#DIV/0!</v>
      </c>
    </row>
    <row r="41" spans="1:26" x14ac:dyDescent="0.2">
      <c r="A41" s="7" t="s">
        <v>142</v>
      </c>
      <c r="B41" s="6">
        <f t="shared" si="2"/>
        <v>4</v>
      </c>
      <c r="C41" s="7" t="s">
        <v>154</v>
      </c>
      <c r="D41" s="69">
        <v>75</v>
      </c>
      <c r="E41" s="69">
        <v>21</v>
      </c>
      <c r="F41" s="66">
        <f t="shared" si="3"/>
        <v>0.28000000000000003</v>
      </c>
      <c r="G41" s="61" t="e">
        <f t="shared" si="4"/>
        <v>#DIV/0!</v>
      </c>
      <c r="H41" s="66" t="e">
        <f t="shared" si="10"/>
        <v>#DIV/0!</v>
      </c>
      <c r="I41" s="66" t="e">
        <f t="shared" si="10"/>
        <v>#DIV/0!</v>
      </c>
      <c r="J41" s="66" t="e">
        <f t="shared" si="10"/>
        <v>#DIV/0!</v>
      </c>
      <c r="K41" s="70">
        <v>50000</v>
      </c>
      <c r="L41" s="70">
        <f>'Monitoramento Acumulado Geral'!Q41</f>
        <v>0</v>
      </c>
      <c r="M41" s="6">
        <f>(SUM(L38:L41))/K40</f>
        <v>0.22347599999999998</v>
      </c>
      <c r="N41" s="35" t="str">
        <f t="shared" si="5"/>
        <v>Desempenho Bom</v>
      </c>
      <c r="O41" s="6">
        <f t="shared" si="15"/>
        <v>0.15392483870093213</v>
      </c>
      <c r="P41" s="6">
        <f t="shared" si="15"/>
        <v>0.32772007016950033</v>
      </c>
      <c r="Q41" s="6">
        <f t="shared" si="15"/>
        <v>-1.9870392767636053E-2</v>
      </c>
      <c r="R41" s="70">
        <v>80</v>
      </c>
      <c r="S41" s="70">
        <v>0</v>
      </c>
      <c r="T41" s="6">
        <f t="shared" si="0"/>
        <v>0</v>
      </c>
      <c r="U41" s="35" t="e">
        <f t="shared" si="6"/>
        <v>#DIV/0!</v>
      </c>
      <c r="V41" s="6" t="e">
        <f t="shared" si="14"/>
        <v>#DIV/0!</v>
      </c>
      <c r="W41" s="6" t="e">
        <f t="shared" si="14"/>
        <v>#DIV/0!</v>
      </c>
      <c r="X41" s="6" t="e">
        <f t="shared" si="14"/>
        <v>#DIV/0!</v>
      </c>
      <c r="Y41" s="6" t="e">
        <f t="shared" si="14"/>
        <v>#DIV/0!</v>
      </c>
      <c r="Z41" s="6" t="e">
        <f t="shared" si="14"/>
        <v>#DIV/0!</v>
      </c>
    </row>
    <row r="42" spans="1:26" x14ac:dyDescent="0.2">
      <c r="A42" s="7" t="s">
        <v>142</v>
      </c>
      <c r="B42" s="6">
        <f t="shared" si="2"/>
        <v>5</v>
      </c>
      <c r="C42" s="7" t="s">
        <v>155</v>
      </c>
      <c r="D42" s="69">
        <v>75</v>
      </c>
      <c r="E42" s="69">
        <v>33</v>
      </c>
      <c r="F42" s="66">
        <f t="shared" si="3"/>
        <v>0.44</v>
      </c>
      <c r="G42" s="61" t="e">
        <f t="shared" si="4"/>
        <v>#DIV/0!</v>
      </c>
      <c r="H42" s="66" t="e">
        <f t="shared" si="10"/>
        <v>#DIV/0!</v>
      </c>
      <c r="I42" s="66" t="e">
        <f t="shared" si="10"/>
        <v>#DIV/0!</v>
      </c>
      <c r="J42" s="66" t="e">
        <f t="shared" si="10"/>
        <v>#DIV/0!</v>
      </c>
      <c r="K42" s="70">
        <v>50000</v>
      </c>
      <c r="L42" s="70">
        <f>'Monitoramento Acumulado Geral'!Q42</f>
        <v>6900</v>
      </c>
      <c r="M42" s="6">
        <f>(SUM(L38:L42))/K41</f>
        <v>0.36147599999999996</v>
      </c>
      <c r="N42" s="35" t="str">
        <f t="shared" si="5"/>
        <v>Desempenho Bom</v>
      </c>
      <c r="O42" s="6">
        <f t="shared" si="15"/>
        <v>0.21139287248463789</v>
      </c>
      <c r="P42" s="6">
        <f t="shared" si="15"/>
        <v>0.43680804416292918</v>
      </c>
      <c r="Q42" s="6">
        <f t="shared" si="15"/>
        <v>-1.4022299193653387E-2</v>
      </c>
      <c r="R42" s="70">
        <v>80</v>
      </c>
      <c r="S42" s="70">
        <v>0</v>
      </c>
      <c r="T42" s="6">
        <f t="shared" si="0"/>
        <v>0</v>
      </c>
      <c r="U42" s="35" t="e">
        <f t="shared" si="6"/>
        <v>#DIV/0!</v>
      </c>
      <c r="V42" s="6" t="e">
        <f t="shared" si="14"/>
        <v>#DIV/0!</v>
      </c>
      <c r="W42" s="6" t="e">
        <f t="shared" si="14"/>
        <v>#DIV/0!</v>
      </c>
      <c r="X42" s="6" t="e">
        <f t="shared" si="14"/>
        <v>#DIV/0!</v>
      </c>
      <c r="Y42" s="6" t="e">
        <f t="shared" si="14"/>
        <v>#DIV/0!</v>
      </c>
      <c r="Z42" s="6" t="e">
        <f t="shared" si="14"/>
        <v>#DIV/0!</v>
      </c>
    </row>
    <row r="43" spans="1:26" x14ac:dyDescent="0.2">
      <c r="A43" s="7" t="s">
        <v>142</v>
      </c>
      <c r="B43" s="6">
        <f t="shared" si="2"/>
        <v>6</v>
      </c>
      <c r="C43" s="7" t="s">
        <v>156</v>
      </c>
      <c r="D43" s="69">
        <v>75</v>
      </c>
      <c r="E43" s="69">
        <v>42</v>
      </c>
      <c r="F43" s="66">
        <f t="shared" si="3"/>
        <v>0.56000000000000005</v>
      </c>
      <c r="G43" s="61" t="e">
        <f t="shared" si="4"/>
        <v>#DIV/0!</v>
      </c>
      <c r="H43" s="66" t="e">
        <f t="shared" si="10"/>
        <v>#DIV/0!</v>
      </c>
      <c r="I43" s="66" t="e">
        <f t="shared" si="10"/>
        <v>#DIV/0!</v>
      </c>
      <c r="J43" s="66" t="e">
        <f t="shared" si="10"/>
        <v>#DIV/0!</v>
      </c>
      <c r="K43" s="70">
        <v>50000</v>
      </c>
      <c r="L43" s="70">
        <f>'Monitoramento Acumulado Geral'!Q43</f>
        <v>2200</v>
      </c>
      <c r="M43" s="6">
        <f>(SUM(L38:L43))/K42</f>
        <v>0.405476</v>
      </c>
      <c r="N43" s="35" t="str">
        <f t="shared" si="5"/>
        <v>Desempenho Bom</v>
      </c>
      <c r="O43" s="6">
        <f t="shared" si="15"/>
        <v>0.28403291059934432</v>
      </c>
      <c r="P43" s="6">
        <f t="shared" si="15"/>
        <v>0.56118246348434164</v>
      </c>
      <c r="Q43" s="6">
        <f t="shared" si="15"/>
        <v>6.8833577143469493E-3</v>
      </c>
      <c r="R43" s="70">
        <v>80</v>
      </c>
      <c r="S43" s="70">
        <v>0</v>
      </c>
      <c r="T43" s="6">
        <f t="shared" si="0"/>
        <v>0</v>
      </c>
      <c r="U43" s="35" t="e">
        <f t="shared" si="6"/>
        <v>#DIV/0!</v>
      </c>
      <c r="V43" s="6" t="e">
        <f t="shared" si="14"/>
        <v>#DIV/0!</v>
      </c>
      <c r="W43" s="6" t="e">
        <f t="shared" si="14"/>
        <v>#DIV/0!</v>
      </c>
      <c r="X43" s="6" t="e">
        <f t="shared" si="14"/>
        <v>#DIV/0!</v>
      </c>
      <c r="Y43" s="6" t="e">
        <f t="shared" si="14"/>
        <v>#DIV/0!</v>
      </c>
      <c r="Z43" s="6" t="e">
        <f t="shared" si="14"/>
        <v>#DIV/0!</v>
      </c>
    </row>
    <row r="44" spans="1:26" x14ac:dyDescent="0.2">
      <c r="A44" s="7" t="s">
        <v>142</v>
      </c>
      <c r="B44" s="6">
        <f t="shared" si="2"/>
        <v>7</v>
      </c>
      <c r="C44" s="7" t="s">
        <v>157</v>
      </c>
      <c r="D44" s="69">
        <v>75</v>
      </c>
      <c r="E44" s="69">
        <v>42</v>
      </c>
      <c r="F44" s="66">
        <f t="shared" si="3"/>
        <v>0.56000000000000005</v>
      </c>
      <c r="G44" s="61" t="e">
        <f t="shared" si="4"/>
        <v>#DIV/0!</v>
      </c>
      <c r="H44" s="66" t="e">
        <f t="shared" si="10"/>
        <v>#DIV/0!</v>
      </c>
      <c r="I44" s="66" t="e">
        <f t="shared" si="10"/>
        <v>#DIV/0!</v>
      </c>
      <c r="J44" s="66" t="e">
        <f t="shared" si="10"/>
        <v>#DIV/0!</v>
      </c>
      <c r="K44" s="70">
        <v>50000</v>
      </c>
      <c r="L44" s="70">
        <f>'Monitoramento Acumulado Geral'!Q44</f>
        <v>0</v>
      </c>
      <c r="M44" s="6">
        <f>(SUM(L38:L44))/K43</f>
        <v>0.405476</v>
      </c>
      <c r="N44" s="35" t="str">
        <f t="shared" si="5"/>
        <v>Desempenho Médio</v>
      </c>
      <c r="O44" s="6">
        <f t="shared" si="15"/>
        <v>0.42046470140126019</v>
      </c>
      <c r="P44" s="6">
        <f t="shared" si="15"/>
        <v>0.84574683442734511</v>
      </c>
      <c r="Q44" s="6">
        <f t="shared" si="15"/>
        <v>-4.8174316248247306E-3</v>
      </c>
      <c r="R44" s="70">
        <v>80</v>
      </c>
      <c r="S44" s="70">
        <v>0</v>
      </c>
      <c r="T44" s="6">
        <f t="shared" si="0"/>
        <v>0</v>
      </c>
      <c r="U44" s="35" t="e">
        <f t="shared" si="6"/>
        <v>#DIV/0!</v>
      </c>
      <c r="V44" s="6" t="e">
        <f t="shared" si="14"/>
        <v>#DIV/0!</v>
      </c>
      <c r="W44" s="6" t="e">
        <f t="shared" si="14"/>
        <v>#DIV/0!</v>
      </c>
      <c r="X44" s="6" t="e">
        <f t="shared" si="14"/>
        <v>#DIV/0!</v>
      </c>
      <c r="Y44" s="6" t="e">
        <f t="shared" si="14"/>
        <v>#DIV/0!</v>
      </c>
      <c r="Z44" s="6" t="e">
        <f t="shared" si="14"/>
        <v>#DIV/0!</v>
      </c>
    </row>
    <row r="45" spans="1:26" x14ac:dyDescent="0.2">
      <c r="A45" s="7" t="s">
        <v>142</v>
      </c>
      <c r="B45" s="6">
        <f t="shared" si="2"/>
        <v>8</v>
      </c>
      <c r="C45" s="7" t="s">
        <v>158</v>
      </c>
      <c r="D45" s="69">
        <v>75</v>
      </c>
      <c r="E45" s="69">
        <v>0</v>
      </c>
      <c r="F45" s="66">
        <f t="shared" si="3"/>
        <v>0</v>
      </c>
      <c r="G45" s="61" t="e">
        <f t="shared" si="4"/>
        <v>#DIV/0!</v>
      </c>
      <c r="H45" s="66" t="e">
        <f t="shared" si="10"/>
        <v>#DIV/0!</v>
      </c>
      <c r="I45" s="66" t="e">
        <f t="shared" si="10"/>
        <v>#DIV/0!</v>
      </c>
      <c r="J45" s="66" t="e">
        <f t="shared" si="10"/>
        <v>#DIV/0!</v>
      </c>
      <c r="K45" s="70">
        <v>50000</v>
      </c>
      <c r="L45" s="70">
        <f>'Monitoramento Acumulado Geral'!Q45</f>
        <v>0</v>
      </c>
      <c r="M45" s="6">
        <f>(SUM(L38:L45))/K44</f>
        <v>0.405476</v>
      </c>
      <c r="N45" s="35" t="str">
        <f t="shared" si="5"/>
        <v>Desempenho Médio</v>
      </c>
      <c r="O45" s="6">
        <f t="shared" si="15"/>
        <v>0.42046470140126019</v>
      </c>
      <c r="P45" s="6">
        <f t="shared" si="15"/>
        <v>0.84574683442734511</v>
      </c>
      <c r="Q45" s="6">
        <f t="shared" si="15"/>
        <v>-4.8174316248247306E-3</v>
      </c>
      <c r="R45" s="70">
        <v>80</v>
      </c>
      <c r="S45" s="70">
        <v>0</v>
      </c>
      <c r="T45" s="6">
        <f t="shared" si="0"/>
        <v>0</v>
      </c>
      <c r="U45" s="35" t="e">
        <f t="shared" si="6"/>
        <v>#DIV/0!</v>
      </c>
      <c r="V45" s="6" t="e">
        <f t="shared" si="14"/>
        <v>#DIV/0!</v>
      </c>
      <c r="W45" s="6" t="e">
        <f t="shared" si="14"/>
        <v>#DIV/0!</v>
      </c>
      <c r="X45" s="6" t="e">
        <f t="shared" si="14"/>
        <v>#DIV/0!</v>
      </c>
      <c r="Y45" s="6" t="e">
        <f t="shared" si="14"/>
        <v>#DIV/0!</v>
      </c>
      <c r="Z45" s="6" t="e">
        <f t="shared" si="14"/>
        <v>#DIV/0!</v>
      </c>
    </row>
    <row r="46" spans="1:26" x14ac:dyDescent="0.2">
      <c r="A46" s="7" t="s">
        <v>142</v>
      </c>
      <c r="B46" s="6">
        <f t="shared" si="2"/>
        <v>9</v>
      </c>
      <c r="C46" s="7" t="s">
        <v>159</v>
      </c>
      <c r="D46" s="69">
        <v>75</v>
      </c>
      <c r="E46" s="69">
        <v>0</v>
      </c>
      <c r="F46" s="66">
        <f t="shared" si="3"/>
        <v>0</v>
      </c>
      <c r="G46" s="61" t="e">
        <f t="shared" si="4"/>
        <v>#DIV/0!</v>
      </c>
      <c r="H46" s="66" t="e">
        <f t="shared" si="10"/>
        <v>#DIV/0!</v>
      </c>
      <c r="I46" s="66" t="e">
        <f t="shared" si="10"/>
        <v>#DIV/0!</v>
      </c>
      <c r="J46" s="66" t="e">
        <f t="shared" si="10"/>
        <v>#DIV/0!</v>
      </c>
      <c r="K46" s="70">
        <v>50000</v>
      </c>
      <c r="L46" s="70">
        <f>'Monitoramento Acumulado Geral'!Q46</f>
        <v>0</v>
      </c>
      <c r="M46" s="6">
        <f>(SUM(L38:L46))/K45</f>
        <v>0.405476</v>
      </c>
      <c r="N46" s="35" t="str">
        <f t="shared" si="5"/>
        <v>Desempenho Médio</v>
      </c>
      <c r="O46" s="6">
        <f t="shared" si="15"/>
        <v>0.42046470140126019</v>
      </c>
      <c r="P46" s="6">
        <f t="shared" si="15"/>
        <v>0.84574683442734511</v>
      </c>
      <c r="Q46" s="6">
        <f t="shared" si="15"/>
        <v>-4.8174316248247306E-3</v>
      </c>
      <c r="R46" s="70">
        <v>80</v>
      </c>
      <c r="S46" s="70">
        <v>0</v>
      </c>
      <c r="T46" s="6">
        <f t="shared" si="0"/>
        <v>0</v>
      </c>
      <c r="U46" s="35" t="e">
        <f t="shared" si="6"/>
        <v>#DIV/0!</v>
      </c>
      <c r="V46" s="6" t="e">
        <f t="shared" si="14"/>
        <v>#DIV/0!</v>
      </c>
      <c r="W46" s="6" t="e">
        <f t="shared" si="14"/>
        <v>#DIV/0!</v>
      </c>
      <c r="X46" s="6" t="e">
        <f t="shared" si="14"/>
        <v>#DIV/0!</v>
      </c>
      <c r="Y46" s="6" t="e">
        <f t="shared" si="14"/>
        <v>#DIV/0!</v>
      </c>
      <c r="Z46" s="6" t="e">
        <f t="shared" si="14"/>
        <v>#DIV/0!</v>
      </c>
    </row>
    <row r="47" spans="1:26" x14ac:dyDescent="0.2">
      <c r="A47" s="7" t="s">
        <v>142</v>
      </c>
      <c r="B47" s="6">
        <f t="shared" si="2"/>
        <v>10</v>
      </c>
      <c r="C47" s="7" t="s">
        <v>160</v>
      </c>
      <c r="D47" s="69">
        <v>75</v>
      </c>
      <c r="E47" s="69">
        <v>0</v>
      </c>
      <c r="F47" s="66">
        <f t="shared" si="3"/>
        <v>0</v>
      </c>
      <c r="G47" s="61" t="e">
        <f t="shared" si="4"/>
        <v>#DIV/0!</v>
      </c>
      <c r="H47" s="66" t="e">
        <f t="shared" si="10"/>
        <v>#DIV/0!</v>
      </c>
      <c r="I47" s="66" t="e">
        <f t="shared" si="10"/>
        <v>#DIV/0!</v>
      </c>
      <c r="J47" s="66" t="e">
        <f t="shared" si="10"/>
        <v>#DIV/0!</v>
      </c>
      <c r="K47" s="70">
        <v>50000</v>
      </c>
      <c r="L47" s="70">
        <f>'Monitoramento Acumulado Geral'!Q47</f>
        <v>0</v>
      </c>
      <c r="M47" s="6">
        <f>(SUM(L38:L47))/K46</f>
        <v>0.405476</v>
      </c>
      <c r="N47" s="35" t="str">
        <f t="shared" si="5"/>
        <v>Desempenho Médio</v>
      </c>
      <c r="O47" s="6">
        <f t="shared" si="15"/>
        <v>0.42046470140126019</v>
      </c>
      <c r="P47" s="6">
        <f t="shared" si="15"/>
        <v>0.84574683442734511</v>
      </c>
      <c r="Q47" s="6">
        <f t="shared" si="15"/>
        <v>-4.8174316248247306E-3</v>
      </c>
      <c r="R47" s="70">
        <v>80</v>
      </c>
      <c r="S47" s="70">
        <v>0</v>
      </c>
      <c r="T47" s="6">
        <f t="shared" si="0"/>
        <v>0</v>
      </c>
      <c r="U47" s="35" t="e">
        <f t="shared" si="6"/>
        <v>#DIV/0!</v>
      </c>
      <c r="V47" s="6" t="e">
        <f t="shared" ref="V47:Z62" si="16">V35</f>
        <v>#DIV/0!</v>
      </c>
      <c r="W47" s="6" t="e">
        <f t="shared" si="16"/>
        <v>#DIV/0!</v>
      </c>
      <c r="X47" s="6" t="e">
        <f t="shared" si="16"/>
        <v>#DIV/0!</v>
      </c>
      <c r="Y47" s="6" t="e">
        <f t="shared" si="16"/>
        <v>#DIV/0!</v>
      </c>
      <c r="Z47" s="6" t="e">
        <f t="shared" si="16"/>
        <v>#DIV/0!</v>
      </c>
    </row>
    <row r="48" spans="1:26" x14ac:dyDescent="0.2">
      <c r="A48" s="7" t="s">
        <v>142</v>
      </c>
      <c r="B48" s="6">
        <f t="shared" si="2"/>
        <v>11</v>
      </c>
      <c r="C48" s="7" t="s">
        <v>161</v>
      </c>
      <c r="D48" s="69">
        <v>75</v>
      </c>
      <c r="E48" s="69">
        <v>0</v>
      </c>
      <c r="F48" s="66">
        <f t="shared" si="3"/>
        <v>0</v>
      </c>
      <c r="G48" s="61" t="e">
        <f t="shared" si="4"/>
        <v>#DIV/0!</v>
      </c>
      <c r="H48" s="66" t="e">
        <f t="shared" si="10"/>
        <v>#DIV/0!</v>
      </c>
      <c r="I48" s="66" t="e">
        <f t="shared" si="10"/>
        <v>#DIV/0!</v>
      </c>
      <c r="J48" s="66" t="e">
        <f t="shared" si="10"/>
        <v>#DIV/0!</v>
      </c>
      <c r="K48" s="70">
        <v>50000</v>
      </c>
      <c r="L48" s="70">
        <f>'Monitoramento Acumulado Geral'!Q48</f>
        <v>0</v>
      </c>
      <c r="M48" s="6">
        <f>(SUM(L38:L48))/K47</f>
        <v>0.405476</v>
      </c>
      <c r="N48" s="35" t="str">
        <f t="shared" si="5"/>
        <v>Desempenho Médio</v>
      </c>
      <c r="O48" s="6">
        <f t="shared" si="15"/>
        <v>0.42046470140126019</v>
      </c>
      <c r="P48" s="6">
        <f t="shared" si="15"/>
        <v>0.84574683442734511</v>
      </c>
      <c r="Q48" s="6">
        <f t="shared" si="15"/>
        <v>-4.8174316248247306E-3</v>
      </c>
      <c r="R48" s="70">
        <v>80</v>
      </c>
      <c r="S48" s="70">
        <v>0</v>
      </c>
      <c r="T48" s="6">
        <f t="shared" si="0"/>
        <v>0</v>
      </c>
      <c r="U48" s="35" t="e">
        <f t="shared" si="6"/>
        <v>#DIV/0!</v>
      </c>
      <c r="V48" s="6" t="e">
        <f t="shared" si="16"/>
        <v>#DIV/0!</v>
      </c>
      <c r="W48" s="6" t="e">
        <f t="shared" si="16"/>
        <v>#DIV/0!</v>
      </c>
      <c r="X48" s="6" t="e">
        <f t="shared" si="16"/>
        <v>#DIV/0!</v>
      </c>
      <c r="Y48" s="6" t="e">
        <f t="shared" si="16"/>
        <v>#DIV/0!</v>
      </c>
      <c r="Z48" s="6" t="e">
        <f t="shared" si="16"/>
        <v>#DIV/0!</v>
      </c>
    </row>
    <row r="49" spans="1:26" x14ac:dyDescent="0.2">
      <c r="A49" s="7" t="s">
        <v>142</v>
      </c>
      <c r="B49" s="6">
        <f t="shared" si="2"/>
        <v>12</v>
      </c>
      <c r="C49" s="7" t="s">
        <v>162</v>
      </c>
      <c r="D49" s="69">
        <v>75</v>
      </c>
      <c r="E49" s="69">
        <v>0</v>
      </c>
      <c r="F49" s="66">
        <f t="shared" si="3"/>
        <v>0</v>
      </c>
      <c r="G49" s="61" t="e">
        <f t="shared" si="4"/>
        <v>#DIV/0!</v>
      </c>
      <c r="H49" s="66" t="e">
        <f t="shared" si="10"/>
        <v>#DIV/0!</v>
      </c>
      <c r="I49" s="66" t="e">
        <f t="shared" si="10"/>
        <v>#DIV/0!</v>
      </c>
      <c r="J49" s="66" t="e">
        <f t="shared" si="10"/>
        <v>#DIV/0!</v>
      </c>
      <c r="K49" s="70">
        <v>50000</v>
      </c>
      <c r="L49" s="70">
        <f>'Monitoramento Acumulado Geral'!Q49</f>
        <v>0</v>
      </c>
      <c r="M49" s="6">
        <f>(SUM(L38:L49))/K48</f>
        <v>0.405476</v>
      </c>
      <c r="N49" s="35" t="str">
        <f t="shared" si="5"/>
        <v>Desempenho Médio</v>
      </c>
      <c r="O49" s="6">
        <f t="shared" si="15"/>
        <v>0.41824651958307835</v>
      </c>
      <c r="P49" s="6">
        <f t="shared" si="15"/>
        <v>0.84510274859297763</v>
      </c>
      <c r="Q49" s="6">
        <f t="shared" si="15"/>
        <v>-8.6097094268208774E-3</v>
      </c>
      <c r="R49" s="70">
        <v>80</v>
      </c>
      <c r="S49" s="70">
        <v>0</v>
      </c>
      <c r="T49" s="6">
        <f t="shared" si="0"/>
        <v>0</v>
      </c>
      <c r="U49" s="35" t="e">
        <f t="shared" si="6"/>
        <v>#DIV/0!</v>
      </c>
      <c r="V49" s="6" t="e">
        <f t="shared" si="16"/>
        <v>#DIV/0!</v>
      </c>
      <c r="W49" s="6" t="e">
        <f t="shared" si="16"/>
        <v>#DIV/0!</v>
      </c>
      <c r="X49" s="6" t="e">
        <f t="shared" si="16"/>
        <v>#DIV/0!</v>
      </c>
      <c r="Y49" s="6" t="e">
        <f t="shared" si="16"/>
        <v>#DIV/0!</v>
      </c>
      <c r="Z49" s="6" t="e">
        <f t="shared" si="16"/>
        <v>#DIV/0!</v>
      </c>
    </row>
    <row r="50" spans="1:26" x14ac:dyDescent="0.2">
      <c r="A50" s="7" t="s">
        <v>65</v>
      </c>
      <c r="B50" s="6">
        <f t="shared" si="2"/>
        <v>1</v>
      </c>
      <c r="C50" s="7" t="s">
        <v>151</v>
      </c>
      <c r="D50" s="69">
        <v>75</v>
      </c>
      <c r="E50" s="69">
        <v>27</v>
      </c>
      <c r="F50" s="66">
        <f t="shared" si="3"/>
        <v>0.36</v>
      </c>
      <c r="G50" s="61" t="e">
        <f t="shared" si="4"/>
        <v>#DIV/0!</v>
      </c>
      <c r="H50" s="66" t="e">
        <f t="shared" si="10"/>
        <v>#DIV/0!</v>
      </c>
      <c r="I50" s="66" t="e">
        <f t="shared" si="10"/>
        <v>#DIV/0!</v>
      </c>
      <c r="J50" s="66" t="e">
        <f t="shared" si="10"/>
        <v>#DIV/0!</v>
      </c>
      <c r="K50" s="70">
        <v>12000</v>
      </c>
      <c r="L50" s="70">
        <f>'Monitoramento Acumulado Geral'!Q50</f>
        <v>4500</v>
      </c>
      <c r="M50" s="6">
        <f>L50/K50</f>
        <v>0.375</v>
      </c>
      <c r="N50" s="35" t="str">
        <f t="shared" si="5"/>
        <v>Desempenho Ótimo</v>
      </c>
      <c r="O50" s="6">
        <f t="shared" si="15"/>
        <v>3.4274647562211005E-2</v>
      </c>
      <c r="P50" s="6">
        <f t="shared" si="15"/>
        <v>0.10289217685709087</v>
      </c>
      <c r="Q50" s="6">
        <f t="shared" si="15"/>
        <v>-3.4342881732668862E-2</v>
      </c>
      <c r="R50" s="70">
        <v>67</v>
      </c>
      <c r="S50" s="70">
        <v>0</v>
      </c>
      <c r="T50" s="6">
        <f t="shared" si="0"/>
        <v>0</v>
      </c>
      <c r="U50" s="35" t="e">
        <f t="shared" si="6"/>
        <v>#DIV/0!</v>
      </c>
      <c r="V50" s="6" t="e">
        <f t="shared" si="16"/>
        <v>#DIV/0!</v>
      </c>
      <c r="W50" s="6" t="e">
        <f t="shared" si="16"/>
        <v>#DIV/0!</v>
      </c>
      <c r="X50" s="6" t="e">
        <f t="shared" si="16"/>
        <v>#DIV/0!</v>
      </c>
      <c r="Y50" s="6" t="e">
        <f t="shared" si="16"/>
        <v>#DIV/0!</v>
      </c>
      <c r="Z50" s="6" t="e">
        <f t="shared" si="16"/>
        <v>#DIV/0!</v>
      </c>
    </row>
    <row r="51" spans="1:26" x14ac:dyDescent="0.2">
      <c r="A51" s="7" t="s">
        <v>65</v>
      </c>
      <c r="B51" s="6">
        <f t="shared" si="2"/>
        <v>2</v>
      </c>
      <c r="C51" s="7" t="s">
        <v>152</v>
      </c>
      <c r="D51" s="69">
        <v>75</v>
      </c>
      <c r="E51" s="69">
        <v>27</v>
      </c>
      <c r="F51" s="66">
        <f t="shared" si="3"/>
        <v>0.36</v>
      </c>
      <c r="G51" s="61" t="e">
        <f t="shared" si="4"/>
        <v>#DIV/0!</v>
      </c>
      <c r="H51" s="66" t="e">
        <f t="shared" si="10"/>
        <v>#DIV/0!</v>
      </c>
      <c r="I51" s="66" t="e">
        <f t="shared" si="10"/>
        <v>#DIV/0!</v>
      </c>
      <c r="J51" s="66" t="e">
        <f t="shared" si="10"/>
        <v>#DIV/0!</v>
      </c>
      <c r="K51" s="70">
        <v>12000</v>
      </c>
      <c r="L51" s="70">
        <f>'Monitoramento Acumulado Geral'!Q51</f>
        <v>0</v>
      </c>
      <c r="M51" s="6">
        <f>(SUM(L50:L51))/K50</f>
        <v>0.375</v>
      </c>
      <c r="N51" s="35" t="str">
        <f t="shared" si="5"/>
        <v>Desempenho Ótimo</v>
      </c>
      <c r="O51" s="6">
        <f t="shared" si="15"/>
        <v>8.1815188943147363E-2</v>
      </c>
      <c r="P51" s="6">
        <f t="shared" si="15"/>
        <v>0.20623883252423067</v>
      </c>
      <c r="Q51" s="6">
        <f t="shared" si="15"/>
        <v>-4.2608454637935944E-2</v>
      </c>
      <c r="R51" s="70">
        <v>67</v>
      </c>
      <c r="S51" s="70">
        <v>0</v>
      </c>
      <c r="T51" s="6">
        <f t="shared" si="0"/>
        <v>0</v>
      </c>
      <c r="U51" s="35" t="e">
        <f t="shared" si="6"/>
        <v>#DIV/0!</v>
      </c>
      <c r="V51" s="6" t="e">
        <f t="shared" si="16"/>
        <v>#DIV/0!</v>
      </c>
      <c r="W51" s="6" t="e">
        <f t="shared" si="16"/>
        <v>#DIV/0!</v>
      </c>
      <c r="X51" s="6" t="e">
        <f t="shared" si="16"/>
        <v>#DIV/0!</v>
      </c>
      <c r="Y51" s="6" t="e">
        <f t="shared" si="16"/>
        <v>#DIV/0!</v>
      </c>
      <c r="Z51" s="6" t="e">
        <f t="shared" si="16"/>
        <v>#DIV/0!</v>
      </c>
    </row>
    <row r="52" spans="1:26" x14ac:dyDescent="0.2">
      <c r="A52" s="7" t="s">
        <v>65</v>
      </c>
      <c r="B52" s="6">
        <f t="shared" si="2"/>
        <v>3</v>
      </c>
      <c r="C52" s="7" t="s">
        <v>153</v>
      </c>
      <c r="D52" s="69">
        <v>75</v>
      </c>
      <c r="E52" s="69">
        <v>32</v>
      </c>
      <c r="F52" s="66">
        <f t="shared" si="3"/>
        <v>0.42666666666666669</v>
      </c>
      <c r="G52" s="61" t="e">
        <f t="shared" si="4"/>
        <v>#DIV/0!</v>
      </c>
      <c r="H52" s="66" t="e">
        <f t="shared" si="10"/>
        <v>#DIV/0!</v>
      </c>
      <c r="I52" s="66" t="e">
        <f t="shared" si="10"/>
        <v>#DIV/0!</v>
      </c>
      <c r="J52" s="66" t="e">
        <f t="shared" si="10"/>
        <v>#DIV/0!</v>
      </c>
      <c r="K52" s="70">
        <v>12000</v>
      </c>
      <c r="L52" s="70">
        <f>'Monitoramento Acumulado Geral'!Q52</f>
        <v>700</v>
      </c>
      <c r="M52" s="6">
        <f>(SUM(L50:L52))/K51</f>
        <v>0.43333333333333335</v>
      </c>
      <c r="N52" s="35" t="str">
        <f t="shared" si="5"/>
        <v>Desempenho Ótimo</v>
      </c>
      <c r="O52" s="6">
        <f t="shared" si="15"/>
        <v>0.13411292471649494</v>
      </c>
      <c r="P52" s="6">
        <f t="shared" si="15"/>
        <v>0.29721906787058483</v>
      </c>
      <c r="Q52" s="6">
        <f t="shared" si="15"/>
        <v>-2.899321843759492E-2</v>
      </c>
      <c r="R52" s="70">
        <v>67</v>
      </c>
      <c r="S52" s="70">
        <v>0</v>
      </c>
      <c r="T52" s="6">
        <f t="shared" si="0"/>
        <v>0</v>
      </c>
      <c r="U52" s="35" t="e">
        <f t="shared" si="6"/>
        <v>#DIV/0!</v>
      </c>
      <c r="V52" s="6" t="e">
        <f t="shared" si="16"/>
        <v>#DIV/0!</v>
      </c>
      <c r="W52" s="6" t="e">
        <f t="shared" si="16"/>
        <v>#DIV/0!</v>
      </c>
      <c r="X52" s="6" t="e">
        <f t="shared" si="16"/>
        <v>#DIV/0!</v>
      </c>
      <c r="Y52" s="6" t="e">
        <f t="shared" si="16"/>
        <v>#DIV/0!</v>
      </c>
      <c r="Z52" s="6" t="e">
        <f t="shared" si="16"/>
        <v>#DIV/0!</v>
      </c>
    </row>
    <row r="53" spans="1:26" x14ac:dyDescent="0.2">
      <c r="A53" s="7" t="s">
        <v>65</v>
      </c>
      <c r="B53" s="6">
        <f t="shared" si="2"/>
        <v>4</v>
      </c>
      <c r="C53" s="7" t="s">
        <v>154</v>
      </c>
      <c r="D53" s="69">
        <v>75</v>
      </c>
      <c r="E53" s="69">
        <v>32</v>
      </c>
      <c r="F53" s="66">
        <f t="shared" si="3"/>
        <v>0.42666666666666669</v>
      </c>
      <c r="G53" s="61" t="e">
        <f t="shared" si="4"/>
        <v>#DIV/0!</v>
      </c>
      <c r="H53" s="66" t="e">
        <f t="shared" si="10"/>
        <v>#DIV/0!</v>
      </c>
      <c r="I53" s="66" t="e">
        <f t="shared" si="10"/>
        <v>#DIV/0!</v>
      </c>
      <c r="J53" s="66" t="e">
        <f t="shared" si="10"/>
        <v>#DIV/0!</v>
      </c>
      <c r="K53" s="70">
        <v>12000</v>
      </c>
      <c r="L53" s="70">
        <f>'Monitoramento Acumulado Geral'!Q53</f>
        <v>0</v>
      </c>
      <c r="M53" s="6">
        <f>(SUM(L50:L53))/K52</f>
        <v>0.43333333333333335</v>
      </c>
      <c r="N53" s="35" t="str">
        <f t="shared" si="5"/>
        <v>Desempenho Ótimo</v>
      </c>
      <c r="O53" s="6">
        <f t="shared" si="15"/>
        <v>0.15392483870093213</v>
      </c>
      <c r="P53" s="6">
        <f t="shared" si="15"/>
        <v>0.32772007016950033</v>
      </c>
      <c r="Q53" s="6">
        <f t="shared" si="15"/>
        <v>-1.9870392767636053E-2</v>
      </c>
      <c r="R53" s="70">
        <v>67</v>
      </c>
      <c r="S53" s="70">
        <v>0</v>
      </c>
      <c r="T53" s="6">
        <f t="shared" si="0"/>
        <v>0</v>
      </c>
      <c r="U53" s="35" t="e">
        <f t="shared" si="6"/>
        <v>#DIV/0!</v>
      </c>
      <c r="V53" s="6" t="e">
        <f t="shared" si="16"/>
        <v>#DIV/0!</v>
      </c>
      <c r="W53" s="6" t="e">
        <f t="shared" si="16"/>
        <v>#DIV/0!</v>
      </c>
      <c r="X53" s="6" t="e">
        <f t="shared" si="16"/>
        <v>#DIV/0!</v>
      </c>
      <c r="Y53" s="6" t="e">
        <f t="shared" si="16"/>
        <v>#DIV/0!</v>
      </c>
      <c r="Z53" s="6" t="e">
        <f t="shared" si="16"/>
        <v>#DIV/0!</v>
      </c>
    </row>
    <row r="54" spans="1:26" x14ac:dyDescent="0.2">
      <c r="A54" s="7" t="s">
        <v>65</v>
      </c>
      <c r="B54" s="6">
        <f t="shared" si="2"/>
        <v>5</v>
      </c>
      <c r="C54" s="7" t="s">
        <v>155</v>
      </c>
      <c r="D54" s="69">
        <v>75</v>
      </c>
      <c r="E54" s="69">
        <v>32</v>
      </c>
      <c r="F54" s="66">
        <f t="shared" si="3"/>
        <v>0.42666666666666669</v>
      </c>
      <c r="G54" s="61" t="e">
        <f t="shared" si="4"/>
        <v>#DIV/0!</v>
      </c>
      <c r="H54" s="66" t="e">
        <f t="shared" si="10"/>
        <v>#DIV/0!</v>
      </c>
      <c r="I54" s="66" t="e">
        <f t="shared" si="10"/>
        <v>#DIV/0!</v>
      </c>
      <c r="J54" s="66" t="e">
        <f t="shared" si="10"/>
        <v>#DIV/0!</v>
      </c>
      <c r="K54" s="70">
        <v>12000</v>
      </c>
      <c r="L54" s="70">
        <f>'Monitoramento Acumulado Geral'!Q54</f>
        <v>0</v>
      </c>
      <c r="M54" s="6">
        <f>(SUM(L50:L54))/K53</f>
        <v>0.43333333333333335</v>
      </c>
      <c r="N54" s="35" t="str">
        <f t="shared" si="5"/>
        <v>Desempenho Bom</v>
      </c>
      <c r="O54" s="6">
        <f t="shared" ref="O54:Q69" si="17">O42</f>
        <v>0.21139287248463789</v>
      </c>
      <c r="P54" s="6">
        <f t="shared" si="17"/>
        <v>0.43680804416292918</v>
      </c>
      <c r="Q54" s="6">
        <f t="shared" si="17"/>
        <v>-1.4022299193653387E-2</v>
      </c>
      <c r="R54" s="70">
        <v>67</v>
      </c>
      <c r="S54" s="70">
        <v>0</v>
      </c>
      <c r="T54" s="6">
        <f t="shared" si="0"/>
        <v>0</v>
      </c>
      <c r="U54" s="35" t="e">
        <f t="shared" si="6"/>
        <v>#DIV/0!</v>
      </c>
      <c r="V54" s="6" t="e">
        <f t="shared" si="16"/>
        <v>#DIV/0!</v>
      </c>
      <c r="W54" s="6" t="e">
        <f t="shared" si="16"/>
        <v>#DIV/0!</v>
      </c>
      <c r="X54" s="6" t="e">
        <f t="shared" si="16"/>
        <v>#DIV/0!</v>
      </c>
      <c r="Y54" s="6" t="e">
        <f t="shared" si="16"/>
        <v>#DIV/0!</v>
      </c>
      <c r="Z54" s="6" t="e">
        <f t="shared" si="16"/>
        <v>#DIV/0!</v>
      </c>
    </row>
    <row r="55" spans="1:26" x14ac:dyDescent="0.2">
      <c r="A55" s="7" t="s">
        <v>65</v>
      </c>
      <c r="B55" s="6">
        <f t="shared" si="2"/>
        <v>6</v>
      </c>
      <c r="C55" s="7" t="s">
        <v>156</v>
      </c>
      <c r="D55" s="69">
        <v>75</v>
      </c>
      <c r="E55" s="69">
        <v>68</v>
      </c>
      <c r="F55" s="66">
        <f t="shared" si="3"/>
        <v>0.90666666666666662</v>
      </c>
      <c r="G55" s="61" t="e">
        <f t="shared" si="4"/>
        <v>#DIV/0!</v>
      </c>
      <c r="H55" s="66" t="e">
        <f t="shared" si="10"/>
        <v>#DIV/0!</v>
      </c>
      <c r="I55" s="66" t="e">
        <f t="shared" si="10"/>
        <v>#DIV/0!</v>
      </c>
      <c r="J55" s="66" t="e">
        <f t="shared" si="10"/>
        <v>#DIV/0!</v>
      </c>
      <c r="K55" s="70">
        <v>12000</v>
      </c>
      <c r="L55" s="70">
        <f>'Monitoramento Acumulado Geral'!Q55</f>
        <v>6644</v>
      </c>
      <c r="M55" s="6">
        <f>(SUM(L50:L55))/K54</f>
        <v>0.98699999999999999</v>
      </c>
      <c r="N55" s="35" t="str">
        <f t="shared" si="5"/>
        <v>Desempenho Ótimo</v>
      </c>
      <c r="O55" s="6">
        <f t="shared" si="17"/>
        <v>0.28403291059934432</v>
      </c>
      <c r="P55" s="6">
        <f t="shared" si="17"/>
        <v>0.56118246348434164</v>
      </c>
      <c r="Q55" s="6">
        <f t="shared" si="17"/>
        <v>6.8833577143469493E-3</v>
      </c>
      <c r="R55" s="70">
        <v>67</v>
      </c>
      <c r="S55" s="70">
        <v>0</v>
      </c>
      <c r="T55" s="6">
        <f t="shared" si="0"/>
        <v>0</v>
      </c>
      <c r="U55" s="35" t="e">
        <f t="shared" si="6"/>
        <v>#DIV/0!</v>
      </c>
      <c r="V55" s="6" t="e">
        <f t="shared" si="16"/>
        <v>#DIV/0!</v>
      </c>
      <c r="W55" s="6" t="e">
        <f t="shared" si="16"/>
        <v>#DIV/0!</v>
      </c>
      <c r="X55" s="6" t="e">
        <f t="shared" si="16"/>
        <v>#DIV/0!</v>
      </c>
      <c r="Y55" s="6" t="e">
        <f t="shared" si="16"/>
        <v>#DIV/0!</v>
      </c>
      <c r="Z55" s="6" t="e">
        <f t="shared" si="16"/>
        <v>#DIV/0!</v>
      </c>
    </row>
    <row r="56" spans="1:26" x14ac:dyDescent="0.2">
      <c r="A56" s="7" t="s">
        <v>65</v>
      </c>
      <c r="B56" s="6">
        <f t="shared" si="2"/>
        <v>7</v>
      </c>
      <c r="C56" s="7" t="s">
        <v>157</v>
      </c>
      <c r="D56" s="69">
        <v>75</v>
      </c>
      <c r="E56" s="69">
        <v>77</v>
      </c>
      <c r="F56" s="66">
        <f t="shared" si="3"/>
        <v>1.0266666666666666</v>
      </c>
      <c r="G56" s="61" t="e">
        <f t="shared" si="4"/>
        <v>#DIV/0!</v>
      </c>
      <c r="H56" s="66" t="e">
        <f t="shared" si="10"/>
        <v>#DIV/0!</v>
      </c>
      <c r="I56" s="66" t="e">
        <f t="shared" si="10"/>
        <v>#DIV/0!</v>
      </c>
      <c r="J56" s="66" t="e">
        <f t="shared" si="10"/>
        <v>#DIV/0!</v>
      </c>
      <c r="K56" s="70">
        <v>12000</v>
      </c>
      <c r="L56" s="70">
        <f>'Monitoramento Acumulado Geral'!Q56</f>
        <v>3447.9</v>
      </c>
      <c r="M56" s="6">
        <f>(SUM(L50:L56))/K55</f>
        <v>1.2743249999999999</v>
      </c>
      <c r="N56" s="35" t="str">
        <f t="shared" si="5"/>
        <v>Desempenho Ótimo</v>
      </c>
      <c r="O56" s="6">
        <f t="shared" si="17"/>
        <v>0.42046470140126019</v>
      </c>
      <c r="P56" s="6">
        <f t="shared" si="17"/>
        <v>0.84574683442734511</v>
      </c>
      <c r="Q56" s="6">
        <f t="shared" si="17"/>
        <v>-4.8174316248247306E-3</v>
      </c>
      <c r="R56" s="70">
        <v>67</v>
      </c>
      <c r="S56" s="70">
        <v>0</v>
      </c>
      <c r="T56" s="6">
        <f t="shared" si="0"/>
        <v>0</v>
      </c>
      <c r="U56" s="35" t="e">
        <f t="shared" si="6"/>
        <v>#DIV/0!</v>
      </c>
      <c r="V56" s="6" t="e">
        <f t="shared" si="16"/>
        <v>#DIV/0!</v>
      </c>
      <c r="W56" s="6" t="e">
        <f t="shared" si="16"/>
        <v>#DIV/0!</v>
      </c>
      <c r="X56" s="6" t="e">
        <f t="shared" si="16"/>
        <v>#DIV/0!</v>
      </c>
      <c r="Y56" s="6" t="e">
        <f t="shared" si="16"/>
        <v>#DIV/0!</v>
      </c>
      <c r="Z56" s="6" t="e">
        <f t="shared" si="16"/>
        <v>#DIV/0!</v>
      </c>
    </row>
    <row r="57" spans="1:26" x14ac:dyDescent="0.2">
      <c r="A57" s="7" t="s">
        <v>65</v>
      </c>
      <c r="B57" s="6">
        <f t="shared" si="2"/>
        <v>8</v>
      </c>
      <c r="C57" s="7" t="s">
        <v>158</v>
      </c>
      <c r="D57" s="69">
        <v>75</v>
      </c>
      <c r="E57" s="69">
        <v>0</v>
      </c>
      <c r="F57" s="66">
        <f t="shared" si="3"/>
        <v>0</v>
      </c>
      <c r="G57" s="61" t="e">
        <f t="shared" si="4"/>
        <v>#DIV/0!</v>
      </c>
      <c r="H57" s="66" t="e">
        <f t="shared" si="10"/>
        <v>#DIV/0!</v>
      </c>
      <c r="I57" s="66" t="e">
        <f t="shared" si="10"/>
        <v>#DIV/0!</v>
      </c>
      <c r="J57" s="66" t="e">
        <f t="shared" si="10"/>
        <v>#DIV/0!</v>
      </c>
      <c r="K57" s="70">
        <v>12000</v>
      </c>
      <c r="L57" s="70">
        <f>'Monitoramento Acumulado Geral'!Q57</f>
        <v>0</v>
      </c>
      <c r="M57" s="6">
        <f>(SUM(L50:L57))/K56</f>
        <v>1.2743249999999999</v>
      </c>
      <c r="N57" s="35" t="str">
        <f t="shared" si="5"/>
        <v>Desempenho Ótimo</v>
      </c>
      <c r="O57" s="6">
        <f t="shared" si="17"/>
        <v>0.42046470140126019</v>
      </c>
      <c r="P57" s="6">
        <f t="shared" si="17"/>
        <v>0.84574683442734511</v>
      </c>
      <c r="Q57" s="6">
        <f t="shared" si="17"/>
        <v>-4.8174316248247306E-3</v>
      </c>
      <c r="R57" s="70">
        <v>67</v>
      </c>
      <c r="S57" s="70">
        <v>0</v>
      </c>
      <c r="T57" s="6">
        <f t="shared" si="0"/>
        <v>0</v>
      </c>
      <c r="U57" s="35" t="e">
        <f t="shared" si="6"/>
        <v>#DIV/0!</v>
      </c>
      <c r="V57" s="6" t="e">
        <f t="shared" si="16"/>
        <v>#DIV/0!</v>
      </c>
      <c r="W57" s="6" t="e">
        <f t="shared" si="16"/>
        <v>#DIV/0!</v>
      </c>
      <c r="X57" s="6" t="e">
        <f t="shared" si="16"/>
        <v>#DIV/0!</v>
      </c>
      <c r="Y57" s="6" t="e">
        <f t="shared" si="16"/>
        <v>#DIV/0!</v>
      </c>
      <c r="Z57" s="6" t="e">
        <f t="shared" si="16"/>
        <v>#DIV/0!</v>
      </c>
    </row>
    <row r="58" spans="1:26" x14ac:dyDescent="0.2">
      <c r="A58" s="7" t="s">
        <v>65</v>
      </c>
      <c r="B58" s="6">
        <f t="shared" si="2"/>
        <v>9</v>
      </c>
      <c r="C58" s="7" t="s">
        <v>159</v>
      </c>
      <c r="D58" s="69">
        <v>75</v>
      </c>
      <c r="E58" s="69">
        <v>0</v>
      </c>
      <c r="F58" s="66">
        <f t="shared" si="3"/>
        <v>0</v>
      </c>
      <c r="G58" s="61" t="e">
        <f t="shared" si="4"/>
        <v>#DIV/0!</v>
      </c>
      <c r="H58" s="66" t="e">
        <f t="shared" si="10"/>
        <v>#DIV/0!</v>
      </c>
      <c r="I58" s="66" t="e">
        <f t="shared" si="10"/>
        <v>#DIV/0!</v>
      </c>
      <c r="J58" s="66" t="e">
        <f t="shared" si="10"/>
        <v>#DIV/0!</v>
      </c>
      <c r="K58" s="70">
        <v>12000</v>
      </c>
      <c r="L58" s="70">
        <f>'Monitoramento Acumulado Geral'!Q58</f>
        <v>0</v>
      </c>
      <c r="M58" s="6">
        <f>(SUM(L50:L58))/K57</f>
        <v>1.2743249999999999</v>
      </c>
      <c r="N58" s="35" t="str">
        <f t="shared" si="5"/>
        <v>Desempenho Ótimo</v>
      </c>
      <c r="O58" s="6">
        <f t="shared" si="17"/>
        <v>0.42046470140126019</v>
      </c>
      <c r="P58" s="6">
        <f t="shared" si="17"/>
        <v>0.84574683442734511</v>
      </c>
      <c r="Q58" s="6">
        <f t="shared" si="17"/>
        <v>-4.8174316248247306E-3</v>
      </c>
      <c r="R58" s="70">
        <v>67</v>
      </c>
      <c r="S58" s="70">
        <v>0</v>
      </c>
      <c r="T58" s="6">
        <f t="shared" si="0"/>
        <v>0</v>
      </c>
      <c r="U58" s="35" t="e">
        <f t="shared" si="6"/>
        <v>#DIV/0!</v>
      </c>
      <c r="V58" s="6" t="e">
        <f t="shared" si="16"/>
        <v>#DIV/0!</v>
      </c>
      <c r="W58" s="6" t="e">
        <f t="shared" si="16"/>
        <v>#DIV/0!</v>
      </c>
      <c r="X58" s="6" t="e">
        <f t="shared" si="16"/>
        <v>#DIV/0!</v>
      </c>
      <c r="Y58" s="6" t="e">
        <f t="shared" si="16"/>
        <v>#DIV/0!</v>
      </c>
      <c r="Z58" s="6" t="e">
        <f t="shared" si="16"/>
        <v>#DIV/0!</v>
      </c>
    </row>
    <row r="59" spans="1:26" x14ac:dyDescent="0.2">
      <c r="A59" s="7" t="s">
        <v>65</v>
      </c>
      <c r="B59" s="6">
        <f t="shared" si="2"/>
        <v>10</v>
      </c>
      <c r="C59" s="7" t="s">
        <v>160</v>
      </c>
      <c r="D59" s="69">
        <v>75</v>
      </c>
      <c r="E59" s="69">
        <v>0</v>
      </c>
      <c r="F59" s="66">
        <f t="shared" si="3"/>
        <v>0</v>
      </c>
      <c r="G59" s="61" t="e">
        <f t="shared" si="4"/>
        <v>#DIV/0!</v>
      </c>
      <c r="H59" s="66" t="e">
        <f t="shared" si="10"/>
        <v>#DIV/0!</v>
      </c>
      <c r="I59" s="66" t="e">
        <f t="shared" si="10"/>
        <v>#DIV/0!</v>
      </c>
      <c r="J59" s="66" t="e">
        <f t="shared" si="10"/>
        <v>#DIV/0!</v>
      </c>
      <c r="K59" s="70">
        <v>12000</v>
      </c>
      <c r="L59" s="70">
        <f>'Monitoramento Acumulado Geral'!Q59</f>
        <v>0</v>
      </c>
      <c r="M59" s="6">
        <f>(SUM(L50:L59))/K58</f>
        <v>1.2743249999999999</v>
      </c>
      <c r="N59" s="35" t="str">
        <f t="shared" si="5"/>
        <v>Desempenho Ótimo</v>
      </c>
      <c r="O59" s="6">
        <f t="shared" si="17"/>
        <v>0.42046470140126019</v>
      </c>
      <c r="P59" s="6">
        <f t="shared" si="17"/>
        <v>0.84574683442734511</v>
      </c>
      <c r="Q59" s="6">
        <f t="shared" si="17"/>
        <v>-4.8174316248247306E-3</v>
      </c>
      <c r="R59" s="70">
        <v>67</v>
      </c>
      <c r="S59" s="70">
        <v>0</v>
      </c>
      <c r="T59" s="6">
        <f t="shared" si="0"/>
        <v>0</v>
      </c>
      <c r="U59" s="35" t="e">
        <f t="shared" si="6"/>
        <v>#DIV/0!</v>
      </c>
      <c r="V59" s="6" t="e">
        <f t="shared" si="16"/>
        <v>#DIV/0!</v>
      </c>
      <c r="W59" s="6" t="e">
        <f t="shared" si="16"/>
        <v>#DIV/0!</v>
      </c>
      <c r="X59" s="6" t="e">
        <f t="shared" si="16"/>
        <v>#DIV/0!</v>
      </c>
      <c r="Y59" s="6" t="e">
        <f t="shared" si="16"/>
        <v>#DIV/0!</v>
      </c>
      <c r="Z59" s="6" t="e">
        <f t="shared" si="16"/>
        <v>#DIV/0!</v>
      </c>
    </row>
    <row r="60" spans="1:26" x14ac:dyDescent="0.2">
      <c r="A60" s="7" t="s">
        <v>65</v>
      </c>
      <c r="B60" s="6">
        <f t="shared" si="2"/>
        <v>11</v>
      </c>
      <c r="C60" s="7" t="s">
        <v>161</v>
      </c>
      <c r="D60" s="69">
        <v>75</v>
      </c>
      <c r="E60" s="69">
        <v>0</v>
      </c>
      <c r="F60" s="66">
        <f t="shared" si="3"/>
        <v>0</v>
      </c>
      <c r="G60" s="61" t="e">
        <f t="shared" si="4"/>
        <v>#DIV/0!</v>
      </c>
      <c r="H60" s="66" t="e">
        <f t="shared" si="10"/>
        <v>#DIV/0!</v>
      </c>
      <c r="I60" s="66" t="e">
        <f t="shared" si="10"/>
        <v>#DIV/0!</v>
      </c>
      <c r="J60" s="66" t="e">
        <f t="shared" si="10"/>
        <v>#DIV/0!</v>
      </c>
      <c r="K60" s="70">
        <v>12000</v>
      </c>
      <c r="L60" s="70">
        <f>'Monitoramento Acumulado Geral'!Q60</f>
        <v>0</v>
      </c>
      <c r="M60" s="6">
        <f>(SUM(L50:L60))/K59</f>
        <v>1.2743249999999999</v>
      </c>
      <c r="N60" s="35" t="str">
        <f t="shared" si="5"/>
        <v>Desempenho Ótimo</v>
      </c>
      <c r="O60" s="6">
        <f t="shared" si="17"/>
        <v>0.42046470140126019</v>
      </c>
      <c r="P60" s="6">
        <f t="shared" si="17"/>
        <v>0.84574683442734511</v>
      </c>
      <c r="Q60" s="6">
        <f t="shared" si="17"/>
        <v>-4.8174316248247306E-3</v>
      </c>
      <c r="R60" s="70">
        <v>67</v>
      </c>
      <c r="S60" s="70">
        <v>0</v>
      </c>
      <c r="T60" s="6">
        <f t="shared" si="0"/>
        <v>0</v>
      </c>
      <c r="U60" s="35" t="e">
        <f t="shared" si="6"/>
        <v>#DIV/0!</v>
      </c>
      <c r="V60" s="6" t="e">
        <f t="shared" si="16"/>
        <v>#DIV/0!</v>
      </c>
      <c r="W60" s="6" t="e">
        <f t="shared" si="16"/>
        <v>#DIV/0!</v>
      </c>
      <c r="X60" s="6" t="e">
        <f t="shared" si="16"/>
        <v>#DIV/0!</v>
      </c>
      <c r="Y60" s="6" t="e">
        <f t="shared" si="16"/>
        <v>#DIV/0!</v>
      </c>
      <c r="Z60" s="6" t="e">
        <f t="shared" si="16"/>
        <v>#DIV/0!</v>
      </c>
    </row>
    <row r="61" spans="1:26" x14ac:dyDescent="0.2">
      <c r="A61" s="7" t="s">
        <v>65</v>
      </c>
      <c r="B61" s="6">
        <f t="shared" si="2"/>
        <v>12</v>
      </c>
      <c r="C61" s="7" t="s">
        <v>162</v>
      </c>
      <c r="D61" s="69">
        <v>75</v>
      </c>
      <c r="E61" s="69">
        <v>0</v>
      </c>
      <c r="F61" s="66">
        <f t="shared" si="3"/>
        <v>0</v>
      </c>
      <c r="G61" s="61" t="e">
        <f t="shared" si="4"/>
        <v>#DIV/0!</v>
      </c>
      <c r="H61" s="66" t="e">
        <f t="shared" si="10"/>
        <v>#DIV/0!</v>
      </c>
      <c r="I61" s="66" t="e">
        <f t="shared" si="10"/>
        <v>#DIV/0!</v>
      </c>
      <c r="J61" s="66" t="e">
        <f t="shared" si="10"/>
        <v>#DIV/0!</v>
      </c>
      <c r="K61" s="70">
        <v>12000</v>
      </c>
      <c r="L61" s="70">
        <f>'Monitoramento Acumulado Geral'!Q61</f>
        <v>0</v>
      </c>
      <c r="M61" s="6">
        <f>(SUM(L50:L61))/K60</f>
        <v>1.2743249999999999</v>
      </c>
      <c r="N61" s="35" t="str">
        <f t="shared" si="5"/>
        <v>Desempenho Ótimo</v>
      </c>
      <c r="O61" s="6">
        <f t="shared" si="17"/>
        <v>0.41824651958307835</v>
      </c>
      <c r="P61" s="6">
        <f t="shared" si="17"/>
        <v>0.84510274859297763</v>
      </c>
      <c r="Q61" s="6">
        <f t="shared" si="17"/>
        <v>-8.6097094268208774E-3</v>
      </c>
      <c r="R61" s="70">
        <v>67</v>
      </c>
      <c r="S61" s="70">
        <v>0</v>
      </c>
      <c r="T61" s="6">
        <f t="shared" si="0"/>
        <v>0</v>
      </c>
      <c r="U61" s="35" t="e">
        <f t="shared" si="6"/>
        <v>#DIV/0!</v>
      </c>
      <c r="V61" s="6" t="e">
        <f t="shared" si="16"/>
        <v>#DIV/0!</v>
      </c>
      <c r="W61" s="6" t="e">
        <f t="shared" si="16"/>
        <v>#DIV/0!</v>
      </c>
      <c r="X61" s="6" t="e">
        <f t="shared" si="16"/>
        <v>#DIV/0!</v>
      </c>
      <c r="Y61" s="6" t="e">
        <f t="shared" si="16"/>
        <v>#DIV/0!</v>
      </c>
      <c r="Z61" s="6" t="e">
        <f t="shared" si="16"/>
        <v>#DIV/0!</v>
      </c>
    </row>
    <row r="62" spans="1:26" x14ac:dyDescent="0.2">
      <c r="A62" s="7" t="s">
        <v>41</v>
      </c>
      <c r="B62" s="6">
        <f t="shared" si="2"/>
        <v>1</v>
      </c>
      <c r="C62" s="7" t="s">
        <v>151</v>
      </c>
      <c r="D62" s="69">
        <v>75</v>
      </c>
      <c r="E62" s="69">
        <v>20</v>
      </c>
      <c r="F62" s="66">
        <f t="shared" si="3"/>
        <v>0.26666666666666666</v>
      </c>
      <c r="G62" s="61" t="e">
        <f t="shared" si="4"/>
        <v>#DIV/0!</v>
      </c>
      <c r="H62" s="66" t="e">
        <f t="shared" si="10"/>
        <v>#DIV/0!</v>
      </c>
      <c r="I62" s="66" t="e">
        <f t="shared" si="10"/>
        <v>#DIV/0!</v>
      </c>
      <c r="J62" s="66" t="e">
        <f t="shared" si="10"/>
        <v>#DIV/0!</v>
      </c>
      <c r="K62" s="70">
        <v>65000</v>
      </c>
      <c r="L62" s="70">
        <f>'Monitoramento Acumulado Geral'!Q62</f>
        <v>9015</v>
      </c>
      <c r="M62" s="6">
        <f>L62/K62</f>
        <v>0.1386923076923077</v>
      </c>
      <c r="N62" s="35" t="str">
        <f t="shared" si="5"/>
        <v>Desempenho Ótimo</v>
      </c>
      <c r="O62" s="6">
        <f t="shared" si="17"/>
        <v>3.4274647562211005E-2</v>
      </c>
      <c r="P62" s="6">
        <f t="shared" si="17"/>
        <v>0.10289217685709087</v>
      </c>
      <c r="Q62" s="6">
        <f t="shared" si="17"/>
        <v>-3.4342881732668862E-2</v>
      </c>
      <c r="R62" s="70">
        <v>80</v>
      </c>
      <c r="S62" s="70">
        <v>0</v>
      </c>
      <c r="T62" s="6">
        <f t="shared" si="0"/>
        <v>0</v>
      </c>
      <c r="U62" s="35" t="e">
        <f t="shared" si="6"/>
        <v>#DIV/0!</v>
      </c>
      <c r="V62" s="6" t="e">
        <f t="shared" si="16"/>
        <v>#DIV/0!</v>
      </c>
      <c r="W62" s="6" t="e">
        <f t="shared" si="16"/>
        <v>#DIV/0!</v>
      </c>
      <c r="X62" s="6" t="e">
        <f t="shared" si="16"/>
        <v>#DIV/0!</v>
      </c>
      <c r="Y62" s="6" t="e">
        <f t="shared" si="16"/>
        <v>#DIV/0!</v>
      </c>
      <c r="Z62" s="6" t="e">
        <f t="shared" si="16"/>
        <v>#DIV/0!</v>
      </c>
    </row>
    <row r="63" spans="1:26" x14ac:dyDescent="0.2">
      <c r="A63" s="7" t="s">
        <v>41</v>
      </c>
      <c r="B63" s="6">
        <f t="shared" si="2"/>
        <v>2</v>
      </c>
      <c r="C63" s="7" t="s">
        <v>152</v>
      </c>
      <c r="D63" s="69">
        <v>75</v>
      </c>
      <c r="E63" s="69">
        <v>20</v>
      </c>
      <c r="F63" s="66">
        <f t="shared" si="3"/>
        <v>0.26666666666666666</v>
      </c>
      <c r="G63" s="61" t="e">
        <f t="shared" si="4"/>
        <v>#DIV/0!</v>
      </c>
      <c r="H63" s="66" t="e">
        <f t="shared" si="10"/>
        <v>#DIV/0!</v>
      </c>
      <c r="I63" s="66" t="e">
        <f t="shared" si="10"/>
        <v>#DIV/0!</v>
      </c>
      <c r="J63" s="66" t="e">
        <f t="shared" si="10"/>
        <v>#DIV/0!</v>
      </c>
      <c r="K63" s="70">
        <v>65000</v>
      </c>
      <c r="L63" s="70">
        <f>'Monitoramento Acumulado Geral'!Q63</f>
        <v>10105</v>
      </c>
      <c r="M63" s="6">
        <f>(SUM(L62:L63))/K62</f>
        <v>0.29415384615384615</v>
      </c>
      <c r="N63" s="35" t="str">
        <f t="shared" si="5"/>
        <v>Desempenho Ótimo</v>
      </c>
      <c r="O63" s="6">
        <f t="shared" si="17"/>
        <v>8.1815188943147363E-2</v>
      </c>
      <c r="P63" s="6">
        <f t="shared" si="17"/>
        <v>0.20623883252423067</v>
      </c>
      <c r="Q63" s="6">
        <f t="shared" si="17"/>
        <v>-4.2608454637935944E-2</v>
      </c>
      <c r="R63" s="70">
        <v>80</v>
      </c>
      <c r="S63" s="70">
        <v>0</v>
      </c>
      <c r="T63" s="6">
        <f t="shared" si="0"/>
        <v>0</v>
      </c>
      <c r="U63" s="35" t="e">
        <f t="shared" si="6"/>
        <v>#DIV/0!</v>
      </c>
      <c r="V63" s="6" t="e">
        <f t="shared" ref="V63:Z78" si="18">V51</f>
        <v>#DIV/0!</v>
      </c>
      <c r="W63" s="6" t="e">
        <f t="shared" si="18"/>
        <v>#DIV/0!</v>
      </c>
      <c r="X63" s="6" t="e">
        <f t="shared" si="18"/>
        <v>#DIV/0!</v>
      </c>
      <c r="Y63" s="6" t="e">
        <f t="shared" si="18"/>
        <v>#DIV/0!</v>
      </c>
      <c r="Z63" s="6" t="e">
        <f t="shared" si="18"/>
        <v>#DIV/0!</v>
      </c>
    </row>
    <row r="64" spans="1:26" x14ac:dyDescent="0.2">
      <c r="A64" s="7" t="s">
        <v>41</v>
      </c>
      <c r="B64" s="6">
        <f t="shared" si="2"/>
        <v>3</v>
      </c>
      <c r="C64" s="7" t="s">
        <v>153</v>
      </c>
      <c r="D64" s="69">
        <v>75</v>
      </c>
      <c r="E64" s="69">
        <v>20</v>
      </c>
      <c r="F64" s="66">
        <f t="shared" si="3"/>
        <v>0.26666666666666666</v>
      </c>
      <c r="G64" s="61" t="e">
        <f t="shared" si="4"/>
        <v>#DIV/0!</v>
      </c>
      <c r="H64" s="66" t="e">
        <f t="shared" si="10"/>
        <v>#DIV/0!</v>
      </c>
      <c r="I64" s="66" t="e">
        <f t="shared" si="10"/>
        <v>#DIV/0!</v>
      </c>
      <c r="J64" s="66" t="e">
        <f t="shared" si="10"/>
        <v>#DIV/0!</v>
      </c>
      <c r="K64" s="70">
        <v>65000</v>
      </c>
      <c r="L64" s="70">
        <f>'Monitoramento Acumulado Geral'!Q64</f>
        <v>1200</v>
      </c>
      <c r="M64" s="6">
        <f>(SUM(L62:L64))/K63</f>
        <v>0.31261538461538463</v>
      </c>
      <c r="N64" s="35" t="str">
        <f t="shared" si="5"/>
        <v>Desempenho Ótimo</v>
      </c>
      <c r="O64" s="6">
        <f t="shared" si="17"/>
        <v>0.13411292471649494</v>
      </c>
      <c r="P64" s="6">
        <f t="shared" si="17"/>
        <v>0.29721906787058483</v>
      </c>
      <c r="Q64" s="6">
        <f t="shared" si="17"/>
        <v>-2.899321843759492E-2</v>
      </c>
      <c r="R64" s="70">
        <v>80</v>
      </c>
      <c r="S64" s="70">
        <v>0</v>
      </c>
      <c r="T64" s="6">
        <f t="shared" si="0"/>
        <v>0</v>
      </c>
      <c r="U64" s="35" t="e">
        <f t="shared" si="6"/>
        <v>#DIV/0!</v>
      </c>
      <c r="V64" s="6" t="e">
        <f t="shared" si="18"/>
        <v>#DIV/0!</v>
      </c>
      <c r="W64" s="6" t="e">
        <f t="shared" si="18"/>
        <v>#DIV/0!</v>
      </c>
      <c r="X64" s="6" t="e">
        <f t="shared" si="18"/>
        <v>#DIV/0!</v>
      </c>
      <c r="Y64" s="6" t="e">
        <f t="shared" si="18"/>
        <v>#DIV/0!</v>
      </c>
      <c r="Z64" s="6" t="e">
        <f t="shared" si="18"/>
        <v>#DIV/0!</v>
      </c>
    </row>
    <row r="65" spans="1:26" x14ac:dyDescent="0.2">
      <c r="A65" s="7" t="s">
        <v>41</v>
      </c>
      <c r="B65" s="6">
        <f t="shared" si="2"/>
        <v>4</v>
      </c>
      <c r="C65" s="7" t="s">
        <v>154</v>
      </c>
      <c r="D65" s="69">
        <v>75</v>
      </c>
      <c r="E65" s="69">
        <v>33</v>
      </c>
      <c r="F65" s="66">
        <f t="shared" si="3"/>
        <v>0.44</v>
      </c>
      <c r="G65" s="61" t="e">
        <f t="shared" si="4"/>
        <v>#DIV/0!</v>
      </c>
      <c r="H65" s="66" t="e">
        <f t="shared" si="10"/>
        <v>#DIV/0!</v>
      </c>
      <c r="I65" s="66" t="e">
        <f t="shared" si="10"/>
        <v>#DIV/0!</v>
      </c>
      <c r="J65" s="66" t="e">
        <f t="shared" si="10"/>
        <v>#DIV/0!</v>
      </c>
      <c r="K65" s="70">
        <v>65000</v>
      </c>
      <c r="L65" s="70">
        <f>'Monitoramento Acumulado Geral'!Q65</f>
        <v>4240</v>
      </c>
      <c r="M65" s="6">
        <f>(SUM(L62:L65))/K64</f>
        <v>0.37784615384615383</v>
      </c>
      <c r="N65" s="35" t="str">
        <f t="shared" si="5"/>
        <v>Desempenho Ótimo</v>
      </c>
      <c r="O65" s="6">
        <f t="shared" si="17"/>
        <v>0.15392483870093213</v>
      </c>
      <c r="P65" s="6">
        <f t="shared" si="17"/>
        <v>0.32772007016950033</v>
      </c>
      <c r="Q65" s="6">
        <f t="shared" si="17"/>
        <v>-1.9870392767636053E-2</v>
      </c>
      <c r="R65" s="70">
        <v>80</v>
      </c>
      <c r="S65" s="70">
        <v>0</v>
      </c>
      <c r="T65" s="6">
        <f t="shared" si="0"/>
        <v>0</v>
      </c>
      <c r="U65" s="35" t="e">
        <f t="shared" si="6"/>
        <v>#DIV/0!</v>
      </c>
      <c r="V65" s="6" t="e">
        <f t="shared" si="18"/>
        <v>#DIV/0!</v>
      </c>
      <c r="W65" s="6" t="e">
        <f t="shared" si="18"/>
        <v>#DIV/0!</v>
      </c>
      <c r="X65" s="6" t="e">
        <f t="shared" si="18"/>
        <v>#DIV/0!</v>
      </c>
      <c r="Y65" s="6" t="e">
        <f t="shared" si="18"/>
        <v>#DIV/0!</v>
      </c>
      <c r="Z65" s="6" t="e">
        <f t="shared" si="18"/>
        <v>#DIV/0!</v>
      </c>
    </row>
    <row r="66" spans="1:26" x14ac:dyDescent="0.2">
      <c r="A66" s="7" t="s">
        <v>41</v>
      </c>
      <c r="B66" s="6">
        <f t="shared" si="2"/>
        <v>5</v>
      </c>
      <c r="C66" s="7" t="s">
        <v>155</v>
      </c>
      <c r="D66" s="69">
        <v>75</v>
      </c>
      <c r="E66" s="69">
        <v>67</v>
      </c>
      <c r="F66" s="66">
        <f t="shared" ref="F66:F141" si="19">E66/D66</f>
        <v>0.89333333333333331</v>
      </c>
      <c r="G66" s="61" t="e">
        <f t="shared" si="4"/>
        <v>#DIV/0!</v>
      </c>
      <c r="H66" s="66" t="e">
        <f t="shared" si="10"/>
        <v>#DIV/0!</v>
      </c>
      <c r="I66" s="66" t="e">
        <f t="shared" si="10"/>
        <v>#DIV/0!</v>
      </c>
      <c r="J66" s="66" t="e">
        <f t="shared" si="10"/>
        <v>#DIV/0!</v>
      </c>
      <c r="K66" s="70">
        <v>65000</v>
      </c>
      <c r="L66" s="70">
        <f>'Monitoramento Acumulado Geral'!Q66</f>
        <v>5390</v>
      </c>
      <c r="M66" s="6">
        <f>(SUM(L62:L66))/K65</f>
        <v>0.46076923076923076</v>
      </c>
      <c r="N66" s="35" t="str">
        <f t="shared" si="5"/>
        <v>Desempenho Ótimo</v>
      </c>
      <c r="O66" s="6">
        <f t="shared" si="17"/>
        <v>0.21139287248463789</v>
      </c>
      <c r="P66" s="6">
        <f t="shared" si="17"/>
        <v>0.43680804416292918</v>
      </c>
      <c r="Q66" s="6">
        <f t="shared" si="17"/>
        <v>-1.4022299193653387E-2</v>
      </c>
      <c r="R66" s="70">
        <v>80</v>
      </c>
      <c r="S66" s="70">
        <v>0</v>
      </c>
      <c r="T66" s="6">
        <f t="shared" ref="T66:T141" si="20">S66/R66</f>
        <v>0</v>
      </c>
      <c r="U66" s="35" t="e">
        <f t="shared" si="6"/>
        <v>#DIV/0!</v>
      </c>
      <c r="V66" s="6" t="e">
        <f t="shared" si="18"/>
        <v>#DIV/0!</v>
      </c>
      <c r="W66" s="6" t="e">
        <f t="shared" si="18"/>
        <v>#DIV/0!</v>
      </c>
      <c r="X66" s="6" t="e">
        <f t="shared" si="18"/>
        <v>#DIV/0!</v>
      </c>
      <c r="Y66" s="6" t="e">
        <f t="shared" si="18"/>
        <v>#DIV/0!</v>
      </c>
      <c r="Z66" s="6" t="e">
        <f t="shared" si="18"/>
        <v>#DIV/0!</v>
      </c>
    </row>
    <row r="67" spans="1:26" x14ac:dyDescent="0.2">
      <c r="A67" s="7" t="s">
        <v>41</v>
      </c>
      <c r="B67" s="6">
        <f t="shared" ref="B67:B142" si="21">_xlfn.IFS(C67="Janeiro",1,C67="Fevereiro",2,C67="Março",3,C67="Abril",4,C67="Maio",5,C67="Junho",6,C67="Julho",7,C67="Agosto",8,C67="Setembro",9,C67="Outubro",10,C67="Novembro",11,C67="Dezembro",12,TRUE,0)</f>
        <v>6</v>
      </c>
      <c r="C67" s="7" t="s">
        <v>156</v>
      </c>
      <c r="D67" s="69">
        <v>75</v>
      </c>
      <c r="E67" s="69">
        <v>73</v>
      </c>
      <c r="F67" s="66">
        <f t="shared" si="19"/>
        <v>0.97333333333333338</v>
      </c>
      <c r="G67" s="61" t="e">
        <f t="shared" ref="G67:G142" si="22">IF(F67&gt;=I67,"Desempenho Ótimo",(IF(F67&gt;H67,"Desempenho Bom",(IF(F67&gt;J67,"Desempenho Médio",IF(F67&lt;=J67,"Desempenho Deficitário",0))))))</f>
        <v>#DIV/0!</v>
      </c>
      <c r="H67" s="66" t="e">
        <f t="shared" si="10"/>
        <v>#DIV/0!</v>
      </c>
      <c r="I67" s="66" t="e">
        <f t="shared" si="10"/>
        <v>#DIV/0!</v>
      </c>
      <c r="J67" s="66" t="e">
        <f t="shared" si="10"/>
        <v>#DIV/0!</v>
      </c>
      <c r="K67" s="70">
        <v>65000</v>
      </c>
      <c r="L67" s="70">
        <f>'Monitoramento Acumulado Geral'!Q67</f>
        <v>4865</v>
      </c>
      <c r="M67" s="6">
        <f>(SUM(L62:L67))/K66</f>
        <v>0.5356153846153846</v>
      </c>
      <c r="N67" s="35" t="str">
        <f t="shared" ref="N67:N142" si="23">IF(M67&gt;=P67,"Desempenho Ótimo",(IF(M67&gt;O67,"Desempenho Bom",(IF(M67&gt;Q67,"Desempenho Médio",IF(M67&lt;=Q67,"Desempenho Deficitário",0))))))</f>
        <v>Desempenho Bom</v>
      </c>
      <c r="O67" s="6">
        <f t="shared" si="17"/>
        <v>0.28403291059934432</v>
      </c>
      <c r="P67" s="6">
        <f t="shared" si="17"/>
        <v>0.56118246348434164</v>
      </c>
      <c r="Q67" s="6">
        <f t="shared" si="17"/>
        <v>6.8833577143469493E-3</v>
      </c>
      <c r="R67" s="70">
        <v>80</v>
      </c>
      <c r="S67" s="70">
        <v>0</v>
      </c>
      <c r="T67" s="6">
        <f t="shared" si="20"/>
        <v>0</v>
      </c>
      <c r="U67" s="35" t="e">
        <f t="shared" ref="U67:U142" si="24">IF(T67&gt;=W67,"Desempenho Ótimo",(IF(T67&gt;V67,"Desempenho Bom",(IF(T67&gt;X67,"Desempenho Médio",IF(T67&lt;=X67,"Desempenho Deficitário",0))))))</f>
        <v>#DIV/0!</v>
      </c>
      <c r="V67" s="6" t="e">
        <f t="shared" si="18"/>
        <v>#DIV/0!</v>
      </c>
      <c r="W67" s="6" t="e">
        <f t="shared" si="18"/>
        <v>#DIV/0!</v>
      </c>
      <c r="X67" s="6" t="e">
        <f t="shared" si="18"/>
        <v>#DIV/0!</v>
      </c>
      <c r="Y67" s="6" t="e">
        <f t="shared" si="18"/>
        <v>#DIV/0!</v>
      </c>
      <c r="Z67" s="6" t="e">
        <f t="shared" si="18"/>
        <v>#DIV/0!</v>
      </c>
    </row>
    <row r="68" spans="1:26" x14ac:dyDescent="0.2">
      <c r="A68" s="7" t="s">
        <v>41</v>
      </c>
      <c r="B68" s="6">
        <f t="shared" si="21"/>
        <v>7</v>
      </c>
      <c r="C68" s="7" t="s">
        <v>157</v>
      </c>
      <c r="D68" s="69">
        <v>75</v>
      </c>
      <c r="E68" s="69">
        <v>80</v>
      </c>
      <c r="F68" s="66">
        <f t="shared" si="19"/>
        <v>1.0666666666666667</v>
      </c>
      <c r="G68" s="61" t="e">
        <f t="shared" si="22"/>
        <v>#DIV/0!</v>
      </c>
      <c r="H68" s="66" t="e">
        <f t="shared" si="10"/>
        <v>#DIV/0!</v>
      </c>
      <c r="I68" s="66" t="e">
        <f t="shared" si="10"/>
        <v>#DIV/0!</v>
      </c>
      <c r="J68" s="66" t="e">
        <f t="shared" si="10"/>
        <v>#DIV/0!</v>
      </c>
      <c r="K68" s="70">
        <v>65000</v>
      </c>
      <c r="L68" s="70">
        <f>'Monitoramento Acumulado Geral'!Q68</f>
        <v>4111.3999999999996</v>
      </c>
      <c r="M68" s="6">
        <f>(SUM(L62:L68))/K67</f>
        <v>0.59886769230769232</v>
      </c>
      <c r="N68" s="35" t="str">
        <f t="shared" si="23"/>
        <v>Desempenho Bom</v>
      </c>
      <c r="O68" s="6">
        <f t="shared" si="17"/>
        <v>0.42046470140126019</v>
      </c>
      <c r="P68" s="6">
        <f t="shared" si="17"/>
        <v>0.84574683442734511</v>
      </c>
      <c r="Q68" s="6">
        <f t="shared" si="17"/>
        <v>-4.8174316248247306E-3</v>
      </c>
      <c r="R68" s="70">
        <v>80</v>
      </c>
      <c r="S68" s="70">
        <v>0</v>
      </c>
      <c r="T68" s="6">
        <f t="shared" si="20"/>
        <v>0</v>
      </c>
      <c r="U68" s="35" t="e">
        <f t="shared" si="24"/>
        <v>#DIV/0!</v>
      </c>
      <c r="V68" s="6" t="e">
        <f t="shared" si="18"/>
        <v>#DIV/0!</v>
      </c>
      <c r="W68" s="6" t="e">
        <f t="shared" si="18"/>
        <v>#DIV/0!</v>
      </c>
      <c r="X68" s="6" t="e">
        <f t="shared" si="18"/>
        <v>#DIV/0!</v>
      </c>
      <c r="Y68" s="6" t="e">
        <f t="shared" si="18"/>
        <v>#DIV/0!</v>
      </c>
      <c r="Z68" s="6" t="e">
        <f t="shared" si="18"/>
        <v>#DIV/0!</v>
      </c>
    </row>
    <row r="69" spans="1:26" x14ac:dyDescent="0.2">
      <c r="A69" s="7" t="s">
        <v>41</v>
      </c>
      <c r="B69" s="6">
        <f t="shared" si="21"/>
        <v>8</v>
      </c>
      <c r="C69" s="7" t="s">
        <v>158</v>
      </c>
      <c r="D69" s="69">
        <v>75</v>
      </c>
      <c r="E69" s="69">
        <v>0</v>
      </c>
      <c r="F69" s="66">
        <f t="shared" si="19"/>
        <v>0</v>
      </c>
      <c r="G69" s="61" t="e">
        <f t="shared" si="22"/>
        <v>#DIV/0!</v>
      </c>
      <c r="H69" s="66" t="e">
        <f t="shared" si="10"/>
        <v>#DIV/0!</v>
      </c>
      <c r="I69" s="66" t="e">
        <f t="shared" si="10"/>
        <v>#DIV/0!</v>
      </c>
      <c r="J69" s="66" t="e">
        <f t="shared" si="10"/>
        <v>#DIV/0!</v>
      </c>
      <c r="K69" s="70">
        <v>65000</v>
      </c>
      <c r="L69" s="70">
        <f>'Monitoramento Acumulado Geral'!Q69</f>
        <v>0</v>
      </c>
      <c r="M69" s="6">
        <f>(SUM(L62:L69))/K68</f>
        <v>0.59886769230769232</v>
      </c>
      <c r="N69" s="35" t="str">
        <f t="shared" si="23"/>
        <v>Desempenho Bom</v>
      </c>
      <c r="O69" s="6">
        <f t="shared" si="17"/>
        <v>0.42046470140126019</v>
      </c>
      <c r="P69" s="6">
        <f t="shared" si="17"/>
        <v>0.84574683442734511</v>
      </c>
      <c r="Q69" s="6">
        <f t="shared" si="17"/>
        <v>-4.8174316248247306E-3</v>
      </c>
      <c r="R69" s="70">
        <v>80</v>
      </c>
      <c r="S69" s="70">
        <v>0</v>
      </c>
      <c r="T69" s="6">
        <f t="shared" si="20"/>
        <v>0</v>
      </c>
      <c r="U69" s="35" t="e">
        <f t="shared" si="24"/>
        <v>#DIV/0!</v>
      </c>
      <c r="V69" s="6" t="e">
        <f t="shared" si="18"/>
        <v>#DIV/0!</v>
      </c>
      <c r="W69" s="6" t="e">
        <f t="shared" si="18"/>
        <v>#DIV/0!</v>
      </c>
      <c r="X69" s="6" t="e">
        <f t="shared" si="18"/>
        <v>#DIV/0!</v>
      </c>
      <c r="Y69" s="6" t="e">
        <f t="shared" si="18"/>
        <v>#DIV/0!</v>
      </c>
      <c r="Z69" s="6" t="e">
        <f t="shared" si="18"/>
        <v>#DIV/0!</v>
      </c>
    </row>
    <row r="70" spans="1:26" x14ac:dyDescent="0.2">
      <c r="A70" s="7" t="s">
        <v>41</v>
      </c>
      <c r="B70" s="6">
        <f t="shared" si="21"/>
        <v>9</v>
      </c>
      <c r="C70" s="7" t="s">
        <v>159</v>
      </c>
      <c r="D70" s="69">
        <v>75</v>
      </c>
      <c r="E70" s="69">
        <v>0</v>
      </c>
      <c r="F70" s="66">
        <f t="shared" si="19"/>
        <v>0</v>
      </c>
      <c r="G70" s="61" t="e">
        <f t="shared" si="22"/>
        <v>#DIV/0!</v>
      </c>
      <c r="H70" s="66" t="e">
        <f t="shared" si="10"/>
        <v>#DIV/0!</v>
      </c>
      <c r="I70" s="66" t="e">
        <f t="shared" si="10"/>
        <v>#DIV/0!</v>
      </c>
      <c r="J70" s="66" t="e">
        <f t="shared" si="10"/>
        <v>#DIV/0!</v>
      </c>
      <c r="K70" s="70">
        <v>65000</v>
      </c>
      <c r="L70" s="70">
        <f>'Monitoramento Acumulado Geral'!Q70</f>
        <v>0</v>
      </c>
      <c r="M70" s="6">
        <f>(SUM(L62:L70))/K69</f>
        <v>0.59886769230769232</v>
      </c>
      <c r="N70" s="35" t="str">
        <f t="shared" si="23"/>
        <v>Desempenho Bom</v>
      </c>
      <c r="O70" s="6">
        <f t="shared" ref="O70:Q85" si="25">O58</f>
        <v>0.42046470140126019</v>
      </c>
      <c r="P70" s="6">
        <f t="shared" si="25"/>
        <v>0.84574683442734511</v>
      </c>
      <c r="Q70" s="6">
        <f t="shared" si="25"/>
        <v>-4.8174316248247306E-3</v>
      </c>
      <c r="R70" s="70">
        <v>80</v>
      </c>
      <c r="S70" s="70">
        <v>0</v>
      </c>
      <c r="T70" s="6">
        <f t="shared" si="20"/>
        <v>0</v>
      </c>
      <c r="U70" s="35" t="e">
        <f t="shared" si="24"/>
        <v>#DIV/0!</v>
      </c>
      <c r="V70" s="6" t="e">
        <f t="shared" si="18"/>
        <v>#DIV/0!</v>
      </c>
      <c r="W70" s="6" t="e">
        <f t="shared" si="18"/>
        <v>#DIV/0!</v>
      </c>
      <c r="X70" s="6" t="e">
        <f t="shared" si="18"/>
        <v>#DIV/0!</v>
      </c>
      <c r="Y70" s="6" t="e">
        <f t="shared" si="18"/>
        <v>#DIV/0!</v>
      </c>
      <c r="Z70" s="6" t="e">
        <f t="shared" si="18"/>
        <v>#DIV/0!</v>
      </c>
    </row>
    <row r="71" spans="1:26" x14ac:dyDescent="0.2">
      <c r="A71" s="7" t="s">
        <v>41</v>
      </c>
      <c r="B71" s="6">
        <f t="shared" si="21"/>
        <v>10</v>
      </c>
      <c r="C71" s="7" t="s">
        <v>160</v>
      </c>
      <c r="D71" s="69">
        <v>75</v>
      </c>
      <c r="E71" s="69">
        <v>0</v>
      </c>
      <c r="F71" s="66">
        <f t="shared" si="19"/>
        <v>0</v>
      </c>
      <c r="G71" s="61" t="e">
        <f t="shared" si="22"/>
        <v>#DIV/0!</v>
      </c>
      <c r="H71" s="66" t="e">
        <f t="shared" si="10"/>
        <v>#DIV/0!</v>
      </c>
      <c r="I71" s="66" t="e">
        <f t="shared" si="10"/>
        <v>#DIV/0!</v>
      </c>
      <c r="J71" s="66" t="e">
        <f t="shared" si="10"/>
        <v>#DIV/0!</v>
      </c>
      <c r="K71" s="70">
        <v>65000</v>
      </c>
      <c r="L71" s="70">
        <f>'Monitoramento Acumulado Geral'!Q71</f>
        <v>0</v>
      </c>
      <c r="M71" s="6">
        <f>(SUM(L62:L71))/K70</f>
        <v>0.59886769230769232</v>
      </c>
      <c r="N71" s="35" t="str">
        <f t="shared" si="23"/>
        <v>Desempenho Bom</v>
      </c>
      <c r="O71" s="6">
        <f t="shared" si="25"/>
        <v>0.42046470140126019</v>
      </c>
      <c r="P71" s="6">
        <f t="shared" si="25"/>
        <v>0.84574683442734511</v>
      </c>
      <c r="Q71" s="6">
        <f t="shared" si="25"/>
        <v>-4.8174316248247306E-3</v>
      </c>
      <c r="R71" s="70">
        <v>80</v>
      </c>
      <c r="S71" s="70">
        <v>0</v>
      </c>
      <c r="T71" s="6">
        <f t="shared" si="20"/>
        <v>0</v>
      </c>
      <c r="U71" s="35" t="e">
        <f t="shared" si="24"/>
        <v>#DIV/0!</v>
      </c>
      <c r="V71" s="6" t="e">
        <f t="shared" si="18"/>
        <v>#DIV/0!</v>
      </c>
      <c r="W71" s="6" t="e">
        <f t="shared" si="18"/>
        <v>#DIV/0!</v>
      </c>
      <c r="X71" s="6" t="e">
        <f t="shared" si="18"/>
        <v>#DIV/0!</v>
      </c>
      <c r="Y71" s="6" t="e">
        <f t="shared" si="18"/>
        <v>#DIV/0!</v>
      </c>
      <c r="Z71" s="6" t="e">
        <f t="shared" si="18"/>
        <v>#DIV/0!</v>
      </c>
    </row>
    <row r="72" spans="1:26" x14ac:dyDescent="0.2">
      <c r="A72" s="7" t="s">
        <v>41</v>
      </c>
      <c r="B72" s="6">
        <f t="shared" si="21"/>
        <v>11</v>
      </c>
      <c r="C72" s="7" t="s">
        <v>161</v>
      </c>
      <c r="D72" s="69">
        <v>75</v>
      </c>
      <c r="E72" s="69">
        <v>0</v>
      </c>
      <c r="F72" s="66">
        <f t="shared" si="19"/>
        <v>0</v>
      </c>
      <c r="G72" s="61" t="e">
        <f t="shared" si="22"/>
        <v>#DIV/0!</v>
      </c>
      <c r="H72" s="66" t="e">
        <f t="shared" si="10"/>
        <v>#DIV/0!</v>
      </c>
      <c r="I72" s="66" t="e">
        <f t="shared" si="10"/>
        <v>#DIV/0!</v>
      </c>
      <c r="J72" s="66" t="e">
        <f t="shared" si="10"/>
        <v>#DIV/0!</v>
      </c>
      <c r="K72" s="70">
        <v>65000</v>
      </c>
      <c r="L72" s="70">
        <f>'Monitoramento Acumulado Geral'!Q72</f>
        <v>0</v>
      </c>
      <c r="M72" s="6">
        <f>(SUM(L62:L72))/K71</f>
        <v>0.59886769230769232</v>
      </c>
      <c r="N72" s="35" t="str">
        <f t="shared" si="23"/>
        <v>Desempenho Bom</v>
      </c>
      <c r="O72" s="6">
        <f t="shared" si="25"/>
        <v>0.42046470140126019</v>
      </c>
      <c r="P72" s="6">
        <f t="shared" si="25"/>
        <v>0.84574683442734511</v>
      </c>
      <c r="Q72" s="6">
        <f t="shared" si="25"/>
        <v>-4.8174316248247306E-3</v>
      </c>
      <c r="R72" s="70">
        <v>80</v>
      </c>
      <c r="S72" s="70">
        <v>0</v>
      </c>
      <c r="T72" s="6">
        <f t="shared" si="20"/>
        <v>0</v>
      </c>
      <c r="U72" s="35" t="e">
        <f t="shared" si="24"/>
        <v>#DIV/0!</v>
      </c>
      <c r="V72" s="6" t="e">
        <f t="shared" si="18"/>
        <v>#DIV/0!</v>
      </c>
      <c r="W72" s="6" t="e">
        <f t="shared" si="18"/>
        <v>#DIV/0!</v>
      </c>
      <c r="X72" s="6" t="e">
        <f t="shared" si="18"/>
        <v>#DIV/0!</v>
      </c>
      <c r="Y72" s="6" t="e">
        <f t="shared" si="18"/>
        <v>#DIV/0!</v>
      </c>
      <c r="Z72" s="6" t="e">
        <f t="shared" si="18"/>
        <v>#DIV/0!</v>
      </c>
    </row>
    <row r="73" spans="1:26" x14ac:dyDescent="0.2">
      <c r="A73" s="7" t="s">
        <v>41</v>
      </c>
      <c r="B73" s="6">
        <f t="shared" si="21"/>
        <v>12</v>
      </c>
      <c r="C73" s="7" t="s">
        <v>162</v>
      </c>
      <c r="D73" s="69">
        <v>75</v>
      </c>
      <c r="E73" s="69">
        <v>0</v>
      </c>
      <c r="F73" s="66">
        <f t="shared" si="19"/>
        <v>0</v>
      </c>
      <c r="G73" s="61" t="e">
        <f t="shared" si="22"/>
        <v>#DIV/0!</v>
      </c>
      <c r="H73" s="66" t="e">
        <f t="shared" si="10"/>
        <v>#DIV/0!</v>
      </c>
      <c r="I73" s="66" t="e">
        <f t="shared" si="10"/>
        <v>#DIV/0!</v>
      </c>
      <c r="J73" s="66" t="e">
        <f t="shared" si="10"/>
        <v>#DIV/0!</v>
      </c>
      <c r="K73" s="70">
        <v>65000</v>
      </c>
      <c r="L73" s="70">
        <f>'Monitoramento Acumulado Geral'!Q73</f>
        <v>0</v>
      </c>
      <c r="M73" s="6">
        <f>(SUM(L62:L73))/K72</f>
        <v>0.59886769230769232</v>
      </c>
      <c r="N73" s="35" t="str">
        <f t="shared" si="23"/>
        <v>Desempenho Bom</v>
      </c>
      <c r="O73" s="6">
        <f t="shared" si="25"/>
        <v>0.41824651958307835</v>
      </c>
      <c r="P73" s="6">
        <f t="shared" si="25"/>
        <v>0.84510274859297763</v>
      </c>
      <c r="Q73" s="6">
        <f t="shared" si="25"/>
        <v>-8.6097094268208774E-3</v>
      </c>
      <c r="R73" s="70">
        <v>80</v>
      </c>
      <c r="S73" s="70">
        <v>0</v>
      </c>
      <c r="T73" s="6">
        <f t="shared" si="20"/>
        <v>0</v>
      </c>
      <c r="U73" s="35" t="e">
        <f t="shared" si="24"/>
        <v>#DIV/0!</v>
      </c>
      <c r="V73" s="6" t="e">
        <f t="shared" si="18"/>
        <v>#DIV/0!</v>
      </c>
      <c r="W73" s="6" t="e">
        <f t="shared" si="18"/>
        <v>#DIV/0!</v>
      </c>
      <c r="X73" s="6" t="e">
        <f t="shared" si="18"/>
        <v>#DIV/0!</v>
      </c>
      <c r="Y73" s="6" t="e">
        <f t="shared" si="18"/>
        <v>#DIV/0!</v>
      </c>
      <c r="Z73" s="6" t="e">
        <f t="shared" si="18"/>
        <v>#DIV/0!</v>
      </c>
    </row>
    <row r="74" spans="1:26" x14ac:dyDescent="0.2">
      <c r="A74" s="7" t="s">
        <v>62</v>
      </c>
      <c r="B74" s="6">
        <f t="shared" si="21"/>
        <v>1</v>
      </c>
      <c r="C74" s="7" t="s">
        <v>151</v>
      </c>
      <c r="D74" s="69">
        <v>75</v>
      </c>
      <c r="E74" s="69">
        <v>0</v>
      </c>
      <c r="F74" s="66">
        <f t="shared" si="19"/>
        <v>0</v>
      </c>
      <c r="G74" s="61" t="e">
        <f t="shared" si="22"/>
        <v>#DIV/0!</v>
      </c>
      <c r="H74" s="66" t="e">
        <f t="shared" si="10"/>
        <v>#DIV/0!</v>
      </c>
      <c r="I74" s="66" t="e">
        <f t="shared" si="10"/>
        <v>#DIV/0!</v>
      </c>
      <c r="J74" s="66" t="e">
        <f t="shared" si="10"/>
        <v>#DIV/0!</v>
      </c>
      <c r="K74" s="70">
        <v>9000</v>
      </c>
      <c r="L74" s="70">
        <f>'Monitoramento Acumulado Geral'!Q74</f>
        <v>0</v>
      </c>
      <c r="M74" s="6">
        <f>L74/K74</f>
        <v>0</v>
      </c>
      <c r="N74" s="35" t="str">
        <f t="shared" si="23"/>
        <v>Desempenho Médio</v>
      </c>
      <c r="O74" s="6">
        <f t="shared" si="25"/>
        <v>3.4274647562211005E-2</v>
      </c>
      <c r="P74" s="6">
        <f t="shared" si="25"/>
        <v>0.10289217685709087</v>
      </c>
      <c r="Q74" s="6">
        <f t="shared" si="25"/>
        <v>-3.4342881732668862E-2</v>
      </c>
      <c r="R74" s="70">
        <v>35</v>
      </c>
      <c r="S74" s="70">
        <v>0</v>
      </c>
      <c r="T74" s="6">
        <f t="shared" si="20"/>
        <v>0</v>
      </c>
      <c r="U74" s="35" t="e">
        <f t="shared" si="24"/>
        <v>#DIV/0!</v>
      </c>
      <c r="V74" s="6" t="e">
        <f t="shared" si="18"/>
        <v>#DIV/0!</v>
      </c>
      <c r="W74" s="6" t="e">
        <f t="shared" si="18"/>
        <v>#DIV/0!</v>
      </c>
      <c r="X74" s="6" t="e">
        <f t="shared" si="18"/>
        <v>#DIV/0!</v>
      </c>
      <c r="Y74" s="6" t="e">
        <f t="shared" si="18"/>
        <v>#DIV/0!</v>
      </c>
      <c r="Z74" s="6" t="e">
        <f t="shared" si="18"/>
        <v>#DIV/0!</v>
      </c>
    </row>
    <row r="75" spans="1:26" x14ac:dyDescent="0.2">
      <c r="A75" s="7" t="s">
        <v>62</v>
      </c>
      <c r="B75" s="6">
        <f t="shared" si="21"/>
        <v>2</v>
      </c>
      <c r="C75" s="7" t="s">
        <v>152</v>
      </c>
      <c r="D75" s="69">
        <v>75</v>
      </c>
      <c r="E75" s="69">
        <v>11</v>
      </c>
      <c r="F75" s="66">
        <f t="shared" si="19"/>
        <v>0.14666666666666667</v>
      </c>
      <c r="G75" s="61" t="e">
        <f t="shared" si="22"/>
        <v>#DIV/0!</v>
      </c>
      <c r="H75" s="66" t="e">
        <f t="shared" si="10"/>
        <v>#DIV/0!</v>
      </c>
      <c r="I75" s="66" t="e">
        <f t="shared" si="10"/>
        <v>#DIV/0!</v>
      </c>
      <c r="J75" s="66" t="e">
        <f t="shared" si="10"/>
        <v>#DIV/0!</v>
      </c>
      <c r="K75" s="70">
        <v>9000</v>
      </c>
      <c r="L75" s="70">
        <f>'Monitoramento Acumulado Geral'!Q75</f>
        <v>600</v>
      </c>
      <c r="M75" s="6">
        <f>(SUM(L74:L75))/K74</f>
        <v>6.6666666666666666E-2</v>
      </c>
      <c r="N75" s="35" t="str">
        <f t="shared" si="23"/>
        <v>Desempenho Médio</v>
      </c>
      <c r="O75" s="6">
        <f t="shared" si="25"/>
        <v>8.1815188943147363E-2</v>
      </c>
      <c r="P75" s="6">
        <f t="shared" si="25"/>
        <v>0.20623883252423067</v>
      </c>
      <c r="Q75" s="6">
        <f t="shared" si="25"/>
        <v>-4.2608454637935944E-2</v>
      </c>
      <c r="R75" s="70">
        <v>35</v>
      </c>
      <c r="S75" s="70">
        <v>0</v>
      </c>
      <c r="T75" s="6">
        <f t="shared" si="20"/>
        <v>0</v>
      </c>
      <c r="U75" s="35" t="e">
        <f t="shared" si="24"/>
        <v>#DIV/0!</v>
      </c>
      <c r="V75" s="6" t="e">
        <f t="shared" si="18"/>
        <v>#DIV/0!</v>
      </c>
      <c r="W75" s="6" t="e">
        <f t="shared" si="18"/>
        <v>#DIV/0!</v>
      </c>
      <c r="X75" s="6" t="e">
        <f t="shared" si="18"/>
        <v>#DIV/0!</v>
      </c>
      <c r="Y75" s="6" t="e">
        <f t="shared" si="18"/>
        <v>#DIV/0!</v>
      </c>
      <c r="Z75" s="6" t="e">
        <f t="shared" si="18"/>
        <v>#DIV/0!</v>
      </c>
    </row>
    <row r="76" spans="1:26" x14ac:dyDescent="0.2">
      <c r="A76" s="7" t="s">
        <v>62</v>
      </c>
      <c r="B76" s="6">
        <f t="shared" si="21"/>
        <v>3</v>
      </c>
      <c r="C76" s="7" t="s">
        <v>153</v>
      </c>
      <c r="D76" s="69">
        <v>75</v>
      </c>
      <c r="E76" s="69">
        <v>11</v>
      </c>
      <c r="F76" s="66">
        <f t="shared" si="19"/>
        <v>0.14666666666666667</v>
      </c>
      <c r="G76" s="61" t="e">
        <f t="shared" si="22"/>
        <v>#DIV/0!</v>
      </c>
      <c r="H76" s="66" t="e">
        <f t="shared" si="10"/>
        <v>#DIV/0!</v>
      </c>
      <c r="I76" s="66" t="e">
        <f t="shared" si="10"/>
        <v>#DIV/0!</v>
      </c>
      <c r="J76" s="66" t="e">
        <f t="shared" si="10"/>
        <v>#DIV/0!</v>
      </c>
      <c r="K76" s="70">
        <v>9000</v>
      </c>
      <c r="L76" s="70">
        <f>'Monitoramento Acumulado Geral'!Q76</f>
        <v>0</v>
      </c>
      <c r="M76" s="6">
        <f>(SUM(L74:L76))/K75</f>
        <v>6.6666666666666666E-2</v>
      </c>
      <c r="N76" s="35" t="str">
        <f t="shared" si="23"/>
        <v>Desempenho Médio</v>
      </c>
      <c r="O76" s="6">
        <f t="shared" si="25"/>
        <v>0.13411292471649494</v>
      </c>
      <c r="P76" s="6">
        <f t="shared" si="25"/>
        <v>0.29721906787058483</v>
      </c>
      <c r="Q76" s="6">
        <f t="shared" si="25"/>
        <v>-2.899321843759492E-2</v>
      </c>
      <c r="R76" s="70">
        <v>35</v>
      </c>
      <c r="S76" s="70">
        <v>0</v>
      </c>
      <c r="T76" s="6">
        <f t="shared" si="20"/>
        <v>0</v>
      </c>
      <c r="U76" s="35" t="e">
        <f t="shared" si="24"/>
        <v>#DIV/0!</v>
      </c>
      <c r="V76" s="6" t="e">
        <f t="shared" si="18"/>
        <v>#DIV/0!</v>
      </c>
      <c r="W76" s="6" t="e">
        <f t="shared" si="18"/>
        <v>#DIV/0!</v>
      </c>
      <c r="X76" s="6" t="e">
        <f t="shared" si="18"/>
        <v>#DIV/0!</v>
      </c>
      <c r="Y76" s="6" t="e">
        <f t="shared" si="18"/>
        <v>#DIV/0!</v>
      </c>
      <c r="Z76" s="6" t="e">
        <f t="shared" si="18"/>
        <v>#DIV/0!</v>
      </c>
    </row>
    <row r="77" spans="1:26" x14ac:dyDescent="0.2">
      <c r="A77" s="7" t="s">
        <v>62</v>
      </c>
      <c r="B77" s="6">
        <f t="shared" si="21"/>
        <v>4</v>
      </c>
      <c r="C77" s="7" t="s">
        <v>154</v>
      </c>
      <c r="D77" s="69">
        <v>75</v>
      </c>
      <c r="E77" s="69">
        <v>11</v>
      </c>
      <c r="F77" s="66">
        <f t="shared" si="19"/>
        <v>0.14666666666666667</v>
      </c>
      <c r="G77" s="61" t="e">
        <f t="shared" si="22"/>
        <v>#DIV/0!</v>
      </c>
      <c r="H77" s="66" t="e">
        <f t="shared" si="10"/>
        <v>#DIV/0!</v>
      </c>
      <c r="I77" s="66" t="e">
        <f t="shared" si="10"/>
        <v>#DIV/0!</v>
      </c>
      <c r="J77" s="66" t="e">
        <f t="shared" si="10"/>
        <v>#DIV/0!</v>
      </c>
      <c r="K77" s="70">
        <v>9000</v>
      </c>
      <c r="L77" s="70">
        <f>'Monitoramento Acumulado Geral'!Q77</f>
        <v>0</v>
      </c>
      <c r="M77" s="6">
        <f>(SUM(L74:L77))/K76</f>
        <v>6.6666666666666666E-2</v>
      </c>
      <c r="N77" s="35" t="str">
        <f t="shared" si="23"/>
        <v>Desempenho Médio</v>
      </c>
      <c r="O77" s="6">
        <f t="shared" si="25"/>
        <v>0.15392483870093213</v>
      </c>
      <c r="P77" s="6">
        <f t="shared" si="25"/>
        <v>0.32772007016950033</v>
      </c>
      <c r="Q77" s="6">
        <f t="shared" si="25"/>
        <v>-1.9870392767636053E-2</v>
      </c>
      <c r="R77" s="70">
        <v>35</v>
      </c>
      <c r="S77" s="70">
        <v>0</v>
      </c>
      <c r="T77" s="6">
        <f t="shared" si="20"/>
        <v>0</v>
      </c>
      <c r="U77" s="35" t="e">
        <f t="shared" si="24"/>
        <v>#DIV/0!</v>
      </c>
      <c r="V77" s="6" t="e">
        <f t="shared" si="18"/>
        <v>#DIV/0!</v>
      </c>
      <c r="W77" s="6" t="e">
        <f t="shared" si="18"/>
        <v>#DIV/0!</v>
      </c>
      <c r="X77" s="6" t="e">
        <f t="shared" si="18"/>
        <v>#DIV/0!</v>
      </c>
      <c r="Y77" s="6" t="e">
        <f t="shared" si="18"/>
        <v>#DIV/0!</v>
      </c>
      <c r="Z77" s="6" t="e">
        <f t="shared" si="18"/>
        <v>#DIV/0!</v>
      </c>
    </row>
    <row r="78" spans="1:26" x14ac:dyDescent="0.2">
      <c r="A78" s="7" t="s">
        <v>62</v>
      </c>
      <c r="B78" s="6">
        <f t="shared" si="21"/>
        <v>5</v>
      </c>
      <c r="C78" s="7" t="s">
        <v>155</v>
      </c>
      <c r="D78" s="69">
        <v>75</v>
      </c>
      <c r="E78" s="69">
        <v>11</v>
      </c>
      <c r="F78" s="66">
        <f t="shared" si="19"/>
        <v>0.14666666666666667</v>
      </c>
      <c r="G78" s="61" t="e">
        <f t="shared" si="22"/>
        <v>#DIV/0!</v>
      </c>
      <c r="H78" s="66" t="e">
        <f t="shared" si="10"/>
        <v>#DIV/0!</v>
      </c>
      <c r="I78" s="66" t="e">
        <f t="shared" si="10"/>
        <v>#DIV/0!</v>
      </c>
      <c r="J78" s="66" t="e">
        <f t="shared" si="10"/>
        <v>#DIV/0!</v>
      </c>
      <c r="K78" s="70">
        <v>9000</v>
      </c>
      <c r="L78" s="70">
        <f>'Monitoramento Acumulado Geral'!Q78</f>
        <v>0</v>
      </c>
      <c r="M78" s="6">
        <f>(SUM(L74:L78))/K77</f>
        <v>6.6666666666666666E-2</v>
      </c>
      <c r="N78" s="35" t="str">
        <f t="shared" si="23"/>
        <v>Desempenho Médio</v>
      </c>
      <c r="O78" s="6">
        <f t="shared" si="25"/>
        <v>0.21139287248463789</v>
      </c>
      <c r="P78" s="6">
        <f t="shared" si="25"/>
        <v>0.43680804416292918</v>
      </c>
      <c r="Q78" s="6">
        <f t="shared" si="25"/>
        <v>-1.4022299193653387E-2</v>
      </c>
      <c r="R78" s="70">
        <v>35</v>
      </c>
      <c r="S78" s="70">
        <v>0</v>
      </c>
      <c r="T78" s="6">
        <f t="shared" si="20"/>
        <v>0</v>
      </c>
      <c r="U78" s="35" t="e">
        <f t="shared" si="24"/>
        <v>#DIV/0!</v>
      </c>
      <c r="V78" s="6" t="e">
        <f t="shared" si="18"/>
        <v>#DIV/0!</v>
      </c>
      <c r="W78" s="6" t="e">
        <f t="shared" si="18"/>
        <v>#DIV/0!</v>
      </c>
      <c r="X78" s="6" t="e">
        <f t="shared" si="18"/>
        <v>#DIV/0!</v>
      </c>
      <c r="Y78" s="6" t="e">
        <f t="shared" si="18"/>
        <v>#DIV/0!</v>
      </c>
      <c r="Z78" s="6" t="e">
        <f t="shared" si="18"/>
        <v>#DIV/0!</v>
      </c>
    </row>
    <row r="79" spans="1:26" x14ac:dyDescent="0.2">
      <c r="A79" s="7" t="s">
        <v>62</v>
      </c>
      <c r="B79" s="6">
        <f t="shared" si="21"/>
        <v>6</v>
      </c>
      <c r="C79" s="7" t="s">
        <v>156</v>
      </c>
      <c r="D79" s="69">
        <v>75</v>
      </c>
      <c r="E79" s="69">
        <v>11</v>
      </c>
      <c r="F79" s="66">
        <f t="shared" si="19"/>
        <v>0.14666666666666667</v>
      </c>
      <c r="G79" s="61" t="e">
        <f t="shared" si="22"/>
        <v>#DIV/0!</v>
      </c>
      <c r="H79" s="66" t="e">
        <f t="shared" ref="H79:J154" si="26">H67</f>
        <v>#DIV/0!</v>
      </c>
      <c r="I79" s="66" t="e">
        <f t="shared" si="26"/>
        <v>#DIV/0!</v>
      </c>
      <c r="J79" s="66" t="e">
        <f t="shared" si="26"/>
        <v>#DIV/0!</v>
      </c>
      <c r="K79" s="70">
        <v>9000</v>
      </c>
      <c r="L79" s="70">
        <f>'Monitoramento Acumulado Geral'!Q79</f>
        <v>0</v>
      </c>
      <c r="M79" s="6">
        <f>(SUM(L74:L79))/K78</f>
        <v>6.6666666666666666E-2</v>
      </c>
      <c r="N79" s="35" t="str">
        <f t="shared" si="23"/>
        <v>Desempenho Médio</v>
      </c>
      <c r="O79" s="6">
        <f t="shared" si="25"/>
        <v>0.28403291059934432</v>
      </c>
      <c r="P79" s="6">
        <f t="shared" si="25"/>
        <v>0.56118246348434164</v>
      </c>
      <c r="Q79" s="6">
        <f t="shared" si="25"/>
        <v>6.8833577143469493E-3</v>
      </c>
      <c r="R79" s="70">
        <v>35</v>
      </c>
      <c r="S79" s="70">
        <v>0</v>
      </c>
      <c r="T79" s="6">
        <f t="shared" si="20"/>
        <v>0</v>
      </c>
      <c r="U79" s="35" t="e">
        <f t="shared" si="24"/>
        <v>#DIV/0!</v>
      </c>
      <c r="V79" s="6" t="e">
        <f t="shared" ref="V79:Z94" si="27">V67</f>
        <v>#DIV/0!</v>
      </c>
      <c r="W79" s="6" t="e">
        <f t="shared" si="27"/>
        <v>#DIV/0!</v>
      </c>
      <c r="X79" s="6" t="e">
        <f t="shared" si="27"/>
        <v>#DIV/0!</v>
      </c>
      <c r="Y79" s="6" t="e">
        <f t="shared" si="27"/>
        <v>#DIV/0!</v>
      </c>
      <c r="Z79" s="6" t="e">
        <f t="shared" si="27"/>
        <v>#DIV/0!</v>
      </c>
    </row>
    <row r="80" spans="1:26" x14ac:dyDescent="0.2">
      <c r="A80" s="7" t="s">
        <v>62</v>
      </c>
      <c r="B80" s="6">
        <f t="shared" si="21"/>
        <v>7</v>
      </c>
      <c r="C80" s="7" t="s">
        <v>157</v>
      </c>
      <c r="D80" s="69">
        <v>75</v>
      </c>
      <c r="E80" s="69">
        <v>11</v>
      </c>
      <c r="F80" s="66">
        <f t="shared" si="19"/>
        <v>0.14666666666666667</v>
      </c>
      <c r="G80" s="61" t="e">
        <f t="shared" si="22"/>
        <v>#DIV/0!</v>
      </c>
      <c r="H80" s="66" t="e">
        <f t="shared" si="26"/>
        <v>#DIV/0!</v>
      </c>
      <c r="I80" s="66" t="e">
        <f t="shared" si="26"/>
        <v>#DIV/0!</v>
      </c>
      <c r="J80" s="66" t="e">
        <f t="shared" si="26"/>
        <v>#DIV/0!</v>
      </c>
      <c r="K80" s="70">
        <v>9000</v>
      </c>
      <c r="L80" s="70">
        <f>'Monitoramento Acumulado Geral'!Q80</f>
        <v>0</v>
      </c>
      <c r="M80" s="6">
        <f>(SUM(L74:L80))/K79</f>
        <v>6.6666666666666666E-2</v>
      </c>
      <c r="N80" s="35" t="str">
        <f t="shared" si="23"/>
        <v>Desempenho Médio</v>
      </c>
      <c r="O80" s="6">
        <f t="shared" si="25"/>
        <v>0.42046470140126019</v>
      </c>
      <c r="P80" s="6">
        <f t="shared" si="25"/>
        <v>0.84574683442734511</v>
      </c>
      <c r="Q80" s="6">
        <f t="shared" si="25"/>
        <v>-4.8174316248247306E-3</v>
      </c>
      <c r="R80" s="70">
        <v>35</v>
      </c>
      <c r="S80" s="70">
        <v>0</v>
      </c>
      <c r="T80" s="6">
        <f t="shared" si="20"/>
        <v>0</v>
      </c>
      <c r="U80" s="35" t="e">
        <f t="shared" si="24"/>
        <v>#DIV/0!</v>
      </c>
      <c r="V80" s="6" t="e">
        <f t="shared" si="27"/>
        <v>#DIV/0!</v>
      </c>
      <c r="W80" s="6" t="e">
        <f t="shared" si="27"/>
        <v>#DIV/0!</v>
      </c>
      <c r="X80" s="6" t="e">
        <f t="shared" si="27"/>
        <v>#DIV/0!</v>
      </c>
      <c r="Y80" s="6" t="e">
        <f t="shared" si="27"/>
        <v>#DIV/0!</v>
      </c>
      <c r="Z80" s="6" t="e">
        <f t="shared" si="27"/>
        <v>#DIV/0!</v>
      </c>
    </row>
    <row r="81" spans="1:26" x14ac:dyDescent="0.2">
      <c r="A81" s="7" t="s">
        <v>62</v>
      </c>
      <c r="B81" s="6">
        <f t="shared" si="21"/>
        <v>8</v>
      </c>
      <c r="C81" s="7" t="s">
        <v>158</v>
      </c>
      <c r="D81" s="69">
        <v>75</v>
      </c>
      <c r="E81" s="69">
        <v>0</v>
      </c>
      <c r="F81" s="66">
        <f t="shared" si="19"/>
        <v>0</v>
      </c>
      <c r="G81" s="61" t="e">
        <f t="shared" si="22"/>
        <v>#DIV/0!</v>
      </c>
      <c r="H81" s="66" t="e">
        <f t="shared" si="26"/>
        <v>#DIV/0!</v>
      </c>
      <c r="I81" s="66" t="e">
        <f t="shared" si="26"/>
        <v>#DIV/0!</v>
      </c>
      <c r="J81" s="66" t="e">
        <f t="shared" si="26"/>
        <v>#DIV/0!</v>
      </c>
      <c r="K81" s="70">
        <v>9000</v>
      </c>
      <c r="L81" s="70">
        <f>'Monitoramento Acumulado Geral'!Q81</f>
        <v>0</v>
      </c>
      <c r="M81" s="6">
        <f>(SUM(L74:L81))/K80</f>
        <v>6.6666666666666666E-2</v>
      </c>
      <c r="N81" s="35" t="str">
        <f t="shared" si="23"/>
        <v>Desempenho Médio</v>
      </c>
      <c r="O81" s="6">
        <f t="shared" si="25"/>
        <v>0.42046470140126019</v>
      </c>
      <c r="P81" s="6">
        <f t="shared" si="25"/>
        <v>0.84574683442734511</v>
      </c>
      <c r="Q81" s="6">
        <f t="shared" si="25"/>
        <v>-4.8174316248247306E-3</v>
      </c>
      <c r="R81" s="70">
        <v>35</v>
      </c>
      <c r="S81" s="70">
        <v>0</v>
      </c>
      <c r="T81" s="6">
        <f t="shared" si="20"/>
        <v>0</v>
      </c>
      <c r="U81" s="35" t="e">
        <f t="shared" si="24"/>
        <v>#DIV/0!</v>
      </c>
      <c r="V81" s="6" t="e">
        <f t="shared" si="27"/>
        <v>#DIV/0!</v>
      </c>
      <c r="W81" s="6" t="e">
        <f t="shared" si="27"/>
        <v>#DIV/0!</v>
      </c>
      <c r="X81" s="6" t="e">
        <f t="shared" si="27"/>
        <v>#DIV/0!</v>
      </c>
      <c r="Y81" s="6" t="e">
        <f t="shared" si="27"/>
        <v>#DIV/0!</v>
      </c>
      <c r="Z81" s="6" t="e">
        <f t="shared" si="27"/>
        <v>#DIV/0!</v>
      </c>
    </row>
    <row r="82" spans="1:26" x14ac:dyDescent="0.2">
      <c r="A82" s="7" t="s">
        <v>62</v>
      </c>
      <c r="B82" s="6">
        <f t="shared" si="21"/>
        <v>9</v>
      </c>
      <c r="C82" s="7" t="s">
        <v>159</v>
      </c>
      <c r="D82" s="69">
        <v>75</v>
      </c>
      <c r="E82" s="69">
        <v>0</v>
      </c>
      <c r="F82" s="66">
        <f t="shared" si="19"/>
        <v>0</v>
      </c>
      <c r="G82" s="61" t="e">
        <f t="shared" si="22"/>
        <v>#DIV/0!</v>
      </c>
      <c r="H82" s="66" t="e">
        <f t="shared" si="26"/>
        <v>#DIV/0!</v>
      </c>
      <c r="I82" s="66" t="e">
        <f t="shared" si="26"/>
        <v>#DIV/0!</v>
      </c>
      <c r="J82" s="66" t="e">
        <f t="shared" si="26"/>
        <v>#DIV/0!</v>
      </c>
      <c r="K82" s="70">
        <v>9000</v>
      </c>
      <c r="L82" s="70">
        <f>'Monitoramento Acumulado Geral'!Q82</f>
        <v>0</v>
      </c>
      <c r="M82" s="6">
        <f>(SUM(L74:L82))/K81</f>
        <v>6.6666666666666666E-2</v>
      </c>
      <c r="N82" s="35" t="str">
        <f t="shared" si="23"/>
        <v>Desempenho Médio</v>
      </c>
      <c r="O82" s="6">
        <f t="shared" si="25"/>
        <v>0.42046470140126019</v>
      </c>
      <c r="P82" s="6">
        <f t="shared" si="25"/>
        <v>0.84574683442734511</v>
      </c>
      <c r="Q82" s="6">
        <f t="shared" si="25"/>
        <v>-4.8174316248247306E-3</v>
      </c>
      <c r="R82" s="70">
        <v>35</v>
      </c>
      <c r="S82" s="70">
        <v>0</v>
      </c>
      <c r="T82" s="6">
        <f t="shared" si="20"/>
        <v>0</v>
      </c>
      <c r="U82" s="35" t="e">
        <f t="shared" si="24"/>
        <v>#DIV/0!</v>
      </c>
      <c r="V82" s="6" t="e">
        <f t="shared" si="27"/>
        <v>#DIV/0!</v>
      </c>
      <c r="W82" s="6" t="e">
        <f t="shared" si="27"/>
        <v>#DIV/0!</v>
      </c>
      <c r="X82" s="6" t="e">
        <f t="shared" si="27"/>
        <v>#DIV/0!</v>
      </c>
      <c r="Y82" s="6" t="e">
        <f t="shared" si="27"/>
        <v>#DIV/0!</v>
      </c>
      <c r="Z82" s="6" t="e">
        <f t="shared" si="27"/>
        <v>#DIV/0!</v>
      </c>
    </row>
    <row r="83" spans="1:26" x14ac:dyDescent="0.2">
      <c r="A83" s="7" t="s">
        <v>62</v>
      </c>
      <c r="B83" s="6">
        <f t="shared" si="21"/>
        <v>10</v>
      </c>
      <c r="C83" s="7" t="s">
        <v>160</v>
      </c>
      <c r="D83" s="69">
        <v>75</v>
      </c>
      <c r="E83" s="69">
        <v>0</v>
      </c>
      <c r="F83" s="66">
        <f t="shared" si="19"/>
        <v>0</v>
      </c>
      <c r="G83" s="61" t="e">
        <f t="shared" si="22"/>
        <v>#DIV/0!</v>
      </c>
      <c r="H83" s="66" t="e">
        <f t="shared" si="26"/>
        <v>#DIV/0!</v>
      </c>
      <c r="I83" s="66" t="e">
        <f t="shared" si="26"/>
        <v>#DIV/0!</v>
      </c>
      <c r="J83" s="66" t="e">
        <f t="shared" si="26"/>
        <v>#DIV/0!</v>
      </c>
      <c r="K83" s="70">
        <v>9000</v>
      </c>
      <c r="L83" s="70">
        <f>'Monitoramento Acumulado Geral'!Q83</f>
        <v>0</v>
      </c>
      <c r="M83" s="6">
        <f>(SUM(L74:L83))/K82</f>
        <v>6.6666666666666666E-2</v>
      </c>
      <c r="N83" s="35" t="str">
        <f t="shared" si="23"/>
        <v>Desempenho Médio</v>
      </c>
      <c r="O83" s="6">
        <f t="shared" si="25"/>
        <v>0.42046470140126019</v>
      </c>
      <c r="P83" s="6">
        <f t="shared" si="25"/>
        <v>0.84574683442734511</v>
      </c>
      <c r="Q83" s="6">
        <f t="shared" si="25"/>
        <v>-4.8174316248247306E-3</v>
      </c>
      <c r="R83" s="70">
        <v>35</v>
      </c>
      <c r="S83" s="70">
        <v>0</v>
      </c>
      <c r="T83" s="6">
        <f t="shared" si="20"/>
        <v>0</v>
      </c>
      <c r="U83" s="35" t="e">
        <f t="shared" si="24"/>
        <v>#DIV/0!</v>
      </c>
      <c r="V83" s="6" t="e">
        <f t="shared" si="27"/>
        <v>#DIV/0!</v>
      </c>
      <c r="W83" s="6" t="e">
        <f t="shared" si="27"/>
        <v>#DIV/0!</v>
      </c>
      <c r="X83" s="6" t="e">
        <f t="shared" si="27"/>
        <v>#DIV/0!</v>
      </c>
      <c r="Y83" s="6" t="e">
        <f t="shared" si="27"/>
        <v>#DIV/0!</v>
      </c>
      <c r="Z83" s="6" t="e">
        <f t="shared" si="27"/>
        <v>#DIV/0!</v>
      </c>
    </row>
    <row r="84" spans="1:26" x14ac:dyDescent="0.2">
      <c r="A84" s="7" t="s">
        <v>62</v>
      </c>
      <c r="B84" s="6">
        <f t="shared" si="21"/>
        <v>11</v>
      </c>
      <c r="C84" s="7" t="s">
        <v>161</v>
      </c>
      <c r="D84" s="69">
        <v>75</v>
      </c>
      <c r="E84" s="69">
        <v>0</v>
      </c>
      <c r="F84" s="66">
        <f t="shared" si="19"/>
        <v>0</v>
      </c>
      <c r="G84" s="61" t="e">
        <f t="shared" si="22"/>
        <v>#DIV/0!</v>
      </c>
      <c r="H84" s="66" t="e">
        <f t="shared" si="26"/>
        <v>#DIV/0!</v>
      </c>
      <c r="I84" s="66" t="e">
        <f t="shared" si="26"/>
        <v>#DIV/0!</v>
      </c>
      <c r="J84" s="66" t="e">
        <f t="shared" si="26"/>
        <v>#DIV/0!</v>
      </c>
      <c r="K84" s="70">
        <v>9000</v>
      </c>
      <c r="L84" s="70">
        <f>'Monitoramento Acumulado Geral'!Q84</f>
        <v>0</v>
      </c>
      <c r="M84" s="6">
        <f>(SUM(L74:L84))/K83</f>
        <v>6.6666666666666666E-2</v>
      </c>
      <c r="N84" s="35" t="str">
        <f t="shared" si="23"/>
        <v>Desempenho Médio</v>
      </c>
      <c r="O84" s="6">
        <f t="shared" si="25"/>
        <v>0.42046470140126019</v>
      </c>
      <c r="P84" s="6">
        <f t="shared" si="25"/>
        <v>0.84574683442734511</v>
      </c>
      <c r="Q84" s="6">
        <f t="shared" si="25"/>
        <v>-4.8174316248247306E-3</v>
      </c>
      <c r="R84" s="70">
        <v>35</v>
      </c>
      <c r="S84" s="70">
        <v>0</v>
      </c>
      <c r="T84" s="6">
        <f t="shared" si="20"/>
        <v>0</v>
      </c>
      <c r="U84" s="35" t="e">
        <f t="shared" si="24"/>
        <v>#DIV/0!</v>
      </c>
      <c r="V84" s="6" t="e">
        <f t="shared" si="27"/>
        <v>#DIV/0!</v>
      </c>
      <c r="W84" s="6" t="e">
        <f t="shared" si="27"/>
        <v>#DIV/0!</v>
      </c>
      <c r="X84" s="6" t="e">
        <f t="shared" si="27"/>
        <v>#DIV/0!</v>
      </c>
      <c r="Y84" s="6" t="e">
        <f t="shared" si="27"/>
        <v>#DIV/0!</v>
      </c>
      <c r="Z84" s="6" t="e">
        <f t="shared" si="27"/>
        <v>#DIV/0!</v>
      </c>
    </row>
    <row r="85" spans="1:26" x14ac:dyDescent="0.2">
      <c r="A85" s="7" t="s">
        <v>62</v>
      </c>
      <c r="B85" s="6">
        <f t="shared" si="21"/>
        <v>12</v>
      </c>
      <c r="C85" s="7" t="s">
        <v>162</v>
      </c>
      <c r="D85" s="69">
        <v>75</v>
      </c>
      <c r="E85" s="69">
        <v>0</v>
      </c>
      <c r="F85" s="66">
        <f t="shared" si="19"/>
        <v>0</v>
      </c>
      <c r="G85" s="61" t="e">
        <f t="shared" si="22"/>
        <v>#DIV/0!</v>
      </c>
      <c r="H85" s="66" t="e">
        <f t="shared" si="26"/>
        <v>#DIV/0!</v>
      </c>
      <c r="I85" s="66" t="e">
        <f t="shared" si="26"/>
        <v>#DIV/0!</v>
      </c>
      <c r="J85" s="66" t="e">
        <f t="shared" si="26"/>
        <v>#DIV/0!</v>
      </c>
      <c r="K85" s="70">
        <v>9000</v>
      </c>
      <c r="L85" s="70">
        <f>'Monitoramento Acumulado Geral'!Q85</f>
        <v>0</v>
      </c>
      <c r="M85" s="6">
        <f>(SUM(L74:L85))/K84</f>
        <v>6.6666666666666666E-2</v>
      </c>
      <c r="N85" s="35" t="str">
        <f t="shared" si="23"/>
        <v>Desempenho Médio</v>
      </c>
      <c r="O85" s="6">
        <f t="shared" si="25"/>
        <v>0.41824651958307835</v>
      </c>
      <c r="P85" s="6">
        <f t="shared" si="25"/>
        <v>0.84510274859297763</v>
      </c>
      <c r="Q85" s="6">
        <f t="shared" si="25"/>
        <v>-8.6097094268208774E-3</v>
      </c>
      <c r="R85" s="70">
        <v>35</v>
      </c>
      <c r="S85" s="70">
        <v>0</v>
      </c>
      <c r="T85" s="6">
        <f t="shared" si="20"/>
        <v>0</v>
      </c>
      <c r="U85" s="35" t="e">
        <f t="shared" si="24"/>
        <v>#DIV/0!</v>
      </c>
      <c r="V85" s="6" t="e">
        <f t="shared" si="27"/>
        <v>#DIV/0!</v>
      </c>
      <c r="W85" s="6" t="e">
        <f t="shared" si="27"/>
        <v>#DIV/0!</v>
      </c>
      <c r="X85" s="6" t="e">
        <f t="shared" si="27"/>
        <v>#DIV/0!</v>
      </c>
      <c r="Y85" s="6" t="e">
        <f t="shared" si="27"/>
        <v>#DIV/0!</v>
      </c>
      <c r="Z85" s="6" t="e">
        <f t="shared" si="27"/>
        <v>#DIV/0!</v>
      </c>
    </row>
    <row r="86" spans="1:26" x14ac:dyDescent="0.2">
      <c r="A86" s="7" t="s">
        <v>114</v>
      </c>
      <c r="B86" s="6">
        <f t="shared" si="21"/>
        <v>1</v>
      </c>
      <c r="C86" s="7" t="s">
        <v>151</v>
      </c>
      <c r="D86" s="69">
        <v>75</v>
      </c>
      <c r="E86" s="69">
        <v>0</v>
      </c>
      <c r="F86" s="66">
        <f t="shared" si="19"/>
        <v>0</v>
      </c>
      <c r="G86" s="61" t="e">
        <f t="shared" si="22"/>
        <v>#DIV/0!</v>
      </c>
      <c r="H86" s="66" t="e">
        <f t="shared" si="26"/>
        <v>#DIV/0!</v>
      </c>
      <c r="I86" s="66" t="e">
        <f t="shared" si="26"/>
        <v>#DIV/0!</v>
      </c>
      <c r="J86" s="66" t="e">
        <f t="shared" si="26"/>
        <v>#DIV/0!</v>
      </c>
      <c r="K86" s="70">
        <v>100000</v>
      </c>
      <c r="L86" s="70">
        <f>'Monitoramento Acumulado Geral'!Q86</f>
        <v>0</v>
      </c>
      <c r="M86" s="6">
        <f>L86/K86</f>
        <v>0</v>
      </c>
      <c r="N86" s="35" t="str">
        <f t="shared" si="23"/>
        <v>Desempenho Médio</v>
      </c>
      <c r="O86" s="6">
        <f t="shared" ref="O86:Q101" si="28">O74</f>
        <v>3.4274647562211005E-2</v>
      </c>
      <c r="P86" s="6">
        <f t="shared" si="28"/>
        <v>0.10289217685709087</v>
      </c>
      <c r="Q86" s="6">
        <f t="shared" si="28"/>
        <v>-3.4342881732668862E-2</v>
      </c>
      <c r="R86" s="70">
        <v>80</v>
      </c>
      <c r="S86" s="70">
        <v>0</v>
      </c>
      <c r="T86" s="6">
        <f t="shared" si="20"/>
        <v>0</v>
      </c>
      <c r="U86" s="35" t="e">
        <f t="shared" si="24"/>
        <v>#DIV/0!</v>
      </c>
      <c r="V86" s="6" t="e">
        <f t="shared" si="27"/>
        <v>#DIV/0!</v>
      </c>
      <c r="W86" s="6" t="e">
        <f t="shared" si="27"/>
        <v>#DIV/0!</v>
      </c>
      <c r="X86" s="6" t="e">
        <f t="shared" si="27"/>
        <v>#DIV/0!</v>
      </c>
      <c r="Y86" s="6" t="e">
        <f t="shared" si="27"/>
        <v>#DIV/0!</v>
      </c>
      <c r="Z86" s="6" t="e">
        <f t="shared" si="27"/>
        <v>#DIV/0!</v>
      </c>
    </row>
    <row r="87" spans="1:26" x14ac:dyDescent="0.2">
      <c r="A87" s="7" t="s">
        <v>114</v>
      </c>
      <c r="B87" s="6">
        <f t="shared" si="21"/>
        <v>2</v>
      </c>
      <c r="C87" s="7" t="s">
        <v>152</v>
      </c>
      <c r="D87" s="69">
        <v>75</v>
      </c>
      <c r="E87" s="69">
        <v>9</v>
      </c>
      <c r="F87" s="66">
        <f t="shared" si="19"/>
        <v>0.12</v>
      </c>
      <c r="G87" s="61" t="e">
        <f t="shared" si="22"/>
        <v>#DIV/0!</v>
      </c>
      <c r="H87" s="66" t="e">
        <f t="shared" si="26"/>
        <v>#DIV/0!</v>
      </c>
      <c r="I87" s="66" t="e">
        <f t="shared" si="26"/>
        <v>#DIV/0!</v>
      </c>
      <c r="J87" s="66" t="e">
        <f t="shared" si="26"/>
        <v>#DIV/0!</v>
      </c>
      <c r="K87" s="70">
        <v>100000</v>
      </c>
      <c r="L87" s="70">
        <f>'Monitoramento Acumulado Geral'!Q87</f>
        <v>4750</v>
      </c>
      <c r="M87" s="6">
        <f>(SUM(L86:L87))/K86</f>
        <v>4.7500000000000001E-2</v>
      </c>
      <c r="N87" s="35" t="str">
        <f t="shared" si="23"/>
        <v>Desempenho Médio</v>
      </c>
      <c r="O87" s="6">
        <f t="shared" si="28"/>
        <v>8.1815188943147363E-2</v>
      </c>
      <c r="P87" s="6">
        <f t="shared" si="28"/>
        <v>0.20623883252423067</v>
      </c>
      <c r="Q87" s="6">
        <f t="shared" si="28"/>
        <v>-4.2608454637935944E-2</v>
      </c>
      <c r="R87" s="70">
        <v>80</v>
      </c>
      <c r="S87" s="70">
        <v>0</v>
      </c>
      <c r="T87" s="6">
        <f t="shared" si="20"/>
        <v>0</v>
      </c>
      <c r="U87" s="35" t="e">
        <f t="shared" si="24"/>
        <v>#DIV/0!</v>
      </c>
      <c r="V87" s="6" t="e">
        <f t="shared" si="27"/>
        <v>#DIV/0!</v>
      </c>
      <c r="W87" s="6" t="e">
        <f t="shared" si="27"/>
        <v>#DIV/0!</v>
      </c>
      <c r="X87" s="6" t="e">
        <f t="shared" si="27"/>
        <v>#DIV/0!</v>
      </c>
      <c r="Y87" s="6" t="e">
        <f t="shared" si="27"/>
        <v>#DIV/0!</v>
      </c>
      <c r="Z87" s="6" t="e">
        <f t="shared" si="27"/>
        <v>#DIV/0!</v>
      </c>
    </row>
    <row r="88" spans="1:26" x14ac:dyDescent="0.2">
      <c r="A88" s="7" t="s">
        <v>114</v>
      </c>
      <c r="B88" s="6">
        <f t="shared" si="21"/>
        <v>3</v>
      </c>
      <c r="C88" s="7" t="s">
        <v>153</v>
      </c>
      <c r="D88" s="69">
        <v>75</v>
      </c>
      <c r="E88" s="69">
        <v>9</v>
      </c>
      <c r="F88" s="66">
        <f t="shared" si="19"/>
        <v>0.12</v>
      </c>
      <c r="G88" s="61" t="e">
        <f t="shared" si="22"/>
        <v>#DIV/0!</v>
      </c>
      <c r="H88" s="66" t="e">
        <f t="shared" si="26"/>
        <v>#DIV/0!</v>
      </c>
      <c r="I88" s="66" t="e">
        <f t="shared" si="26"/>
        <v>#DIV/0!</v>
      </c>
      <c r="J88" s="66" t="e">
        <f t="shared" si="26"/>
        <v>#DIV/0!</v>
      </c>
      <c r="K88" s="70">
        <v>100000</v>
      </c>
      <c r="L88" s="70">
        <f>'Monitoramento Acumulado Geral'!Q88</f>
        <v>0</v>
      </c>
      <c r="M88" s="6">
        <f>(SUM(L86:L88))/K87</f>
        <v>4.7500000000000001E-2</v>
      </c>
      <c r="N88" s="35" t="str">
        <f t="shared" si="23"/>
        <v>Desempenho Médio</v>
      </c>
      <c r="O88" s="6">
        <f t="shared" si="28"/>
        <v>0.13411292471649494</v>
      </c>
      <c r="P88" s="6">
        <f t="shared" si="28"/>
        <v>0.29721906787058483</v>
      </c>
      <c r="Q88" s="6">
        <f t="shared" si="28"/>
        <v>-2.899321843759492E-2</v>
      </c>
      <c r="R88" s="70">
        <v>80</v>
      </c>
      <c r="S88" s="70">
        <v>0</v>
      </c>
      <c r="T88" s="6">
        <f t="shared" si="20"/>
        <v>0</v>
      </c>
      <c r="U88" s="35" t="e">
        <f t="shared" si="24"/>
        <v>#DIV/0!</v>
      </c>
      <c r="V88" s="6" t="e">
        <f t="shared" si="27"/>
        <v>#DIV/0!</v>
      </c>
      <c r="W88" s="6" t="e">
        <f t="shared" si="27"/>
        <v>#DIV/0!</v>
      </c>
      <c r="X88" s="6" t="e">
        <f t="shared" si="27"/>
        <v>#DIV/0!</v>
      </c>
      <c r="Y88" s="6" t="e">
        <f t="shared" si="27"/>
        <v>#DIV/0!</v>
      </c>
      <c r="Z88" s="6" t="e">
        <f t="shared" si="27"/>
        <v>#DIV/0!</v>
      </c>
    </row>
    <row r="89" spans="1:26" x14ac:dyDescent="0.2">
      <c r="A89" s="7" t="s">
        <v>114</v>
      </c>
      <c r="B89" s="6">
        <f t="shared" si="21"/>
        <v>4</v>
      </c>
      <c r="C89" s="7" t="s">
        <v>154</v>
      </c>
      <c r="D89" s="69">
        <v>75</v>
      </c>
      <c r="E89" s="69">
        <v>9</v>
      </c>
      <c r="F89" s="66">
        <f t="shared" si="19"/>
        <v>0.12</v>
      </c>
      <c r="G89" s="61" t="e">
        <f t="shared" si="22"/>
        <v>#DIV/0!</v>
      </c>
      <c r="H89" s="66" t="e">
        <f t="shared" si="26"/>
        <v>#DIV/0!</v>
      </c>
      <c r="I89" s="66" t="e">
        <f t="shared" si="26"/>
        <v>#DIV/0!</v>
      </c>
      <c r="J89" s="66" t="e">
        <f t="shared" si="26"/>
        <v>#DIV/0!</v>
      </c>
      <c r="K89" s="70">
        <v>100000</v>
      </c>
      <c r="L89" s="70">
        <f>'Monitoramento Acumulado Geral'!Q89</f>
        <v>0</v>
      </c>
      <c r="M89" s="6">
        <f>(SUM(L86:L89))/K88</f>
        <v>4.7500000000000001E-2</v>
      </c>
      <c r="N89" s="35" t="str">
        <f t="shared" si="23"/>
        <v>Desempenho Médio</v>
      </c>
      <c r="O89" s="6">
        <f t="shared" si="28"/>
        <v>0.15392483870093213</v>
      </c>
      <c r="P89" s="6">
        <f t="shared" si="28"/>
        <v>0.32772007016950033</v>
      </c>
      <c r="Q89" s="6">
        <f t="shared" si="28"/>
        <v>-1.9870392767636053E-2</v>
      </c>
      <c r="R89" s="70">
        <v>80</v>
      </c>
      <c r="S89" s="70">
        <v>0</v>
      </c>
      <c r="T89" s="6">
        <f t="shared" si="20"/>
        <v>0</v>
      </c>
      <c r="U89" s="35" t="e">
        <f t="shared" si="24"/>
        <v>#DIV/0!</v>
      </c>
      <c r="V89" s="6" t="e">
        <f t="shared" si="27"/>
        <v>#DIV/0!</v>
      </c>
      <c r="W89" s="6" t="e">
        <f t="shared" si="27"/>
        <v>#DIV/0!</v>
      </c>
      <c r="X89" s="6" t="e">
        <f t="shared" si="27"/>
        <v>#DIV/0!</v>
      </c>
      <c r="Y89" s="6" t="e">
        <f t="shared" si="27"/>
        <v>#DIV/0!</v>
      </c>
      <c r="Z89" s="6" t="e">
        <f t="shared" si="27"/>
        <v>#DIV/0!</v>
      </c>
    </row>
    <row r="90" spans="1:26" x14ac:dyDescent="0.2">
      <c r="A90" s="7" t="s">
        <v>114</v>
      </c>
      <c r="B90" s="6">
        <f t="shared" si="21"/>
        <v>5</v>
      </c>
      <c r="C90" s="7" t="s">
        <v>155</v>
      </c>
      <c r="D90" s="69">
        <v>75</v>
      </c>
      <c r="E90" s="69">
        <v>38</v>
      </c>
      <c r="F90" s="66">
        <f t="shared" si="19"/>
        <v>0.50666666666666671</v>
      </c>
      <c r="G90" s="61" t="e">
        <f t="shared" si="22"/>
        <v>#DIV/0!</v>
      </c>
      <c r="H90" s="66" t="e">
        <f t="shared" si="26"/>
        <v>#DIV/0!</v>
      </c>
      <c r="I90" s="66" t="e">
        <f t="shared" si="26"/>
        <v>#DIV/0!</v>
      </c>
      <c r="J90" s="66" t="e">
        <f t="shared" si="26"/>
        <v>#DIV/0!</v>
      </c>
      <c r="K90" s="70">
        <v>100000</v>
      </c>
      <c r="L90" s="70">
        <f>'Monitoramento Acumulado Geral'!Q90</f>
        <v>14306.91</v>
      </c>
      <c r="M90" s="6">
        <f>(SUM(L86:L90))/K89</f>
        <v>0.19056909999999999</v>
      </c>
      <c r="N90" s="35" t="str">
        <f t="shared" si="23"/>
        <v>Desempenho Médio</v>
      </c>
      <c r="O90" s="6">
        <f t="shared" si="28"/>
        <v>0.21139287248463789</v>
      </c>
      <c r="P90" s="6">
        <f t="shared" si="28"/>
        <v>0.43680804416292918</v>
      </c>
      <c r="Q90" s="6">
        <f t="shared" si="28"/>
        <v>-1.4022299193653387E-2</v>
      </c>
      <c r="R90" s="70">
        <v>80</v>
      </c>
      <c r="S90" s="70">
        <v>0</v>
      </c>
      <c r="T90" s="6">
        <f t="shared" si="20"/>
        <v>0</v>
      </c>
      <c r="U90" s="35" t="e">
        <f t="shared" si="24"/>
        <v>#DIV/0!</v>
      </c>
      <c r="V90" s="6" t="e">
        <f t="shared" si="27"/>
        <v>#DIV/0!</v>
      </c>
      <c r="W90" s="6" t="e">
        <f t="shared" si="27"/>
        <v>#DIV/0!</v>
      </c>
      <c r="X90" s="6" t="e">
        <f t="shared" si="27"/>
        <v>#DIV/0!</v>
      </c>
      <c r="Y90" s="6" t="e">
        <f t="shared" si="27"/>
        <v>#DIV/0!</v>
      </c>
      <c r="Z90" s="6" t="e">
        <f t="shared" si="27"/>
        <v>#DIV/0!</v>
      </c>
    </row>
    <row r="91" spans="1:26" x14ac:dyDescent="0.2">
      <c r="A91" s="7" t="s">
        <v>114</v>
      </c>
      <c r="B91" s="6">
        <f t="shared" si="21"/>
        <v>6</v>
      </c>
      <c r="C91" s="7" t="s">
        <v>156</v>
      </c>
      <c r="D91" s="69">
        <v>75</v>
      </c>
      <c r="E91" s="69">
        <v>44</v>
      </c>
      <c r="F91" s="66">
        <f t="shared" si="19"/>
        <v>0.58666666666666667</v>
      </c>
      <c r="G91" s="61" t="e">
        <f t="shared" si="22"/>
        <v>#DIV/0!</v>
      </c>
      <c r="H91" s="66" t="e">
        <f t="shared" si="26"/>
        <v>#DIV/0!</v>
      </c>
      <c r="I91" s="66" t="e">
        <f t="shared" si="26"/>
        <v>#DIV/0!</v>
      </c>
      <c r="J91" s="66" t="e">
        <f t="shared" si="26"/>
        <v>#DIV/0!</v>
      </c>
      <c r="K91" s="70">
        <v>100000</v>
      </c>
      <c r="L91" s="70">
        <f>'Monitoramento Acumulado Geral'!Q91</f>
        <v>37297.32</v>
      </c>
      <c r="M91" s="6">
        <f>(SUM(L86:L91))/K90</f>
        <v>0.56354229999999994</v>
      </c>
      <c r="N91" s="35" t="str">
        <f t="shared" si="23"/>
        <v>Desempenho Ótimo</v>
      </c>
      <c r="O91" s="6">
        <f t="shared" si="28"/>
        <v>0.28403291059934432</v>
      </c>
      <c r="P91" s="6">
        <f t="shared" si="28"/>
        <v>0.56118246348434164</v>
      </c>
      <c r="Q91" s="6">
        <f t="shared" si="28"/>
        <v>6.8833577143469493E-3</v>
      </c>
      <c r="R91" s="70">
        <v>80</v>
      </c>
      <c r="S91" s="70">
        <v>0</v>
      </c>
      <c r="T91" s="6">
        <f t="shared" si="20"/>
        <v>0</v>
      </c>
      <c r="U91" s="35" t="e">
        <f t="shared" si="24"/>
        <v>#DIV/0!</v>
      </c>
      <c r="V91" s="6" t="e">
        <f t="shared" si="27"/>
        <v>#DIV/0!</v>
      </c>
      <c r="W91" s="6" t="e">
        <f t="shared" si="27"/>
        <v>#DIV/0!</v>
      </c>
      <c r="X91" s="6" t="e">
        <f t="shared" si="27"/>
        <v>#DIV/0!</v>
      </c>
      <c r="Y91" s="6" t="e">
        <f t="shared" si="27"/>
        <v>#DIV/0!</v>
      </c>
      <c r="Z91" s="6" t="e">
        <f t="shared" si="27"/>
        <v>#DIV/0!</v>
      </c>
    </row>
    <row r="92" spans="1:26" x14ac:dyDescent="0.2">
      <c r="A92" s="7" t="s">
        <v>114</v>
      </c>
      <c r="B92" s="6">
        <f t="shared" si="21"/>
        <v>7</v>
      </c>
      <c r="C92" s="7" t="s">
        <v>157</v>
      </c>
      <c r="D92" s="69">
        <v>75</v>
      </c>
      <c r="E92" s="69">
        <v>44</v>
      </c>
      <c r="F92" s="66">
        <f t="shared" si="19"/>
        <v>0.58666666666666667</v>
      </c>
      <c r="G92" s="61" t="e">
        <f t="shared" si="22"/>
        <v>#DIV/0!</v>
      </c>
      <c r="H92" s="66" t="e">
        <f t="shared" si="26"/>
        <v>#DIV/0!</v>
      </c>
      <c r="I92" s="66" t="e">
        <f t="shared" si="26"/>
        <v>#DIV/0!</v>
      </c>
      <c r="J92" s="66" t="e">
        <f t="shared" si="26"/>
        <v>#DIV/0!</v>
      </c>
      <c r="K92" s="70">
        <v>100000</v>
      </c>
      <c r="L92" s="70">
        <f>'Monitoramento Acumulado Geral'!Q92</f>
        <v>0</v>
      </c>
      <c r="M92" s="6">
        <f>(SUM(L86:L92))/K91</f>
        <v>0.56354229999999994</v>
      </c>
      <c r="N92" s="35" t="str">
        <f t="shared" si="23"/>
        <v>Desempenho Bom</v>
      </c>
      <c r="O92" s="6">
        <f t="shared" si="28"/>
        <v>0.42046470140126019</v>
      </c>
      <c r="P92" s="6">
        <f t="shared" si="28"/>
        <v>0.84574683442734511</v>
      </c>
      <c r="Q92" s="6">
        <f t="shared" si="28"/>
        <v>-4.8174316248247306E-3</v>
      </c>
      <c r="R92" s="70">
        <v>80</v>
      </c>
      <c r="S92" s="70">
        <v>0</v>
      </c>
      <c r="T92" s="6">
        <f t="shared" si="20"/>
        <v>0</v>
      </c>
      <c r="U92" s="35" t="e">
        <f t="shared" si="24"/>
        <v>#DIV/0!</v>
      </c>
      <c r="V92" s="6" t="e">
        <f t="shared" si="27"/>
        <v>#DIV/0!</v>
      </c>
      <c r="W92" s="6" t="e">
        <f t="shared" si="27"/>
        <v>#DIV/0!</v>
      </c>
      <c r="X92" s="6" t="e">
        <f t="shared" si="27"/>
        <v>#DIV/0!</v>
      </c>
      <c r="Y92" s="6" t="e">
        <f t="shared" si="27"/>
        <v>#DIV/0!</v>
      </c>
      <c r="Z92" s="6" t="e">
        <f t="shared" si="27"/>
        <v>#DIV/0!</v>
      </c>
    </row>
    <row r="93" spans="1:26" x14ac:dyDescent="0.2">
      <c r="A93" s="7" t="s">
        <v>114</v>
      </c>
      <c r="B93" s="6">
        <f t="shared" si="21"/>
        <v>8</v>
      </c>
      <c r="C93" s="7" t="s">
        <v>158</v>
      </c>
      <c r="D93" s="69">
        <v>75</v>
      </c>
      <c r="E93" s="69">
        <v>0</v>
      </c>
      <c r="F93" s="66">
        <f t="shared" si="19"/>
        <v>0</v>
      </c>
      <c r="G93" s="61" t="e">
        <f t="shared" si="22"/>
        <v>#DIV/0!</v>
      </c>
      <c r="H93" s="66" t="e">
        <f t="shared" si="26"/>
        <v>#DIV/0!</v>
      </c>
      <c r="I93" s="66" t="e">
        <f t="shared" si="26"/>
        <v>#DIV/0!</v>
      </c>
      <c r="J93" s="66" t="e">
        <f t="shared" si="26"/>
        <v>#DIV/0!</v>
      </c>
      <c r="K93" s="70">
        <v>100000</v>
      </c>
      <c r="L93" s="70">
        <f>'Monitoramento Acumulado Geral'!Q93</f>
        <v>0</v>
      </c>
      <c r="M93" s="6">
        <f>(SUM(L86:L93))/K92</f>
        <v>0.56354229999999994</v>
      </c>
      <c r="N93" s="35" t="str">
        <f t="shared" si="23"/>
        <v>Desempenho Bom</v>
      </c>
      <c r="O93" s="6">
        <f t="shared" si="28"/>
        <v>0.42046470140126019</v>
      </c>
      <c r="P93" s="6">
        <f t="shared" si="28"/>
        <v>0.84574683442734511</v>
      </c>
      <c r="Q93" s="6">
        <f t="shared" si="28"/>
        <v>-4.8174316248247306E-3</v>
      </c>
      <c r="R93" s="70">
        <v>80</v>
      </c>
      <c r="S93" s="70">
        <v>0</v>
      </c>
      <c r="T93" s="6">
        <f t="shared" si="20"/>
        <v>0</v>
      </c>
      <c r="U93" s="35" t="e">
        <f t="shared" si="24"/>
        <v>#DIV/0!</v>
      </c>
      <c r="V93" s="6" t="e">
        <f t="shared" si="27"/>
        <v>#DIV/0!</v>
      </c>
      <c r="W93" s="6" t="e">
        <f t="shared" si="27"/>
        <v>#DIV/0!</v>
      </c>
      <c r="X93" s="6" t="e">
        <f t="shared" si="27"/>
        <v>#DIV/0!</v>
      </c>
      <c r="Y93" s="6" t="e">
        <f t="shared" si="27"/>
        <v>#DIV/0!</v>
      </c>
      <c r="Z93" s="6" t="e">
        <f t="shared" si="27"/>
        <v>#DIV/0!</v>
      </c>
    </row>
    <row r="94" spans="1:26" x14ac:dyDescent="0.2">
      <c r="A94" s="7" t="s">
        <v>114</v>
      </c>
      <c r="B94" s="6">
        <f t="shared" si="21"/>
        <v>9</v>
      </c>
      <c r="C94" s="7" t="s">
        <v>159</v>
      </c>
      <c r="D94" s="69">
        <v>75</v>
      </c>
      <c r="E94" s="69">
        <v>0</v>
      </c>
      <c r="F94" s="66">
        <f t="shared" si="19"/>
        <v>0</v>
      </c>
      <c r="G94" s="61" t="e">
        <f t="shared" si="22"/>
        <v>#DIV/0!</v>
      </c>
      <c r="H94" s="66" t="e">
        <f t="shared" si="26"/>
        <v>#DIV/0!</v>
      </c>
      <c r="I94" s="66" t="e">
        <f t="shared" si="26"/>
        <v>#DIV/0!</v>
      </c>
      <c r="J94" s="66" t="e">
        <f t="shared" si="26"/>
        <v>#DIV/0!</v>
      </c>
      <c r="K94" s="70">
        <v>100000</v>
      </c>
      <c r="L94" s="70">
        <f>'Monitoramento Acumulado Geral'!Q94</f>
        <v>0</v>
      </c>
      <c r="M94" s="6">
        <f>(SUM(L86:L94))/K93</f>
        <v>0.56354229999999994</v>
      </c>
      <c r="N94" s="35" t="str">
        <f t="shared" si="23"/>
        <v>Desempenho Bom</v>
      </c>
      <c r="O94" s="6">
        <f t="shared" si="28"/>
        <v>0.42046470140126019</v>
      </c>
      <c r="P94" s="6">
        <f t="shared" si="28"/>
        <v>0.84574683442734511</v>
      </c>
      <c r="Q94" s="6">
        <f t="shared" si="28"/>
        <v>-4.8174316248247306E-3</v>
      </c>
      <c r="R94" s="70">
        <v>80</v>
      </c>
      <c r="S94" s="70">
        <v>0</v>
      </c>
      <c r="T94" s="6">
        <f t="shared" si="20"/>
        <v>0</v>
      </c>
      <c r="U94" s="35" t="e">
        <f t="shared" si="24"/>
        <v>#DIV/0!</v>
      </c>
      <c r="V94" s="6" t="e">
        <f t="shared" si="27"/>
        <v>#DIV/0!</v>
      </c>
      <c r="W94" s="6" t="e">
        <f t="shared" si="27"/>
        <v>#DIV/0!</v>
      </c>
      <c r="X94" s="6" t="e">
        <f t="shared" si="27"/>
        <v>#DIV/0!</v>
      </c>
      <c r="Y94" s="6" t="e">
        <f t="shared" si="27"/>
        <v>#DIV/0!</v>
      </c>
      <c r="Z94" s="6" t="e">
        <f t="shared" si="27"/>
        <v>#DIV/0!</v>
      </c>
    </row>
    <row r="95" spans="1:26" x14ac:dyDescent="0.2">
      <c r="A95" s="7" t="s">
        <v>114</v>
      </c>
      <c r="B95" s="6">
        <f t="shared" si="21"/>
        <v>10</v>
      </c>
      <c r="C95" s="7" t="s">
        <v>160</v>
      </c>
      <c r="D95" s="69">
        <v>75</v>
      </c>
      <c r="E95" s="69">
        <v>0</v>
      </c>
      <c r="F95" s="66">
        <f t="shared" si="19"/>
        <v>0</v>
      </c>
      <c r="G95" s="61" t="e">
        <f t="shared" si="22"/>
        <v>#DIV/0!</v>
      </c>
      <c r="H95" s="66" t="e">
        <f t="shared" si="26"/>
        <v>#DIV/0!</v>
      </c>
      <c r="I95" s="66" t="e">
        <f t="shared" si="26"/>
        <v>#DIV/0!</v>
      </c>
      <c r="J95" s="66" t="e">
        <f t="shared" si="26"/>
        <v>#DIV/0!</v>
      </c>
      <c r="K95" s="70">
        <v>100000</v>
      </c>
      <c r="L95" s="70">
        <f>'Monitoramento Acumulado Geral'!Q95</f>
        <v>0</v>
      </c>
      <c r="M95" s="6">
        <f>(SUM(L86:L95))/K94</f>
        <v>0.56354229999999994</v>
      </c>
      <c r="N95" s="35" t="str">
        <f t="shared" si="23"/>
        <v>Desempenho Bom</v>
      </c>
      <c r="O95" s="6">
        <f t="shared" si="28"/>
        <v>0.42046470140126019</v>
      </c>
      <c r="P95" s="6">
        <f t="shared" si="28"/>
        <v>0.84574683442734511</v>
      </c>
      <c r="Q95" s="6">
        <f t="shared" si="28"/>
        <v>-4.8174316248247306E-3</v>
      </c>
      <c r="R95" s="70">
        <v>80</v>
      </c>
      <c r="S95" s="70">
        <v>0</v>
      </c>
      <c r="T95" s="6">
        <f t="shared" si="20"/>
        <v>0</v>
      </c>
      <c r="U95" s="35" t="e">
        <f t="shared" si="24"/>
        <v>#DIV/0!</v>
      </c>
      <c r="V95" s="6" t="e">
        <f t="shared" ref="V95:Z109" si="29">V83</f>
        <v>#DIV/0!</v>
      </c>
      <c r="W95" s="6" t="e">
        <f t="shared" si="29"/>
        <v>#DIV/0!</v>
      </c>
      <c r="X95" s="6" t="e">
        <f t="shared" si="29"/>
        <v>#DIV/0!</v>
      </c>
      <c r="Y95" s="6" t="e">
        <f t="shared" si="29"/>
        <v>#DIV/0!</v>
      </c>
      <c r="Z95" s="6" t="e">
        <f t="shared" si="29"/>
        <v>#DIV/0!</v>
      </c>
    </row>
    <row r="96" spans="1:26" x14ac:dyDescent="0.2">
      <c r="A96" s="7" t="s">
        <v>114</v>
      </c>
      <c r="B96" s="6">
        <f t="shared" si="21"/>
        <v>11</v>
      </c>
      <c r="C96" s="7" t="s">
        <v>161</v>
      </c>
      <c r="D96" s="69">
        <v>75</v>
      </c>
      <c r="E96" s="69">
        <v>0</v>
      </c>
      <c r="F96" s="66">
        <f t="shared" si="19"/>
        <v>0</v>
      </c>
      <c r="G96" s="61" t="e">
        <f t="shared" si="22"/>
        <v>#DIV/0!</v>
      </c>
      <c r="H96" s="66" t="e">
        <f t="shared" si="26"/>
        <v>#DIV/0!</v>
      </c>
      <c r="I96" s="66" t="e">
        <f t="shared" si="26"/>
        <v>#DIV/0!</v>
      </c>
      <c r="J96" s="66" t="e">
        <f t="shared" si="26"/>
        <v>#DIV/0!</v>
      </c>
      <c r="K96" s="70">
        <v>100000</v>
      </c>
      <c r="L96" s="70">
        <f>'Monitoramento Acumulado Geral'!Q96</f>
        <v>0</v>
      </c>
      <c r="M96" s="6">
        <f>(SUM(L86:L96))/K95</f>
        <v>0.56354229999999994</v>
      </c>
      <c r="N96" s="35" t="str">
        <f t="shared" si="23"/>
        <v>Desempenho Bom</v>
      </c>
      <c r="O96" s="6">
        <f t="shared" si="28"/>
        <v>0.42046470140126019</v>
      </c>
      <c r="P96" s="6">
        <f t="shared" si="28"/>
        <v>0.84574683442734511</v>
      </c>
      <c r="Q96" s="6">
        <f t="shared" si="28"/>
        <v>-4.8174316248247306E-3</v>
      </c>
      <c r="R96" s="70">
        <v>80</v>
      </c>
      <c r="S96" s="70">
        <v>0</v>
      </c>
      <c r="T96" s="6">
        <f t="shared" si="20"/>
        <v>0</v>
      </c>
      <c r="U96" s="35" t="e">
        <f t="shared" si="24"/>
        <v>#DIV/0!</v>
      </c>
      <c r="V96" s="6" t="e">
        <f t="shared" si="29"/>
        <v>#DIV/0!</v>
      </c>
      <c r="W96" s="6" t="e">
        <f t="shared" si="29"/>
        <v>#DIV/0!</v>
      </c>
      <c r="X96" s="6" t="e">
        <f t="shared" si="29"/>
        <v>#DIV/0!</v>
      </c>
      <c r="Y96" s="6" t="e">
        <f t="shared" si="29"/>
        <v>#DIV/0!</v>
      </c>
      <c r="Z96" s="6" t="e">
        <f t="shared" si="29"/>
        <v>#DIV/0!</v>
      </c>
    </row>
    <row r="97" spans="1:26" x14ac:dyDescent="0.2">
      <c r="A97" s="7" t="s">
        <v>114</v>
      </c>
      <c r="B97" s="6">
        <f t="shared" si="21"/>
        <v>12</v>
      </c>
      <c r="C97" s="7" t="s">
        <v>162</v>
      </c>
      <c r="D97" s="69">
        <v>75</v>
      </c>
      <c r="E97" s="69">
        <v>0</v>
      </c>
      <c r="F97" s="66">
        <f t="shared" si="19"/>
        <v>0</v>
      </c>
      <c r="G97" s="61" t="e">
        <f t="shared" si="22"/>
        <v>#DIV/0!</v>
      </c>
      <c r="H97" s="66" t="e">
        <f t="shared" si="26"/>
        <v>#DIV/0!</v>
      </c>
      <c r="I97" s="66" t="e">
        <f t="shared" si="26"/>
        <v>#DIV/0!</v>
      </c>
      <c r="J97" s="66" t="e">
        <f t="shared" si="26"/>
        <v>#DIV/0!</v>
      </c>
      <c r="K97" s="70">
        <v>100000</v>
      </c>
      <c r="L97" s="70">
        <f>'Monitoramento Acumulado Geral'!Q97</f>
        <v>0</v>
      </c>
      <c r="M97" s="6">
        <f>(SUM(L86:L97))/K96</f>
        <v>0.56354229999999994</v>
      </c>
      <c r="N97" s="35" t="str">
        <f t="shared" si="23"/>
        <v>Desempenho Bom</v>
      </c>
      <c r="O97" s="6">
        <f t="shared" si="28"/>
        <v>0.41824651958307835</v>
      </c>
      <c r="P97" s="6">
        <f t="shared" si="28"/>
        <v>0.84510274859297763</v>
      </c>
      <c r="Q97" s="6">
        <f t="shared" si="28"/>
        <v>-8.6097094268208774E-3</v>
      </c>
      <c r="R97" s="70">
        <v>80</v>
      </c>
      <c r="S97" s="70">
        <v>0</v>
      </c>
      <c r="T97" s="6">
        <f t="shared" si="20"/>
        <v>0</v>
      </c>
      <c r="U97" s="35" t="e">
        <f t="shared" si="24"/>
        <v>#DIV/0!</v>
      </c>
      <c r="V97" s="6" t="e">
        <f t="shared" si="29"/>
        <v>#DIV/0!</v>
      </c>
      <c r="W97" s="6" t="e">
        <f t="shared" si="29"/>
        <v>#DIV/0!</v>
      </c>
      <c r="X97" s="6" t="e">
        <f t="shared" si="29"/>
        <v>#DIV/0!</v>
      </c>
      <c r="Y97" s="6" t="e">
        <f t="shared" si="29"/>
        <v>#DIV/0!</v>
      </c>
      <c r="Z97" s="6" t="e">
        <f t="shared" si="29"/>
        <v>#DIV/0!</v>
      </c>
    </row>
    <row r="98" spans="1:26" x14ac:dyDescent="0.2">
      <c r="A98" s="7" t="s">
        <v>47</v>
      </c>
      <c r="B98" s="6">
        <f t="shared" si="21"/>
        <v>1</v>
      </c>
      <c r="C98" s="7" t="s">
        <v>151</v>
      </c>
      <c r="D98" s="69">
        <v>75</v>
      </c>
      <c r="E98" s="69">
        <v>22</v>
      </c>
      <c r="F98" s="66">
        <f t="shared" si="19"/>
        <v>0.29333333333333333</v>
      </c>
      <c r="G98" s="61" t="e">
        <f t="shared" si="22"/>
        <v>#DIV/0!</v>
      </c>
      <c r="H98" s="66" t="e">
        <f t="shared" si="26"/>
        <v>#DIV/0!</v>
      </c>
      <c r="I98" s="66" t="e">
        <f t="shared" si="26"/>
        <v>#DIV/0!</v>
      </c>
      <c r="J98" s="66" t="e">
        <f t="shared" si="26"/>
        <v>#DIV/0!</v>
      </c>
      <c r="K98" s="70">
        <v>27305.1</v>
      </c>
      <c r="L98" s="70">
        <f>'Monitoramento Acumulado Geral'!Q98</f>
        <v>2880</v>
      </c>
      <c r="M98" s="6">
        <f>L98/K98</f>
        <v>0.10547480141072547</v>
      </c>
      <c r="N98" s="35" t="str">
        <f t="shared" si="23"/>
        <v>Desempenho Ótimo</v>
      </c>
      <c r="O98" s="6">
        <f t="shared" si="28"/>
        <v>3.4274647562211005E-2</v>
      </c>
      <c r="P98" s="6">
        <f t="shared" si="28"/>
        <v>0.10289217685709087</v>
      </c>
      <c r="Q98" s="6">
        <f t="shared" si="28"/>
        <v>-3.4342881732668862E-2</v>
      </c>
      <c r="R98" s="70">
        <v>80</v>
      </c>
      <c r="S98" s="70">
        <v>0</v>
      </c>
      <c r="T98" s="6">
        <f t="shared" si="20"/>
        <v>0</v>
      </c>
      <c r="U98" s="35" t="e">
        <f t="shared" si="24"/>
        <v>#DIV/0!</v>
      </c>
      <c r="V98" s="6" t="e">
        <f t="shared" si="29"/>
        <v>#DIV/0!</v>
      </c>
      <c r="W98" s="6" t="e">
        <f t="shared" si="29"/>
        <v>#DIV/0!</v>
      </c>
      <c r="X98" s="6" t="e">
        <f t="shared" si="29"/>
        <v>#DIV/0!</v>
      </c>
      <c r="Y98" s="6" t="e">
        <f t="shared" si="29"/>
        <v>#DIV/0!</v>
      </c>
      <c r="Z98" s="6" t="e">
        <f t="shared" si="29"/>
        <v>#DIV/0!</v>
      </c>
    </row>
    <row r="99" spans="1:26" x14ac:dyDescent="0.2">
      <c r="A99" s="7" t="s">
        <v>47</v>
      </c>
      <c r="B99" s="6">
        <f t="shared" si="21"/>
        <v>2</v>
      </c>
      <c r="C99" s="7" t="s">
        <v>152</v>
      </c>
      <c r="D99" s="69">
        <v>75</v>
      </c>
      <c r="E99" s="69">
        <v>83</v>
      </c>
      <c r="F99" s="66">
        <f t="shared" si="19"/>
        <v>1.1066666666666667</v>
      </c>
      <c r="G99" s="61" t="e">
        <f t="shared" si="22"/>
        <v>#DIV/0!</v>
      </c>
      <c r="H99" s="66" t="e">
        <f t="shared" si="26"/>
        <v>#DIV/0!</v>
      </c>
      <c r="I99" s="66" t="e">
        <f t="shared" si="26"/>
        <v>#DIV/0!</v>
      </c>
      <c r="J99" s="66" t="e">
        <f t="shared" si="26"/>
        <v>#DIV/0!</v>
      </c>
      <c r="K99" s="70">
        <v>27305.1</v>
      </c>
      <c r="L99" s="70">
        <f>'Monitoramento Acumulado Geral'!Q99</f>
        <v>3493</v>
      </c>
      <c r="M99" s="6">
        <f>(SUM(L98:L99))/K98</f>
        <v>0.2333996213161644</v>
      </c>
      <c r="N99" s="35" t="str">
        <f t="shared" si="23"/>
        <v>Desempenho Ótimo</v>
      </c>
      <c r="O99" s="6">
        <f t="shared" si="28"/>
        <v>8.1815188943147363E-2</v>
      </c>
      <c r="P99" s="6">
        <f t="shared" si="28"/>
        <v>0.20623883252423067</v>
      </c>
      <c r="Q99" s="6">
        <f t="shared" si="28"/>
        <v>-4.2608454637935944E-2</v>
      </c>
      <c r="R99" s="70">
        <v>80</v>
      </c>
      <c r="S99" s="70">
        <v>0</v>
      </c>
      <c r="T99" s="6">
        <f t="shared" si="20"/>
        <v>0</v>
      </c>
      <c r="U99" s="35" t="e">
        <f t="shared" si="24"/>
        <v>#DIV/0!</v>
      </c>
      <c r="V99" s="6" t="e">
        <f t="shared" si="29"/>
        <v>#DIV/0!</v>
      </c>
      <c r="W99" s="6" t="e">
        <f t="shared" si="29"/>
        <v>#DIV/0!</v>
      </c>
      <c r="X99" s="6" t="e">
        <f t="shared" si="29"/>
        <v>#DIV/0!</v>
      </c>
      <c r="Y99" s="6" t="e">
        <f t="shared" si="29"/>
        <v>#DIV/0!</v>
      </c>
      <c r="Z99" s="6" t="e">
        <f t="shared" si="29"/>
        <v>#DIV/0!</v>
      </c>
    </row>
    <row r="100" spans="1:26" x14ac:dyDescent="0.2">
      <c r="A100" s="7" t="s">
        <v>47</v>
      </c>
      <c r="B100" s="6">
        <f t="shared" si="21"/>
        <v>3</v>
      </c>
      <c r="C100" s="7" t="s">
        <v>153</v>
      </c>
      <c r="D100" s="69">
        <v>75</v>
      </c>
      <c r="E100" s="69">
        <v>83</v>
      </c>
      <c r="F100" s="66">
        <f t="shared" si="19"/>
        <v>1.1066666666666667</v>
      </c>
      <c r="G100" s="61" t="e">
        <f t="shared" si="22"/>
        <v>#DIV/0!</v>
      </c>
      <c r="H100" s="66" t="e">
        <f t="shared" si="26"/>
        <v>#DIV/0!</v>
      </c>
      <c r="I100" s="66" t="e">
        <f t="shared" si="26"/>
        <v>#DIV/0!</v>
      </c>
      <c r="J100" s="66" t="e">
        <f t="shared" si="26"/>
        <v>#DIV/0!</v>
      </c>
      <c r="K100" s="70">
        <v>27305.1</v>
      </c>
      <c r="L100" s="70">
        <f>'Monitoramento Acumulado Geral'!Q100</f>
        <v>240</v>
      </c>
      <c r="M100" s="6">
        <f>(SUM(L98:L100))/K99</f>
        <v>0.24218918810039153</v>
      </c>
      <c r="N100" s="35" t="str">
        <f t="shared" si="23"/>
        <v>Desempenho Bom</v>
      </c>
      <c r="O100" s="6">
        <f t="shared" si="28"/>
        <v>0.13411292471649494</v>
      </c>
      <c r="P100" s="6">
        <f t="shared" si="28"/>
        <v>0.29721906787058483</v>
      </c>
      <c r="Q100" s="6">
        <f t="shared" si="28"/>
        <v>-2.899321843759492E-2</v>
      </c>
      <c r="R100" s="70">
        <v>80</v>
      </c>
      <c r="S100" s="70">
        <v>0</v>
      </c>
      <c r="T100" s="6">
        <f t="shared" si="20"/>
        <v>0</v>
      </c>
      <c r="U100" s="35" t="e">
        <f t="shared" si="24"/>
        <v>#DIV/0!</v>
      </c>
      <c r="V100" s="6" t="e">
        <f t="shared" si="29"/>
        <v>#DIV/0!</v>
      </c>
      <c r="W100" s="6" t="e">
        <f t="shared" si="29"/>
        <v>#DIV/0!</v>
      </c>
      <c r="X100" s="6" t="e">
        <f t="shared" si="29"/>
        <v>#DIV/0!</v>
      </c>
      <c r="Y100" s="6" t="e">
        <f t="shared" si="29"/>
        <v>#DIV/0!</v>
      </c>
      <c r="Z100" s="6" t="e">
        <f t="shared" si="29"/>
        <v>#DIV/0!</v>
      </c>
    </row>
    <row r="101" spans="1:26" x14ac:dyDescent="0.2">
      <c r="A101" s="7" t="s">
        <v>47</v>
      </c>
      <c r="B101" s="6">
        <f t="shared" si="21"/>
        <v>4</v>
      </c>
      <c r="C101" s="7" t="s">
        <v>154</v>
      </c>
      <c r="D101" s="69">
        <v>75</v>
      </c>
      <c r="E101" s="69">
        <v>83</v>
      </c>
      <c r="F101" s="66">
        <f t="shared" si="19"/>
        <v>1.1066666666666667</v>
      </c>
      <c r="G101" s="61" t="e">
        <f t="shared" si="22"/>
        <v>#DIV/0!</v>
      </c>
      <c r="H101" s="66" t="e">
        <f t="shared" si="26"/>
        <v>#DIV/0!</v>
      </c>
      <c r="I101" s="66" t="e">
        <f t="shared" si="26"/>
        <v>#DIV/0!</v>
      </c>
      <c r="J101" s="66" t="e">
        <f t="shared" si="26"/>
        <v>#DIV/0!</v>
      </c>
      <c r="K101" s="70">
        <v>27305.1</v>
      </c>
      <c r="L101" s="70">
        <f>'Monitoramento Acumulado Geral'!Q101</f>
        <v>1425</v>
      </c>
      <c r="M101" s="6">
        <f>(SUM(L98:L101))/K100</f>
        <v>0.29437724088174005</v>
      </c>
      <c r="N101" s="35" t="str">
        <f t="shared" si="23"/>
        <v>Desempenho Bom</v>
      </c>
      <c r="O101" s="6">
        <f t="shared" si="28"/>
        <v>0.15392483870093213</v>
      </c>
      <c r="P101" s="6">
        <f t="shared" si="28"/>
        <v>0.32772007016950033</v>
      </c>
      <c r="Q101" s="6">
        <f t="shared" si="28"/>
        <v>-1.9870392767636053E-2</v>
      </c>
      <c r="R101" s="70">
        <v>80</v>
      </c>
      <c r="S101" s="70">
        <v>0</v>
      </c>
      <c r="T101" s="6">
        <f t="shared" si="20"/>
        <v>0</v>
      </c>
      <c r="U101" s="35" t="e">
        <f t="shared" si="24"/>
        <v>#DIV/0!</v>
      </c>
      <c r="V101" s="6" t="e">
        <f t="shared" si="29"/>
        <v>#DIV/0!</v>
      </c>
      <c r="W101" s="6" t="e">
        <f t="shared" si="29"/>
        <v>#DIV/0!</v>
      </c>
      <c r="X101" s="6" t="e">
        <f t="shared" si="29"/>
        <v>#DIV/0!</v>
      </c>
      <c r="Y101" s="6" t="e">
        <f t="shared" si="29"/>
        <v>#DIV/0!</v>
      </c>
      <c r="Z101" s="6" t="e">
        <f t="shared" si="29"/>
        <v>#DIV/0!</v>
      </c>
    </row>
    <row r="102" spans="1:26" x14ac:dyDescent="0.2">
      <c r="A102" s="7" t="s">
        <v>47</v>
      </c>
      <c r="B102" s="6">
        <f t="shared" si="21"/>
        <v>5</v>
      </c>
      <c r="C102" s="7" t="s">
        <v>155</v>
      </c>
      <c r="D102" s="69">
        <v>75</v>
      </c>
      <c r="E102" s="69">
        <v>91</v>
      </c>
      <c r="F102" s="66">
        <f t="shared" si="19"/>
        <v>1.2133333333333334</v>
      </c>
      <c r="G102" s="61" t="e">
        <f t="shared" si="22"/>
        <v>#DIV/0!</v>
      </c>
      <c r="H102" s="66" t="e">
        <f t="shared" si="26"/>
        <v>#DIV/0!</v>
      </c>
      <c r="I102" s="66" t="e">
        <f t="shared" si="26"/>
        <v>#DIV/0!</v>
      </c>
      <c r="J102" s="66" t="e">
        <f t="shared" si="26"/>
        <v>#DIV/0!</v>
      </c>
      <c r="K102" s="70">
        <v>27305.1</v>
      </c>
      <c r="L102" s="70">
        <f>'Monitoramento Acumulado Geral'!Q102</f>
        <v>2668</v>
      </c>
      <c r="M102" s="6">
        <f>(SUM(L98:L102))/K101</f>
        <v>0.39208792496639822</v>
      </c>
      <c r="N102" s="35" t="str">
        <f t="shared" si="23"/>
        <v>Desempenho Bom</v>
      </c>
      <c r="O102" s="6">
        <f t="shared" ref="O102:Q109" si="30">O90</f>
        <v>0.21139287248463789</v>
      </c>
      <c r="P102" s="6">
        <f t="shared" si="30"/>
        <v>0.43680804416292918</v>
      </c>
      <c r="Q102" s="6">
        <f t="shared" si="30"/>
        <v>-1.4022299193653387E-2</v>
      </c>
      <c r="R102" s="70">
        <v>80</v>
      </c>
      <c r="S102" s="70">
        <v>0</v>
      </c>
      <c r="T102" s="6">
        <f t="shared" si="20"/>
        <v>0</v>
      </c>
      <c r="U102" s="35" t="e">
        <f t="shared" si="24"/>
        <v>#DIV/0!</v>
      </c>
      <c r="V102" s="6" t="e">
        <f t="shared" si="29"/>
        <v>#DIV/0!</v>
      </c>
      <c r="W102" s="6" t="e">
        <f t="shared" si="29"/>
        <v>#DIV/0!</v>
      </c>
      <c r="X102" s="6" t="e">
        <f t="shared" si="29"/>
        <v>#DIV/0!</v>
      </c>
      <c r="Y102" s="6" t="e">
        <f t="shared" si="29"/>
        <v>#DIV/0!</v>
      </c>
      <c r="Z102" s="6" t="e">
        <f t="shared" si="29"/>
        <v>#DIV/0!</v>
      </c>
    </row>
    <row r="103" spans="1:26" x14ac:dyDescent="0.2">
      <c r="A103" s="7" t="s">
        <v>47</v>
      </c>
      <c r="B103" s="6">
        <f t="shared" si="21"/>
        <v>6</v>
      </c>
      <c r="C103" s="7" t="s">
        <v>156</v>
      </c>
      <c r="D103" s="69">
        <v>75</v>
      </c>
      <c r="E103" s="69">
        <v>100</v>
      </c>
      <c r="F103" s="66">
        <f t="shared" si="19"/>
        <v>1.3333333333333333</v>
      </c>
      <c r="G103" s="61" t="e">
        <f t="shared" si="22"/>
        <v>#DIV/0!</v>
      </c>
      <c r="H103" s="66" t="e">
        <f t="shared" si="26"/>
        <v>#DIV/0!</v>
      </c>
      <c r="I103" s="66" t="e">
        <f t="shared" si="26"/>
        <v>#DIV/0!</v>
      </c>
      <c r="J103" s="66" t="e">
        <f t="shared" si="26"/>
        <v>#DIV/0!</v>
      </c>
      <c r="K103" s="70">
        <v>27305.1</v>
      </c>
      <c r="L103" s="70">
        <f>'Monitoramento Acumulado Geral'!Q103</f>
        <v>1844</v>
      </c>
      <c r="M103" s="6">
        <f>(SUM(L98:L103))/K102</f>
        <v>0.45962109642520999</v>
      </c>
      <c r="N103" s="35" t="str">
        <f t="shared" si="23"/>
        <v>Desempenho Bom</v>
      </c>
      <c r="O103" s="6">
        <f t="shared" si="30"/>
        <v>0.28403291059934432</v>
      </c>
      <c r="P103" s="6">
        <f t="shared" si="30"/>
        <v>0.56118246348434164</v>
      </c>
      <c r="Q103" s="6">
        <f t="shared" si="30"/>
        <v>6.8833577143469493E-3</v>
      </c>
      <c r="R103" s="70">
        <v>80</v>
      </c>
      <c r="S103" s="70">
        <v>0</v>
      </c>
      <c r="T103" s="6">
        <f t="shared" si="20"/>
        <v>0</v>
      </c>
      <c r="U103" s="35" t="e">
        <f t="shared" si="24"/>
        <v>#DIV/0!</v>
      </c>
      <c r="V103" s="6" t="e">
        <f t="shared" si="29"/>
        <v>#DIV/0!</v>
      </c>
      <c r="W103" s="6" t="e">
        <f t="shared" si="29"/>
        <v>#DIV/0!</v>
      </c>
      <c r="X103" s="6" t="e">
        <f t="shared" si="29"/>
        <v>#DIV/0!</v>
      </c>
      <c r="Y103" s="6" t="e">
        <f t="shared" si="29"/>
        <v>#DIV/0!</v>
      </c>
      <c r="Z103" s="6" t="e">
        <f t="shared" si="29"/>
        <v>#DIV/0!</v>
      </c>
    </row>
    <row r="104" spans="1:26" x14ac:dyDescent="0.2">
      <c r="A104" s="7" t="s">
        <v>47</v>
      </c>
      <c r="B104" s="6">
        <f t="shared" si="21"/>
        <v>7</v>
      </c>
      <c r="C104" s="7" t="s">
        <v>157</v>
      </c>
      <c r="D104" s="69">
        <v>75</v>
      </c>
      <c r="E104" s="69">
        <v>100</v>
      </c>
      <c r="F104" s="66">
        <f t="shared" si="19"/>
        <v>1.3333333333333333</v>
      </c>
      <c r="G104" s="61" t="e">
        <f t="shared" si="22"/>
        <v>#DIV/0!</v>
      </c>
      <c r="H104" s="66" t="e">
        <f t="shared" si="26"/>
        <v>#DIV/0!</v>
      </c>
      <c r="I104" s="66" t="e">
        <f t="shared" si="26"/>
        <v>#DIV/0!</v>
      </c>
      <c r="J104" s="66" t="e">
        <f t="shared" si="26"/>
        <v>#DIV/0!</v>
      </c>
      <c r="K104" s="70">
        <v>27305.1</v>
      </c>
      <c r="L104" s="70">
        <f>'Monitoramento Acumulado Geral'!Q104</f>
        <v>3750</v>
      </c>
      <c r="M104" s="6">
        <f>(SUM(L98:L104))/K103</f>
        <v>0.59695807742875873</v>
      </c>
      <c r="N104" s="35" t="str">
        <f t="shared" si="23"/>
        <v>Desempenho Bom</v>
      </c>
      <c r="O104" s="6">
        <f t="shared" si="30"/>
        <v>0.42046470140126019</v>
      </c>
      <c r="P104" s="6">
        <f t="shared" si="30"/>
        <v>0.84574683442734511</v>
      </c>
      <c r="Q104" s="6">
        <f t="shared" si="30"/>
        <v>-4.8174316248247306E-3</v>
      </c>
      <c r="R104" s="70">
        <v>80</v>
      </c>
      <c r="S104" s="70">
        <v>0</v>
      </c>
      <c r="T104" s="6">
        <f t="shared" si="20"/>
        <v>0</v>
      </c>
      <c r="U104" s="35" t="e">
        <f t="shared" si="24"/>
        <v>#DIV/0!</v>
      </c>
      <c r="V104" s="6" t="e">
        <f t="shared" si="29"/>
        <v>#DIV/0!</v>
      </c>
      <c r="W104" s="6" t="e">
        <f t="shared" si="29"/>
        <v>#DIV/0!</v>
      </c>
      <c r="X104" s="6" t="e">
        <f t="shared" si="29"/>
        <v>#DIV/0!</v>
      </c>
      <c r="Y104" s="6" t="e">
        <f t="shared" si="29"/>
        <v>#DIV/0!</v>
      </c>
      <c r="Z104" s="6" t="e">
        <f t="shared" si="29"/>
        <v>#DIV/0!</v>
      </c>
    </row>
    <row r="105" spans="1:26" x14ac:dyDescent="0.2">
      <c r="A105" s="7" t="s">
        <v>47</v>
      </c>
      <c r="B105" s="6">
        <f t="shared" si="21"/>
        <v>8</v>
      </c>
      <c r="C105" s="7" t="s">
        <v>158</v>
      </c>
      <c r="D105" s="69">
        <v>75</v>
      </c>
      <c r="E105" s="69">
        <v>0</v>
      </c>
      <c r="F105" s="66">
        <f t="shared" si="19"/>
        <v>0</v>
      </c>
      <c r="G105" s="61" t="e">
        <f t="shared" si="22"/>
        <v>#DIV/0!</v>
      </c>
      <c r="H105" s="66" t="e">
        <f t="shared" si="26"/>
        <v>#DIV/0!</v>
      </c>
      <c r="I105" s="66" t="e">
        <f t="shared" si="26"/>
        <v>#DIV/0!</v>
      </c>
      <c r="J105" s="66" t="e">
        <f t="shared" si="26"/>
        <v>#DIV/0!</v>
      </c>
      <c r="K105" s="70">
        <v>27305.1</v>
      </c>
      <c r="L105" s="70">
        <f>'Monitoramento Acumulado Geral'!Q105</f>
        <v>0</v>
      </c>
      <c r="M105" s="6">
        <f>(SUM(L98:L105))/K104</f>
        <v>0.59695807742875873</v>
      </c>
      <c r="N105" s="35" t="str">
        <f t="shared" si="23"/>
        <v>Desempenho Bom</v>
      </c>
      <c r="O105" s="6">
        <f t="shared" si="30"/>
        <v>0.42046470140126019</v>
      </c>
      <c r="P105" s="6">
        <f t="shared" si="30"/>
        <v>0.84574683442734511</v>
      </c>
      <c r="Q105" s="6">
        <f t="shared" si="30"/>
        <v>-4.8174316248247306E-3</v>
      </c>
      <c r="R105" s="70">
        <v>80</v>
      </c>
      <c r="S105" s="70">
        <v>0</v>
      </c>
      <c r="T105" s="6">
        <f t="shared" si="20"/>
        <v>0</v>
      </c>
      <c r="U105" s="35" t="e">
        <f t="shared" si="24"/>
        <v>#DIV/0!</v>
      </c>
      <c r="V105" s="6" t="e">
        <f t="shared" si="29"/>
        <v>#DIV/0!</v>
      </c>
      <c r="W105" s="6" t="e">
        <f t="shared" si="29"/>
        <v>#DIV/0!</v>
      </c>
      <c r="X105" s="6" t="e">
        <f t="shared" si="29"/>
        <v>#DIV/0!</v>
      </c>
      <c r="Y105" s="6" t="e">
        <f t="shared" si="29"/>
        <v>#DIV/0!</v>
      </c>
      <c r="Z105" s="6" t="e">
        <f t="shared" si="29"/>
        <v>#DIV/0!</v>
      </c>
    </row>
    <row r="106" spans="1:26" x14ac:dyDescent="0.2">
      <c r="A106" s="7" t="s">
        <v>47</v>
      </c>
      <c r="B106" s="6">
        <f t="shared" si="21"/>
        <v>9</v>
      </c>
      <c r="C106" s="7" t="s">
        <v>159</v>
      </c>
      <c r="D106" s="69">
        <v>75</v>
      </c>
      <c r="E106" s="69">
        <v>0</v>
      </c>
      <c r="F106" s="66">
        <f t="shared" si="19"/>
        <v>0</v>
      </c>
      <c r="G106" s="61" t="e">
        <f t="shared" si="22"/>
        <v>#DIV/0!</v>
      </c>
      <c r="H106" s="66" t="e">
        <f t="shared" si="26"/>
        <v>#DIV/0!</v>
      </c>
      <c r="I106" s="66" t="e">
        <f t="shared" si="26"/>
        <v>#DIV/0!</v>
      </c>
      <c r="J106" s="66" t="e">
        <f t="shared" si="26"/>
        <v>#DIV/0!</v>
      </c>
      <c r="K106" s="70">
        <v>27305.1</v>
      </c>
      <c r="L106" s="70">
        <f>'Monitoramento Acumulado Geral'!Q106</f>
        <v>0</v>
      </c>
      <c r="M106" s="6">
        <f>(SUM(L98:L106))/K105</f>
        <v>0.59695807742875873</v>
      </c>
      <c r="N106" s="35" t="str">
        <f t="shared" si="23"/>
        <v>Desempenho Bom</v>
      </c>
      <c r="O106" s="6">
        <f t="shared" si="30"/>
        <v>0.42046470140126019</v>
      </c>
      <c r="P106" s="6">
        <f t="shared" si="30"/>
        <v>0.84574683442734511</v>
      </c>
      <c r="Q106" s="6">
        <f t="shared" si="30"/>
        <v>-4.8174316248247306E-3</v>
      </c>
      <c r="R106" s="70">
        <v>80</v>
      </c>
      <c r="S106" s="70">
        <v>0</v>
      </c>
      <c r="T106" s="6">
        <f t="shared" si="20"/>
        <v>0</v>
      </c>
      <c r="U106" s="35" t="e">
        <f t="shared" si="24"/>
        <v>#DIV/0!</v>
      </c>
      <c r="V106" s="6" t="e">
        <f t="shared" si="29"/>
        <v>#DIV/0!</v>
      </c>
      <c r="W106" s="6" t="e">
        <f t="shared" si="29"/>
        <v>#DIV/0!</v>
      </c>
      <c r="X106" s="6" t="e">
        <f t="shared" si="29"/>
        <v>#DIV/0!</v>
      </c>
      <c r="Y106" s="6" t="e">
        <f t="shared" si="29"/>
        <v>#DIV/0!</v>
      </c>
      <c r="Z106" s="6" t="e">
        <f t="shared" si="29"/>
        <v>#DIV/0!</v>
      </c>
    </row>
    <row r="107" spans="1:26" x14ac:dyDescent="0.2">
      <c r="A107" s="7" t="s">
        <v>47</v>
      </c>
      <c r="B107" s="6">
        <f t="shared" si="21"/>
        <v>10</v>
      </c>
      <c r="C107" s="7" t="s">
        <v>160</v>
      </c>
      <c r="D107" s="69">
        <v>75</v>
      </c>
      <c r="E107" s="69">
        <v>0</v>
      </c>
      <c r="F107" s="66">
        <f t="shared" si="19"/>
        <v>0</v>
      </c>
      <c r="G107" s="61" t="e">
        <f t="shared" si="22"/>
        <v>#DIV/0!</v>
      </c>
      <c r="H107" s="66" t="e">
        <f t="shared" si="26"/>
        <v>#DIV/0!</v>
      </c>
      <c r="I107" s="66" t="e">
        <f t="shared" si="26"/>
        <v>#DIV/0!</v>
      </c>
      <c r="J107" s="66" t="e">
        <f t="shared" si="26"/>
        <v>#DIV/0!</v>
      </c>
      <c r="K107" s="70">
        <v>27305.1</v>
      </c>
      <c r="L107" s="70">
        <f>'Monitoramento Acumulado Geral'!Q107</f>
        <v>0</v>
      </c>
      <c r="M107" s="6">
        <f>(SUM(L98:L107))/K106</f>
        <v>0.59695807742875873</v>
      </c>
      <c r="N107" s="35" t="str">
        <f t="shared" si="23"/>
        <v>Desempenho Bom</v>
      </c>
      <c r="O107" s="6">
        <f t="shared" si="30"/>
        <v>0.42046470140126019</v>
      </c>
      <c r="P107" s="6">
        <f t="shared" si="30"/>
        <v>0.84574683442734511</v>
      </c>
      <c r="Q107" s="6">
        <f t="shared" si="30"/>
        <v>-4.8174316248247306E-3</v>
      </c>
      <c r="R107" s="70">
        <v>80</v>
      </c>
      <c r="S107" s="70">
        <v>0</v>
      </c>
      <c r="T107" s="6">
        <f t="shared" si="20"/>
        <v>0</v>
      </c>
      <c r="U107" s="35" t="e">
        <f t="shared" si="24"/>
        <v>#DIV/0!</v>
      </c>
      <c r="V107" s="6" t="e">
        <f t="shared" si="29"/>
        <v>#DIV/0!</v>
      </c>
      <c r="W107" s="6" t="e">
        <f t="shared" si="29"/>
        <v>#DIV/0!</v>
      </c>
      <c r="X107" s="6" t="e">
        <f t="shared" si="29"/>
        <v>#DIV/0!</v>
      </c>
      <c r="Y107" s="6" t="e">
        <f t="shared" si="29"/>
        <v>#DIV/0!</v>
      </c>
      <c r="Z107" s="6" t="e">
        <f t="shared" si="29"/>
        <v>#DIV/0!</v>
      </c>
    </row>
    <row r="108" spans="1:26" x14ac:dyDescent="0.2">
      <c r="A108" s="7" t="s">
        <v>47</v>
      </c>
      <c r="B108" s="6">
        <f t="shared" si="21"/>
        <v>11</v>
      </c>
      <c r="C108" s="7" t="s">
        <v>161</v>
      </c>
      <c r="D108" s="69">
        <v>75</v>
      </c>
      <c r="E108" s="69">
        <v>0</v>
      </c>
      <c r="F108" s="66">
        <f t="shared" si="19"/>
        <v>0</v>
      </c>
      <c r="G108" s="61" t="e">
        <f t="shared" si="22"/>
        <v>#DIV/0!</v>
      </c>
      <c r="H108" s="66" t="e">
        <f t="shared" si="26"/>
        <v>#DIV/0!</v>
      </c>
      <c r="I108" s="66" t="e">
        <f t="shared" si="26"/>
        <v>#DIV/0!</v>
      </c>
      <c r="J108" s="66" t="e">
        <f t="shared" si="26"/>
        <v>#DIV/0!</v>
      </c>
      <c r="K108" s="70">
        <v>27305.1</v>
      </c>
      <c r="L108" s="70">
        <f>'Monitoramento Acumulado Geral'!Q108</f>
        <v>0</v>
      </c>
      <c r="M108" s="6">
        <f>(SUM(L98:L108))/K107</f>
        <v>0.59695807742875873</v>
      </c>
      <c r="N108" s="35" t="str">
        <f t="shared" si="23"/>
        <v>Desempenho Bom</v>
      </c>
      <c r="O108" s="6">
        <f t="shared" si="30"/>
        <v>0.42046470140126019</v>
      </c>
      <c r="P108" s="6">
        <f t="shared" si="30"/>
        <v>0.84574683442734511</v>
      </c>
      <c r="Q108" s="6">
        <f t="shared" si="30"/>
        <v>-4.8174316248247306E-3</v>
      </c>
      <c r="R108" s="70">
        <v>80</v>
      </c>
      <c r="S108" s="70">
        <v>0</v>
      </c>
      <c r="T108" s="6">
        <f t="shared" si="20"/>
        <v>0</v>
      </c>
      <c r="U108" s="35" t="e">
        <f t="shared" si="24"/>
        <v>#DIV/0!</v>
      </c>
      <c r="V108" s="6" t="e">
        <f t="shared" si="29"/>
        <v>#DIV/0!</v>
      </c>
      <c r="W108" s="6" t="e">
        <f t="shared" si="29"/>
        <v>#DIV/0!</v>
      </c>
      <c r="X108" s="6" t="e">
        <f t="shared" si="29"/>
        <v>#DIV/0!</v>
      </c>
      <c r="Y108" s="6" t="e">
        <f t="shared" si="29"/>
        <v>#DIV/0!</v>
      </c>
      <c r="Z108" s="6" t="e">
        <f t="shared" si="29"/>
        <v>#DIV/0!</v>
      </c>
    </row>
    <row r="109" spans="1:26" x14ac:dyDescent="0.2">
      <c r="A109" s="7" t="s">
        <v>47</v>
      </c>
      <c r="B109" s="6">
        <f t="shared" si="21"/>
        <v>12</v>
      </c>
      <c r="C109" s="7" t="s">
        <v>162</v>
      </c>
      <c r="D109" s="69">
        <v>75</v>
      </c>
      <c r="E109" s="69">
        <v>0</v>
      </c>
      <c r="F109" s="66">
        <f t="shared" si="19"/>
        <v>0</v>
      </c>
      <c r="G109" s="61" t="e">
        <f t="shared" si="22"/>
        <v>#DIV/0!</v>
      </c>
      <c r="H109" s="66" t="e">
        <f t="shared" si="26"/>
        <v>#DIV/0!</v>
      </c>
      <c r="I109" s="66" t="e">
        <f t="shared" si="26"/>
        <v>#DIV/0!</v>
      </c>
      <c r="J109" s="66" t="e">
        <f t="shared" si="26"/>
        <v>#DIV/0!</v>
      </c>
      <c r="K109" s="70">
        <v>27305.1</v>
      </c>
      <c r="L109" s="70">
        <f>'Monitoramento Acumulado Geral'!Q109</f>
        <v>0</v>
      </c>
      <c r="M109" s="6">
        <f>(SUM(L98:L109))/K108</f>
        <v>0.59695807742875873</v>
      </c>
      <c r="N109" s="35" t="str">
        <f t="shared" si="23"/>
        <v>Desempenho Bom</v>
      </c>
      <c r="O109" s="6">
        <f t="shared" si="30"/>
        <v>0.41824651958307835</v>
      </c>
      <c r="P109" s="6">
        <f t="shared" si="30"/>
        <v>0.84510274859297763</v>
      </c>
      <c r="Q109" s="6">
        <f t="shared" si="30"/>
        <v>-8.6097094268208774E-3</v>
      </c>
      <c r="R109" s="70">
        <v>80</v>
      </c>
      <c r="S109" s="70">
        <v>0</v>
      </c>
      <c r="T109" s="6">
        <f t="shared" si="20"/>
        <v>0</v>
      </c>
      <c r="U109" s="35" t="e">
        <f t="shared" si="24"/>
        <v>#DIV/0!</v>
      </c>
      <c r="V109" s="6" t="e">
        <f t="shared" si="29"/>
        <v>#DIV/0!</v>
      </c>
      <c r="W109" s="6" t="e">
        <f t="shared" si="29"/>
        <v>#DIV/0!</v>
      </c>
      <c r="X109" s="6" t="e">
        <f t="shared" si="29"/>
        <v>#DIV/0!</v>
      </c>
      <c r="Y109" s="6" t="e">
        <f t="shared" si="29"/>
        <v>#DIV/0!</v>
      </c>
      <c r="Z109" s="6" t="e">
        <f t="shared" si="29"/>
        <v>#DIV/0!</v>
      </c>
    </row>
    <row r="110" spans="1:26" x14ac:dyDescent="0.2">
      <c r="A110" t="s">
        <v>303</v>
      </c>
      <c r="B110" s="6">
        <f t="shared" ref="B110:B121" si="31">_xlfn.IFS(C110="Janeiro",1,C110="Fevereiro",2,C110="Março",3,C110="Abril",4,C110="Maio",5,C110="Junho",6,C110="Julho",7,C110="Agosto",8,C110="Setembro",9,C110="Outubro",10,C110="Novembro",11,C110="Dezembro",12,TRUE,0)</f>
        <v>1</v>
      </c>
      <c r="C110" s="7" t="s">
        <v>151</v>
      </c>
      <c r="D110" s="69">
        <v>0</v>
      </c>
      <c r="E110" s="69">
        <v>0</v>
      </c>
      <c r="F110" s="66" t="e">
        <f t="shared" si="19"/>
        <v>#DIV/0!</v>
      </c>
      <c r="G110" s="61" t="e">
        <f t="shared" ref="G110:G121" si="32">IF(F110&gt;=I110,"Desempenho Ótimo",(IF(F110&gt;H110,"Desempenho Bom",(IF(F110&gt;J110,"Desempenho Médio",IF(F110&lt;=J110,"Desempenho Deficitário",0))))))</f>
        <v>#DIV/0!</v>
      </c>
      <c r="H110" s="66" t="e">
        <f t="shared" ref="H110:J110" si="33">H98</f>
        <v>#DIV/0!</v>
      </c>
      <c r="I110" s="66" t="e">
        <f t="shared" si="33"/>
        <v>#DIV/0!</v>
      </c>
      <c r="J110" s="66" t="e">
        <f t="shared" si="33"/>
        <v>#DIV/0!</v>
      </c>
      <c r="K110" s="70">
        <v>0</v>
      </c>
      <c r="L110" s="70">
        <f>'Monitoramento Acumulado Geral'!Q110</f>
        <v>0</v>
      </c>
      <c r="M110" s="6">
        <f>(SUM(L107:L110))/K109</f>
        <v>0</v>
      </c>
      <c r="N110" s="35" t="str">
        <f t="shared" ref="N110:N121" si="34">IF(M110&gt;=P110,"Desempenho Ótimo",(IF(M110&gt;O110,"Desempenho Bom",(IF(M110&gt;Q110,"Desempenho Médio",IF(M110&lt;=Q110,"Desempenho Deficitário",0))))))</f>
        <v>Desempenho Médio</v>
      </c>
      <c r="O110" s="6">
        <f t="shared" ref="O110:Q110" si="35">O98</f>
        <v>3.4274647562211005E-2</v>
      </c>
      <c r="P110" s="6">
        <f t="shared" si="35"/>
        <v>0.10289217685709087</v>
      </c>
      <c r="Q110" s="6">
        <f t="shared" si="35"/>
        <v>-3.4342881732668862E-2</v>
      </c>
      <c r="R110" s="70">
        <v>0</v>
      </c>
      <c r="S110" s="70">
        <v>0</v>
      </c>
      <c r="T110" s="6" t="e">
        <f t="shared" ref="T110:T121" si="36">S110/R110</f>
        <v>#DIV/0!</v>
      </c>
      <c r="U110" s="35" t="e">
        <f t="shared" ref="U110:U121" si="37">IF(T110&gt;=W110,"Desempenho Ótimo",(IF(T110&gt;V110,"Desempenho Bom",(IF(T110&gt;X110,"Desempenho Médio",IF(T110&lt;=X110,"Desempenho Deficitário",0))))))</f>
        <v>#DIV/0!</v>
      </c>
      <c r="V110" s="6" t="e">
        <f t="shared" ref="V110:Z110" si="38">V98</f>
        <v>#DIV/0!</v>
      </c>
      <c r="W110" s="6" t="e">
        <f t="shared" si="38"/>
        <v>#DIV/0!</v>
      </c>
      <c r="X110" s="6" t="e">
        <f t="shared" si="38"/>
        <v>#DIV/0!</v>
      </c>
      <c r="Y110" s="6" t="e">
        <f t="shared" si="38"/>
        <v>#DIV/0!</v>
      </c>
      <c r="Z110" s="6" t="e">
        <f t="shared" si="38"/>
        <v>#DIV/0!</v>
      </c>
    </row>
    <row r="111" spans="1:26" x14ac:dyDescent="0.2">
      <c r="A111" t="s">
        <v>303</v>
      </c>
      <c r="B111" s="6">
        <f t="shared" si="31"/>
        <v>2</v>
      </c>
      <c r="C111" s="7" t="s">
        <v>152</v>
      </c>
      <c r="D111" s="69">
        <v>0</v>
      </c>
      <c r="E111" s="69">
        <v>0</v>
      </c>
      <c r="F111" s="66" t="e">
        <f t="shared" si="19"/>
        <v>#DIV/0!</v>
      </c>
      <c r="G111" s="61" t="e">
        <f t="shared" si="32"/>
        <v>#DIV/0!</v>
      </c>
      <c r="H111" s="66" t="e">
        <f t="shared" ref="H111:J111" si="39">H99</f>
        <v>#DIV/0!</v>
      </c>
      <c r="I111" s="66" t="e">
        <f t="shared" si="39"/>
        <v>#DIV/0!</v>
      </c>
      <c r="J111" s="66" t="e">
        <f t="shared" si="39"/>
        <v>#DIV/0!</v>
      </c>
      <c r="K111" s="70">
        <v>0</v>
      </c>
      <c r="L111" s="70">
        <f>'Monitoramento Acumulado Geral'!Q111</f>
        <v>0</v>
      </c>
      <c r="M111" s="6" t="e">
        <f>(SUM(L107:L111))/K110</f>
        <v>#DIV/0!</v>
      </c>
      <c r="N111" s="35" t="e">
        <f t="shared" si="34"/>
        <v>#DIV/0!</v>
      </c>
      <c r="O111" s="6">
        <f t="shared" ref="O111:Q111" si="40">O99</f>
        <v>8.1815188943147363E-2</v>
      </c>
      <c r="P111" s="6">
        <f t="shared" si="40"/>
        <v>0.20623883252423067</v>
      </c>
      <c r="Q111" s="6">
        <f t="shared" si="40"/>
        <v>-4.2608454637935944E-2</v>
      </c>
      <c r="R111" s="70">
        <v>0</v>
      </c>
      <c r="S111" s="70">
        <v>0</v>
      </c>
      <c r="T111" s="6" t="e">
        <f t="shared" si="36"/>
        <v>#DIV/0!</v>
      </c>
      <c r="U111" s="35" t="e">
        <f t="shared" si="37"/>
        <v>#DIV/0!</v>
      </c>
      <c r="V111" s="6" t="e">
        <f t="shared" ref="V111:Z111" si="41">V99</f>
        <v>#DIV/0!</v>
      </c>
      <c r="W111" s="6" t="e">
        <f t="shared" si="41"/>
        <v>#DIV/0!</v>
      </c>
      <c r="X111" s="6" t="e">
        <f t="shared" si="41"/>
        <v>#DIV/0!</v>
      </c>
      <c r="Y111" s="6" t="e">
        <f t="shared" si="41"/>
        <v>#DIV/0!</v>
      </c>
      <c r="Z111" s="6" t="e">
        <f t="shared" si="41"/>
        <v>#DIV/0!</v>
      </c>
    </row>
    <row r="112" spans="1:26" x14ac:dyDescent="0.2">
      <c r="A112" t="s">
        <v>303</v>
      </c>
      <c r="B112" s="6">
        <f t="shared" si="31"/>
        <v>3</v>
      </c>
      <c r="C112" s="7" t="s">
        <v>153</v>
      </c>
      <c r="D112" s="69">
        <v>0</v>
      </c>
      <c r="E112" s="69">
        <v>0</v>
      </c>
      <c r="F112" s="66" t="e">
        <f t="shared" si="19"/>
        <v>#DIV/0!</v>
      </c>
      <c r="G112" s="61" t="e">
        <f t="shared" si="32"/>
        <v>#DIV/0!</v>
      </c>
      <c r="H112" s="66" t="e">
        <f t="shared" ref="H112:J112" si="42">H100</f>
        <v>#DIV/0!</v>
      </c>
      <c r="I112" s="66" t="e">
        <f t="shared" si="42"/>
        <v>#DIV/0!</v>
      </c>
      <c r="J112" s="66" t="e">
        <f t="shared" si="42"/>
        <v>#DIV/0!</v>
      </c>
      <c r="K112" s="70">
        <v>0</v>
      </c>
      <c r="L112" s="70">
        <f>'Monitoramento Acumulado Geral'!Q112</f>
        <v>0</v>
      </c>
      <c r="M112" s="6" t="e">
        <f>(SUM(L107:L112))/K111</f>
        <v>#DIV/0!</v>
      </c>
      <c r="N112" s="35" t="e">
        <f t="shared" si="34"/>
        <v>#DIV/0!</v>
      </c>
      <c r="O112" s="6">
        <f t="shared" ref="O112:Q112" si="43">O100</f>
        <v>0.13411292471649494</v>
      </c>
      <c r="P112" s="6">
        <f t="shared" si="43"/>
        <v>0.29721906787058483</v>
      </c>
      <c r="Q112" s="6">
        <f t="shared" si="43"/>
        <v>-2.899321843759492E-2</v>
      </c>
      <c r="R112" s="70">
        <v>0</v>
      </c>
      <c r="S112" s="70">
        <v>0</v>
      </c>
      <c r="T112" s="6" t="e">
        <f t="shared" si="36"/>
        <v>#DIV/0!</v>
      </c>
      <c r="U112" s="35" t="e">
        <f t="shared" si="37"/>
        <v>#DIV/0!</v>
      </c>
      <c r="V112" s="6" t="e">
        <f t="shared" ref="V112:Z112" si="44">V100</f>
        <v>#DIV/0!</v>
      </c>
      <c r="W112" s="6" t="e">
        <f t="shared" si="44"/>
        <v>#DIV/0!</v>
      </c>
      <c r="X112" s="6" t="e">
        <f t="shared" si="44"/>
        <v>#DIV/0!</v>
      </c>
      <c r="Y112" s="6" t="e">
        <f t="shared" si="44"/>
        <v>#DIV/0!</v>
      </c>
      <c r="Z112" s="6" t="e">
        <f t="shared" si="44"/>
        <v>#DIV/0!</v>
      </c>
    </row>
    <row r="113" spans="1:26" x14ac:dyDescent="0.2">
      <c r="A113" t="s">
        <v>303</v>
      </c>
      <c r="B113" s="6">
        <f t="shared" si="31"/>
        <v>4</v>
      </c>
      <c r="C113" s="7" t="s">
        <v>154</v>
      </c>
      <c r="D113" s="69">
        <v>0</v>
      </c>
      <c r="E113" s="69">
        <v>0</v>
      </c>
      <c r="F113" s="66" t="e">
        <f t="shared" si="19"/>
        <v>#DIV/0!</v>
      </c>
      <c r="G113" s="61" t="e">
        <f t="shared" si="32"/>
        <v>#DIV/0!</v>
      </c>
      <c r="H113" s="66" t="e">
        <f t="shared" ref="H113:J113" si="45">H101</f>
        <v>#DIV/0!</v>
      </c>
      <c r="I113" s="66" t="e">
        <f t="shared" si="45"/>
        <v>#DIV/0!</v>
      </c>
      <c r="J113" s="66" t="e">
        <f t="shared" si="45"/>
        <v>#DIV/0!</v>
      </c>
      <c r="K113" s="70">
        <v>0</v>
      </c>
      <c r="L113" s="70">
        <f>'Monitoramento Acumulado Geral'!Q113</f>
        <v>0</v>
      </c>
      <c r="M113" s="6" t="e">
        <f>(SUM(L107:L113))/K112</f>
        <v>#DIV/0!</v>
      </c>
      <c r="N113" s="35" t="e">
        <f t="shared" si="34"/>
        <v>#DIV/0!</v>
      </c>
      <c r="O113" s="6">
        <f t="shared" ref="O113:Q113" si="46">O101</f>
        <v>0.15392483870093213</v>
      </c>
      <c r="P113" s="6">
        <f t="shared" si="46"/>
        <v>0.32772007016950033</v>
      </c>
      <c r="Q113" s="6">
        <f t="shared" si="46"/>
        <v>-1.9870392767636053E-2</v>
      </c>
      <c r="R113" s="70">
        <v>0</v>
      </c>
      <c r="S113" s="70">
        <v>0</v>
      </c>
      <c r="T113" s="6" t="e">
        <f t="shared" si="36"/>
        <v>#DIV/0!</v>
      </c>
      <c r="U113" s="35" t="e">
        <f t="shared" si="37"/>
        <v>#DIV/0!</v>
      </c>
      <c r="V113" s="6" t="e">
        <f t="shared" ref="V113:Z113" si="47">V101</f>
        <v>#DIV/0!</v>
      </c>
      <c r="W113" s="6" t="e">
        <f t="shared" si="47"/>
        <v>#DIV/0!</v>
      </c>
      <c r="X113" s="6" t="e">
        <f t="shared" si="47"/>
        <v>#DIV/0!</v>
      </c>
      <c r="Y113" s="6" t="e">
        <f t="shared" si="47"/>
        <v>#DIV/0!</v>
      </c>
      <c r="Z113" s="6" t="e">
        <f t="shared" si="47"/>
        <v>#DIV/0!</v>
      </c>
    </row>
    <row r="114" spans="1:26" x14ac:dyDescent="0.2">
      <c r="A114" t="s">
        <v>303</v>
      </c>
      <c r="B114" s="6">
        <f t="shared" si="31"/>
        <v>5</v>
      </c>
      <c r="C114" s="7" t="s">
        <v>155</v>
      </c>
      <c r="D114" s="69">
        <v>0</v>
      </c>
      <c r="E114" s="69">
        <v>0</v>
      </c>
      <c r="F114" s="66" t="e">
        <f t="shared" si="19"/>
        <v>#DIV/0!</v>
      </c>
      <c r="G114" s="61" t="e">
        <f t="shared" si="32"/>
        <v>#DIV/0!</v>
      </c>
      <c r="H114" s="66" t="e">
        <f t="shared" ref="H114:J114" si="48">H102</f>
        <v>#DIV/0!</v>
      </c>
      <c r="I114" s="66" t="e">
        <f t="shared" si="48"/>
        <v>#DIV/0!</v>
      </c>
      <c r="J114" s="66" t="e">
        <f t="shared" si="48"/>
        <v>#DIV/0!</v>
      </c>
      <c r="K114" s="70">
        <v>0</v>
      </c>
      <c r="L114" s="70">
        <f>'Monitoramento Acumulado Geral'!Q114</f>
        <v>0</v>
      </c>
      <c r="M114" s="6" t="e">
        <f>(SUM(L107:L114))/K113</f>
        <v>#DIV/0!</v>
      </c>
      <c r="N114" s="35" t="e">
        <f t="shared" si="34"/>
        <v>#DIV/0!</v>
      </c>
      <c r="O114" s="6">
        <f t="shared" ref="O114:Q114" si="49">O102</f>
        <v>0.21139287248463789</v>
      </c>
      <c r="P114" s="6">
        <f t="shared" si="49"/>
        <v>0.43680804416292918</v>
      </c>
      <c r="Q114" s="6">
        <f t="shared" si="49"/>
        <v>-1.4022299193653387E-2</v>
      </c>
      <c r="R114" s="70">
        <v>0</v>
      </c>
      <c r="S114" s="70">
        <v>0</v>
      </c>
      <c r="T114" s="6" t="e">
        <f t="shared" si="36"/>
        <v>#DIV/0!</v>
      </c>
      <c r="U114" s="35" t="e">
        <f t="shared" si="37"/>
        <v>#DIV/0!</v>
      </c>
      <c r="V114" s="6" t="e">
        <f t="shared" ref="V114:Z114" si="50">V102</f>
        <v>#DIV/0!</v>
      </c>
      <c r="W114" s="6" t="e">
        <f t="shared" si="50"/>
        <v>#DIV/0!</v>
      </c>
      <c r="X114" s="6" t="e">
        <f t="shared" si="50"/>
        <v>#DIV/0!</v>
      </c>
      <c r="Y114" s="6" t="e">
        <f t="shared" si="50"/>
        <v>#DIV/0!</v>
      </c>
      <c r="Z114" s="6" t="e">
        <f t="shared" si="50"/>
        <v>#DIV/0!</v>
      </c>
    </row>
    <row r="115" spans="1:26" x14ac:dyDescent="0.2">
      <c r="A115" t="s">
        <v>303</v>
      </c>
      <c r="B115" s="6">
        <f t="shared" si="31"/>
        <v>6</v>
      </c>
      <c r="C115" s="7" t="s">
        <v>156</v>
      </c>
      <c r="D115" s="69">
        <v>0</v>
      </c>
      <c r="E115" s="69">
        <v>0</v>
      </c>
      <c r="F115" s="66" t="e">
        <f t="shared" si="19"/>
        <v>#DIV/0!</v>
      </c>
      <c r="G115" s="61" t="e">
        <f t="shared" si="32"/>
        <v>#DIV/0!</v>
      </c>
      <c r="H115" s="66" t="e">
        <f t="shared" ref="H115:J115" si="51">H103</f>
        <v>#DIV/0!</v>
      </c>
      <c r="I115" s="66" t="e">
        <f t="shared" si="51"/>
        <v>#DIV/0!</v>
      </c>
      <c r="J115" s="66" t="e">
        <f t="shared" si="51"/>
        <v>#DIV/0!</v>
      </c>
      <c r="K115" s="70">
        <v>0</v>
      </c>
      <c r="L115" s="70">
        <f>'Monitoramento Acumulado Geral'!Q115</f>
        <v>0</v>
      </c>
      <c r="M115" s="6" t="e">
        <f>(SUM(L107:L115))/K114</f>
        <v>#DIV/0!</v>
      </c>
      <c r="N115" s="35" t="e">
        <f t="shared" si="34"/>
        <v>#DIV/0!</v>
      </c>
      <c r="O115" s="6">
        <f t="shared" ref="O115:Q115" si="52">O103</f>
        <v>0.28403291059934432</v>
      </c>
      <c r="P115" s="6">
        <f t="shared" si="52"/>
        <v>0.56118246348434164</v>
      </c>
      <c r="Q115" s="6">
        <f t="shared" si="52"/>
        <v>6.8833577143469493E-3</v>
      </c>
      <c r="R115" s="70">
        <v>0</v>
      </c>
      <c r="S115" s="70">
        <v>0</v>
      </c>
      <c r="T115" s="6" t="e">
        <f t="shared" si="36"/>
        <v>#DIV/0!</v>
      </c>
      <c r="U115" s="35" t="e">
        <f t="shared" si="37"/>
        <v>#DIV/0!</v>
      </c>
      <c r="V115" s="6" t="e">
        <f t="shared" ref="V115:Z115" si="53">V103</f>
        <v>#DIV/0!</v>
      </c>
      <c r="W115" s="6" t="e">
        <f t="shared" si="53"/>
        <v>#DIV/0!</v>
      </c>
      <c r="X115" s="6" t="e">
        <f t="shared" si="53"/>
        <v>#DIV/0!</v>
      </c>
      <c r="Y115" s="6" t="e">
        <f t="shared" si="53"/>
        <v>#DIV/0!</v>
      </c>
      <c r="Z115" s="6" t="e">
        <f t="shared" si="53"/>
        <v>#DIV/0!</v>
      </c>
    </row>
    <row r="116" spans="1:26" x14ac:dyDescent="0.2">
      <c r="A116" t="s">
        <v>303</v>
      </c>
      <c r="B116" s="6">
        <f t="shared" si="31"/>
        <v>7</v>
      </c>
      <c r="C116" s="7" t="s">
        <v>157</v>
      </c>
      <c r="D116" s="69">
        <v>0</v>
      </c>
      <c r="E116" s="69">
        <v>0</v>
      </c>
      <c r="F116" s="66" t="e">
        <f t="shared" si="19"/>
        <v>#DIV/0!</v>
      </c>
      <c r="G116" s="61" t="e">
        <f t="shared" si="32"/>
        <v>#DIV/0!</v>
      </c>
      <c r="H116" s="66" t="e">
        <f t="shared" ref="H116:J116" si="54">H104</f>
        <v>#DIV/0!</v>
      </c>
      <c r="I116" s="66" t="e">
        <f t="shared" si="54"/>
        <v>#DIV/0!</v>
      </c>
      <c r="J116" s="66" t="e">
        <f t="shared" si="54"/>
        <v>#DIV/0!</v>
      </c>
      <c r="K116" s="70">
        <v>0</v>
      </c>
      <c r="L116" s="70">
        <f>'Monitoramento Acumulado Geral'!Q116</f>
        <v>0</v>
      </c>
      <c r="M116" s="6" t="e">
        <f>(SUM(L107:L116))/K115</f>
        <v>#DIV/0!</v>
      </c>
      <c r="N116" s="35" t="e">
        <f t="shared" si="34"/>
        <v>#DIV/0!</v>
      </c>
      <c r="O116" s="6">
        <f t="shared" ref="O116:Q116" si="55">O104</f>
        <v>0.42046470140126019</v>
      </c>
      <c r="P116" s="6">
        <f t="shared" si="55"/>
        <v>0.84574683442734511</v>
      </c>
      <c r="Q116" s="6">
        <f t="shared" si="55"/>
        <v>-4.8174316248247306E-3</v>
      </c>
      <c r="R116" s="70">
        <v>0</v>
      </c>
      <c r="S116" s="70">
        <v>0</v>
      </c>
      <c r="T116" s="6" t="e">
        <f t="shared" si="36"/>
        <v>#DIV/0!</v>
      </c>
      <c r="U116" s="35" t="e">
        <f t="shared" si="37"/>
        <v>#DIV/0!</v>
      </c>
      <c r="V116" s="6" t="e">
        <f t="shared" ref="V116:Z116" si="56">V104</f>
        <v>#DIV/0!</v>
      </c>
      <c r="W116" s="6" t="e">
        <f t="shared" si="56"/>
        <v>#DIV/0!</v>
      </c>
      <c r="X116" s="6" t="e">
        <f t="shared" si="56"/>
        <v>#DIV/0!</v>
      </c>
      <c r="Y116" s="6" t="e">
        <f t="shared" si="56"/>
        <v>#DIV/0!</v>
      </c>
      <c r="Z116" s="6" t="e">
        <f t="shared" si="56"/>
        <v>#DIV/0!</v>
      </c>
    </row>
    <row r="117" spans="1:26" x14ac:dyDescent="0.2">
      <c r="A117" t="s">
        <v>303</v>
      </c>
      <c r="B117" s="6">
        <f t="shared" si="31"/>
        <v>8</v>
      </c>
      <c r="C117" s="7" t="s">
        <v>158</v>
      </c>
      <c r="D117" s="69">
        <v>0</v>
      </c>
      <c r="E117" s="69">
        <v>0</v>
      </c>
      <c r="F117" s="66" t="e">
        <f t="shared" si="19"/>
        <v>#DIV/0!</v>
      </c>
      <c r="G117" s="61" t="e">
        <f t="shared" si="32"/>
        <v>#DIV/0!</v>
      </c>
      <c r="H117" s="66" t="e">
        <f t="shared" ref="H117:J117" si="57">H105</f>
        <v>#DIV/0!</v>
      </c>
      <c r="I117" s="66" t="e">
        <f t="shared" si="57"/>
        <v>#DIV/0!</v>
      </c>
      <c r="J117" s="66" t="e">
        <f t="shared" si="57"/>
        <v>#DIV/0!</v>
      </c>
      <c r="K117" s="70">
        <v>0</v>
      </c>
      <c r="L117" s="70">
        <f>'Monitoramento Acumulado Geral'!Q117</f>
        <v>0</v>
      </c>
      <c r="M117" s="6" t="e">
        <f>(SUM(L107:L117))/K116</f>
        <v>#DIV/0!</v>
      </c>
      <c r="N117" s="35" t="e">
        <f t="shared" si="34"/>
        <v>#DIV/0!</v>
      </c>
      <c r="O117" s="6">
        <f t="shared" ref="O117:Q117" si="58">O105</f>
        <v>0.42046470140126019</v>
      </c>
      <c r="P117" s="6">
        <f t="shared" si="58"/>
        <v>0.84574683442734511</v>
      </c>
      <c r="Q117" s="6">
        <f t="shared" si="58"/>
        <v>-4.8174316248247306E-3</v>
      </c>
      <c r="R117" s="70">
        <v>0</v>
      </c>
      <c r="S117" s="70">
        <v>0</v>
      </c>
      <c r="T117" s="6" t="e">
        <f t="shared" si="36"/>
        <v>#DIV/0!</v>
      </c>
      <c r="U117" s="35" t="e">
        <f t="shared" si="37"/>
        <v>#DIV/0!</v>
      </c>
      <c r="V117" s="6" t="e">
        <f t="shared" ref="V117:Z117" si="59">V105</f>
        <v>#DIV/0!</v>
      </c>
      <c r="W117" s="6" t="e">
        <f t="shared" si="59"/>
        <v>#DIV/0!</v>
      </c>
      <c r="X117" s="6" t="e">
        <f t="shared" si="59"/>
        <v>#DIV/0!</v>
      </c>
      <c r="Y117" s="6" t="e">
        <f t="shared" si="59"/>
        <v>#DIV/0!</v>
      </c>
      <c r="Z117" s="6" t="e">
        <f t="shared" si="59"/>
        <v>#DIV/0!</v>
      </c>
    </row>
    <row r="118" spans="1:26" x14ac:dyDescent="0.2">
      <c r="A118" t="s">
        <v>303</v>
      </c>
      <c r="B118" s="6">
        <f t="shared" si="31"/>
        <v>9</v>
      </c>
      <c r="C118" s="7" t="s">
        <v>159</v>
      </c>
      <c r="D118" s="69">
        <v>0</v>
      </c>
      <c r="E118" s="69">
        <v>0</v>
      </c>
      <c r="F118" s="66" t="e">
        <f t="shared" si="19"/>
        <v>#DIV/0!</v>
      </c>
      <c r="G118" s="61" t="e">
        <f t="shared" si="32"/>
        <v>#DIV/0!</v>
      </c>
      <c r="H118" s="66" t="e">
        <f t="shared" ref="H118:J118" si="60">H106</f>
        <v>#DIV/0!</v>
      </c>
      <c r="I118" s="66" t="e">
        <f t="shared" si="60"/>
        <v>#DIV/0!</v>
      </c>
      <c r="J118" s="66" t="e">
        <f t="shared" si="60"/>
        <v>#DIV/0!</v>
      </c>
      <c r="K118" s="70">
        <v>0</v>
      </c>
      <c r="L118" s="70">
        <f>'Monitoramento Acumulado Geral'!Q118</f>
        <v>0</v>
      </c>
      <c r="M118" s="6" t="e">
        <f>(SUM(L107:L118))/K117</f>
        <v>#DIV/0!</v>
      </c>
      <c r="N118" s="35" t="e">
        <f t="shared" si="34"/>
        <v>#DIV/0!</v>
      </c>
      <c r="O118" s="6">
        <f t="shared" ref="O118:Q118" si="61">O106</f>
        <v>0.42046470140126019</v>
      </c>
      <c r="P118" s="6">
        <f t="shared" si="61"/>
        <v>0.84574683442734511</v>
      </c>
      <c r="Q118" s="6">
        <f t="shared" si="61"/>
        <v>-4.8174316248247306E-3</v>
      </c>
      <c r="R118" s="70">
        <v>0</v>
      </c>
      <c r="S118" s="70">
        <v>0</v>
      </c>
      <c r="T118" s="6" t="e">
        <f t="shared" si="36"/>
        <v>#DIV/0!</v>
      </c>
      <c r="U118" s="35" t="e">
        <f t="shared" si="37"/>
        <v>#DIV/0!</v>
      </c>
      <c r="V118" s="6" t="e">
        <f t="shared" ref="V118:Z118" si="62">V106</f>
        <v>#DIV/0!</v>
      </c>
      <c r="W118" s="6" t="e">
        <f t="shared" si="62"/>
        <v>#DIV/0!</v>
      </c>
      <c r="X118" s="6" t="e">
        <f t="shared" si="62"/>
        <v>#DIV/0!</v>
      </c>
      <c r="Y118" s="6" t="e">
        <f t="shared" si="62"/>
        <v>#DIV/0!</v>
      </c>
      <c r="Z118" s="6" t="e">
        <f t="shared" si="62"/>
        <v>#DIV/0!</v>
      </c>
    </row>
    <row r="119" spans="1:26" x14ac:dyDescent="0.2">
      <c r="A119" t="s">
        <v>303</v>
      </c>
      <c r="B119" s="6">
        <f t="shared" si="31"/>
        <v>10</v>
      </c>
      <c r="C119" s="7" t="s">
        <v>160</v>
      </c>
      <c r="D119" s="69">
        <v>0</v>
      </c>
      <c r="E119" s="69">
        <v>0</v>
      </c>
      <c r="F119" s="66" t="e">
        <f t="shared" si="19"/>
        <v>#DIV/0!</v>
      </c>
      <c r="G119" s="61" t="e">
        <f t="shared" si="32"/>
        <v>#DIV/0!</v>
      </c>
      <c r="H119" s="66" t="e">
        <f t="shared" ref="H119:J119" si="63">H107</f>
        <v>#DIV/0!</v>
      </c>
      <c r="I119" s="66" t="e">
        <f t="shared" si="63"/>
        <v>#DIV/0!</v>
      </c>
      <c r="J119" s="66" t="e">
        <f t="shared" si="63"/>
        <v>#DIV/0!</v>
      </c>
      <c r="K119" s="70">
        <v>0</v>
      </c>
      <c r="L119" s="70">
        <f>'Monitoramento Acumulado Geral'!Q119</f>
        <v>0</v>
      </c>
      <c r="M119" s="6" t="e">
        <f>L119/K119</f>
        <v>#DIV/0!</v>
      </c>
      <c r="N119" s="35" t="e">
        <f t="shared" si="34"/>
        <v>#DIV/0!</v>
      </c>
      <c r="O119" s="6">
        <f t="shared" ref="O119:Q119" si="64">O107</f>
        <v>0.42046470140126019</v>
      </c>
      <c r="P119" s="6">
        <f t="shared" si="64"/>
        <v>0.84574683442734511</v>
      </c>
      <c r="Q119" s="6">
        <f t="shared" si="64"/>
        <v>-4.8174316248247306E-3</v>
      </c>
      <c r="R119" s="70">
        <v>0</v>
      </c>
      <c r="S119" s="70">
        <v>0</v>
      </c>
      <c r="T119" s="6" t="e">
        <f t="shared" si="36"/>
        <v>#DIV/0!</v>
      </c>
      <c r="U119" s="35" t="e">
        <f t="shared" si="37"/>
        <v>#DIV/0!</v>
      </c>
      <c r="V119" s="6" t="e">
        <f t="shared" ref="V119:Z119" si="65">V107</f>
        <v>#DIV/0!</v>
      </c>
      <c r="W119" s="6" t="e">
        <f t="shared" si="65"/>
        <v>#DIV/0!</v>
      </c>
      <c r="X119" s="6" t="e">
        <f t="shared" si="65"/>
        <v>#DIV/0!</v>
      </c>
      <c r="Y119" s="6" t="e">
        <f t="shared" si="65"/>
        <v>#DIV/0!</v>
      </c>
      <c r="Z119" s="6" t="e">
        <f t="shared" si="65"/>
        <v>#DIV/0!</v>
      </c>
    </row>
    <row r="120" spans="1:26" x14ac:dyDescent="0.2">
      <c r="A120" t="s">
        <v>303</v>
      </c>
      <c r="B120" s="6">
        <f t="shared" si="31"/>
        <v>11</v>
      </c>
      <c r="C120" s="7" t="s">
        <v>161</v>
      </c>
      <c r="D120" s="69">
        <v>0</v>
      </c>
      <c r="E120" s="69">
        <v>0</v>
      </c>
      <c r="F120" s="66" t="e">
        <f t="shared" si="19"/>
        <v>#DIV/0!</v>
      </c>
      <c r="G120" s="61" t="e">
        <f t="shared" si="32"/>
        <v>#DIV/0!</v>
      </c>
      <c r="H120" s="66" t="e">
        <f t="shared" ref="H120:J120" si="66">H108</f>
        <v>#DIV/0!</v>
      </c>
      <c r="I120" s="66" t="e">
        <f t="shared" si="66"/>
        <v>#DIV/0!</v>
      </c>
      <c r="J120" s="66" t="e">
        <f t="shared" si="66"/>
        <v>#DIV/0!</v>
      </c>
      <c r="K120" s="70">
        <v>0</v>
      </c>
      <c r="L120" s="70">
        <f>'Monitoramento Acumulado Geral'!Q120</f>
        <v>0</v>
      </c>
      <c r="M120" s="6" t="e">
        <f>(SUM(L119:L120))/K119</f>
        <v>#DIV/0!</v>
      </c>
      <c r="N120" s="35" t="e">
        <f t="shared" si="34"/>
        <v>#DIV/0!</v>
      </c>
      <c r="O120" s="6">
        <f t="shared" ref="O120:Q120" si="67">O108</f>
        <v>0.42046470140126019</v>
      </c>
      <c r="P120" s="6">
        <f t="shared" si="67"/>
        <v>0.84574683442734511</v>
      </c>
      <c r="Q120" s="6">
        <f t="shared" si="67"/>
        <v>-4.8174316248247306E-3</v>
      </c>
      <c r="R120" s="70">
        <v>0</v>
      </c>
      <c r="S120" s="70">
        <v>0</v>
      </c>
      <c r="T120" s="6" t="e">
        <f t="shared" si="36"/>
        <v>#DIV/0!</v>
      </c>
      <c r="U120" s="35" t="e">
        <f t="shared" si="37"/>
        <v>#DIV/0!</v>
      </c>
      <c r="V120" s="6" t="e">
        <f t="shared" ref="V120:Z120" si="68">V108</f>
        <v>#DIV/0!</v>
      </c>
      <c r="W120" s="6" t="e">
        <f t="shared" si="68"/>
        <v>#DIV/0!</v>
      </c>
      <c r="X120" s="6" t="e">
        <f t="shared" si="68"/>
        <v>#DIV/0!</v>
      </c>
      <c r="Y120" s="6" t="e">
        <f t="shared" si="68"/>
        <v>#DIV/0!</v>
      </c>
      <c r="Z120" s="6" t="e">
        <f t="shared" si="68"/>
        <v>#DIV/0!</v>
      </c>
    </row>
    <row r="121" spans="1:26" x14ac:dyDescent="0.2">
      <c r="A121" t="s">
        <v>303</v>
      </c>
      <c r="B121" s="6">
        <f t="shared" si="31"/>
        <v>12</v>
      </c>
      <c r="C121" s="7" t="s">
        <v>162</v>
      </c>
      <c r="D121" s="69">
        <v>0</v>
      </c>
      <c r="E121" s="69">
        <v>0</v>
      </c>
      <c r="F121" s="66" t="e">
        <f t="shared" si="19"/>
        <v>#DIV/0!</v>
      </c>
      <c r="G121" s="61" t="e">
        <f t="shared" si="32"/>
        <v>#DIV/0!</v>
      </c>
      <c r="H121" s="66" t="e">
        <f t="shared" ref="H121:J121" si="69">H109</f>
        <v>#DIV/0!</v>
      </c>
      <c r="I121" s="66" t="e">
        <f t="shared" si="69"/>
        <v>#DIV/0!</v>
      </c>
      <c r="J121" s="66" t="e">
        <f t="shared" si="69"/>
        <v>#DIV/0!</v>
      </c>
      <c r="K121" s="70">
        <v>0</v>
      </c>
      <c r="L121" s="70">
        <f>'Monitoramento Acumulado Geral'!Q121</f>
        <v>0</v>
      </c>
      <c r="M121" s="6" t="e">
        <f>(SUM(L119:L121))/K120</f>
        <v>#DIV/0!</v>
      </c>
      <c r="N121" s="35" t="e">
        <f t="shared" si="34"/>
        <v>#DIV/0!</v>
      </c>
      <c r="O121" s="6">
        <f t="shared" ref="O121:Q121" si="70">O109</f>
        <v>0.41824651958307835</v>
      </c>
      <c r="P121" s="6">
        <f t="shared" si="70"/>
        <v>0.84510274859297763</v>
      </c>
      <c r="Q121" s="6">
        <f t="shared" si="70"/>
        <v>-8.6097094268208774E-3</v>
      </c>
      <c r="R121" s="70">
        <v>0</v>
      </c>
      <c r="S121" s="70">
        <v>0</v>
      </c>
      <c r="T121" s="6" t="e">
        <f t="shared" si="36"/>
        <v>#DIV/0!</v>
      </c>
      <c r="U121" s="35" t="e">
        <f t="shared" si="37"/>
        <v>#DIV/0!</v>
      </c>
      <c r="V121" s="6" t="e">
        <f t="shared" ref="V121:Z121" si="71">V109</f>
        <v>#DIV/0!</v>
      </c>
      <c r="W121" s="6" t="e">
        <f t="shared" si="71"/>
        <v>#DIV/0!</v>
      </c>
      <c r="X121" s="6" t="e">
        <f t="shared" si="71"/>
        <v>#DIV/0!</v>
      </c>
      <c r="Y121" s="6" t="e">
        <f t="shared" si="71"/>
        <v>#DIV/0!</v>
      </c>
      <c r="Z121" s="6" t="e">
        <f t="shared" si="71"/>
        <v>#DIV/0!</v>
      </c>
    </row>
    <row r="122" spans="1:26" x14ac:dyDescent="0.2">
      <c r="A122" s="7" t="s">
        <v>89</v>
      </c>
      <c r="B122" s="6">
        <f>_xlfn.IFS(C122="Janeiro",1,C122="Fevereiro",2,C122="Março",3,C122="Abril",4,C122="Maio",5,C122="Junho",6,C122="Julho",7,C122="Agosto",8,C122="Setembro",9,C122="Outubro",10,C122="Novembro",11,C122="Dezembro",12,TRUE,0)</f>
        <v>1</v>
      </c>
      <c r="C122" s="7" t="s">
        <v>151</v>
      </c>
      <c r="D122" s="69">
        <v>75</v>
      </c>
      <c r="E122" s="69">
        <v>15</v>
      </c>
      <c r="F122" s="66">
        <f t="shared" si="19"/>
        <v>0.2</v>
      </c>
      <c r="G122" s="61" t="e">
        <f t="shared" si="22"/>
        <v>#DIV/0!</v>
      </c>
      <c r="H122" s="66" t="e">
        <f t="shared" ref="H122:J133" si="72">H98</f>
        <v>#DIV/0!</v>
      </c>
      <c r="I122" s="66" t="e">
        <f t="shared" si="72"/>
        <v>#DIV/0!</v>
      </c>
      <c r="J122" s="66" t="e">
        <f t="shared" si="72"/>
        <v>#DIV/0!</v>
      </c>
      <c r="K122" s="70">
        <v>26800</v>
      </c>
      <c r="L122" s="70">
        <f>'Monitoramento Acumulado Geral'!Q122</f>
        <v>1040</v>
      </c>
      <c r="M122" s="6">
        <f>L122/K122</f>
        <v>3.880597014925373E-2</v>
      </c>
      <c r="N122" s="35" t="str">
        <f t="shared" si="23"/>
        <v>Desempenho Bom</v>
      </c>
      <c r="O122" s="6">
        <f t="shared" ref="O122:Q133" si="73">O98</f>
        <v>3.4274647562211005E-2</v>
      </c>
      <c r="P122" s="6">
        <f t="shared" si="73"/>
        <v>0.10289217685709087</v>
      </c>
      <c r="Q122" s="6">
        <f t="shared" si="73"/>
        <v>-3.4342881732668862E-2</v>
      </c>
      <c r="R122" s="70">
        <v>74</v>
      </c>
      <c r="S122" s="70">
        <v>0</v>
      </c>
      <c r="T122" s="6">
        <f t="shared" si="20"/>
        <v>0</v>
      </c>
      <c r="U122" s="35" t="e">
        <f t="shared" si="24"/>
        <v>#DIV/0!</v>
      </c>
      <c r="V122" s="6" t="e">
        <f t="shared" ref="V122:Z133" si="74">V98</f>
        <v>#DIV/0!</v>
      </c>
      <c r="W122" s="6" t="e">
        <f t="shared" si="74"/>
        <v>#DIV/0!</v>
      </c>
      <c r="X122" s="6" t="e">
        <f t="shared" si="74"/>
        <v>#DIV/0!</v>
      </c>
      <c r="Y122" s="6" t="e">
        <f t="shared" si="74"/>
        <v>#DIV/0!</v>
      </c>
      <c r="Z122" s="6" t="e">
        <f t="shared" si="74"/>
        <v>#DIV/0!</v>
      </c>
    </row>
    <row r="123" spans="1:26" x14ac:dyDescent="0.2">
      <c r="A123" s="7" t="s">
        <v>89</v>
      </c>
      <c r="B123" s="6">
        <f t="shared" si="21"/>
        <v>2</v>
      </c>
      <c r="C123" s="7" t="s">
        <v>152</v>
      </c>
      <c r="D123" s="69">
        <v>75</v>
      </c>
      <c r="E123" s="69">
        <v>15</v>
      </c>
      <c r="F123" s="66">
        <f t="shared" si="19"/>
        <v>0.2</v>
      </c>
      <c r="G123" s="61" t="e">
        <f t="shared" si="22"/>
        <v>#DIV/0!</v>
      </c>
      <c r="H123" s="66" t="e">
        <f t="shared" si="72"/>
        <v>#DIV/0!</v>
      </c>
      <c r="I123" s="66" t="e">
        <f t="shared" si="72"/>
        <v>#DIV/0!</v>
      </c>
      <c r="J123" s="66" t="e">
        <f t="shared" si="72"/>
        <v>#DIV/0!</v>
      </c>
      <c r="K123" s="70">
        <v>26800</v>
      </c>
      <c r="L123" s="70">
        <f>'Monitoramento Acumulado Geral'!Q123</f>
        <v>0</v>
      </c>
      <c r="M123" s="6">
        <f>(SUM(L122:L123))/K122</f>
        <v>3.880597014925373E-2</v>
      </c>
      <c r="N123" s="35" t="str">
        <f t="shared" si="23"/>
        <v>Desempenho Médio</v>
      </c>
      <c r="O123" s="6">
        <f t="shared" si="73"/>
        <v>8.1815188943147363E-2</v>
      </c>
      <c r="P123" s="6">
        <f t="shared" si="73"/>
        <v>0.20623883252423067</v>
      </c>
      <c r="Q123" s="6">
        <f t="shared" si="73"/>
        <v>-4.2608454637935944E-2</v>
      </c>
      <c r="R123" s="70">
        <v>74</v>
      </c>
      <c r="S123" s="70">
        <v>0</v>
      </c>
      <c r="T123" s="6">
        <f t="shared" si="20"/>
        <v>0</v>
      </c>
      <c r="U123" s="35" t="e">
        <f t="shared" si="24"/>
        <v>#DIV/0!</v>
      </c>
      <c r="V123" s="6" t="e">
        <f t="shared" si="74"/>
        <v>#DIV/0!</v>
      </c>
      <c r="W123" s="6" t="e">
        <f t="shared" si="74"/>
        <v>#DIV/0!</v>
      </c>
      <c r="X123" s="6" t="e">
        <f t="shared" si="74"/>
        <v>#DIV/0!</v>
      </c>
      <c r="Y123" s="6" t="e">
        <f t="shared" si="74"/>
        <v>#DIV/0!</v>
      </c>
      <c r="Z123" s="6" t="e">
        <f t="shared" si="74"/>
        <v>#DIV/0!</v>
      </c>
    </row>
    <row r="124" spans="1:26" x14ac:dyDescent="0.2">
      <c r="A124" s="7" t="s">
        <v>89</v>
      </c>
      <c r="B124" s="6">
        <f t="shared" si="21"/>
        <v>3</v>
      </c>
      <c r="C124" s="7" t="s">
        <v>153</v>
      </c>
      <c r="D124" s="69">
        <v>75</v>
      </c>
      <c r="E124" s="69">
        <v>15</v>
      </c>
      <c r="F124" s="66">
        <f t="shared" si="19"/>
        <v>0.2</v>
      </c>
      <c r="G124" s="61" t="e">
        <f t="shared" si="22"/>
        <v>#DIV/0!</v>
      </c>
      <c r="H124" s="66" t="e">
        <f t="shared" si="72"/>
        <v>#DIV/0!</v>
      </c>
      <c r="I124" s="66" t="e">
        <f t="shared" si="72"/>
        <v>#DIV/0!</v>
      </c>
      <c r="J124" s="66" t="e">
        <f t="shared" si="72"/>
        <v>#DIV/0!</v>
      </c>
      <c r="K124" s="70">
        <v>26800</v>
      </c>
      <c r="L124" s="70">
        <f>'Monitoramento Acumulado Geral'!Q124</f>
        <v>0</v>
      </c>
      <c r="M124" s="6">
        <f>(SUM(L122:L124))/K123</f>
        <v>3.880597014925373E-2</v>
      </c>
      <c r="N124" s="35" t="str">
        <f t="shared" si="23"/>
        <v>Desempenho Médio</v>
      </c>
      <c r="O124" s="6">
        <f t="shared" si="73"/>
        <v>0.13411292471649494</v>
      </c>
      <c r="P124" s="6">
        <f t="shared" si="73"/>
        <v>0.29721906787058483</v>
      </c>
      <c r="Q124" s="6">
        <f t="shared" si="73"/>
        <v>-2.899321843759492E-2</v>
      </c>
      <c r="R124" s="70">
        <v>74</v>
      </c>
      <c r="S124" s="70">
        <v>0</v>
      </c>
      <c r="T124" s="6">
        <f t="shared" si="20"/>
        <v>0</v>
      </c>
      <c r="U124" s="35" t="e">
        <f t="shared" si="24"/>
        <v>#DIV/0!</v>
      </c>
      <c r="V124" s="6" t="e">
        <f t="shared" si="74"/>
        <v>#DIV/0!</v>
      </c>
      <c r="W124" s="6" t="e">
        <f t="shared" si="74"/>
        <v>#DIV/0!</v>
      </c>
      <c r="X124" s="6" t="e">
        <f t="shared" si="74"/>
        <v>#DIV/0!</v>
      </c>
      <c r="Y124" s="6" t="e">
        <f t="shared" si="74"/>
        <v>#DIV/0!</v>
      </c>
      <c r="Z124" s="6" t="e">
        <f t="shared" si="74"/>
        <v>#DIV/0!</v>
      </c>
    </row>
    <row r="125" spans="1:26" x14ac:dyDescent="0.2">
      <c r="A125" s="7" t="s">
        <v>89</v>
      </c>
      <c r="B125" s="6">
        <f t="shared" si="21"/>
        <v>4</v>
      </c>
      <c r="C125" s="7" t="s">
        <v>154</v>
      </c>
      <c r="D125" s="69">
        <v>75</v>
      </c>
      <c r="E125" s="69">
        <v>15</v>
      </c>
      <c r="F125" s="66">
        <f t="shared" si="19"/>
        <v>0.2</v>
      </c>
      <c r="G125" s="61" t="e">
        <f t="shared" si="22"/>
        <v>#DIV/0!</v>
      </c>
      <c r="H125" s="66" t="e">
        <f t="shared" si="72"/>
        <v>#DIV/0!</v>
      </c>
      <c r="I125" s="66" t="e">
        <f t="shared" si="72"/>
        <v>#DIV/0!</v>
      </c>
      <c r="J125" s="66" t="e">
        <f t="shared" si="72"/>
        <v>#DIV/0!</v>
      </c>
      <c r="K125" s="70">
        <v>26800</v>
      </c>
      <c r="L125" s="70">
        <f>'Monitoramento Acumulado Geral'!Q125</f>
        <v>0</v>
      </c>
      <c r="M125" s="6">
        <f>(SUM(L122:L125))/K124</f>
        <v>3.880597014925373E-2</v>
      </c>
      <c r="N125" s="35" t="str">
        <f t="shared" si="23"/>
        <v>Desempenho Médio</v>
      </c>
      <c r="O125" s="6">
        <f t="shared" si="73"/>
        <v>0.15392483870093213</v>
      </c>
      <c r="P125" s="6">
        <f t="shared" si="73"/>
        <v>0.32772007016950033</v>
      </c>
      <c r="Q125" s="6">
        <f t="shared" si="73"/>
        <v>-1.9870392767636053E-2</v>
      </c>
      <c r="R125" s="70">
        <v>74</v>
      </c>
      <c r="S125" s="70">
        <v>0</v>
      </c>
      <c r="T125" s="6">
        <f t="shared" si="20"/>
        <v>0</v>
      </c>
      <c r="U125" s="35" t="e">
        <f t="shared" si="24"/>
        <v>#DIV/0!</v>
      </c>
      <c r="V125" s="6" t="e">
        <f t="shared" si="74"/>
        <v>#DIV/0!</v>
      </c>
      <c r="W125" s="6" t="e">
        <f t="shared" si="74"/>
        <v>#DIV/0!</v>
      </c>
      <c r="X125" s="6" t="e">
        <f t="shared" si="74"/>
        <v>#DIV/0!</v>
      </c>
      <c r="Y125" s="6" t="e">
        <f t="shared" si="74"/>
        <v>#DIV/0!</v>
      </c>
      <c r="Z125" s="6" t="e">
        <f t="shared" si="74"/>
        <v>#DIV/0!</v>
      </c>
    </row>
    <row r="126" spans="1:26" x14ac:dyDescent="0.2">
      <c r="A126" s="7" t="s">
        <v>89</v>
      </c>
      <c r="B126" s="6">
        <f t="shared" si="21"/>
        <v>5</v>
      </c>
      <c r="C126" s="7" t="s">
        <v>155</v>
      </c>
      <c r="D126" s="69">
        <v>75</v>
      </c>
      <c r="E126" s="69">
        <v>35</v>
      </c>
      <c r="F126" s="66">
        <f t="shared" si="19"/>
        <v>0.46666666666666667</v>
      </c>
      <c r="G126" s="61" t="e">
        <f t="shared" si="22"/>
        <v>#DIV/0!</v>
      </c>
      <c r="H126" s="66" t="e">
        <f t="shared" si="72"/>
        <v>#DIV/0!</v>
      </c>
      <c r="I126" s="66" t="e">
        <f t="shared" si="72"/>
        <v>#DIV/0!</v>
      </c>
      <c r="J126" s="66" t="e">
        <f t="shared" si="72"/>
        <v>#DIV/0!</v>
      </c>
      <c r="K126" s="70">
        <v>26800</v>
      </c>
      <c r="L126" s="70">
        <f>'Monitoramento Acumulado Geral'!Q126</f>
        <v>4100</v>
      </c>
      <c r="M126" s="6">
        <f>(SUM(L122:L126))/K125</f>
        <v>0.19179104477611941</v>
      </c>
      <c r="N126" s="35" t="str">
        <f t="shared" si="23"/>
        <v>Desempenho Médio</v>
      </c>
      <c r="O126" s="6">
        <f t="shared" si="73"/>
        <v>0.21139287248463789</v>
      </c>
      <c r="P126" s="6">
        <f t="shared" si="73"/>
        <v>0.43680804416292918</v>
      </c>
      <c r="Q126" s="6">
        <f t="shared" si="73"/>
        <v>-1.4022299193653387E-2</v>
      </c>
      <c r="R126" s="70">
        <v>74</v>
      </c>
      <c r="S126" s="70">
        <v>0</v>
      </c>
      <c r="T126" s="6">
        <f t="shared" si="20"/>
        <v>0</v>
      </c>
      <c r="U126" s="35" t="e">
        <f t="shared" si="24"/>
        <v>#DIV/0!</v>
      </c>
      <c r="V126" s="6" t="e">
        <f t="shared" si="74"/>
        <v>#DIV/0!</v>
      </c>
      <c r="W126" s="6" t="e">
        <f t="shared" si="74"/>
        <v>#DIV/0!</v>
      </c>
      <c r="X126" s="6" t="e">
        <f t="shared" si="74"/>
        <v>#DIV/0!</v>
      </c>
      <c r="Y126" s="6" t="e">
        <f t="shared" si="74"/>
        <v>#DIV/0!</v>
      </c>
      <c r="Z126" s="6" t="e">
        <f t="shared" si="74"/>
        <v>#DIV/0!</v>
      </c>
    </row>
    <row r="127" spans="1:26" x14ac:dyDescent="0.2">
      <c r="A127" s="7" t="s">
        <v>89</v>
      </c>
      <c r="B127" s="6">
        <f t="shared" si="21"/>
        <v>6</v>
      </c>
      <c r="C127" s="7" t="s">
        <v>156</v>
      </c>
      <c r="D127" s="69">
        <v>75</v>
      </c>
      <c r="E127" s="69">
        <v>35</v>
      </c>
      <c r="F127" s="66">
        <f t="shared" si="19"/>
        <v>0.46666666666666667</v>
      </c>
      <c r="G127" s="61" t="e">
        <f t="shared" si="22"/>
        <v>#DIV/0!</v>
      </c>
      <c r="H127" s="66" t="e">
        <f t="shared" si="72"/>
        <v>#DIV/0!</v>
      </c>
      <c r="I127" s="66" t="e">
        <f t="shared" si="72"/>
        <v>#DIV/0!</v>
      </c>
      <c r="J127" s="66" t="e">
        <f t="shared" si="72"/>
        <v>#DIV/0!</v>
      </c>
      <c r="K127" s="70">
        <v>26800</v>
      </c>
      <c r="L127" s="70">
        <f>'Monitoramento Acumulado Geral'!Q127</f>
        <v>0</v>
      </c>
      <c r="M127" s="6">
        <f>(SUM(L122:L127))/K126</f>
        <v>0.19179104477611941</v>
      </c>
      <c r="N127" s="35" t="str">
        <f t="shared" si="23"/>
        <v>Desempenho Médio</v>
      </c>
      <c r="O127" s="6">
        <f t="shared" si="73"/>
        <v>0.28403291059934432</v>
      </c>
      <c r="P127" s="6">
        <f t="shared" si="73"/>
        <v>0.56118246348434164</v>
      </c>
      <c r="Q127" s="6">
        <f t="shared" si="73"/>
        <v>6.8833577143469493E-3</v>
      </c>
      <c r="R127" s="70">
        <v>74</v>
      </c>
      <c r="S127" s="70">
        <v>0</v>
      </c>
      <c r="T127" s="6">
        <f t="shared" si="20"/>
        <v>0</v>
      </c>
      <c r="U127" s="35" t="e">
        <f t="shared" si="24"/>
        <v>#DIV/0!</v>
      </c>
      <c r="V127" s="6" t="e">
        <f t="shared" si="74"/>
        <v>#DIV/0!</v>
      </c>
      <c r="W127" s="6" t="e">
        <f t="shared" si="74"/>
        <v>#DIV/0!</v>
      </c>
      <c r="X127" s="6" t="e">
        <f t="shared" si="74"/>
        <v>#DIV/0!</v>
      </c>
      <c r="Y127" s="6" t="e">
        <f t="shared" si="74"/>
        <v>#DIV/0!</v>
      </c>
      <c r="Z127" s="6" t="e">
        <f t="shared" si="74"/>
        <v>#DIV/0!</v>
      </c>
    </row>
    <row r="128" spans="1:26" x14ac:dyDescent="0.2">
      <c r="A128" s="7" t="s">
        <v>89</v>
      </c>
      <c r="B128" s="6">
        <f t="shared" si="21"/>
        <v>7</v>
      </c>
      <c r="C128" s="7" t="s">
        <v>157</v>
      </c>
      <c r="D128" s="69">
        <v>75</v>
      </c>
      <c r="E128" s="69">
        <v>55</v>
      </c>
      <c r="F128" s="66">
        <f t="shared" si="19"/>
        <v>0.73333333333333328</v>
      </c>
      <c r="G128" s="61" t="e">
        <f t="shared" si="22"/>
        <v>#DIV/0!</v>
      </c>
      <c r="H128" s="66" t="e">
        <f t="shared" si="72"/>
        <v>#DIV/0!</v>
      </c>
      <c r="I128" s="66" t="e">
        <f t="shared" si="72"/>
        <v>#DIV/0!</v>
      </c>
      <c r="J128" s="66" t="e">
        <f t="shared" si="72"/>
        <v>#DIV/0!</v>
      </c>
      <c r="K128" s="70">
        <v>26800</v>
      </c>
      <c r="L128" s="70">
        <f>'Monitoramento Acumulado Geral'!Q128</f>
        <v>9500</v>
      </c>
      <c r="M128" s="6">
        <f>(SUM(L122:L128))/K127</f>
        <v>0.54626865671641789</v>
      </c>
      <c r="N128" s="35" t="str">
        <f t="shared" si="23"/>
        <v>Desempenho Bom</v>
      </c>
      <c r="O128" s="6">
        <f t="shared" si="73"/>
        <v>0.42046470140126019</v>
      </c>
      <c r="P128" s="6">
        <f t="shared" si="73"/>
        <v>0.84574683442734511</v>
      </c>
      <c r="Q128" s="6">
        <f t="shared" si="73"/>
        <v>-4.8174316248247306E-3</v>
      </c>
      <c r="R128" s="70">
        <v>74</v>
      </c>
      <c r="S128" s="70">
        <v>0</v>
      </c>
      <c r="T128" s="6">
        <f t="shared" si="20"/>
        <v>0</v>
      </c>
      <c r="U128" s="35" t="e">
        <f t="shared" si="24"/>
        <v>#DIV/0!</v>
      </c>
      <c r="V128" s="6" t="e">
        <f t="shared" si="74"/>
        <v>#DIV/0!</v>
      </c>
      <c r="W128" s="6" t="e">
        <f t="shared" si="74"/>
        <v>#DIV/0!</v>
      </c>
      <c r="X128" s="6" t="e">
        <f t="shared" si="74"/>
        <v>#DIV/0!</v>
      </c>
      <c r="Y128" s="6" t="e">
        <f t="shared" si="74"/>
        <v>#DIV/0!</v>
      </c>
      <c r="Z128" s="6" t="e">
        <f t="shared" si="74"/>
        <v>#DIV/0!</v>
      </c>
    </row>
    <row r="129" spans="1:26" x14ac:dyDescent="0.2">
      <c r="A129" s="7" t="s">
        <v>89</v>
      </c>
      <c r="B129" s="6">
        <f t="shared" si="21"/>
        <v>8</v>
      </c>
      <c r="C129" s="7" t="s">
        <v>158</v>
      </c>
      <c r="D129" s="69">
        <v>75</v>
      </c>
      <c r="E129" s="69">
        <v>0</v>
      </c>
      <c r="F129" s="66">
        <f t="shared" si="19"/>
        <v>0</v>
      </c>
      <c r="G129" s="61" t="e">
        <f t="shared" si="22"/>
        <v>#DIV/0!</v>
      </c>
      <c r="H129" s="66" t="e">
        <f t="shared" si="72"/>
        <v>#DIV/0!</v>
      </c>
      <c r="I129" s="66" t="e">
        <f t="shared" si="72"/>
        <v>#DIV/0!</v>
      </c>
      <c r="J129" s="66" t="e">
        <f t="shared" si="72"/>
        <v>#DIV/0!</v>
      </c>
      <c r="K129" s="70">
        <v>26800</v>
      </c>
      <c r="L129" s="70">
        <f>'Monitoramento Acumulado Geral'!Q129</f>
        <v>0</v>
      </c>
      <c r="M129" s="6">
        <f>(SUM(L122:L129))/K128</f>
        <v>0.54626865671641789</v>
      </c>
      <c r="N129" s="35" t="str">
        <f t="shared" si="23"/>
        <v>Desempenho Bom</v>
      </c>
      <c r="O129" s="6">
        <f t="shared" si="73"/>
        <v>0.42046470140126019</v>
      </c>
      <c r="P129" s="6">
        <f t="shared" si="73"/>
        <v>0.84574683442734511</v>
      </c>
      <c r="Q129" s="6">
        <f t="shared" si="73"/>
        <v>-4.8174316248247306E-3</v>
      </c>
      <c r="R129" s="70">
        <v>74</v>
      </c>
      <c r="S129" s="70">
        <v>0</v>
      </c>
      <c r="T129" s="6">
        <f t="shared" si="20"/>
        <v>0</v>
      </c>
      <c r="U129" s="35" t="e">
        <f t="shared" si="24"/>
        <v>#DIV/0!</v>
      </c>
      <c r="V129" s="6" t="e">
        <f t="shared" si="74"/>
        <v>#DIV/0!</v>
      </c>
      <c r="W129" s="6" t="e">
        <f t="shared" si="74"/>
        <v>#DIV/0!</v>
      </c>
      <c r="X129" s="6" t="e">
        <f t="shared" si="74"/>
        <v>#DIV/0!</v>
      </c>
      <c r="Y129" s="6" t="e">
        <f t="shared" si="74"/>
        <v>#DIV/0!</v>
      </c>
      <c r="Z129" s="6" t="e">
        <f t="shared" si="74"/>
        <v>#DIV/0!</v>
      </c>
    </row>
    <row r="130" spans="1:26" x14ac:dyDescent="0.2">
      <c r="A130" s="7" t="s">
        <v>89</v>
      </c>
      <c r="B130" s="6">
        <f t="shared" si="21"/>
        <v>9</v>
      </c>
      <c r="C130" s="7" t="s">
        <v>159</v>
      </c>
      <c r="D130" s="69">
        <v>75</v>
      </c>
      <c r="E130" s="69">
        <v>0</v>
      </c>
      <c r="F130" s="66">
        <f t="shared" si="19"/>
        <v>0</v>
      </c>
      <c r="G130" s="61" t="e">
        <f t="shared" si="22"/>
        <v>#DIV/0!</v>
      </c>
      <c r="H130" s="66" t="e">
        <f t="shared" si="72"/>
        <v>#DIV/0!</v>
      </c>
      <c r="I130" s="66" t="e">
        <f t="shared" si="72"/>
        <v>#DIV/0!</v>
      </c>
      <c r="J130" s="66" t="e">
        <f t="shared" si="72"/>
        <v>#DIV/0!</v>
      </c>
      <c r="K130" s="70">
        <v>26800</v>
      </c>
      <c r="L130" s="70">
        <f>'Monitoramento Acumulado Geral'!Q130</f>
        <v>0</v>
      </c>
      <c r="M130" s="6">
        <f>(SUM(L122:L130))/K129</f>
        <v>0.54626865671641789</v>
      </c>
      <c r="N130" s="35" t="str">
        <f t="shared" si="23"/>
        <v>Desempenho Bom</v>
      </c>
      <c r="O130" s="6">
        <f t="shared" si="73"/>
        <v>0.42046470140126019</v>
      </c>
      <c r="P130" s="6">
        <f t="shared" si="73"/>
        <v>0.84574683442734511</v>
      </c>
      <c r="Q130" s="6">
        <f t="shared" si="73"/>
        <v>-4.8174316248247306E-3</v>
      </c>
      <c r="R130" s="70">
        <v>74</v>
      </c>
      <c r="S130" s="70">
        <v>0</v>
      </c>
      <c r="T130" s="6">
        <f t="shared" si="20"/>
        <v>0</v>
      </c>
      <c r="U130" s="35" t="e">
        <f t="shared" si="24"/>
        <v>#DIV/0!</v>
      </c>
      <c r="V130" s="6" t="e">
        <f t="shared" si="74"/>
        <v>#DIV/0!</v>
      </c>
      <c r="W130" s="6" t="e">
        <f t="shared" si="74"/>
        <v>#DIV/0!</v>
      </c>
      <c r="X130" s="6" t="e">
        <f t="shared" si="74"/>
        <v>#DIV/0!</v>
      </c>
      <c r="Y130" s="6" t="e">
        <f t="shared" si="74"/>
        <v>#DIV/0!</v>
      </c>
      <c r="Z130" s="6" t="e">
        <f t="shared" si="74"/>
        <v>#DIV/0!</v>
      </c>
    </row>
    <row r="131" spans="1:26" x14ac:dyDescent="0.2">
      <c r="A131" s="7" t="s">
        <v>89</v>
      </c>
      <c r="B131" s="6">
        <f t="shared" si="21"/>
        <v>10</v>
      </c>
      <c r="C131" s="7" t="s">
        <v>160</v>
      </c>
      <c r="D131" s="69">
        <v>75</v>
      </c>
      <c r="E131" s="69">
        <v>0</v>
      </c>
      <c r="F131" s="66">
        <f t="shared" si="19"/>
        <v>0</v>
      </c>
      <c r="G131" s="61" t="e">
        <f t="shared" si="22"/>
        <v>#DIV/0!</v>
      </c>
      <c r="H131" s="66" t="e">
        <f t="shared" si="72"/>
        <v>#DIV/0!</v>
      </c>
      <c r="I131" s="66" t="e">
        <f t="shared" si="72"/>
        <v>#DIV/0!</v>
      </c>
      <c r="J131" s="66" t="e">
        <f t="shared" si="72"/>
        <v>#DIV/0!</v>
      </c>
      <c r="K131" s="70">
        <v>26800</v>
      </c>
      <c r="L131" s="70">
        <f>'Monitoramento Acumulado Geral'!Q131</f>
        <v>0</v>
      </c>
      <c r="M131" s="6">
        <f>(SUM(L122:L131))/K130</f>
        <v>0.54626865671641789</v>
      </c>
      <c r="N131" s="35" t="str">
        <f t="shared" si="23"/>
        <v>Desempenho Bom</v>
      </c>
      <c r="O131" s="6">
        <f t="shared" si="73"/>
        <v>0.42046470140126019</v>
      </c>
      <c r="P131" s="6">
        <f t="shared" si="73"/>
        <v>0.84574683442734511</v>
      </c>
      <c r="Q131" s="6">
        <f t="shared" si="73"/>
        <v>-4.8174316248247306E-3</v>
      </c>
      <c r="R131" s="70">
        <v>74</v>
      </c>
      <c r="S131" s="70">
        <v>0</v>
      </c>
      <c r="T131" s="6">
        <f t="shared" si="20"/>
        <v>0</v>
      </c>
      <c r="U131" s="35" t="e">
        <f t="shared" si="24"/>
        <v>#DIV/0!</v>
      </c>
      <c r="V131" s="6" t="e">
        <f t="shared" si="74"/>
        <v>#DIV/0!</v>
      </c>
      <c r="W131" s="6" t="e">
        <f t="shared" si="74"/>
        <v>#DIV/0!</v>
      </c>
      <c r="X131" s="6" t="e">
        <f t="shared" si="74"/>
        <v>#DIV/0!</v>
      </c>
      <c r="Y131" s="6" t="e">
        <f t="shared" si="74"/>
        <v>#DIV/0!</v>
      </c>
      <c r="Z131" s="6" t="e">
        <f t="shared" si="74"/>
        <v>#DIV/0!</v>
      </c>
    </row>
    <row r="132" spans="1:26" x14ac:dyDescent="0.2">
      <c r="A132" s="7" t="s">
        <v>89</v>
      </c>
      <c r="B132" s="6">
        <f t="shared" si="21"/>
        <v>11</v>
      </c>
      <c r="C132" s="7" t="s">
        <v>161</v>
      </c>
      <c r="D132" s="69">
        <v>75</v>
      </c>
      <c r="E132" s="69">
        <v>0</v>
      </c>
      <c r="F132" s="66">
        <f t="shared" si="19"/>
        <v>0</v>
      </c>
      <c r="G132" s="61" t="e">
        <f t="shared" si="22"/>
        <v>#DIV/0!</v>
      </c>
      <c r="H132" s="66" t="e">
        <f t="shared" si="72"/>
        <v>#DIV/0!</v>
      </c>
      <c r="I132" s="66" t="e">
        <f t="shared" si="72"/>
        <v>#DIV/0!</v>
      </c>
      <c r="J132" s="66" t="e">
        <f t="shared" si="72"/>
        <v>#DIV/0!</v>
      </c>
      <c r="K132" s="70">
        <v>26800</v>
      </c>
      <c r="L132" s="70">
        <f>'Monitoramento Acumulado Geral'!Q132</f>
        <v>0</v>
      </c>
      <c r="M132" s="6">
        <f>(SUM(L122:L132))/K131</f>
        <v>0.54626865671641789</v>
      </c>
      <c r="N132" s="35" t="str">
        <f t="shared" si="23"/>
        <v>Desempenho Bom</v>
      </c>
      <c r="O132" s="6">
        <f t="shared" si="73"/>
        <v>0.42046470140126019</v>
      </c>
      <c r="P132" s="6">
        <f t="shared" si="73"/>
        <v>0.84574683442734511</v>
      </c>
      <c r="Q132" s="6">
        <f t="shared" si="73"/>
        <v>-4.8174316248247306E-3</v>
      </c>
      <c r="R132" s="70">
        <v>74</v>
      </c>
      <c r="S132" s="70">
        <v>0</v>
      </c>
      <c r="T132" s="6">
        <f t="shared" si="20"/>
        <v>0</v>
      </c>
      <c r="U132" s="35" t="e">
        <f t="shared" si="24"/>
        <v>#DIV/0!</v>
      </c>
      <c r="V132" s="6" t="e">
        <f t="shared" si="74"/>
        <v>#DIV/0!</v>
      </c>
      <c r="W132" s="6" t="e">
        <f t="shared" si="74"/>
        <v>#DIV/0!</v>
      </c>
      <c r="X132" s="6" t="e">
        <f t="shared" si="74"/>
        <v>#DIV/0!</v>
      </c>
      <c r="Y132" s="6" t="e">
        <f t="shared" si="74"/>
        <v>#DIV/0!</v>
      </c>
      <c r="Z132" s="6" t="e">
        <f t="shared" si="74"/>
        <v>#DIV/0!</v>
      </c>
    </row>
    <row r="133" spans="1:26" x14ac:dyDescent="0.2">
      <c r="A133" s="7" t="s">
        <v>89</v>
      </c>
      <c r="B133" s="6">
        <f t="shared" si="21"/>
        <v>12</v>
      </c>
      <c r="C133" s="7" t="s">
        <v>162</v>
      </c>
      <c r="D133" s="69">
        <v>75</v>
      </c>
      <c r="E133" s="69">
        <v>0</v>
      </c>
      <c r="F133" s="66">
        <f t="shared" si="19"/>
        <v>0</v>
      </c>
      <c r="G133" s="61" t="e">
        <f t="shared" si="22"/>
        <v>#DIV/0!</v>
      </c>
      <c r="H133" s="66" t="e">
        <f t="shared" si="72"/>
        <v>#DIV/0!</v>
      </c>
      <c r="I133" s="66" t="e">
        <f t="shared" si="72"/>
        <v>#DIV/0!</v>
      </c>
      <c r="J133" s="66" t="e">
        <f t="shared" si="72"/>
        <v>#DIV/0!</v>
      </c>
      <c r="K133" s="70">
        <v>26800</v>
      </c>
      <c r="L133" s="70">
        <f>'Monitoramento Acumulado Geral'!Q133</f>
        <v>0</v>
      </c>
      <c r="M133" s="6">
        <f>(SUM(L122:L133))/K132</f>
        <v>0.54626865671641789</v>
      </c>
      <c r="N133" s="35" t="str">
        <f t="shared" si="23"/>
        <v>Desempenho Bom</v>
      </c>
      <c r="O133" s="6">
        <f t="shared" si="73"/>
        <v>0.41824651958307835</v>
      </c>
      <c r="P133" s="6">
        <f t="shared" si="73"/>
        <v>0.84510274859297763</v>
      </c>
      <c r="Q133" s="6">
        <f t="shared" si="73"/>
        <v>-8.6097094268208774E-3</v>
      </c>
      <c r="R133" s="70">
        <v>74</v>
      </c>
      <c r="S133" s="70">
        <v>0</v>
      </c>
      <c r="T133" s="6">
        <f t="shared" si="20"/>
        <v>0</v>
      </c>
      <c r="U133" s="35" t="e">
        <f t="shared" si="24"/>
        <v>#DIV/0!</v>
      </c>
      <c r="V133" s="6" t="e">
        <f t="shared" si="74"/>
        <v>#DIV/0!</v>
      </c>
      <c r="W133" s="6" t="e">
        <f t="shared" si="74"/>
        <v>#DIV/0!</v>
      </c>
      <c r="X133" s="6" t="e">
        <f t="shared" si="74"/>
        <v>#DIV/0!</v>
      </c>
      <c r="Y133" s="6" t="e">
        <f t="shared" si="74"/>
        <v>#DIV/0!</v>
      </c>
      <c r="Z133" s="6" t="e">
        <f t="shared" si="74"/>
        <v>#DIV/0!</v>
      </c>
    </row>
    <row r="134" spans="1:26" x14ac:dyDescent="0.2">
      <c r="A134" s="7" t="s">
        <v>113</v>
      </c>
      <c r="B134" s="6">
        <f t="shared" si="21"/>
        <v>1</v>
      </c>
      <c r="C134" s="7" t="s">
        <v>151</v>
      </c>
      <c r="D134" s="69">
        <v>58</v>
      </c>
      <c r="E134" s="69">
        <v>0</v>
      </c>
      <c r="F134" s="66">
        <f t="shared" si="19"/>
        <v>0</v>
      </c>
      <c r="G134" s="61" t="e">
        <f t="shared" si="22"/>
        <v>#DIV/0!</v>
      </c>
      <c r="H134" s="66" t="e">
        <f t="shared" si="26"/>
        <v>#DIV/0!</v>
      </c>
      <c r="I134" s="66" t="e">
        <f t="shared" si="26"/>
        <v>#DIV/0!</v>
      </c>
      <c r="J134" s="66" t="e">
        <f t="shared" si="26"/>
        <v>#DIV/0!</v>
      </c>
      <c r="K134" s="70">
        <v>1500</v>
      </c>
      <c r="L134" s="70">
        <f>'Monitoramento Acumulado Geral'!Q134</f>
        <v>0</v>
      </c>
      <c r="M134" s="6">
        <f>L134/K134</f>
        <v>0</v>
      </c>
      <c r="N134" s="35" t="str">
        <f t="shared" si="23"/>
        <v>Desempenho Médio</v>
      </c>
      <c r="O134" s="6">
        <f t="shared" ref="O134:Q145" si="75">O122</f>
        <v>3.4274647562211005E-2</v>
      </c>
      <c r="P134" s="6">
        <f t="shared" si="75"/>
        <v>0.10289217685709087</v>
      </c>
      <c r="Q134" s="6">
        <f t="shared" si="75"/>
        <v>-3.4342881732668862E-2</v>
      </c>
      <c r="R134" s="70">
        <v>50</v>
      </c>
      <c r="S134" s="70">
        <v>0</v>
      </c>
      <c r="T134" s="6">
        <f t="shared" si="20"/>
        <v>0</v>
      </c>
      <c r="U134" s="35" t="e">
        <f t="shared" si="24"/>
        <v>#DIV/0!</v>
      </c>
      <c r="V134" s="6" t="e">
        <f t="shared" ref="V134:Z138" si="76">V122</f>
        <v>#DIV/0!</v>
      </c>
      <c r="W134" s="6" t="e">
        <f t="shared" si="76"/>
        <v>#DIV/0!</v>
      </c>
      <c r="X134" s="6" t="e">
        <f t="shared" si="76"/>
        <v>#DIV/0!</v>
      </c>
      <c r="Y134" s="6" t="e">
        <f t="shared" si="76"/>
        <v>#DIV/0!</v>
      </c>
      <c r="Z134" s="6" t="e">
        <f t="shared" si="76"/>
        <v>#DIV/0!</v>
      </c>
    </row>
    <row r="135" spans="1:26" x14ac:dyDescent="0.2">
      <c r="A135" s="7" t="s">
        <v>113</v>
      </c>
      <c r="B135" s="6">
        <f t="shared" si="21"/>
        <v>2</v>
      </c>
      <c r="C135" s="7" t="s">
        <v>152</v>
      </c>
      <c r="D135" s="69">
        <v>58</v>
      </c>
      <c r="E135" s="69">
        <v>0</v>
      </c>
      <c r="F135" s="66">
        <f t="shared" si="19"/>
        <v>0</v>
      </c>
      <c r="G135" s="61" t="e">
        <f t="shared" si="22"/>
        <v>#DIV/0!</v>
      </c>
      <c r="H135" s="66" t="e">
        <f t="shared" si="26"/>
        <v>#DIV/0!</v>
      </c>
      <c r="I135" s="66" t="e">
        <f t="shared" si="26"/>
        <v>#DIV/0!</v>
      </c>
      <c r="J135" s="66" t="e">
        <f t="shared" si="26"/>
        <v>#DIV/0!</v>
      </c>
      <c r="K135" s="70">
        <v>1500</v>
      </c>
      <c r="L135" s="70">
        <f>'Monitoramento Acumulado Geral'!Q135</f>
        <v>0</v>
      </c>
      <c r="M135" s="6">
        <f>(SUM(L134:L135))/K134</f>
        <v>0</v>
      </c>
      <c r="N135" s="35" t="str">
        <f t="shared" si="23"/>
        <v>Desempenho Médio</v>
      </c>
      <c r="O135" s="6">
        <f t="shared" si="75"/>
        <v>8.1815188943147363E-2</v>
      </c>
      <c r="P135" s="6">
        <f t="shared" si="75"/>
        <v>0.20623883252423067</v>
      </c>
      <c r="Q135" s="6">
        <f t="shared" si="75"/>
        <v>-4.2608454637935944E-2</v>
      </c>
      <c r="R135" s="70">
        <v>50</v>
      </c>
      <c r="S135" s="70">
        <v>0</v>
      </c>
      <c r="T135" s="6">
        <f t="shared" si="20"/>
        <v>0</v>
      </c>
      <c r="U135" s="35" t="e">
        <f t="shared" si="24"/>
        <v>#DIV/0!</v>
      </c>
      <c r="V135" s="6" t="e">
        <f t="shared" si="76"/>
        <v>#DIV/0!</v>
      </c>
      <c r="W135" s="6" t="e">
        <f t="shared" si="76"/>
        <v>#DIV/0!</v>
      </c>
      <c r="X135" s="6" t="e">
        <f t="shared" si="76"/>
        <v>#DIV/0!</v>
      </c>
      <c r="Y135" s="6" t="e">
        <f t="shared" si="76"/>
        <v>#DIV/0!</v>
      </c>
      <c r="Z135" s="6" t="e">
        <f t="shared" si="76"/>
        <v>#DIV/0!</v>
      </c>
    </row>
    <row r="136" spans="1:26" x14ac:dyDescent="0.2">
      <c r="A136" s="7" t="s">
        <v>113</v>
      </c>
      <c r="B136" s="6">
        <f t="shared" si="21"/>
        <v>3</v>
      </c>
      <c r="C136" s="7" t="s">
        <v>153</v>
      </c>
      <c r="D136" s="69">
        <v>58</v>
      </c>
      <c r="E136" s="69">
        <v>0</v>
      </c>
      <c r="F136" s="66">
        <f t="shared" si="19"/>
        <v>0</v>
      </c>
      <c r="G136" s="61" t="e">
        <f t="shared" si="22"/>
        <v>#DIV/0!</v>
      </c>
      <c r="H136" s="66" t="e">
        <f t="shared" si="26"/>
        <v>#DIV/0!</v>
      </c>
      <c r="I136" s="66" t="e">
        <f t="shared" si="26"/>
        <v>#DIV/0!</v>
      </c>
      <c r="J136" s="66" t="e">
        <f t="shared" si="26"/>
        <v>#DIV/0!</v>
      </c>
      <c r="K136" s="70">
        <v>1500</v>
      </c>
      <c r="L136" s="70">
        <f>'Monitoramento Acumulado Geral'!Q136</f>
        <v>0</v>
      </c>
      <c r="M136" s="6">
        <f>(SUM(L134:L136))/K135</f>
        <v>0</v>
      </c>
      <c r="N136" s="35" t="str">
        <f t="shared" si="23"/>
        <v>Desempenho Médio</v>
      </c>
      <c r="O136" s="6">
        <f t="shared" si="75"/>
        <v>0.13411292471649494</v>
      </c>
      <c r="P136" s="6">
        <f t="shared" si="75"/>
        <v>0.29721906787058483</v>
      </c>
      <c r="Q136" s="6">
        <f t="shared" si="75"/>
        <v>-2.899321843759492E-2</v>
      </c>
      <c r="R136" s="70">
        <v>50</v>
      </c>
      <c r="S136" s="70">
        <v>0</v>
      </c>
      <c r="T136" s="6">
        <f t="shared" si="20"/>
        <v>0</v>
      </c>
      <c r="U136" s="35" t="e">
        <f t="shared" si="24"/>
        <v>#DIV/0!</v>
      </c>
      <c r="V136" s="6" t="e">
        <f t="shared" si="76"/>
        <v>#DIV/0!</v>
      </c>
      <c r="W136" s="6" t="e">
        <f t="shared" si="76"/>
        <v>#DIV/0!</v>
      </c>
      <c r="X136" s="6" t="e">
        <f t="shared" si="76"/>
        <v>#DIV/0!</v>
      </c>
      <c r="Y136" s="6" t="e">
        <f t="shared" si="76"/>
        <v>#DIV/0!</v>
      </c>
      <c r="Z136" s="6" t="e">
        <f t="shared" si="76"/>
        <v>#DIV/0!</v>
      </c>
    </row>
    <row r="137" spans="1:26" x14ac:dyDescent="0.2">
      <c r="A137" s="7" t="s">
        <v>113</v>
      </c>
      <c r="B137" s="6">
        <f t="shared" si="21"/>
        <v>4</v>
      </c>
      <c r="C137" s="7" t="s">
        <v>154</v>
      </c>
      <c r="D137" s="69">
        <v>58</v>
      </c>
      <c r="E137" s="69">
        <v>0</v>
      </c>
      <c r="F137" s="66">
        <f t="shared" si="19"/>
        <v>0</v>
      </c>
      <c r="G137" s="61" t="e">
        <f t="shared" si="22"/>
        <v>#DIV/0!</v>
      </c>
      <c r="H137" s="66" t="e">
        <f t="shared" si="26"/>
        <v>#DIV/0!</v>
      </c>
      <c r="I137" s="66" t="e">
        <f t="shared" si="26"/>
        <v>#DIV/0!</v>
      </c>
      <c r="J137" s="66" t="e">
        <f t="shared" si="26"/>
        <v>#DIV/0!</v>
      </c>
      <c r="K137" s="70">
        <v>1500</v>
      </c>
      <c r="L137" s="70">
        <f>'Monitoramento Acumulado Geral'!Q137</f>
        <v>0</v>
      </c>
      <c r="M137" s="6">
        <f>(SUM(L134:L137))/K136</f>
        <v>0</v>
      </c>
      <c r="N137" s="35" t="str">
        <f t="shared" si="23"/>
        <v>Desempenho Médio</v>
      </c>
      <c r="O137" s="6">
        <f t="shared" si="75"/>
        <v>0.15392483870093213</v>
      </c>
      <c r="P137" s="6">
        <f t="shared" si="75"/>
        <v>0.32772007016950033</v>
      </c>
      <c r="Q137" s="6">
        <f t="shared" si="75"/>
        <v>-1.9870392767636053E-2</v>
      </c>
      <c r="R137" s="70">
        <v>50</v>
      </c>
      <c r="S137" s="70">
        <v>0</v>
      </c>
      <c r="T137" s="6">
        <f t="shared" si="20"/>
        <v>0</v>
      </c>
      <c r="U137" s="35" t="e">
        <f t="shared" si="24"/>
        <v>#DIV/0!</v>
      </c>
      <c r="V137" s="6" t="e">
        <f t="shared" si="76"/>
        <v>#DIV/0!</v>
      </c>
      <c r="W137" s="6" t="e">
        <f t="shared" si="76"/>
        <v>#DIV/0!</v>
      </c>
      <c r="X137" s="6" t="e">
        <f t="shared" si="76"/>
        <v>#DIV/0!</v>
      </c>
      <c r="Y137" s="6" t="e">
        <f t="shared" si="76"/>
        <v>#DIV/0!</v>
      </c>
      <c r="Z137" s="6" t="e">
        <f t="shared" si="76"/>
        <v>#DIV/0!</v>
      </c>
    </row>
    <row r="138" spans="1:26" x14ac:dyDescent="0.2">
      <c r="A138" s="7" t="s">
        <v>113</v>
      </c>
      <c r="B138" s="6">
        <f t="shared" si="21"/>
        <v>5</v>
      </c>
      <c r="C138" s="7" t="s">
        <v>155</v>
      </c>
      <c r="D138" s="69">
        <v>58</v>
      </c>
      <c r="E138" s="69">
        <v>0</v>
      </c>
      <c r="F138" s="66">
        <f t="shared" si="19"/>
        <v>0</v>
      </c>
      <c r="G138" s="61" t="e">
        <f t="shared" si="22"/>
        <v>#DIV/0!</v>
      </c>
      <c r="H138" s="66" t="e">
        <f t="shared" si="26"/>
        <v>#DIV/0!</v>
      </c>
      <c r="I138" s="66" t="e">
        <f t="shared" si="26"/>
        <v>#DIV/0!</v>
      </c>
      <c r="J138" s="66" t="e">
        <f t="shared" si="26"/>
        <v>#DIV/0!</v>
      </c>
      <c r="K138" s="70">
        <v>1500</v>
      </c>
      <c r="L138" s="70">
        <f>'Monitoramento Acumulado Geral'!Q138</f>
        <v>0</v>
      </c>
      <c r="M138" s="6">
        <f>(SUM(L134:L138))/K137</f>
        <v>0</v>
      </c>
      <c r="N138" s="35" t="str">
        <f t="shared" si="23"/>
        <v>Desempenho Médio</v>
      </c>
      <c r="O138" s="6">
        <f t="shared" si="75"/>
        <v>0.21139287248463789</v>
      </c>
      <c r="P138" s="6">
        <f t="shared" si="75"/>
        <v>0.43680804416292918</v>
      </c>
      <c r="Q138" s="6">
        <f t="shared" si="75"/>
        <v>-1.4022299193653387E-2</v>
      </c>
      <c r="R138" s="70">
        <v>50</v>
      </c>
      <c r="S138" s="70">
        <v>0</v>
      </c>
      <c r="T138" s="6">
        <f t="shared" si="20"/>
        <v>0</v>
      </c>
      <c r="U138" s="35" t="e">
        <f t="shared" si="24"/>
        <v>#DIV/0!</v>
      </c>
      <c r="V138" s="6" t="e">
        <f t="shared" si="76"/>
        <v>#DIV/0!</v>
      </c>
      <c r="W138" s="6" t="e">
        <f t="shared" si="76"/>
        <v>#DIV/0!</v>
      </c>
      <c r="X138" s="6" t="e">
        <f t="shared" si="76"/>
        <v>#DIV/0!</v>
      </c>
      <c r="Y138" s="6" t="e">
        <f t="shared" si="76"/>
        <v>#DIV/0!</v>
      </c>
      <c r="Z138" s="6" t="e">
        <f t="shared" si="76"/>
        <v>#DIV/0!</v>
      </c>
    </row>
    <row r="139" spans="1:26" x14ac:dyDescent="0.2">
      <c r="A139" s="7" t="s">
        <v>113</v>
      </c>
      <c r="B139" s="6">
        <f t="shared" si="21"/>
        <v>6</v>
      </c>
      <c r="C139" s="7" t="s">
        <v>156</v>
      </c>
      <c r="D139" s="69">
        <v>58</v>
      </c>
      <c r="E139" s="69">
        <v>0</v>
      </c>
      <c r="F139" s="66">
        <f t="shared" si="19"/>
        <v>0</v>
      </c>
      <c r="G139" s="61" t="e">
        <f t="shared" si="22"/>
        <v>#DIV/0!</v>
      </c>
      <c r="H139" s="66" t="e">
        <f t="shared" si="26"/>
        <v>#DIV/0!</v>
      </c>
      <c r="I139" s="66" t="e">
        <f t="shared" si="26"/>
        <v>#DIV/0!</v>
      </c>
      <c r="J139" s="66" t="e">
        <f t="shared" si="26"/>
        <v>#DIV/0!</v>
      </c>
      <c r="K139" s="70">
        <v>1500</v>
      </c>
      <c r="L139" s="70">
        <f>'Monitoramento Acumulado Geral'!Q139</f>
        <v>0</v>
      </c>
      <c r="M139" s="6">
        <f>(SUM(L134:L139))/K138</f>
        <v>0</v>
      </c>
      <c r="N139" s="35" t="str">
        <f t="shared" si="23"/>
        <v>Desempenho Deficitário</v>
      </c>
      <c r="O139" s="6">
        <f t="shared" si="75"/>
        <v>0.28403291059934432</v>
      </c>
      <c r="P139" s="6">
        <f t="shared" si="75"/>
        <v>0.56118246348434164</v>
      </c>
      <c r="Q139" s="6">
        <f t="shared" si="75"/>
        <v>6.8833577143469493E-3</v>
      </c>
      <c r="R139" s="70">
        <v>50</v>
      </c>
      <c r="S139" s="70">
        <v>0</v>
      </c>
      <c r="T139" s="6">
        <f t="shared" si="20"/>
        <v>0</v>
      </c>
      <c r="U139" s="35" t="e">
        <f t="shared" si="24"/>
        <v>#DIV/0!</v>
      </c>
      <c r="V139" s="6" t="e">
        <f t="shared" ref="V139:Z154" si="77">V127</f>
        <v>#DIV/0!</v>
      </c>
      <c r="W139" s="6" t="e">
        <f t="shared" si="77"/>
        <v>#DIV/0!</v>
      </c>
      <c r="X139" s="6" t="e">
        <f t="shared" si="77"/>
        <v>#DIV/0!</v>
      </c>
      <c r="Y139" s="6" t="e">
        <f t="shared" si="77"/>
        <v>#DIV/0!</v>
      </c>
      <c r="Z139" s="6" t="e">
        <f t="shared" si="77"/>
        <v>#DIV/0!</v>
      </c>
    </row>
    <row r="140" spans="1:26" x14ac:dyDescent="0.2">
      <c r="A140" s="7" t="s">
        <v>113</v>
      </c>
      <c r="B140" s="6">
        <f t="shared" si="21"/>
        <v>7</v>
      </c>
      <c r="C140" s="7" t="s">
        <v>157</v>
      </c>
      <c r="D140" s="69">
        <v>58</v>
      </c>
      <c r="E140" s="69">
        <v>0</v>
      </c>
      <c r="F140" s="66">
        <f t="shared" si="19"/>
        <v>0</v>
      </c>
      <c r="G140" s="61" t="e">
        <f t="shared" si="22"/>
        <v>#DIV/0!</v>
      </c>
      <c r="H140" s="66" t="e">
        <f t="shared" si="26"/>
        <v>#DIV/0!</v>
      </c>
      <c r="I140" s="66" t="e">
        <f t="shared" si="26"/>
        <v>#DIV/0!</v>
      </c>
      <c r="J140" s="66" t="e">
        <f t="shared" si="26"/>
        <v>#DIV/0!</v>
      </c>
      <c r="K140" s="70">
        <v>1500</v>
      </c>
      <c r="L140" s="70">
        <f>'Monitoramento Acumulado Geral'!Q140</f>
        <v>0</v>
      </c>
      <c r="M140" s="6">
        <f>(SUM(L134:L140))/K139</f>
        <v>0</v>
      </c>
      <c r="N140" s="35" t="str">
        <f t="shared" si="23"/>
        <v>Desempenho Médio</v>
      </c>
      <c r="O140" s="6">
        <f t="shared" si="75"/>
        <v>0.42046470140126019</v>
      </c>
      <c r="P140" s="6">
        <f t="shared" si="75"/>
        <v>0.84574683442734511</v>
      </c>
      <c r="Q140" s="6">
        <f t="shared" si="75"/>
        <v>-4.8174316248247306E-3</v>
      </c>
      <c r="R140" s="70">
        <v>50</v>
      </c>
      <c r="S140" s="70">
        <v>0</v>
      </c>
      <c r="T140" s="6">
        <f t="shared" si="20"/>
        <v>0</v>
      </c>
      <c r="U140" s="35" t="e">
        <f t="shared" si="24"/>
        <v>#DIV/0!</v>
      </c>
      <c r="V140" s="6" t="e">
        <f t="shared" si="77"/>
        <v>#DIV/0!</v>
      </c>
      <c r="W140" s="6" t="e">
        <f t="shared" si="77"/>
        <v>#DIV/0!</v>
      </c>
      <c r="X140" s="6" t="e">
        <f t="shared" si="77"/>
        <v>#DIV/0!</v>
      </c>
      <c r="Y140" s="6" t="e">
        <f t="shared" si="77"/>
        <v>#DIV/0!</v>
      </c>
      <c r="Z140" s="6" t="e">
        <f t="shared" si="77"/>
        <v>#DIV/0!</v>
      </c>
    </row>
    <row r="141" spans="1:26" x14ac:dyDescent="0.2">
      <c r="A141" s="7" t="s">
        <v>113</v>
      </c>
      <c r="B141" s="6">
        <f t="shared" si="21"/>
        <v>8</v>
      </c>
      <c r="C141" s="7" t="s">
        <v>158</v>
      </c>
      <c r="D141" s="69">
        <v>58</v>
      </c>
      <c r="E141" s="69">
        <v>0</v>
      </c>
      <c r="F141" s="66">
        <f t="shared" si="19"/>
        <v>0</v>
      </c>
      <c r="G141" s="61" t="e">
        <f t="shared" si="22"/>
        <v>#DIV/0!</v>
      </c>
      <c r="H141" s="66" t="e">
        <f t="shared" si="26"/>
        <v>#DIV/0!</v>
      </c>
      <c r="I141" s="66" t="e">
        <f t="shared" si="26"/>
        <v>#DIV/0!</v>
      </c>
      <c r="J141" s="66" t="e">
        <f t="shared" si="26"/>
        <v>#DIV/0!</v>
      </c>
      <c r="K141" s="70">
        <v>1500</v>
      </c>
      <c r="L141" s="70">
        <f>'Monitoramento Acumulado Geral'!Q141</f>
        <v>0</v>
      </c>
      <c r="M141" s="6">
        <f>(SUM(L134:L141))/K140</f>
        <v>0</v>
      </c>
      <c r="N141" s="35" t="str">
        <f t="shared" si="23"/>
        <v>Desempenho Médio</v>
      </c>
      <c r="O141" s="6">
        <f t="shared" si="75"/>
        <v>0.42046470140126019</v>
      </c>
      <c r="P141" s="6">
        <f t="shared" si="75"/>
        <v>0.84574683442734511</v>
      </c>
      <c r="Q141" s="6">
        <f t="shared" si="75"/>
        <v>-4.8174316248247306E-3</v>
      </c>
      <c r="R141" s="70">
        <v>50</v>
      </c>
      <c r="S141" s="70">
        <v>0</v>
      </c>
      <c r="T141" s="6">
        <f t="shared" si="20"/>
        <v>0</v>
      </c>
      <c r="U141" s="35" t="e">
        <f t="shared" si="24"/>
        <v>#DIV/0!</v>
      </c>
      <c r="V141" s="6" t="e">
        <f t="shared" si="77"/>
        <v>#DIV/0!</v>
      </c>
      <c r="W141" s="6" t="e">
        <f t="shared" si="77"/>
        <v>#DIV/0!</v>
      </c>
      <c r="X141" s="6" t="e">
        <f t="shared" si="77"/>
        <v>#DIV/0!</v>
      </c>
      <c r="Y141" s="6" t="e">
        <f t="shared" si="77"/>
        <v>#DIV/0!</v>
      </c>
      <c r="Z141" s="6" t="e">
        <f t="shared" si="77"/>
        <v>#DIV/0!</v>
      </c>
    </row>
    <row r="142" spans="1:26" x14ac:dyDescent="0.2">
      <c r="A142" s="7" t="s">
        <v>113</v>
      </c>
      <c r="B142" s="6">
        <f t="shared" si="21"/>
        <v>9</v>
      </c>
      <c r="C142" s="7" t="s">
        <v>159</v>
      </c>
      <c r="D142" s="69">
        <v>58</v>
      </c>
      <c r="E142" s="69">
        <v>0</v>
      </c>
      <c r="F142" s="66">
        <f t="shared" ref="F142:F205" si="78">E142/D142</f>
        <v>0</v>
      </c>
      <c r="G142" s="61" t="e">
        <f t="shared" si="22"/>
        <v>#DIV/0!</v>
      </c>
      <c r="H142" s="66" t="e">
        <f t="shared" si="26"/>
        <v>#DIV/0!</v>
      </c>
      <c r="I142" s="66" t="e">
        <f t="shared" si="26"/>
        <v>#DIV/0!</v>
      </c>
      <c r="J142" s="66" t="e">
        <f t="shared" si="26"/>
        <v>#DIV/0!</v>
      </c>
      <c r="K142" s="70">
        <v>1500</v>
      </c>
      <c r="L142" s="70">
        <f>'Monitoramento Acumulado Geral'!Q142</f>
        <v>0</v>
      </c>
      <c r="M142" s="6">
        <f>(SUM(L134:L142))/K141</f>
        <v>0</v>
      </c>
      <c r="N142" s="35" t="str">
        <f t="shared" si="23"/>
        <v>Desempenho Médio</v>
      </c>
      <c r="O142" s="6">
        <f t="shared" si="75"/>
        <v>0.42046470140126019</v>
      </c>
      <c r="P142" s="6">
        <f t="shared" si="75"/>
        <v>0.84574683442734511</v>
      </c>
      <c r="Q142" s="6">
        <f t="shared" si="75"/>
        <v>-4.8174316248247306E-3</v>
      </c>
      <c r="R142" s="70">
        <v>50</v>
      </c>
      <c r="S142" s="70">
        <v>0</v>
      </c>
      <c r="T142" s="6">
        <f t="shared" ref="T142:T205" si="79">S142/R142</f>
        <v>0</v>
      </c>
      <c r="U142" s="35" t="e">
        <f t="shared" si="24"/>
        <v>#DIV/0!</v>
      </c>
      <c r="V142" s="6" t="e">
        <f t="shared" si="77"/>
        <v>#DIV/0!</v>
      </c>
      <c r="W142" s="6" t="e">
        <f t="shared" si="77"/>
        <v>#DIV/0!</v>
      </c>
      <c r="X142" s="6" t="e">
        <f t="shared" si="77"/>
        <v>#DIV/0!</v>
      </c>
      <c r="Y142" s="6" t="e">
        <f t="shared" si="77"/>
        <v>#DIV/0!</v>
      </c>
      <c r="Z142" s="6" t="e">
        <f t="shared" si="77"/>
        <v>#DIV/0!</v>
      </c>
    </row>
    <row r="143" spans="1:26" x14ac:dyDescent="0.2">
      <c r="A143" s="7" t="s">
        <v>113</v>
      </c>
      <c r="B143" s="6">
        <f t="shared" ref="B143:B206" si="80">_xlfn.IFS(C143="Janeiro",1,C143="Fevereiro",2,C143="Março",3,C143="Abril",4,C143="Maio",5,C143="Junho",6,C143="Julho",7,C143="Agosto",8,C143="Setembro",9,C143="Outubro",10,C143="Novembro",11,C143="Dezembro",12,TRUE,0)</f>
        <v>10</v>
      </c>
      <c r="C143" s="7" t="s">
        <v>160</v>
      </c>
      <c r="D143" s="69">
        <v>58</v>
      </c>
      <c r="E143" s="69">
        <v>0</v>
      </c>
      <c r="F143" s="66">
        <f t="shared" si="78"/>
        <v>0</v>
      </c>
      <c r="G143" s="61" t="e">
        <f t="shared" ref="G143:G206" si="81">IF(F143&gt;=I143,"Desempenho Ótimo",(IF(F143&gt;H143,"Desempenho Bom",(IF(F143&gt;J143,"Desempenho Médio",IF(F143&lt;=J143,"Desempenho Deficitário",0))))))</f>
        <v>#DIV/0!</v>
      </c>
      <c r="H143" s="66" t="e">
        <f t="shared" si="26"/>
        <v>#DIV/0!</v>
      </c>
      <c r="I143" s="66" t="e">
        <f t="shared" si="26"/>
        <v>#DIV/0!</v>
      </c>
      <c r="J143" s="66" t="e">
        <f t="shared" si="26"/>
        <v>#DIV/0!</v>
      </c>
      <c r="K143" s="70">
        <v>1500</v>
      </c>
      <c r="L143" s="70">
        <f>'Monitoramento Acumulado Geral'!Q143</f>
        <v>0</v>
      </c>
      <c r="M143" s="6">
        <f>(SUM(L134:L143))/K142</f>
        <v>0</v>
      </c>
      <c r="N143" s="35" t="str">
        <f t="shared" ref="N143:N206" si="82">IF(M143&gt;=P143,"Desempenho Ótimo",(IF(M143&gt;O143,"Desempenho Bom",(IF(M143&gt;Q143,"Desempenho Médio",IF(M143&lt;=Q143,"Desempenho Deficitário",0))))))</f>
        <v>Desempenho Médio</v>
      </c>
      <c r="O143" s="6">
        <f t="shared" si="75"/>
        <v>0.42046470140126019</v>
      </c>
      <c r="P143" s="6">
        <f t="shared" si="75"/>
        <v>0.84574683442734511</v>
      </c>
      <c r="Q143" s="6">
        <f t="shared" si="75"/>
        <v>-4.8174316248247306E-3</v>
      </c>
      <c r="R143" s="70">
        <v>50</v>
      </c>
      <c r="S143" s="70">
        <v>0</v>
      </c>
      <c r="T143" s="6">
        <f t="shared" si="79"/>
        <v>0</v>
      </c>
      <c r="U143" s="35" t="e">
        <f t="shared" ref="U143:U206" si="83">IF(T143&gt;=W143,"Desempenho Ótimo",(IF(T143&gt;V143,"Desempenho Bom",(IF(T143&gt;X143,"Desempenho Médio",IF(T143&lt;=X143,"Desempenho Deficitário",0))))))</f>
        <v>#DIV/0!</v>
      </c>
      <c r="V143" s="6" t="e">
        <f t="shared" si="77"/>
        <v>#DIV/0!</v>
      </c>
      <c r="W143" s="6" t="e">
        <f t="shared" si="77"/>
        <v>#DIV/0!</v>
      </c>
      <c r="X143" s="6" t="e">
        <f t="shared" si="77"/>
        <v>#DIV/0!</v>
      </c>
      <c r="Y143" s="6" t="e">
        <f t="shared" si="77"/>
        <v>#DIV/0!</v>
      </c>
      <c r="Z143" s="6" t="e">
        <f t="shared" si="77"/>
        <v>#DIV/0!</v>
      </c>
    </row>
    <row r="144" spans="1:26" x14ac:dyDescent="0.2">
      <c r="A144" s="7" t="s">
        <v>113</v>
      </c>
      <c r="B144" s="6">
        <f t="shared" si="80"/>
        <v>11</v>
      </c>
      <c r="C144" s="7" t="s">
        <v>161</v>
      </c>
      <c r="D144" s="69">
        <v>58</v>
      </c>
      <c r="E144" s="69">
        <v>0</v>
      </c>
      <c r="F144" s="66">
        <f t="shared" si="78"/>
        <v>0</v>
      </c>
      <c r="G144" s="61" t="e">
        <f t="shared" si="81"/>
        <v>#DIV/0!</v>
      </c>
      <c r="H144" s="66" t="e">
        <f t="shared" si="26"/>
        <v>#DIV/0!</v>
      </c>
      <c r="I144" s="66" t="e">
        <f t="shared" si="26"/>
        <v>#DIV/0!</v>
      </c>
      <c r="J144" s="66" t="e">
        <f t="shared" si="26"/>
        <v>#DIV/0!</v>
      </c>
      <c r="K144" s="70">
        <v>1500</v>
      </c>
      <c r="L144" s="70">
        <f>'Monitoramento Acumulado Geral'!Q144</f>
        <v>0</v>
      </c>
      <c r="M144" s="6">
        <f>(SUM(L134:L144))/K143</f>
        <v>0</v>
      </c>
      <c r="N144" s="35" t="str">
        <f t="shared" si="82"/>
        <v>Desempenho Médio</v>
      </c>
      <c r="O144" s="6">
        <f t="shared" si="75"/>
        <v>0.42046470140126019</v>
      </c>
      <c r="P144" s="6">
        <f t="shared" si="75"/>
        <v>0.84574683442734511</v>
      </c>
      <c r="Q144" s="6">
        <f t="shared" si="75"/>
        <v>-4.8174316248247306E-3</v>
      </c>
      <c r="R144" s="70">
        <v>50</v>
      </c>
      <c r="S144" s="70">
        <v>0</v>
      </c>
      <c r="T144" s="6">
        <f t="shared" si="79"/>
        <v>0</v>
      </c>
      <c r="U144" s="35" t="e">
        <f t="shared" si="83"/>
        <v>#DIV/0!</v>
      </c>
      <c r="V144" s="6" t="e">
        <f t="shared" si="77"/>
        <v>#DIV/0!</v>
      </c>
      <c r="W144" s="6" t="e">
        <f t="shared" si="77"/>
        <v>#DIV/0!</v>
      </c>
      <c r="X144" s="6" t="e">
        <f t="shared" si="77"/>
        <v>#DIV/0!</v>
      </c>
      <c r="Y144" s="6" t="e">
        <f t="shared" si="77"/>
        <v>#DIV/0!</v>
      </c>
      <c r="Z144" s="6" t="e">
        <f t="shared" si="77"/>
        <v>#DIV/0!</v>
      </c>
    </row>
    <row r="145" spans="1:26" x14ac:dyDescent="0.2">
      <c r="A145" s="7" t="s">
        <v>113</v>
      </c>
      <c r="B145" s="6">
        <f t="shared" si="80"/>
        <v>12</v>
      </c>
      <c r="C145" s="7" t="s">
        <v>162</v>
      </c>
      <c r="D145" s="69">
        <v>58</v>
      </c>
      <c r="E145" s="69">
        <v>0</v>
      </c>
      <c r="F145" s="66">
        <f t="shared" si="78"/>
        <v>0</v>
      </c>
      <c r="G145" s="61" t="e">
        <f t="shared" si="81"/>
        <v>#DIV/0!</v>
      </c>
      <c r="H145" s="66" t="e">
        <f t="shared" si="26"/>
        <v>#DIV/0!</v>
      </c>
      <c r="I145" s="66" t="e">
        <f t="shared" si="26"/>
        <v>#DIV/0!</v>
      </c>
      <c r="J145" s="66" t="e">
        <f t="shared" si="26"/>
        <v>#DIV/0!</v>
      </c>
      <c r="K145" s="70">
        <v>1500</v>
      </c>
      <c r="L145" s="70">
        <f>'Monitoramento Acumulado Geral'!Q145</f>
        <v>0</v>
      </c>
      <c r="M145" s="6">
        <f>(SUM(L134:L145))/K144</f>
        <v>0</v>
      </c>
      <c r="N145" s="35" t="str">
        <f t="shared" si="82"/>
        <v>Desempenho Médio</v>
      </c>
      <c r="O145" s="6">
        <f t="shared" si="75"/>
        <v>0.41824651958307835</v>
      </c>
      <c r="P145" s="6">
        <f t="shared" si="75"/>
        <v>0.84510274859297763</v>
      </c>
      <c r="Q145" s="6">
        <f t="shared" si="75"/>
        <v>-8.6097094268208774E-3</v>
      </c>
      <c r="R145" s="70">
        <v>50</v>
      </c>
      <c r="S145" s="70">
        <v>0</v>
      </c>
      <c r="T145" s="6">
        <f t="shared" si="79"/>
        <v>0</v>
      </c>
      <c r="U145" s="35" t="e">
        <f t="shared" si="83"/>
        <v>#DIV/0!</v>
      </c>
      <c r="V145" s="6" t="e">
        <f t="shared" si="77"/>
        <v>#DIV/0!</v>
      </c>
      <c r="W145" s="6" t="e">
        <f t="shared" si="77"/>
        <v>#DIV/0!</v>
      </c>
      <c r="X145" s="6" t="e">
        <f t="shared" si="77"/>
        <v>#DIV/0!</v>
      </c>
      <c r="Y145" s="6" t="e">
        <f t="shared" si="77"/>
        <v>#DIV/0!</v>
      </c>
      <c r="Z145" s="6" t="e">
        <f t="shared" si="77"/>
        <v>#DIV/0!</v>
      </c>
    </row>
    <row r="146" spans="1:26" x14ac:dyDescent="0.2">
      <c r="A146" s="7" t="s">
        <v>117</v>
      </c>
      <c r="B146" s="6">
        <f t="shared" si="80"/>
        <v>1</v>
      </c>
      <c r="C146" s="7" t="s">
        <v>151</v>
      </c>
      <c r="D146" s="69">
        <v>75</v>
      </c>
      <c r="E146" s="69">
        <v>0</v>
      </c>
      <c r="F146" s="66">
        <f t="shared" si="78"/>
        <v>0</v>
      </c>
      <c r="G146" s="61" t="e">
        <f t="shared" si="81"/>
        <v>#DIV/0!</v>
      </c>
      <c r="H146" s="66" t="e">
        <f t="shared" si="26"/>
        <v>#DIV/0!</v>
      </c>
      <c r="I146" s="66" t="e">
        <f t="shared" si="26"/>
        <v>#DIV/0!</v>
      </c>
      <c r="J146" s="66" t="e">
        <f t="shared" si="26"/>
        <v>#DIV/0!</v>
      </c>
      <c r="K146" s="70">
        <v>37047.75</v>
      </c>
      <c r="L146" s="70">
        <f>'Monitoramento Acumulado Geral'!Q146</f>
        <v>0</v>
      </c>
      <c r="M146" s="6">
        <f>L146/K146</f>
        <v>0</v>
      </c>
      <c r="N146" s="35" t="str">
        <f t="shared" si="82"/>
        <v>Desempenho Médio</v>
      </c>
      <c r="O146" s="6">
        <f t="shared" ref="O146:Q161" si="84">O134</f>
        <v>3.4274647562211005E-2</v>
      </c>
      <c r="P146" s="6">
        <f t="shared" si="84"/>
        <v>0.10289217685709087</v>
      </c>
      <c r="Q146" s="6">
        <f t="shared" si="84"/>
        <v>-3.4342881732668862E-2</v>
      </c>
      <c r="R146" s="70">
        <v>80</v>
      </c>
      <c r="S146" s="70">
        <v>0</v>
      </c>
      <c r="T146" s="6">
        <f t="shared" si="79"/>
        <v>0</v>
      </c>
      <c r="U146" s="35" t="e">
        <f t="shared" si="83"/>
        <v>#DIV/0!</v>
      </c>
      <c r="V146" s="6" t="e">
        <f t="shared" si="77"/>
        <v>#DIV/0!</v>
      </c>
      <c r="W146" s="6" t="e">
        <f t="shared" si="77"/>
        <v>#DIV/0!</v>
      </c>
      <c r="X146" s="6" t="e">
        <f t="shared" si="77"/>
        <v>#DIV/0!</v>
      </c>
      <c r="Y146" s="6" t="e">
        <f t="shared" si="77"/>
        <v>#DIV/0!</v>
      </c>
      <c r="Z146" s="6" t="e">
        <f t="shared" si="77"/>
        <v>#DIV/0!</v>
      </c>
    </row>
    <row r="147" spans="1:26" x14ac:dyDescent="0.2">
      <c r="A147" s="7" t="s">
        <v>117</v>
      </c>
      <c r="B147" s="6">
        <f t="shared" si="80"/>
        <v>2</v>
      </c>
      <c r="C147" s="7" t="s">
        <v>152</v>
      </c>
      <c r="D147" s="69">
        <v>75</v>
      </c>
      <c r="E147" s="69">
        <v>8</v>
      </c>
      <c r="F147" s="66">
        <f t="shared" si="78"/>
        <v>0.10666666666666667</v>
      </c>
      <c r="G147" s="61" t="e">
        <f t="shared" si="81"/>
        <v>#DIV/0!</v>
      </c>
      <c r="H147" s="66" t="e">
        <f t="shared" si="26"/>
        <v>#DIV/0!</v>
      </c>
      <c r="I147" s="66" t="e">
        <f t="shared" si="26"/>
        <v>#DIV/0!</v>
      </c>
      <c r="J147" s="66" t="e">
        <f t="shared" si="26"/>
        <v>#DIV/0!</v>
      </c>
      <c r="K147" s="70">
        <v>37047.75</v>
      </c>
      <c r="L147" s="70">
        <f>'Monitoramento Acumulado Geral'!Q147</f>
        <v>100</v>
      </c>
      <c r="M147" s="6">
        <f>(SUM(L146:L147))/K146</f>
        <v>2.6992192508316971E-3</v>
      </c>
      <c r="N147" s="35" t="str">
        <f t="shared" si="82"/>
        <v>Desempenho Médio</v>
      </c>
      <c r="O147" s="6">
        <f t="shared" si="84"/>
        <v>8.1815188943147363E-2</v>
      </c>
      <c r="P147" s="6">
        <f t="shared" si="84"/>
        <v>0.20623883252423067</v>
      </c>
      <c r="Q147" s="6">
        <f t="shared" si="84"/>
        <v>-4.2608454637935944E-2</v>
      </c>
      <c r="R147" s="70">
        <v>80</v>
      </c>
      <c r="S147" s="70">
        <v>0</v>
      </c>
      <c r="T147" s="6">
        <f t="shared" si="79"/>
        <v>0</v>
      </c>
      <c r="U147" s="35" t="e">
        <f t="shared" si="83"/>
        <v>#DIV/0!</v>
      </c>
      <c r="V147" s="6" t="e">
        <f t="shared" si="77"/>
        <v>#DIV/0!</v>
      </c>
      <c r="W147" s="6" t="e">
        <f t="shared" si="77"/>
        <v>#DIV/0!</v>
      </c>
      <c r="X147" s="6" t="e">
        <f t="shared" si="77"/>
        <v>#DIV/0!</v>
      </c>
      <c r="Y147" s="6" t="e">
        <f t="shared" si="77"/>
        <v>#DIV/0!</v>
      </c>
      <c r="Z147" s="6" t="e">
        <f t="shared" si="77"/>
        <v>#DIV/0!</v>
      </c>
    </row>
    <row r="148" spans="1:26" x14ac:dyDescent="0.2">
      <c r="A148" s="7" t="s">
        <v>117</v>
      </c>
      <c r="B148" s="6">
        <f t="shared" si="80"/>
        <v>3</v>
      </c>
      <c r="C148" s="7" t="s">
        <v>153</v>
      </c>
      <c r="D148" s="69">
        <v>75</v>
      </c>
      <c r="E148" s="69">
        <v>24</v>
      </c>
      <c r="F148" s="66">
        <f t="shared" si="78"/>
        <v>0.32</v>
      </c>
      <c r="G148" s="61" t="e">
        <f t="shared" si="81"/>
        <v>#DIV/0!</v>
      </c>
      <c r="H148" s="66" t="e">
        <f t="shared" si="26"/>
        <v>#DIV/0!</v>
      </c>
      <c r="I148" s="66" t="e">
        <f t="shared" si="26"/>
        <v>#DIV/0!</v>
      </c>
      <c r="J148" s="66" t="e">
        <f t="shared" si="26"/>
        <v>#DIV/0!</v>
      </c>
      <c r="K148" s="70">
        <v>37047.75</v>
      </c>
      <c r="L148" s="70">
        <f>'Monitoramento Acumulado Geral'!Q148</f>
        <v>1425.88</v>
      </c>
      <c r="M148" s="6">
        <f>(SUM(L146:L148))/K147</f>
        <v>4.1186846704590697E-2</v>
      </c>
      <c r="N148" s="35" t="str">
        <f t="shared" si="82"/>
        <v>Desempenho Médio</v>
      </c>
      <c r="O148" s="6">
        <f t="shared" si="84"/>
        <v>0.13411292471649494</v>
      </c>
      <c r="P148" s="6">
        <f t="shared" si="84"/>
        <v>0.29721906787058483</v>
      </c>
      <c r="Q148" s="6">
        <f t="shared" si="84"/>
        <v>-2.899321843759492E-2</v>
      </c>
      <c r="R148" s="70">
        <v>80</v>
      </c>
      <c r="S148" s="70">
        <v>0</v>
      </c>
      <c r="T148" s="6">
        <f t="shared" si="79"/>
        <v>0</v>
      </c>
      <c r="U148" s="35" t="e">
        <f t="shared" si="83"/>
        <v>#DIV/0!</v>
      </c>
      <c r="V148" s="6" t="e">
        <f t="shared" si="77"/>
        <v>#DIV/0!</v>
      </c>
      <c r="W148" s="6" t="e">
        <f t="shared" si="77"/>
        <v>#DIV/0!</v>
      </c>
      <c r="X148" s="6" t="e">
        <f t="shared" si="77"/>
        <v>#DIV/0!</v>
      </c>
      <c r="Y148" s="6" t="e">
        <f t="shared" si="77"/>
        <v>#DIV/0!</v>
      </c>
      <c r="Z148" s="6" t="e">
        <f t="shared" si="77"/>
        <v>#DIV/0!</v>
      </c>
    </row>
    <row r="149" spans="1:26" x14ac:dyDescent="0.2">
      <c r="A149" s="7" t="s">
        <v>117</v>
      </c>
      <c r="B149" s="6">
        <f t="shared" si="80"/>
        <v>4</v>
      </c>
      <c r="C149" s="7" t="s">
        <v>154</v>
      </c>
      <c r="D149" s="69">
        <v>75</v>
      </c>
      <c r="E149" s="69">
        <v>28</v>
      </c>
      <c r="F149" s="66">
        <f t="shared" si="78"/>
        <v>0.37333333333333335</v>
      </c>
      <c r="G149" s="61" t="e">
        <f t="shared" si="81"/>
        <v>#DIV/0!</v>
      </c>
      <c r="H149" s="66" t="e">
        <f t="shared" si="26"/>
        <v>#DIV/0!</v>
      </c>
      <c r="I149" s="66" t="e">
        <f t="shared" si="26"/>
        <v>#DIV/0!</v>
      </c>
      <c r="J149" s="66" t="e">
        <f t="shared" si="26"/>
        <v>#DIV/0!</v>
      </c>
      <c r="K149" s="70">
        <v>37047.75</v>
      </c>
      <c r="L149" s="70">
        <f>'Monitoramento Acumulado Geral'!Q149</f>
        <v>113</v>
      </c>
      <c r="M149" s="6">
        <f>(SUM(L146:L149))/K148</f>
        <v>4.423696445803052E-2</v>
      </c>
      <c r="N149" s="35" t="str">
        <f t="shared" si="82"/>
        <v>Desempenho Médio</v>
      </c>
      <c r="O149" s="6">
        <f t="shared" si="84"/>
        <v>0.15392483870093213</v>
      </c>
      <c r="P149" s="6">
        <f t="shared" si="84"/>
        <v>0.32772007016950033</v>
      </c>
      <c r="Q149" s="6">
        <f t="shared" si="84"/>
        <v>-1.9870392767636053E-2</v>
      </c>
      <c r="R149" s="70">
        <v>80</v>
      </c>
      <c r="S149" s="70">
        <v>0</v>
      </c>
      <c r="T149" s="6">
        <f t="shared" si="79"/>
        <v>0</v>
      </c>
      <c r="U149" s="35" t="e">
        <f t="shared" si="83"/>
        <v>#DIV/0!</v>
      </c>
      <c r="V149" s="6" t="e">
        <f t="shared" si="77"/>
        <v>#DIV/0!</v>
      </c>
      <c r="W149" s="6" t="e">
        <f t="shared" si="77"/>
        <v>#DIV/0!</v>
      </c>
      <c r="X149" s="6" t="e">
        <f t="shared" si="77"/>
        <v>#DIV/0!</v>
      </c>
      <c r="Y149" s="6" t="e">
        <f t="shared" si="77"/>
        <v>#DIV/0!</v>
      </c>
      <c r="Z149" s="6" t="e">
        <f t="shared" si="77"/>
        <v>#DIV/0!</v>
      </c>
    </row>
    <row r="150" spans="1:26" x14ac:dyDescent="0.2">
      <c r="A150" s="7" t="s">
        <v>117</v>
      </c>
      <c r="B150" s="6">
        <f t="shared" si="80"/>
        <v>5</v>
      </c>
      <c r="C150" s="7" t="s">
        <v>155</v>
      </c>
      <c r="D150" s="69">
        <v>75</v>
      </c>
      <c r="E150" s="69">
        <v>44</v>
      </c>
      <c r="F150" s="66">
        <f t="shared" si="78"/>
        <v>0.58666666666666667</v>
      </c>
      <c r="G150" s="61" t="e">
        <f t="shared" si="81"/>
        <v>#DIV/0!</v>
      </c>
      <c r="H150" s="66" t="e">
        <f t="shared" si="26"/>
        <v>#DIV/0!</v>
      </c>
      <c r="I150" s="66" t="e">
        <f t="shared" si="26"/>
        <v>#DIV/0!</v>
      </c>
      <c r="J150" s="66" t="e">
        <f t="shared" si="26"/>
        <v>#DIV/0!</v>
      </c>
      <c r="K150" s="70">
        <v>37047.75</v>
      </c>
      <c r="L150" s="70">
        <f>'Monitoramento Acumulado Geral'!Q150</f>
        <v>1445</v>
      </c>
      <c r="M150" s="6">
        <f>(SUM(L146:L150))/K149</f>
        <v>8.3240682632548538E-2</v>
      </c>
      <c r="N150" s="35" t="str">
        <f t="shared" si="82"/>
        <v>Desempenho Médio</v>
      </c>
      <c r="O150" s="6">
        <f t="shared" si="84"/>
        <v>0.21139287248463789</v>
      </c>
      <c r="P150" s="6">
        <f t="shared" si="84"/>
        <v>0.43680804416292918</v>
      </c>
      <c r="Q150" s="6">
        <f t="shared" si="84"/>
        <v>-1.4022299193653387E-2</v>
      </c>
      <c r="R150" s="70">
        <v>80</v>
      </c>
      <c r="S150" s="70">
        <v>0</v>
      </c>
      <c r="T150" s="6">
        <f t="shared" si="79"/>
        <v>0</v>
      </c>
      <c r="U150" s="35" t="e">
        <f t="shared" si="83"/>
        <v>#DIV/0!</v>
      </c>
      <c r="V150" s="6" t="e">
        <f t="shared" si="77"/>
        <v>#DIV/0!</v>
      </c>
      <c r="W150" s="6" t="e">
        <f t="shared" si="77"/>
        <v>#DIV/0!</v>
      </c>
      <c r="X150" s="6" t="e">
        <f t="shared" si="77"/>
        <v>#DIV/0!</v>
      </c>
      <c r="Y150" s="6" t="e">
        <f t="shared" si="77"/>
        <v>#DIV/0!</v>
      </c>
      <c r="Z150" s="6" t="e">
        <f t="shared" si="77"/>
        <v>#DIV/0!</v>
      </c>
    </row>
    <row r="151" spans="1:26" x14ac:dyDescent="0.2">
      <c r="A151" s="7" t="s">
        <v>117</v>
      </c>
      <c r="B151" s="6">
        <f t="shared" si="80"/>
        <v>6</v>
      </c>
      <c r="C151" s="7" t="s">
        <v>156</v>
      </c>
      <c r="D151" s="69">
        <v>75</v>
      </c>
      <c r="E151" s="69">
        <v>52</v>
      </c>
      <c r="F151" s="66">
        <f t="shared" si="78"/>
        <v>0.69333333333333336</v>
      </c>
      <c r="G151" s="61" t="e">
        <f t="shared" si="81"/>
        <v>#DIV/0!</v>
      </c>
      <c r="H151" s="66" t="e">
        <f t="shared" si="26"/>
        <v>#DIV/0!</v>
      </c>
      <c r="I151" s="66" t="e">
        <f t="shared" si="26"/>
        <v>#DIV/0!</v>
      </c>
      <c r="J151" s="66" t="e">
        <f t="shared" si="26"/>
        <v>#DIV/0!</v>
      </c>
      <c r="K151" s="70">
        <v>37047.75</v>
      </c>
      <c r="L151" s="70">
        <f>'Monitoramento Acumulado Geral'!Q151</f>
        <v>1884</v>
      </c>
      <c r="M151" s="6">
        <f>(SUM(L146:L151))/K150</f>
        <v>0.13409397331821771</v>
      </c>
      <c r="N151" s="35" t="str">
        <f t="shared" si="82"/>
        <v>Desempenho Médio</v>
      </c>
      <c r="O151" s="6">
        <f t="shared" si="84"/>
        <v>0.28403291059934432</v>
      </c>
      <c r="P151" s="6">
        <f t="shared" si="84"/>
        <v>0.56118246348434164</v>
      </c>
      <c r="Q151" s="6">
        <f t="shared" si="84"/>
        <v>6.8833577143469493E-3</v>
      </c>
      <c r="R151" s="70">
        <v>80</v>
      </c>
      <c r="S151" s="70">
        <v>0</v>
      </c>
      <c r="T151" s="6">
        <f t="shared" si="79"/>
        <v>0</v>
      </c>
      <c r="U151" s="35" t="e">
        <f t="shared" si="83"/>
        <v>#DIV/0!</v>
      </c>
      <c r="V151" s="6" t="e">
        <f t="shared" si="77"/>
        <v>#DIV/0!</v>
      </c>
      <c r="W151" s="6" t="e">
        <f t="shared" si="77"/>
        <v>#DIV/0!</v>
      </c>
      <c r="X151" s="6" t="e">
        <f t="shared" si="77"/>
        <v>#DIV/0!</v>
      </c>
      <c r="Y151" s="6" t="e">
        <f t="shared" si="77"/>
        <v>#DIV/0!</v>
      </c>
      <c r="Z151" s="6" t="e">
        <f t="shared" si="77"/>
        <v>#DIV/0!</v>
      </c>
    </row>
    <row r="152" spans="1:26" x14ac:dyDescent="0.2">
      <c r="A152" s="7" t="s">
        <v>117</v>
      </c>
      <c r="B152" s="6">
        <f t="shared" si="80"/>
        <v>7</v>
      </c>
      <c r="C152" s="7" t="s">
        <v>157</v>
      </c>
      <c r="D152" s="69">
        <v>75</v>
      </c>
      <c r="E152" s="69">
        <v>60</v>
      </c>
      <c r="F152" s="66">
        <f t="shared" si="78"/>
        <v>0.8</v>
      </c>
      <c r="G152" s="61" t="e">
        <f t="shared" si="81"/>
        <v>#DIV/0!</v>
      </c>
      <c r="H152" s="66" t="e">
        <f t="shared" si="26"/>
        <v>#DIV/0!</v>
      </c>
      <c r="I152" s="66" t="e">
        <f t="shared" si="26"/>
        <v>#DIV/0!</v>
      </c>
      <c r="J152" s="66" t="e">
        <f t="shared" si="26"/>
        <v>#DIV/0!</v>
      </c>
      <c r="K152" s="70">
        <v>37047.75</v>
      </c>
      <c r="L152" s="70">
        <f>'Monitoramento Acumulado Geral'!Q152</f>
        <v>4630</v>
      </c>
      <c r="M152" s="6">
        <f>(SUM(L146:L152))/K151</f>
        <v>0.25906782463172529</v>
      </c>
      <c r="N152" s="35" t="str">
        <f t="shared" si="82"/>
        <v>Desempenho Médio</v>
      </c>
      <c r="O152" s="6">
        <f t="shared" si="84"/>
        <v>0.42046470140126019</v>
      </c>
      <c r="P152" s="6">
        <f t="shared" si="84"/>
        <v>0.84574683442734511</v>
      </c>
      <c r="Q152" s="6">
        <f t="shared" si="84"/>
        <v>-4.8174316248247306E-3</v>
      </c>
      <c r="R152" s="70">
        <v>80</v>
      </c>
      <c r="S152" s="70">
        <v>0</v>
      </c>
      <c r="T152" s="6">
        <f t="shared" si="79"/>
        <v>0</v>
      </c>
      <c r="U152" s="35" t="e">
        <f t="shared" si="83"/>
        <v>#DIV/0!</v>
      </c>
      <c r="V152" s="6" t="e">
        <f t="shared" si="77"/>
        <v>#DIV/0!</v>
      </c>
      <c r="W152" s="6" t="e">
        <f t="shared" si="77"/>
        <v>#DIV/0!</v>
      </c>
      <c r="X152" s="6" t="e">
        <f t="shared" si="77"/>
        <v>#DIV/0!</v>
      </c>
      <c r="Y152" s="6" t="e">
        <f t="shared" si="77"/>
        <v>#DIV/0!</v>
      </c>
      <c r="Z152" s="6" t="e">
        <f t="shared" si="77"/>
        <v>#DIV/0!</v>
      </c>
    </row>
    <row r="153" spans="1:26" x14ac:dyDescent="0.2">
      <c r="A153" s="7" t="s">
        <v>117</v>
      </c>
      <c r="B153" s="6">
        <f t="shared" si="80"/>
        <v>8</v>
      </c>
      <c r="C153" s="7" t="s">
        <v>158</v>
      </c>
      <c r="D153" s="69">
        <v>75</v>
      </c>
      <c r="E153" s="69">
        <v>0</v>
      </c>
      <c r="F153" s="66">
        <f t="shared" si="78"/>
        <v>0</v>
      </c>
      <c r="G153" s="61" t="e">
        <f t="shared" si="81"/>
        <v>#DIV/0!</v>
      </c>
      <c r="H153" s="66" t="e">
        <f t="shared" si="26"/>
        <v>#DIV/0!</v>
      </c>
      <c r="I153" s="66" t="e">
        <f t="shared" si="26"/>
        <v>#DIV/0!</v>
      </c>
      <c r="J153" s="66" t="e">
        <f t="shared" si="26"/>
        <v>#DIV/0!</v>
      </c>
      <c r="K153" s="70">
        <v>37047.75</v>
      </c>
      <c r="L153" s="70">
        <f>'Monitoramento Acumulado Geral'!Q153</f>
        <v>0</v>
      </c>
      <c r="M153" s="6">
        <f>(SUM(L146:L153))/K152</f>
        <v>0.25906782463172529</v>
      </c>
      <c r="N153" s="35" t="str">
        <f t="shared" si="82"/>
        <v>Desempenho Médio</v>
      </c>
      <c r="O153" s="6">
        <f t="shared" si="84"/>
        <v>0.42046470140126019</v>
      </c>
      <c r="P153" s="6">
        <f t="shared" si="84"/>
        <v>0.84574683442734511</v>
      </c>
      <c r="Q153" s="6">
        <f t="shared" si="84"/>
        <v>-4.8174316248247306E-3</v>
      </c>
      <c r="R153" s="70">
        <v>80</v>
      </c>
      <c r="S153" s="70">
        <v>0</v>
      </c>
      <c r="T153" s="6">
        <f t="shared" si="79"/>
        <v>0</v>
      </c>
      <c r="U153" s="35" t="e">
        <f t="shared" si="83"/>
        <v>#DIV/0!</v>
      </c>
      <c r="V153" s="6" t="e">
        <f t="shared" si="77"/>
        <v>#DIV/0!</v>
      </c>
      <c r="W153" s="6" t="e">
        <f t="shared" si="77"/>
        <v>#DIV/0!</v>
      </c>
      <c r="X153" s="6" t="e">
        <f t="shared" si="77"/>
        <v>#DIV/0!</v>
      </c>
      <c r="Y153" s="6" t="e">
        <f t="shared" si="77"/>
        <v>#DIV/0!</v>
      </c>
      <c r="Z153" s="6" t="e">
        <f t="shared" si="77"/>
        <v>#DIV/0!</v>
      </c>
    </row>
    <row r="154" spans="1:26" x14ac:dyDescent="0.2">
      <c r="A154" s="7" t="s">
        <v>117</v>
      </c>
      <c r="B154" s="6">
        <f t="shared" si="80"/>
        <v>9</v>
      </c>
      <c r="C154" s="7" t="s">
        <v>159</v>
      </c>
      <c r="D154" s="69">
        <v>75</v>
      </c>
      <c r="E154" s="69">
        <v>0</v>
      </c>
      <c r="F154" s="66">
        <f t="shared" si="78"/>
        <v>0</v>
      </c>
      <c r="G154" s="61" t="e">
        <f t="shared" si="81"/>
        <v>#DIV/0!</v>
      </c>
      <c r="H154" s="66" t="e">
        <f t="shared" si="26"/>
        <v>#DIV/0!</v>
      </c>
      <c r="I154" s="66" t="e">
        <f t="shared" si="26"/>
        <v>#DIV/0!</v>
      </c>
      <c r="J154" s="66" t="e">
        <f t="shared" si="26"/>
        <v>#DIV/0!</v>
      </c>
      <c r="K154" s="70">
        <v>37047.75</v>
      </c>
      <c r="L154" s="70">
        <f>'Monitoramento Acumulado Geral'!Q154</f>
        <v>0</v>
      </c>
      <c r="M154" s="6">
        <f>(SUM(L146:L154))/K153</f>
        <v>0.25906782463172529</v>
      </c>
      <c r="N154" s="35" t="str">
        <f t="shared" si="82"/>
        <v>Desempenho Médio</v>
      </c>
      <c r="O154" s="6">
        <f t="shared" si="84"/>
        <v>0.42046470140126019</v>
      </c>
      <c r="P154" s="6">
        <f t="shared" si="84"/>
        <v>0.84574683442734511</v>
      </c>
      <c r="Q154" s="6">
        <f t="shared" si="84"/>
        <v>-4.8174316248247306E-3</v>
      </c>
      <c r="R154" s="70">
        <v>80</v>
      </c>
      <c r="S154" s="70">
        <v>0</v>
      </c>
      <c r="T154" s="6">
        <f t="shared" si="79"/>
        <v>0</v>
      </c>
      <c r="U154" s="35" t="e">
        <f t="shared" si="83"/>
        <v>#DIV/0!</v>
      </c>
      <c r="V154" s="6" t="e">
        <f t="shared" si="77"/>
        <v>#DIV/0!</v>
      </c>
      <c r="W154" s="6" t="e">
        <f t="shared" si="77"/>
        <v>#DIV/0!</v>
      </c>
      <c r="X154" s="6" t="e">
        <f t="shared" si="77"/>
        <v>#DIV/0!</v>
      </c>
      <c r="Y154" s="6" t="e">
        <f t="shared" si="77"/>
        <v>#DIV/0!</v>
      </c>
      <c r="Z154" s="6" t="e">
        <f t="shared" si="77"/>
        <v>#DIV/0!</v>
      </c>
    </row>
    <row r="155" spans="1:26" x14ac:dyDescent="0.2">
      <c r="A155" s="7" t="s">
        <v>117</v>
      </c>
      <c r="B155" s="6">
        <f t="shared" si="80"/>
        <v>10</v>
      </c>
      <c r="C155" s="7" t="s">
        <v>160</v>
      </c>
      <c r="D155" s="69">
        <v>75</v>
      </c>
      <c r="E155" s="69">
        <v>0</v>
      </c>
      <c r="F155" s="66">
        <f t="shared" si="78"/>
        <v>0</v>
      </c>
      <c r="G155" s="61" t="e">
        <f t="shared" si="81"/>
        <v>#DIV/0!</v>
      </c>
      <c r="H155" s="66" t="e">
        <f t="shared" ref="H155:J218" si="85">H143</f>
        <v>#DIV/0!</v>
      </c>
      <c r="I155" s="66" t="e">
        <f t="shared" si="85"/>
        <v>#DIV/0!</v>
      </c>
      <c r="J155" s="66" t="e">
        <f t="shared" si="85"/>
        <v>#DIV/0!</v>
      </c>
      <c r="K155" s="70">
        <v>37047.75</v>
      </c>
      <c r="L155" s="70">
        <f>'Monitoramento Acumulado Geral'!Q155</f>
        <v>0</v>
      </c>
      <c r="M155" s="6">
        <f>(SUM(L146:L155))/K154</f>
        <v>0.25906782463172529</v>
      </c>
      <c r="N155" s="35" t="str">
        <f t="shared" si="82"/>
        <v>Desempenho Médio</v>
      </c>
      <c r="O155" s="6">
        <f t="shared" si="84"/>
        <v>0.42046470140126019</v>
      </c>
      <c r="P155" s="6">
        <f t="shared" si="84"/>
        <v>0.84574683442734511</v>
      </c>
      <c r="Q155" s="6">
        <f t="shared" si="84"/>
        <v>-4.8174316248247306E-3</v>
      </c>
      <c r="R155" s="70">
        <v>80</v>
      </c>
      <c r="S155" s="70">
        <v>0</v>
      </c>
      <c r="T155" s="6">
        <f t="shared" si="79"/>
        <v>0</v>
      </c>
      <c r="U155" s="35" t="e">
        <f t="shared" si="83"/>
        <v>#DIV/0!</v>
      </c>
      <c r="V155" s="6" t="e">
        <f t="shared" ref="V155:Z170" si="86">V143</f>
        <v>#DIV/0!</v>
      </c>
      <c r="W155" s="6" t="e">
        <f t="shared" si="86"/>
        <v>#DIV/0!</v>
      </c>
      <c r="X155" s="6" t="e">
        <f t="shared" si="86"/>
        <v>#DIV/0!</v>
      </c>
      <c r="Y155" s="6" t="e">
        <f t="shared" si="86"/>
        <v>#DIV/0!</v>
      </c>
      <c r="Z155" s="6" t="e">
        <f t="shared" si="86"/>
        <v>#DIV/0!</v>
      </c>
    </row>
    <row r="156" spans="1:26" x14ac:dyDescent="0.2">
      <c r="A156" s="7" t="s">
        <v>117</v>
      </c>
      <c r="B156" s="6">
        <f t="shared" si="80"/>
        <v>11</v>
      </c>
      <c r="C156" s="7" t="s">
        <v>161</v>
      </c>
      <c r="D156" s="69">
        <v>75</v>
      </c>
      <c r="E156" s="69">
        <v>0</v>
      </c>
      <c r="F156" s="66">
        <f t="shared" si="78"/>
        <v>0</v>
      </c>
      <c r="G156" s="61" t="e">
        <f t="shared" si="81"/>
        <v>#DIV/0!</v>
      </c>
      <c r="H156" s="66" t="e">
        <f t="shared" si="85"/>
        <v>#DIV/0!</v>
      </c>
      <c r="I156" s="66" t="e">
        <f t="shared" si="85"/>
        <v>#DIV/0!</v>
      </c>
      <c r="J156" s="66" t="e">
        <f t="shared" si="85"/>
        <v>#DIV/0!</v>
      </c>
      <c r="K156" s="70">
        <v>37047.75</v>
      </c>
      <c r="L156" s="70">
        <f>'Monitoramento Acumulado Geral'!Q156</f>
        <v>0</v>
      </c>
      <c r="M156" s="6">
        <f>(SUM(L146:L156))/K155</f>
        <v>0.25906782463172529</v>
      </c>
      <c r="N156" s="35" t="str">
        <f t="shared" si="82"/>
        <v>Desempenho Médio</v>
      </c>
      <c r="O156" s="6">
        <f t="shared" si="84"/>
        <v>0.42046470140126019</v>
      </c>
      <c r="P156" s="6">
        <f t="shared" si="84"/>
        <v>0.84574683442734511</v>
      </c>
      <c r="Q156" s="6">
        <f t="shared" si="84"/>
        <v>-4.8174316248247306E-3</v>
      </c>
      <c r="R156" s="70">
        <v>80</v>
      </c>
      <c r="S156" s="70">
        <v>0</v>
      </c>
      <c r="T156" s="6">
        <f t="shared" si="79"/>
        <v>0</v>
      </c>
      <c r="U156" s="35" t="e">
        <f t="shared" si="83"/>
        <v>#DIV/0!</v>
      </c>
      <c r="V156" s="6" t="e">
        <f t="shared" si="86"/>
        <v>#DIV/0!</v>
      </c>
      <c r="W156" s="6" t="e">
        <f t="shared" si="86"/>
        <v>#DIV/0!</v>
      </c>
      <c r="X156" s="6" t="e">
        <f t="shared" si="86"/>
        <v>#DIV/0!</v>
      </c>
      <c r="Y156" s="6" t="e">
        <f t="shared" si="86"/>
        <v>#DIV/0!</v>
      </c>
      <c r="Z156" s="6" t="e">
        <f t="shared" si="86"/>
        <v>#DIV/0!</v>
      </c>
    </row>
    <row r="157" spans="1:26" x14ac:dyDescent="0.2">
      <c r="A157" s="7" t="s">
        <v>117</v>
      </c>
      <c r="B157" s="6">
        <f t="shared" si="80"/>
        <v>12</v>
      </c>
      <c r="C157" s="7" t="s">
        <v>162</v>
      </c>
      <c r="D157" s="69">
        <v>75</v>
      </c>
      <c r="E157" s="69">
        <v>0</v>
      </c>
      <c r="F157" s="66">
        <f t="shared" si="78"/>
        <v>0</v>
      </c>
      <c r="G157" s="61" t="e">
        <f t="shared" si="81"/>
        <v>#DIV/0!</v>
      </c>
      <c r="H157" s="66" t="e">
        <f t="shared" si="85"/>
        <v>#DIV/0!</v>
      </c>
      <c r="I157" s="66" t="e">
        <f t="shared" si="85"/>
        <v>#DIV/0!</v>
      </c>
      <c r="J157" s="66" t="e">
        <f t="shared" si="85"/>
        <v>#DIV/0!</v>
      </c>
      <c r="K157" s="70">
        <v>37047.75</v>
      </c>
      <c r="L157" s="70">
        <f>'Monitoramento Acumulado Geral'!Q157</f>
        <v>0</v>
      </c>
      <c r="M157" s="6">
        <f>(SUM(L146:L157))/K156</f>
        <v>0.25906782463172529</v>
      </c>
      <c r="N157" s="35" t="str">
        <f t="shared" si="82"/>
        <v>Desempenho Médio</v>
      </c>
      <c r="O157" s="6">
        <f t="shared" si="84"/>
        <v>0.41824651958307835</v>
      </c>
      <c r="P157" s="6">
        <f t="shared" si="84"/>
        <v>0.84510274859297763</v>
      </c>
      <c r="Q157" s="6">
        <f t="shared" si="84"/>
        <v>-8.6097094268208774E-3</v>
      </c>
      <c r="R157" s="70">
        <v>80</v>
      </c>
      <c r="S157" s="70">
        <v>0</v>
      </c>
      <c r="T157" s="6">
        <f t="shared" si="79"/>
        <v>0</v>
      </c>
      <c r="U157" s="35" t="e">
        <f t="shared" si="83"/>
        <v>#DIV/0!</v>
      </c>
      <c r="V157" s="6" t="e">
        <f t="shared" si="86"/>
        <v>#DIV/0!</v>
      </c>
      <c r="W157" s="6" t="e">
        <f t="shared" si="86"/>
        <v>#DIV/0!</v>
      </c>
      <c r="X157" s="6" t="e">
        <f t="shared" si="86"/>
        <v>#DIV/0!</v>
      </c>
      <c r="Y157" s="6" t="e">
        <f t="shared" si="86"/>
        <v>#DIV/0!</v>
      </c>
      <c r="Z157" s="6" t="e">
        <f t="shared" si="86"/>
        <v>#DIV/0!</v>
      </c>
    </row>
    <row r="158" spans="1:26" x14ac:dyDescent="0.2">
      <c r="A158" s="7" t="s">
        <v>99</v>
      </c>
      <c r="B158" s="6">
        <f t="shared" si="80"/>
        <v>1</v>
      </c>
      <c r="C158" s="7" t="s">
        <v>151</v>
      </c>
      <c r="D158" s="69">
        <v>67</v>
      </c>
      <c r="E158" s="69">
        <v>19</v>
      </c>
      <c r="F158" s="66">
        <f t="shared" si="78"/>
        <v>0.28358208955223879</v>
      </c>
      <c r="G158" s="61" t="e">
        <f t="shared" si="81"/>
        <v>#DIV/0!</v>
      </c>
      <c r="H158" s="66" t="e">
        <f t="shared" si="85"/>
        <v>#DIV/0!</v>
      </c>
      <c r="I158" s="66" t="e">
        <f t="shared" si="85"/>
        <v>#DIV/0!</v>
      </c>
      <c r="J158" s="66" t="e">
        <f t="shared" si="85"/>
        <v>#DIV/0!</v>
      </c>
      <c r="K158" s="70">
        <v>7200</v>
      </c>
      <c r="L158" s="70">
        <f>'Monitoramento Acumulado Geral'!Q158</f>
        <v>60</v>
      </c>
      <c r="M158" s="6">
        <f>L158/K158</f>
        <v>8.3333333333333332E-3</v>
      </c>
      <c r="N158" s="35" t="str">
        <f t="shared" si="82"/>
        <v>Desempenho Médio</v>
      </c>
      <c r="O158" s="6">
        <f t="shared" si="84"/>
        <v>3.4274647562211005E-2</v>
      </c>
      <c r="P158" s="6">
        <f t="shared" si="84"/>
        <v>0.10289217685709087</v>
      </c>
      <c r="Q158" s="6">
        <f t="shared" si="84"/>
        <v>-3.4342881732668862E-2</v>
      </c>
      <c r="R158" s="70">
        <v>50</v>
      </c>
      <c r="S158" s="70">
        <v>0</v>
      </c>
      <c r="T158" s="6">
        <f t="shared" si="79"/>
        <v>0</v>
      </c>
      <c r="U158" s="35" t="e">
        <f t="shared" si="83"/>
        <v>#DIV/0!</v>
      </c>
      <c r="V158" s="6" t="e">
        <f t="shared" si="86"/>
        <v>#DIV/0!</v>
      </c>
      <c r="W158" s="6" t="e">
        <f t="shared" si="86"/>
        <v>#DIV/0!</v>
      </c>
      <c r="X158" s="6" t="e">
        <f t="shared" si="86"/>
        <v>#DIV/0!</v>
      </c>
      <c r="Y158" s="6" t="e">
        <f t="shared" si="86"/>
        <v>#DIV/0!</v>
      </c>
      <c r="Z158" s="6" t="e">
        <f t="shared" si="86"/>
        <v>#DIV/0!</v>
      </c>
    </row>
    <row r="159" spans="1:26" x14ac:dyDescent="0.2">
      <c r="A159" s="7" t="s">
        <v>99</v>
      </c>
      <c r="B159" s="6">
        <f t="shared" si="80"/>
        <v>2</v>
      </c>
      <c r="C159" s="7" t="s">
        <v>152</v>
      </c>
      <c r="D159" s="69">
        <v>67</v>
      </c>
      <c r="E159" s="69">
        <v>19</v>
      </c>
      <c r="F159" s="66">
        <f t="shared" si="78"/>
        <v>0.28358208955223879</v>
      </c>
      <c r="G159" s="61" t="e">
        <f t="shared" si="81"/>
        <v>#DIV/0!</v>
      </c>
      <c r="H159" s="66" t="e">
        <f t="shared" si="85"/>
        <v>#DIV/0!</v>
      </c>
      <c r="I159" s="66" t="e">
        <f t="shared" si="85"/>
        <v>#DIV/0!</v>
      </c>
      <c r="J159" s="66" t="e">
        <f t="shared" si="85"/>
        <v>#DIV/0!</v>
      </c>
      <c r="K159" s="70">
        <v>7200</v>
      </c>
      <c r="L159" s="70">
        <f>'Monitoramento Acumulado Geral'!Q159</f>
        <v>0</v>
      </c>
      <c r="M159" s="6">
        <f>(SUM(L158:L159))/K158</f>
        <v>8.3333333333333332E-3</v>
      </c>
      <c r="N159" s="35" t="str">
        <f t="shared" si="82"/>
        <v>Desempenho Médio</v>
      </c>
      <c r="O159" s="6">
        <f t="shared" si="84"/>
        <v>8.1815188943147363E-2</v>
      </c>
      <c r="P159" s="6">
        <f t="shared" si="84"/>
        <v>0.20623883252423067</v>
      </c>
      <c r="Q159" s="6">
        <f t="shared" si="84"/>
        <v>-4.2608454637935944E-2</v>
      </c>
      <c r="R159" s="70">
        <v>50</v>
      </c>
      <c r="S159" s="70">
        <v>0</v>
      </c>
      <c r="T159" s="6">
        <f t="shared" si="79"/>
        <v>0</v>
      </c>
      <c r="U159" s="35" t="e">
        <f t="shared" si="83"/>
        <v>#DIV/0!</v>
      </c>
      <c r="V159" s="6" t="e">
        <f t="shared" si="86"/>
        <v>#DIV/0!</v>
      </c>
      <c r="W159" s="6" t="e">
        <f t="shared" si="86"/>
        <v>#DIV/0!</v>
      </c>
      <c r="X159" s="6" t="e">
        <f t="shared" si="86"/>
        <v>#DIV/0!</v>
      </c>
      <c r="Y159" s="6" t="e">
        <f t="shared" si="86"/>
        <v>#DIV/0!</v>
      </c>
      <c r="Z159" s="6" t="e">
        <f t="shared" si="86"/>
        <v>#DIV/0!</v>
      </c>
    </row>
    <row r="160" spans="1:26" x14ac:dyDescent="0.2">
      <c r="A160" s="7" t="s">
        <v>99</v>
      </c>
      <c r="B160" s="6">
        <f t="shared" si="80"/>
        <v>3</v>
      </c>
      <c r="C160" s="7" t="s">
        <v>153</v>
      </c>
      <c r="D160" s="69">
        <v>67</v>
      </c>
      <c r="E160" s="69">
        <v>19</v>
      </c>
      <c r="F160" s="66">
        <f t="shared" si="78"/>
        <v>0.28358208955223879</v>
      </c>
      <c r="G160" s="61" t="e">
        <f t="shared" si="81"/>
        <v>#DIV/0!</v>
      </c>
      <c r="H160" s="66" t="e">
        <f t="shared" si="85"/>
        <v>#DIV/0!</v>
      </c>
      <c r="I160" s="66" t="e">
        <f t="shared" si="85"/>
        <v>#DIV/0!</v>
      </c>
      <c r="J160" s="66" t="e">
        <f t="shared" si="85"/>
        <v>#DIV/0!</v>
      </c>
      <c r="K160" s="70">
        <v>7200</v>
      </c>
      <c r="L160" s="70">
        <f>'Monitoramento Acumulado Geral'!Q160</f>
        <v>0</v>
      </c>
      <c r="M160" s="6">
        <f>(SUM(L158:L160))/K159</f>
        <v>8.3333333333333332E-3</v>
      </c>
      <c r="N160" s="35" t="str">
        <f t="shared" si="82"/>
        <v>Desempenho Médio</v>
      </c>
      <c r="O160" s="6">
        <f t="shared" si="84"/>
        <v>0.13411292471649494</v>
      </c>
      <c r="P160" s="6">
        <f t="shared" si="84"/>
        <v>0.29721906787058483</v>
      </c>
      <c r="Q160" s="6">
        <f t="shared" si="84"/>
        <v>-2.899321843759492E-2</v>
      </c>
      <c r="R160" s="70">
        <v>50</v>
      </c>
      <c r="S160" s="70">
        <v>0</v>
      </c>
      <c r="T160" s="6">
        <f t="shared" si="79"/>
        <v>0</v>
      </c>
      <c r="U160" s="35" t="e">
        <f t="shared" si="83"/>
        <v>#DIV/0!</v>
      </c>
      <c r="V160" s="6" t="e">
        <f t="shared" si="86"/>
        <v>#DIV/0!</v>
      </c>
      <c r="W160" s="6" t="e">
        <f t="shared" si="86"/>
        <v>#DIV/0!</v>
      </c>
      <c r="X160" s="6" t="e">
        <f t="shared" si="86"/>
        <v>#DIV/0!</v>
      </c>
      <c r="Y160" s="6" t="e">
        <f t="shared" si="86"/>
        <v>#DIV/0!</v>
      </c>
      <c r="Z160" s="6" t="e">
        <f t="shared" si="86"/>
        <v>#DIV/0!</v>
      </c>
    </row>
    <row r="161" spans="1:26" x14ac:dyDescent="0.2">
      <c r="A161" s="7" t="s">
        <v>99</v>
      </c>
      <c r="B161" s="6">
        <f t="shared" si="80"/>
        <v>4</v>
      </c>
      <c r="C161" s="7" t="s">
        <v>154</v>
      </c>
      <c r="D161" s="69">
        <v>67</v>
      </c>
      <c r="E161" s="69">
        <v>50</v>
      </c>
      <c r="F161" s="66">
        <f t="shared" si="78"/>
        <v>0.74626865671641796</v>
      </c>
      <c r="G161" s="61" t="e">
        <f t="shared" si="81"/>
        <v>#DIV/0!</v>
      </c>
      <c r="H161" s="66" t="e">
        <f t="shared" si="85"/>
        <v>#DIV/0!</v>
      </c>
      <c r="I161" s="66" t="e">
        <f t="shared" si="85"/>
        <v>#DIV/0!</v>
      </c>
      <c r="J161" s="66" t="e">
        <f t="shared" si="85"/>
        <v>#DIV/0!</v>
      </c>
      <c r="K161" s="70">
        <v>7200</v>
      </c>
      <c r="L161" s="70">
        <f>'Monitoramento Acumulado Geral'!Q161</f>
        <v>245</v>
      </c>
      <c r="M161" s="6">
        <f>(SUM(L158:L161))/K160</f>
        <v>4.2361111111111113E-2</v>
      </c>
      <c r="N161" s="35" t="str">
        <f t="shared" si="82"/>
        <v>Desempenho Médio</v>
      </c>
      <c r="O161" s="6">
        <f t="shared" si="84"/>
        <v>0.15392483870093213</v>
      </c>
      <c r="P161" s="6">
        <f t="shared" si="84"/>
        <v>0.32772007016950033</v>
      </c>
      <c r="Q161" s="6">
        <f t="shared" si="84"/>
        <v>-1.9870392767636053E-2</v>
      </c>
      <c r="R161" s="70">
        <v>50</v>
      </c>
      <c r="S161" s="70">
        <v>0</v>
      </c>
      <c r="T161" s="6">
        <f t="shared" si="79"/>
        <v>0</v>
      </c>
      <c r="U161" s="35" t="e">
        <f t="shared" si="83"/>
        <v>#DIV/0!</v>
      </c>
      <c r="V161" s="6" t="e">
        <f t="shared" si="86"/>
        <v>#DIV/0!</v>
      </c>
      <c r="W161" s="6" t="e">
        <f t="shared" si="86"/>
        <v>#DIV/0!</v>
      </c>
      <c r="X161" s="6" t="e">
        <f t="shared" si="86"/>
        <v>#DIV/0!</v>
      </c>
      <c r="Y161" s="6" t="e">
        <f t="shared" si="86"/>
        <v>#DIV/0!</v>
      </c>
      <c r="Z161" s="6" t="e">
        <f t="shared" si="86"/>
        <v>#DIV/0!</v>
      </c>
    </row>
    <row r="162" spans="1:26" x14ac:dyDescent="0.2">
      <c r="A162" s="7" t="s">
        <v>99</v>
      </c>
      <c r="B162" s="6">
        <f t="shared" si="80"/>
        <v>5</v>
      </c>
      <c r="C162" s="7" t="s">
        <v>155</v>
      </c>
      <c r="D162" s="69">
        <v>67</v>
      </c>
      <c r="E162" s="69">
        <v>56</v>
      </c>
      <c r="F162" s="66">
        <f t="shared" si="78"/>
        <v>0.83582089552238803</v>
      </c>
      <c r="G162" s="61" t="e">
        <f t="shared" si="81"/>
        <v>#DIV/0!</v>
      </c>
      <c r="H162" s="66" t="e">
        <f t="shared" si="85"/>
        <v>#DIV/0!</v>
      </c>
      <c r="I162" s="66" t="e">
        <f t="shared" si="85"/>
        <v>#DIV/0!</v>
      </c>
      <c r="J162" s="66" t="e">
        <f t="shared" si="85"/>
        <v>#DIV/0!</v>
      </c>
      <c r="K162" s="70">
        <v>7200</v>
      </c>
      <c r="L162" s="70">
        <f>'Monitoramento Acumulado Geral'!Q162</f>
        <v>577.5</v>
      </c>
      <c r="M162" s="6">
        <f>(SUM(L158:L162))/K161</f>
        <v>0.12256944444444444</v>
      </c>
      <c r="N162" s="35" t="str">
        <f t="shared" si="82"/>
        <v>Desempenho Médio</v>
      </c>
      <c r="O162" s="6">
        <f t="shared" ref="O162:Q177" si="87">O150</f>
        <v>0.21139287248463789</v>
      </c>
      <c r="P162" s="6">
        <f t="shared" si="87"/>
        <v>0.43680804416292918</v>
      </c>
      <c r="Q162" s="6">
        <f t="shared" si="87"/>
        <v>-1.4022299193653387E-2</v>
      </c>
      <c r="R162" s="70">
        <v>50</v>
      </c>
      <c r="S162" s="70">
        <v>0</v>
      </c>
      <c r="T162" s="6">
        <f t="shared" si="79"/>
        <v>0</v>
      </c>
      <c r="U162" s="35" t="e">
        <f t="shared" si="83"/>
        <v>#DIV/0!</v>
      </c>
      <c r="V162" s="6" t="e">
        <f t="shared" si="86"/>
        <v>#DIV/0!</v>
      </c>
      <c r="W162" s="6" t="e">
        <f t="shared" si="86"/>
        <v>#DIV/0!</v>
      </c>
      <c r="X162" s="6" t="e">
        <f t="shared" si="86"/>
        <v>#DIV/0!</v>
      </c>
      <c r="Y162" s="6" t="e">
        <f t="shared" si="86"/>
        <v>#DIV/0!</v>
      </c>
      <c r="Z162" s="6" t="e">
        <f t="shared" si="86"/>
        <v>#DIV/0!</v>
      </c>
    </row>
    <row r="163" spans="1:26" x14ac:dyDescent="0.2">
      <c r="A163" s="7" t="s">
        <v>99</v>
      </c>
      <c r="B163" s="6">
        <f t="shared" si="80"/>
        <v>6</v>
      </c>
      <c r="C163" s="7" t="s">
        <v>156</v>
      </c>
      <c r="D163" s="69">
        <v>67</v>
      </c>
      <c r="E163" s="69">
        <v>56</v>
      </c>
      <c r="F163" s="66">
        <f t="shared" si="78"/>
        <v>0.83582089552238803</v>
      </c>
      <c r="G163" s="61" t="e">
        <f t="shared" si="81"/>
        <v>#DIV/0!</v>
      </c>
      <c r="H163" s="66" t="e">
        <f t="shared" si="85"/>
        <v>#DIV/0!</v>
      </c>
      <c r="I163" s="66" t="e">
        <f t="shared" si="85"/>
        <v>#DIV/0!</v>
      </c>
      <c r="J163" s="66" t="e">
        <f t="shared" si="85"/>
        <v>#DIV/0!</v>
      </c>
      <c r="K163" s="70">
        <v>7200</v>
      </c>
      <c r="L163" s="70">
        <f>'Monitoramento Acumulado Geral'!Q163</f>
        <v>350</v>
      </c>
      <c r="M163" s="6">
        <f>(SUM(L158:L163))/K162</f>
        <v>0.17118055555555556</v>
      </c>
      <c r="N163" s="35" t="str">
        <f t="shared" si="82"/>
        <v>Desempenho Médio</v>
      </c>
      <c r="O163" s="6">
        <f t="shared" si="87"/>
        <v>0.28403291059934432</v>
      </c>
      <c r="P163" s="6">
        <f t="shared" si="87"/>
        <v>0.56118246348434164</v>
      </c>
      <c r="Q163" s="6">
        <f t="shared" si="87"/>
        <v>6.8833577143469493E-3</v>
      </c>
      <c r="R163" s="70">
        <v>50</v>
      </c>
      <c r="S163" s="70">
        <v>0</v>
      </c>
      <c r="T163" s="6">
        <f t="shared" si="79"/>
        <v>0</v>
      </c>
      <c r="U163" s="35" t="e">
        <f t="shared" si="83"/>
        <v>#DIV/0!</v>
      </c>
      <c r="V163" s="6" t="e">
        <f t="shared" si="86"/>
        <v>#DIV/0!</v>
      </c>
      <c r="W163" s="6" t="e">
        <f t="shared" si="86"/>
        <v>#DIV/0!</v>
      </c>
      <c r="X163" s="6" t="e">
        <f t="shared" si="86"/>
        <v>#DIV/0!</v>
      </c>
      <c r="Y163" s="6" t="e">
        <f t="shared" si="86"/>
        <v>#DIV/0!</v>
      </c>
      <c r="Z163" s="6" t="e">
        <f t="shared" si="86"/>
        <v>#DIV/0!</v>
      </c>
    </row>
    <row r="164" spans="1:26" x14ac:dyDescent="0.2">
      <c r="A164" s="7" t="s">
        <v>99</v>
      </c>
      <c r="B164" s="6">
        <f t="shared" si="80"/>
        <v>7</v>
      </c>
      <c r="C164" s="7" t="s">
        <v>157</v>
      </c>
      <c r="D164" s="69">
        <v>67</v>
      </c>
      <c r="E164" s="69">
        <v>69</v>
      </c>
      <c r="F164" s="66">
        <f t="shared" si="78"/>
        <v>1.0298507462686568</v>
      </c>
      <c r="G164" s="61" t="e">
        <f t="shared" si="81"/>
        <v>#DIV/0!</v>
      </c>
      <c r="H164" s="66" t="e">
        <f t="shared" si="85"/>
        <v>#DIV/0!</v>
      </c>
      <c r="I164" s="66" t="e">
        <f t="shared" si="85"/>
        <v>#DIV/0!</v>
      </c>
      <c r="J164" s="66" t="e">
        <f t="shared" si="85"/>
        <v>#DIV/0!</v>
      </c>
      <c r="K164" s="70">
        <v>7200</v>
      </c>
      <c r="L164" s="70">
        <f>'Monitoramento Acumulado Geral'!Q164</f>
        <v>1400</v>
      </c>
      <c r="M164" s="6">
        <f>(SUM(L158:L164))/K163</f>
        <v>0.36562499999999998</v>
      </c>
      <c r="N164" s="35" t="str">
        <f t="shared" si="82"/>
        <v>Desempenho Médio</v>
      </c>
      <c r="O164" s="6">
        <f t="shared" si="87"/>
        <v>0.42046470140126019</v>
      </c>
      <c r="P164" s="6">
        <f t="shared" si="87"/>
        <v>0.84574683442734511</v>
      </c>
      <c r="Q164" s="6">
        <f t="shared" si="87"/>
        <v>-4.8174316248247306E-3</v>
      </c>
      <c r="R164" s="70">
        <v>50</v>
      </c>
      <c r="S164" s="70">
        <v>0</v>
      </c>
      <c r="T164" s="6">
        <f t="shared" si="79"/>
        <v>0</v>
      </c>
      <c r="U164" s="35" t="e">
        <f t="shared" si="83"/>
        <v>#DIV/0!</v>
      </c>
      <c r="V164" s="6" t="e">
        <f t="shared" si="86"/>
        <v>#DIV/0!</v>
      </c>
      <c r="W164" s="6" t="e">
        <f t="shared" si="86"/>
        <v>#DIV/0!</v>
      </c>
      <c r="X164" s="6" t="e">
        <f t="shared" si="86"/>
        <v>#DIV/0!</v>
      </c>
      <c r="Y164" s="6" t="e">
        <f t="shared" si="86"/>
        <v>#DIV/0!</v>
      </c>
      <c r="Z164" s="6" t="e">
        <f t="shared" si="86"/>
        <v>#DIV/0!</v>
      </c>
    </row>
    <row r="165" spans="1:26" x14ac:dyDescent="0.2">
      <c r="A165" s="7" t="s">
        <v>99</v>
      </c>
      <c r="B165" s="6">
        <f t="shared" si="80"/>
        <v>8</v>
      </c>
      <c r="C165" s="7" t="s">
        <v>158</v>
      </c>
      <c r="D165" s="69">
        <v>67</v>
      </c>
      <c r="E165" s="69">
        <v>0</v>
      </c>
      <c r="F165" s="66">
        <f t="shared" si="78"/>
        <v>0</v>
      </c>
      <c r="G165" s="61" t="e">
        <f t="shared" si="81"/>
        <v>#DIV/0!</v>
      </c>
      <c r="H165" s="66" t="e">
        <f t="shared" si="85"/>
        <v>#DIV/0!</v>
      </c>
      <c r="I165" s="66" t="e">
        <f t="shared" si="85"/>
        <v>#DIV/0!</v>
      </c>
      <c r="J165" s="66" t="e">
        <f t="shared" si="85"/>
        <v>#DIV/0!</v>
      </c>
      <c r="K165" s="70">
        <v>7200</v>
      </c>
      <c r="L165" s="70">
        <f>'Monitoramento Acumulado Geral'!Q165</f>
        <v>0</v>
      </c>
      <c r="M165" s="6">
        <f>(SUM(L158:L165))/K164</f>
        <v>0.36562499999999998</v>
      </c>
      <c r="N165" s="35" t="str">
        <f t="shared" si="82"/>
        <v>Desempenho Médio</v>
      </c>
      <c r="O165" s="6">
        <f t="shared" si="87"/>
        <v>0.42046470140126019</v>
      </c>
      <c r="P165" s="6">
        <f t="shared" si="87"/>
        <v>0.84574683442734511</v>
      </c>
      <c r="Q165" s="6">
        <f t="shared" si="87"/>
        <v>-4.8174316248247306E-3</v>
      </c>
      <c r="R165" s="70">
        <v>50</v>
      </c>
      <c r="S165" s="70">
        <v>0</v>
      </c>
      <c r="T165" s="6">
        <f t="shared" si="79"/>
        <v>0</v>
      </c>
      <c r="U165" s="35" t="e">
        <f t="shared" si="83"/>
        <v>#DIV/0!</v>
      </c>
      <c r="V165" s="6" t="e">
        <f t="shared" si="86"/>
        <v>#DIV/0!</v>
      </c>
      <c r="W165" s="6" t="e">
        <f t="shared" si="86"/>
        <v>#DIV/0!</v>
      </c>
      <c r="X165" s="6" t="e">
        <f t="shared" si="86"/>
        <v>#DIV/0!</v>
      </c>
      <c r="Y165" s="6" t="e">
        <f t="shared" si="86"/>
        <v>#DIV/0!</v>
      </c>
      <c r="Z165" s="6" t="e">
        <f t="shared" si="86"/>
        <v>#DIV/0!</v>
      </c>
    </row>
    <row r="166" spans="1:26" x14ac:dyDescent="0.2">
      <c r="A166" s="7" t="s">
        <v>99</v>
      </c>
      <c r="B166" s="6">
        <f t="shared" si="80"/>
        <v>9</v>
      </c>
      <c r="C166" s="7" t="s">
        <v>159</v>
      </c>
      <c r="D166" s="69">
        <v>67</v>
      </c>
      <c r="E166" s="69">
        <v>0</v>
      </c>
      <c r="F166" s="66">
        <f t="shared" si="78"/>
        <v>0</v>
      </c>
      <c r="G166" s="61" t="e">
        <f t="shared" si="81"/>
        <v>#DIV/0!</v>
      </c>
      <c r="H166" s="66" t="e">
        <f t="shared" si="85"/>
        <v>#DIV/0!</v>
      </c>
      <c r="I166" s="66" t="e">
        <f t="shared" si="85"/>
        <v>#DIV/0!</v>
      </c>
      <c r="J166" s="66" t="e">
        <f t="shared" si="85"/>
        <v>#DIV/0!</v>
      </c>
      <c r="K166" s="70">
        <v>7200</v>
      </c>
      <c r="L166" s="70">
        <f>'Monitoramento Acumulado Geral'!Q166</f>
        <v>0</v>
      </c>
      <c r="M166" s="6">
        <f>(SUM(L158:L166))/K165</f>
        <v>0.36562499999999998</v>
      </c>
      <c r="N166" s="35" t="str">
        <f t="shared" si="82"/>
        <v>Desempenho Médio</v>
      </c>
      <c r="O166" s="6">
        <f t="shared" si="87"/>
        <v>0.42046470140126019</v>
      </c>
      <c r="P166" s="6">
        <f t="shared" si="87"/>
        <v>0.84574683442734511</v>
      </c>
      <c r="Q166" s="6">
        <f t="shared" si="87"/>
        <v>-4.8174316248247306E-3</v>
      </c>
      <c r="R166" s="70">
        <v>50</v>
      </c>
      <c r="S166" s="70">
        <v>0</v>
      </c>
      <c r="T166" s="6">
        <f t="shared" si="79"/>
        <v>0</v>
      </c>
      <c r="U166" s="35" t="e">
        <f t="shared" si="83"/>
        <v>#DIV/0!</v>
      </c>
      <c r="V166" s="6" t="e">
        <f t="shared" si="86"/>
        <v>#DIV/0!</v>
      </c>
      <c r="W166" s="6" t="e">
        <f t="shared" si="86"/>
        <v>#DIV/0!</v>
      </c>
      <c r="X166" s="6" t="e">
        <f t="shared" si="86"/>
        <v>#DIV/0!</v>
      </c>
      <c r="Y166" s="6" t="e">
        <f t="shared" si="86"/>
        <v>#DIV/0!</v>
      </c>
      <c r="Z166" s="6" t="e">
        <f t="shared" si="86"/>
        <v>#DIV/0!</v>
      </c>
    </row>
    <row r="167" spans="1:26" x14ac:dyDescent="0.2">
      <c r="A167" s="7" t="s">
        <v>99</v>
      </c>
      <c r="B167" s="6">
        <f t="shared" si="80"/>
        <v>10</v>
      </c>
      <c r="C167" s="7" t="s">
        <v>160</v>
      </c>
      <c r="D167" s="69">
        <v>67</v>
      </c>
      <c r="E167" s="69">
        <v>0</v>
      </c>
      <c r="F167" s="66">
        <f t="shared" si="78"/>
        <v>0</v>
      </c>
      <c r="G167" s="61" t="e">
        <f t="shared" si="81"/>
        <v>#DIV/0!</v>
      </c>
      <c r="H167" s="66" t="e">
        <f t="shared" si="85"/>
        <v>#DIV/0!</v>
      </c>
      <c r="I167" s="66" t="e">
        <f t="shared" si="85"/>
        <v>#DIV/0!</v>
      </c>
      <c r="J167" s="66" t="e">
        <f t="shared" si="85"/>
        <v>#DIV/0!</v>
      </c>
      <c r="K167" s="70">
        <v>7200</v>
      </c>
      <c r="L167" s="70">
        <f>'Monitoramento Acumulado Geral'!Q167</f>
        <v>0</v>
      </c>
      <c r="M167" s="6">
        <f>(SUM(L158:L167))/K166</f>
        <v>0.36562499999999998</v>
      </c>
      <c r="N167" s="35" t="str">
        <f t="shared" si="82"/>
        <v>Desempenho Médio</v>
      </c>
      <c r="O167" s="6">
        <f t="shared" si="87"/>
        <v>0.42046470140126019</v>
      </c>
      <c r="P167" s="6">
        <f t="shared" si="87"/>
        <v>0.84574683442734511</v>
      </c>
      <c r="Q167" s="6">
        <f t="shared" si="87"/>
        <v>-4.8174316248247306E-3</v>
      </c>
      <c r="R167" s="70">
        <v>50</v>
      </c>
      <c r="S167" s="70">
        <v>0</v>
      </c>
      <c r="T167" s="6">
        <f t="shared" si="79"/>
        <v>0</v>
      </c>
      <c r="U167" s="35" t="e">
        <f t="shared" si="83"/>
        <v>#DIV/0!</v>
      </c>
      <c r="V167" s="6" t="e">
        <f t="shared" si="86"/>
        <v>#DIV/0!</v>
      </c>
      <c r="W167" s="6" t="e">
        <f t="shared" si="86"/>
        <v>#DIV/0!</v>
      </c>
      <c r="X167" s="6" t="e">
        <f t="shared" si="86"/>
        <v>#DIV/0!</v>
      </c>
      <c r="Y167" s="6" t="e">
        <f t="shared" si="86"/>
        <v>#DIV/0!</v>
      </c>
      <c r="Z167" s="6" t="e">
        <f t="shared" si="86"/>
        <v>#DIV/0!</v>
      </c>
    </row>
    <row r="168" spans="1:26" x14ac:dyDescent="0.2">
      <c r="A168" s="7" t="s">
        <v>99</v>
      </c>
      <c r="B168" s="6">
        <f t="shared" si="80"/>
        <v>11</v>
      </c>
      <c r="C168" s="7" t="s">
        <v>161</v>
      </c>
      <c r="D168" s="69">
        <v>67</v>
      </c>
      <c r="E168" s="69">
        <v>0</v>
      </c>
      <c r="F168" s="66">
        <f t="shared" si="78"/>
        <v>0</v>
      </c>
      <c r="G168" s="61" t="e">
        <f t="shared" si="81"/>
        <v>#DIV/0!</v>
      </c>
      <c r="H168" s="66" t="e">
        <f t="shared" si="85"/>
        <v>#DIV/0!</v>
      </c>
      <c r="I168" s="66" t="e">
        <f t="shared" si="85"/>
        <v>#DIV/0!</v>
      </c>
      <c r="J168" s="66" t="e">
        <f t="shared" si="85"/>
        <v>#DIV/0!</v>
      </c>
      <c r="K168" s="70">
        <v>7200</v>
      </c>
      <c r="L168" s="70">
        <f>'Monitoramento Acumulado Geral'!Q168</f>
        <v>0</v>
      </c>
      <c r="M168" s="6">
        <f>(SUM(L158:L168))/K167</f>
        <v>0.36562499999999998</v>
      </c>
      <c r="N168" s="35" t="str">
        <f t="shared" si="82"/>
        <v>Desempenho Médio</v>
      </c>
      <c r="O168" s="6">
        <f t="shared" si="87"/>
        <v>0.42046470140126019</v>
      </c>
      <c r="P168" s="6">
        <f t="shared" si="87"/>
        <v>0.84574683442734511</v>
      </c>
      <c r="Q168" s="6">
        <f t="shared" si="87"/>
        <v>-4.8174316248247306E-3</v>
      </c>
      <c r="R168" s="70">
        <v>50</v>
      </c>
      <c r="S168" s="70">
        <v>0</v>
      </c>
      <c r="T168" s="6">
        <f t="shared" si="79"/>
        <v>0</v>
      </c>
      <c r="U168" s="35" t="e">
        <f t="shared" si="83"/>
        <v>#DIV/0!</v>
      </c>
      <c r="V168" s="6" t="e">
        <f t="shared" si="86"/>
        <v>#DIV/0!</v>
      </c>
      <c r="W168" s="6" t="e">
        <f t="shared" si="86"/>
        <v>#DIV/0!</v>
      </c>
      <c r="X168" s="6" t="e">
        <f t="shared" si="86"/>
        <v>#DIV/0!</v>
      </c>
      <c r="Y168" s="6" t="e">
        <f t="shared" si="86"/>
        <v>#DIV/0!</v>
      </c>
      <c r="Z168" s="6" t="e">
        <f t="shared" si="86"/>
        <v>#DIV/0!</v>
      </c>
    </row>
    <row r="169" spans="1:26" x14ac:dyDescent="0.2">
      <c r="A169" s="7" t="s">
        <v>99</v>
      </c>
      <c r="B169" s="6">
        <f t="shared" si="80"/>
        <v>12</v>
      </c>
      <c r="C169" s="7" t="s">
        <v>162</v>
      </c>
      <c r="D169" s="69">
        <v>67</v>
      </c>
      <c r="E169" s="69">
        <v>0</v>
      </c>
      <c r="F169" s="66">
        <f t="shared" si="78"/>
        <v>0</v>
      </c>
      <c r="G169" s="61" t="e">
        <f t="shared" si="81"/>
        <v>#DIV/0!</v>
      </c>
      <c r="H169" s="66" t="e">
        <f t="shared" si="85"/>
        <v>#DIV/0!</v>
      </c>
      <c r="I169" s="66" t="e">
        <f t="shared" si="85"/>
        <v>#DIV/0!</v>
      </c>
      <c r="J169" s="66" t="e">
        <f t="shared" si="85"/>
        <v>#DIV/0!</v>
      </c>
      <c r="K169" s="70">
        <v>7200</v>
      </c>
      <c r="L169" s="70">
        <f>'Monitoramento Acumulado Geral'!Q169</f>
        <v>0</v>
      </c>
      <c r="M169" s="6">
        <f>(SUM(L158:L169))/K168</f>
        <v>0.36562499999999998</v>
      </c>
      <c r="N169" s="35" t="str">
        <f t="shared" si="82"/>
        <v>Desempenho Médio</v>
      </c>
      <c r="O169" s="6">
        <f t="shared" si="87"/>
        <v>0.41824651958307835</v>
      </c>
      <c r="P169" s="6">
        <f t="shared" si="87"/>
        <v>0.84510274859297763</v>
      </c>
      <c r="Q169" s="6">
        <f t="shared" si="87"/>
        <v>-8.6097094268208774E-3</v>
      </c>
      <c r="R169" s="70">
        <v>50</v>
      </c>
      <c r="S169" s="70">
        <v>0</v>
      </c>
      <c r="T169" s="6">
        <f t="shared" si="79"/>
        <v>0</v>
      </c>
      <c r="U169" s="35" t="e">
        <f t="shared" si="83"/>
        <v>#DIV/0!</v>
      </c>
      <c r="V169" s="6" t="e">
        <f t="shared" si="86"/>
        <v>#DIV/0!</v>
      </c>
      <c r="W169" s="6" t="e">
        <f t="shared" si="86"/>
        <v>#DIV/0!</v>
      </c>
      <c r="X169" s="6" t="e">
        <f t="shared" si="86"/>
        <v>#DIV/0!</v>
      </c>
      <c r="Y169" s="6" t="e">
        <f t="shared" si="86"/>
        <v>#DIV/0!</v>
      </c>
      <c r="Z169" s="6" t="e">
        <f t="shared" si="86"/>
        <v>#DIV/0!</v>
      </c>
    </row>
    <row r="170" spans="1:26" x14ac:dyDescent="0.2">
      <c r="A170" s="7" t="s">
        <v>123</v>
      </c>
      <c r="B170" s="6">
        <f t="shared" si="80"/>
        <v>1</v>
      </c>
      <c r="C170" s="7" t="s">
        <v>151</v>
      </c>
      <c r="D170" s="69">
        <v>75</v>
      </c>
      <c r="E170" s="69">
        <v>21</v>
      </c>
      <c r="F170" s="66">
        <f t="shared" si="78"/>
        <v>0.28000000000000003</v>
      </c>
      <c r="G170" s="61" t="e">
        <f t="shared" si="81"/>
        <v>#DIV/0!</v>
      </c>
      <c r="H170" s="66" t="e">
        <f t="shared" si="85"/>
        <v>#DIV/0!</v>
      </c>
      <c r="I170" s="66" t="e">
        <f t="shared" si="85"/>
        <v>#DIV/0!</v>
      </c>
      <c r="J170" s="66" t="e">
        <f t="shared" si="85"/>
        <v>#DIV/0!</v>
      </c>
      <c r="K170" s="70">
        <v>34200</v>
      </c>
      <c r="L170" s="70">
        <f>'Monitoramento Acumulado Geral'!Q170</f>
        <v>1400</v>
      </c>
      <c r="M170" s="6">
        <f>L170/K170</f>
        <v>4.0935672514619881E-2</v>
      </c>
      <c r="N170" s="35" t="str">
        <f t="shared" si="82"/>
        <v>Desempenho Bom</v>
      </c>
      <c r="O170" s="6">
        <f t="shared" si="87"/>
        <v>3.4274647562211005E-2</v>
      </c>
      <c r="P170" s="6">
        <f t="shared" si="87"/>
        <v>0.10289217685709087</v>
      </c>
      <c r="Q170" s="6">
        <f t="shared" si="87"/>
        <v>-3.4342881732668862E-2</v>
      </c>
      <c r="R170" s="70">
        <v>80</v>
      </c>
      <c r="S170" s="70">
        <v>0</v>
      </c>
      <c r="T170" s="6">
        <f t="shared" si="79"/>
        <v>0</v>
      </c>
      <c r="U170" s="35" t="e">
        <f t="shared" si="83"/>
        <v>#DIV/0!</v>
      </c>
      <c r="V170" s="6" t="e">
        <f t="shared" si="86"/>
        <v>#DIV/0!</v>
      </c>
      <c r="W170" s="6" t="e">
        <f t="shared" si="86"/>
        <v>#DIV/0!</v>
      </c>
      <c r="X170" s="6" t="e">
        <f t="shared" si="86"/>
        <v>#DIV/0!</v>
      </c>
      <c r="Y170" s="6" t="e">
        <f t="shared" si="86"/>
        <v>#DIV/0!</v>
      </c>
      <c r="Z170" s="6" t="e">
        <f t="shared" si="86"/>
        <v>#DIV/0!</v>
      </c>
    </row>
    <row r="171" spans="1:26" x14ac:dyDescent="0.2">
      <c r="A171" s="7" t="s">
        <v>123</v>
      </c>
      <c r="B171" s="6">
        <f t="shared" si="80"/>
        <v>2</v>
      </c>
      <c r="C171" s="7" t="s">
        <v>152</v>
      </c>
      <c r="D171" s="69">
        <v>75</v>
      </c>
      <c r="E171" s="69">
        <v>21</v>
      </c>
      <c r="F171" s="66">
        <f t="shared" si="78"/>
        <v>0.28000000000000003</v>
      </c>
      <c r="G171" s="61" t="e">
        <f t="shared" si="81"/>
        <v>#DIV/0!</v>
      </c>
      <c r="H171" s="66" t="e">
        <f t="shared" si="85"/>
        <v>#DIV/0!</v>
      </c>
      <c r="I171" s="66" t="e">
        <f t="shared" si="85"/>
        <v>#DIV/0!</v>
      </c>
      <c r="J171" s="66" t="e">
        <f t="shared" si="85"/>
        <v>#DIV/0!</v>
      </c>
      <c r="K171" s="70">
        <v>34200</v>
      </c>
      <c r="L171" s="70">
        <f>'Monitoramento Acumulado Geral'!Q171</f>
        <v>0</v>
      </c>
      <c r="M171" s="6">
        <f>(SUM(L170:L171))/K170</f>
        <v>4.0935672514619881E-2</v>
      </c>
      <c r="N171" s="35" t="str">
        <f t="shared" si="82"/>
        <v>Desempenho Médio</v>
      </c>
      <c r="O171" s="6">
        <f t="shared" si="87"/>
        <v>8.1815188943147363E-2</v>
      </c>
      <c r="P171" s="6">
        <f t="shared" si="87"/>
        <v>0.20623883252423067</v>
      </c>
      <c r="Q171" s="6">
        <f t="shared" si="87"/>
        <v>-4.2608454637935944E-2</v>
      </c>
      <c r="R171" s="70">
        <v>80</v>
      </c>
      <c r="S171" s="70">
        <v>0</v>
      </c>
      <c r="T171" s="6">
        <f t="shared" si="79"/>
        <v>0</v>
      </c>
      <c r="U171" s="35" t="e">
        <f t="shared" si="83"/>
        <v>#DIV/0!</v>
      </c>
      <c r="V171" s="6" t="e">
        <f t="shared" ref="V171:Z186" si="88">V159</f>
        <v>#DIV/0!</v>
      </c>
      <c r="W171" s="6" t="e">
        <f t="shared" si="88"/>
        <v>#DIV/0!</v>
      </c>
      <c r="X171" s="6" t="e">
        <f t="shared" si="88"/>
        <v>#DIV/0!</v>
      </c>
      <c r="Y171" s="6" t="e">
        <f t="shared" si="88"/>
        <v>#DIV/0!</v>
      </c>
      <c r="Z171" s="6" t="e">
        <f t="shared" si="88"/>
        <v>#DIV/0!</v>
      </c>
    </row>
    <row r="172" spans="1:26" x14ac:dyDescent="0.2">
      <c r="A172" s="7" t="s">
        <v>123</v>
      </c>
      <c r="B172" s="6">
        <f t="shared" si="80"/>
        <v>3</v>
      </c>
      <c r="C172" s="7" t="s">
        <v>153</v>
      </c>
      <c r="D172" s="69">
        <v>75</v>
      </c>
      <c r="E172" s="69">
        <v>21</v>
      </c>
      <c r="F172" s="66">
        <f t="shared" si="78"/>
        <v>0.28000000000000003</v>
      </c>
      <c r="G172" s="61" t="e">
        <f t="shared" si="81"/>
        <v>#DIV/0!</v>
      </c>
      <c r="H172" s="66" t="e">
        <f t="shared" si="85"/>
        <v>#DIV/0!</v>
      </c>
      <c r="I172" s="66" t="e">
        <f t="shared" si="85"/>
        <v>#DIV/0!</v>
      </c>
      <c r="J172" s="66" t="e">
        <f t="shared" si="85"/>
        <v>#DIV/0!</v>
      </c>
      <c r="K172" s="70">
        <v>34200</v>
      </c>
      <c r="L172" s="70">
        <f>'Monitoramento Acumulado Geral'!Q172</f>
        <v>0</v>
      </c>
      <c r="M172" s="6">
        <f>(SUM(L170:L172))/K171</f>
        <v>4.0935672514619881E-2</v>
      </c>
      <c r="N172" s="35" t="str">
        <f t="shared" si="82"/>
        <v>Desempenho Médio</v>
      </c>
      <c r="O172" s="6">
        <f t="shared" si="87"/>
        <v>0.13411292471649494</v>
      </c>
      <c r="P172" s="6">
        <f t="shared" si="87"/>
        <v>0.29721906787058483</v>
      </c>
      <c r="Q172" s="6">
        <f t="shared" si="87"/>
        <v>-2.899321843759492E-2</v>
      </c>
      <c r="R172" s="70">
        <v>80</v>
      </c>
      <c r="S172" s="70">
        <v>0</v>
      </c>
      <c r="T172" s="6">
        <f t="shared" si="79"/>
        <v>0</v>
      </c>
      <c r="U172" s="35" t="e">
        <f t="shared" si="83"/>
        <v>#DIV/0!</v>
      </c>
      <c r="V172" s="6" t="e">
        <f t="shared" si="88"/>
        <v>#DIV/0!</v>
      </c>
      <c r="W172" s="6" t="e">
        <f t="shared" si="88"/>
        <v>#DIV/0!</v>
      </c>
      <c r="X172" s="6" t="e">
        <f t="shared" si="88"/>
        <v>#DIV/0!</v>
      </c>
      <c r="Y172" s="6" t="e">
        <f t="shared" si="88"/>
        <v>#DIV/0!</v>
      </c>
      <c r="Z172" s="6" t="e">
        <f t="shared" si="88"/>
        <v>#DIV/0!</v>
      </c>
    </row>
    <row r="173" spans="1:26" x14ac:dyDescent="0.2">
      <c r="A173" s="7" t="s">
        <v>123</v>
      </c>
      <c r="B173" s="6">
        <f t="shared" si="80"/>
        <v>4</v>
      </c>
      <c r="C173" s="7" t="s">
        <v>154</v>
      </c>
      <c r="D173" s="69">
        <v>75</v>
      </c>
      <c r="E173" s="69">
        <v>21</v>
      </c>
      <c r="F173" s="66">
        <f t="shared" si="78"/>
        <v>0.28000000000000003</v>
      </c>
      <c r="G173" s="61" t="e">
        <f t="shared" si="81"/>
        <v>#DIV/0!</v>
      </c>
      <c r="H173" s="66" t="e">
        <f t="shared" si="85"/>
        <v>#DIV/0!</v>
      </c>
      <c r="I173" s="66" t="e">
        <f t="shared" si="85"/>
        <v>#DIV/0!</v>
      </c>
      <c r="J173" s="66" t="e">
        <f t="shared" si="85"/>
        <v>#DIV/0!</v>
      </c>
      <c r="K173" s="70">
        <v>34200</v>
      </c>
      <c r="L173" s="70">
        <f>'Monitoramento Acumulado Geral'!Q173</f>
        <v>0</v>
      </c>
      <c r="M173" s="6">
        <f>(SUM(L170:L173))/K172</f>
        <v>4.0935672514619881E-2</v>
      </c>
      <c r="N173" s="35" t="str">
        <f t="shared" si="82"/>
        <v>Desempenho Médio</v>
      </c>
      <c r="O173" s="6">
        <f t="shared" si="87"/>
        <v>0.15392483870093213</v>
      </c>
      <c r="P173" s="6">
        <f t="shared" si="87"/>
        <v>0.32772007016950033</v>
      </c>
      <c r="Q173" s="6">
        <f t="shared" si="87"/>
        <v>-1.9870392767636053E-2</v>
      </c>
      <c r="R173" s="70">
        <v>80</v>
      </c>
      <c r="S173" s="70">
        <v>0</v>
      </c>
      <c r="T173" s="6">
        <f t="shared" si="79"/>
        <v>0</v>
      </c>
      <c r="U173" s="35" t="e">
        <f t="shared" si="83"/>
        <v>#DIV/0!</v>
      </c>
      <c r="V173" s="6" t="e">
        <f t="shared" si="88"/>
        <v>#DIV/0!</v>
      </c>
      <c r="W173" s="6" t="e">
        <f t="shared" si="88"/>
        <v>#DIV/0!</v>
      </c>
      <c r="X173" s="6" t="e">
        <f t="shared" si="88"/>
        <v>#DIV/0!</v>
      </c>
      <c r="Y173" s="6" t="e">
        <f t="shared" si="88"/>
        <v>#DIV/0!</v>
      </c>
      <c r="Z173" s="6" t="e">
        <f t="shared" si="88"/>
        <v>#DIV/0!</v>
      </c>
    </row>
    <row r="174" spans="1:26" x14ac:dyDescent="0.2">
      <c r="A174" s="7" t="s">
        <v>123</v>
      </c>
      <c r="B174" s="6">
        <f t="shared" si="80"/>
        <v>5</v>
      </c>
      <c r="C174" s="7" t="s">
        <v>155</v>
      </c>
      <c r="D174" s="69">
        <v>75</v>
      </c>
      <c r="E174" s="69">
        <v>21</v>
      </c>
      <c r="F174" s="66">
        <f t="shared" si="78"/>
        <v>0.28000000000000003</v>
      </c>
      <c r="G174" s="61" t="e">
        <f t="shared" si="81"/>
        <v>#DIV/0!</v>
      </c>
      <c r="H174" s="66" t="e">
        <f t="shared" si="85"/>
        <v>#DIV/0!</v>
      </c>
      <c r="I174" s="66" t="e">
        <f t="shared" si="85"/>
        <v>#DIV/0!</v>
      </c>
      <c r="J174" s="66" t="e">
        <f t="shared" si="85"/>
        <v>#DIV/0!</v>
      </c>
      <c r="K174" s="70">
        <v>34200</v>
      </c>
      <c r="L174" s="70">
        <f>'Monitoramento Acumulado Geral'!Q174</f>
        <v>0</v>
      </c>
      <c r="M174" s="6">
        <f>(SUM(L170:L174))/K173</f>
        <v>4.0935672514619881E-2</v>
      </c>
      <c r="N174" s="35" t="str">
        <f t="shared" si="82"/>
        <v>Desempenho Médio</v>
      </c>
      <c r="O174" s="6">
        <f t="shared" si="87"/>
        <v>0.21139287248463789</v>
      </c>
      <c r="P174" s="6">
        <f t="shared" si="87"/>
        <v>0.43680804416292918</v>
      </c>
      <c r="Q174" s="6">
        <f t="shared" si="87"/>
        <v>-1.4022299193653387E-2</v>
      </c>
      <c r="R174" s="70">
        <v>80</v>
      </c>
      <c r="S174" s="70">
        <v>0</v>
      </c>
      <c r="T174" s="6">
        <f t="shared" si="79"/>
        <v>0</v>
      </c>
      <c r="U174" s="35" t="e">
        <f t="shared" si="83"/>
        <v>#DIV/0!</v>
      </c>
      <c r="V174" s="6" t="e">
        <f t="shared" si="88"/>
        <v>#DIV/0!</v>
      </c>
      <c r="W174" s="6" t="e">
        <f t="shared" si="88"/>
        <v>#DIV/0!</v>
      </c>
      <c r="X174" s="6" t="e">
        <f t="shared" si="88"/>
        <v>#DIV/0!</v>
      </c>
      <c r="Y174" s="6" t="e">
        <f t="shared" si="88"/>
        <v>#DIV/0!</v>
      </c>
      <c r="Z174" s="6" t="e">
        <f t="shared" si="88"/>
        <v>#DIV/0!</v>
      </c>
    </row>
    <row r="175" spans="1:26" x14ac:dyDescent="0.2">
      <c r="A175" s="7" t="s">
        <v>123</v>
      </c>
      <c r="B175" s="6">
        <f t="shared" si="80"/>
        <v>6</v>
      </c>
      <c r="C175" s="7" t="s">
        <v>156</v>
      </c>
      <c r="D175" s="69">
        <v>75</v>
      </c>
      <c r="E175" s="69">
        <v>21</v>
      </c>
      <c r="F175" s="66">
        <f t="shared" si="78"/>
        <v>0.28000000000000003</v>
      </c>
      <c r="G175" s="61" t="e">
        <f t="shared" si="81"/>
        <v>#DIV/0!</v>
      </c>
      <c r="H175" s="66" t="e">
        <f t="shared" si="85"/>
        <v>#DIV/0!</v>
      </c>
      <c r="I175" s="66" t="e">
        <f t="shared" si="85"/>
        <v>#DIV/0!</v>
      </c>
      <c r="J175" s="66" t="e">
        <f t="shared" si="85"/>
        <v>#DIV/0!</v>
      </c>
      <c r="K175" s="70">
        <v>34200</v>
      </c>
      <c r="L175" s="70">
        <f>'Monitoramento Acumulado Geral'!Q175</f>
        <v>0</v>
      </c>
      <c r="M175" s="6">
        <f>(SUM(L170:L175))/K174</f>
        <v>4.0935672514619881E-2</v>
      </c>
      <c r="N175" s="35" t="str">
        <f t="shared" si="82"/>
        <v>Desempenho Médio</v>
      </c>
      <c r="O175" s="6">
        <f t="shared" si="87"/>
        <v>0.28403291059934432</v>
      </c>
      <c r="P175" s="6">
        <f t="shared" si="87"/>
        <v>0.56118246348434164</v>
      </c>
      <c r="Q175" s="6">
        <f t="shared" si="87"/>
        <v>6.8833577143469493E-3</v>
      </c>
      <c r="R175" s="70">
        <v>80</v>
      </c>
      <c r="S175" s="70">
        <v>0</v>
      </c>
      <c r="T175" s="6">
        <f t="shared" si="79"/>
        <v>0</v>
      </c>
      <c r="U175" s="35" t="e">
        <f t="shared" si="83"/>
        <v>#DIV/0!</v>
      </c>
      <c r="V175" s="6" t="e">
        <f t="shared" si="88"/>
        <v>#DIV/0!</v>
      </c>
      <c r="W175" s="6" t="e">
        <f t="shared" si="88"/>
        <v>#DIV/0!</v>
      </c>
      <c r="X175" s="6" t="e">
        <f t="shared" si="88"/>
        <v>#DIV/0!</v>
      </c>
      <c r="Y175" s="6" t="e">
        <f t="shared" si="88"/>
        <v>#DIV/0!</v>
      </c>
      <c r="Z175" s="6" t="e">
        <f t="shared" si="88"/>
        <v>#DIV/0!</v>
      </c>
    </row>
    <row r="176" spans="1:26" x14ac:dyDescent="0.2">
      <c r="A176" s="7" t="s">
        <v>123</v>
      </c>
      <c r="B176" s="6">
        <f t="shared" si="80"/>
        <v>7</v>
      </c>
      <c r="C176" s="7" t="s">
        <v>157</v>
      </c>
      <c r="D176" s="69">
        <v>75</v>
      </c>
      <c r="E176" s="69">
        <v>26</v>
      </c>
      <c r="F176" s="66">
        <f t="shared" si="78"/>
        <v>0.34666666666666668</v>
      </c>
      <c r="G176" s="61" t="e">
        <f t="shared" si="81"/>
        <v>#DIV/0!</v>
      </c>
      <c r="H176" s="66" t="e">
        <f t="shared" si="85"/>
        <v>#DIV/0!</v>
      </c>
      <c r="I176" s="66" t="e">
        <f t="shared" si="85"/>
        <v>#DIV/0!</v>
      </c>
      <c r="J176" s="66" t="e">
        <f t="shared" si="85"/>
        <v>#DIV/0!</v>
      </c>
      <c r="K176" s="70">
        <v>34200</v>
      </c>
      <c r="L176" s="70">
        <f>'Monitoramento Acumulado Geral'!Q176</f>
        <v>10500</v>
      </c>
      <c r="M176" s="6">
        <f>(SUM(L170:L176))/K175</f>
        <v>0.34795321637426901</v>
      </c>
      <c r="N176" s="35" t="str">
        <f t="shared" si="82"/>
        <v>Desempenho Médio</v>
      </c>
      <c r="O176" s="6">
        <f t="shared" si="87"/>
        <v>0.42046470140126019</v>
      </c>
      <c r="P176" s="6">
        <f t="shared" si="87"/>
        <v>0.84574683442734511</v>
      </c>
      <c r="Q176" s="6">
        <f t="shared" si="87"/>
        <v>-4.8174316248247306E-3</v>
      </c>
      <c r="R176" s="70">
        <v>80</v>
      </c>
      <c r="S176" s="70">
        <v>0</v>
      </c>
      <c r="T176" s="6">
        <f t="shared" si="79"/>
        <v>0</v>
      </c>
      <c r="U176" s="35" t="e">
        <f t="shared" si="83"/>
        <v>#DIV/0!</v>
      </c>
      <c r="V176" s="6" t="e">
        <f t="shared" si="88"/>
        <v>#DIV/0!</v>
      </c>
      <c r="W176" s="6" t="e">
        <f t="shared" si="88"/>
        <v>#DIV/0!</v>
      </c>
      <c r="X176" s="6" t="e">
        <f t="shared" si="88"/>
        <v>#DIV/0!</v>
      </c>
      <c r="Y176" s="6" t="e">
        <f t="shared" si="88"/>
        <v>#DIV/0!</v>
      </c>
      <c r="Z176" s="6" t="e">
        <f t="shared" si="88"/>
        <v>#DIV/0!</v>
      </c>
    </row>
    <row r="177" spans="1:26" x14ac:dyDescent="0.2">
      <c r="A177" s="7" t="s">
        <v>123</v>
      </c>
      <c r="B177" s="6">
        <f t="shared" si="80"/>
        <v>8</v>
      </c>
      <c r="C177" s="7" t="s">
        <v>158</v>
      </c>
      <c r="D177" s="69">
        <v>75</v>
      </c>
      <c r="E177" s="69">
        <v>0</v>
      </c>
      <c r="F177" s="66">
        <f t="shared" si="78"/>
        <v>0</v>
      </c>
      <c r="G177" s="61" t="e">
        <f t="shared" si="81"/>
        <v>#DIV/0!</v>
      </c>
      <c r="H177" s="66" t="e">
        <f t="shared" si="85"/>
        <v>#DIV/0!</v>
      </c>
      <c r="I177" s="66" t="e">
        <f t="shared" si="85"/>
        <v>#DIV/0!</v>
      </c>
      <c r="J177" s="66" t="e">
        <f t="shared" si="85"/>
        <v>#DIV/0!</v>
      </c>
      <c r="K177" s="70">
        <v>34200</v>
      </c>
      <c r="L177" s="70">
        <f>'Monitoramento Acumulado Geral'!Q177</f>
        <v>0</v>
      </c>
      <c r="M177" s="6">
        <f>(SUM(L170:L177))/K176</f>
        <v>0.34795321637426901</v>
      </c>
      <c r="N177" s="35" t="str">
        <f t="shared" si="82"/>
        <v>Desempenho Médio</v>
      </c>
      <c r="O177" s="6">
        <f t="shared" si="87"/>
        <v>0.42046470140126019</v>
      </c>
      <c r="P177" s="6">
        <f t="shared" si="87"/>
        <v>0.84574683442734511</v>
      </c>
      <c r="Q177" s="6">
        <f t="shared" si="87"/>
        <v>-4.8174316248247306E-3</v>
      </c>
      <c r="R177" s="70">
        <v>80</v>
      </c>
      <c r="S177" s="70">
        <v>0</v>
      </c>
      <c r="T177" s="6">
        <f t="shared" si="79"/>
        <v>0</v>
      </c>
      <c r="U177" s="35" t="e">
        <f t="shared" si="83"/>
        <v>#DIV/0!</v>
      </c>
      <c r="V177" s="6" t="e">
        <f t="shared" si="88"/>
        <v>#DIV/0!</v>
      </c>
      <c r="W177" s="6" t="e">
        <f t="shared" si="88"/>
        <v>#DIV/0!</v>
      </c>
      <c r="X177" s="6" t="e">
        <f t="shared" si="88"/>
        <v>#DIV/0!</v>
      </c>
      <c r="Y177" s="6" t="e">
        <f t="shared" si="88"/>
        <v>#DIV/0!</v>
      </c>
      <c r="Z177" s="6" t="e">
        <f t="shared" si="88"/>
        <v>#DIV/0!</v>
      </c>
    </row>
    <row r="178" spans="1:26" x14ac:dyDescent="0.2">
      <c r="A178" s="7" t="s">
        <v>123</v>
      </c>
      <c r="B178" s="6">
        <f t="shared" si="80"/>
        <v>9</v>
      </c>
      <c r="C178" s="7" t="s">
        <v>159</v>
      </c>
      <c r="D178" s="69">
        <v>75</v>
      </c>
      <c r="E178" s="69">
        <v>0</v>
      </c>
      <c r="F178" s="66">
        <f t="shared" si="78"/>
        <v>0</v>
      </c>
      <c r="G178" s="61" t="e">
        <f t="shared" si="81"/>
        <v>#DIV/0!</v>
      </c>
      <c r="H178" s="66" t="e">
        <f t="shared" si="85"/>
        <v>#DIV/0!</v>
      </c>
      <c r="I178" s="66" t="e">
        <f t="shared" si="85"/>
        <v>#DIV/0!</v>
      </c>
      <c r="J178" s="66" t="e">
        <f t="shared" si="85"/>
        <v>#DIV/0!</v>
      </c>
      <c r="K178" s="70">
        <v>34200</v>
      </c>
      <c r="L178" s="70">
        <f>'Monitoramento Acumulado Geral'!Q178</f>
        <v>0</v>
      </c>
      <c r="M178" s="6">
        <f>(SUM(L170:L178))/K177</f>
        <v>0.34795321637426901</v>
      </c>
      <c r="N178" s="35" t="str">
        <f t="shared" si="82"/>
        <v>Desempenho Médio</v>
      </c>
      <c r="O178" s="6">
        <f t="shared" ref="O178:Q193" si="89">O166</f>
        <v>0.42046470140126019</v>
      </c>
      <c r="P178" s="6">
        <f t="shared" si="89"/>
        <v>0.84574683442734511</v>
      </c>
      <c r="Q178" s="6">
        <f t="shared" si="89"/>
        <v>-4.8174316248247306E-3</v>
      </c>
      <c r="R178" s="70">
        <v>80</v>
      </c>
      <c r="S178" s="70">
        <v>0</v>
      </c>
      <c r="T178" s="6">
        <f t="shared" si="79"/>
        <v>0</v>
      </c>
      <c r="U178" s="35" t="e">
        <f t="shared" si="83"/>
        <v>#DIV/0!</v>
      </c>
      <c r="V178" s="6" t="e">
        <f t="shared" si="88"/>
        <v>#DIV/0!</v>
      </c>
      <c r="W178" s="6" t="e">
        <f t="shared" si="88"/>
        <v>#DIV/0!</v>
      </c>
      <c r="X178" s="6" t="e">
        <f t="shared" si="88"/>
        <v>#DIV/0!</v>
      </c>
      <c r="Y178" s="6" t="e">
        <f t="shared" si="88"/>
        <v>#DIV/0!</v>
      </c>
      <c r="Z178" s="6" t="e">
        <f t="shared" si="88"/>
        <v>#DIV/0!</v>
      </c>
    </row>
    <row r="179" spans="1:26" x14ac:dyDescent="0.2">
      <c r="A179" s="7" t="s">
        <v>123</v>
      </c>
      <c r="B179" s="6">
        <f t="shared" si="80"/>
        <v>10</v>
      </c>
      <c r="C179" s="7" t="s">
        <v>160</v>
      </c>
      <c r="D179" s="69">
        <v>75</v>
      </c>
      <c r="E179" s="69">
        <v>0</v>
      </c>
      <c r="F179" s="66">
        <f t="shared" si="78"/>
        <v>0</v>
      </c>
      <c r="G179" s="61" t="e">
        <f t="shared" si="81"/>
        <v>#DIV/0!</v>
      </c>
      <c r="H179" s="66" t="e">
        <f t="shared" si="85"/>
        <v>#DIV/0!</v>
      </c>
      <c r="I179" s="66" t="e">
        <f t="shared" si="85"/>
        <v>#DIV/0!</v>
      </c>
      <c r="J179" s="66" t="e">
        <f t="shared" si="85"/>
        <v>#DIV/0!</v>
      </c>
      <c r="K179" s="70">
        <v>34200</v>
      </c>
      <c r="L179" s="70">
        <f>'Monitoramento Acumulado Geral'!Q179</f>
        <v>0</v>
      </c>
      <c r="M179" s="6">
        <f>(SUM(L170:L179))/K178</f>
        <v>0.34795321637426901</v>
      </c>
      <c r="N179" s="35" t="str">
        <f t="shared" si="82"/>
        <v>Desempenho Médio</v>
      </c>
      <c r="O179" s="6">
        <f t="shared" si="89"/>
        <v>0.42046470140126019</v>
      </c>
      <c r="P179" s="6">
        <f t="shared" si="89"/>
        <v>0.84574683442734511</v>
      </c>
      <c r="Q179" s="6">
        <f t="shared" si="89"/>
        <v>-4.8174316248247306E-3</v>
      </c>
      <c r="R179" s="70">
        <v>80</v>
      </c>
      <c r="S179" s="70">
        <v>0</v>
      </c>
      <c r="T179" s="6">
        <f t="shared" si="79"/>
        <v>0</v>
      </c>
      <c r="U179" s="35" t="e">
        <f t="shared" si="83"/>
        <v>#DIV/0!</v>
      </c>
      <c r="V179" s="6" t="e">
        <f t="shared" si="88"/>
        <v>#DIV/0!</v>
      </c>
      <c r="W179" s="6" t="e">
        <f t="shared" si="88"/>
        <v>#DIV/0!</v>
      </c>
      <c r="X179" s="6" t="e">
        <f t="shared" si="88"/>
        <v>#DIV/0!</v>
      </c>
      <c r="Y179" s="6" t="e">
        <f t="shared" si="88"/>
        <v>#DIV/0!</v>
      </c>
      <c r="Z179" s="6" t="e">
        <f t="shared" si="88"/>
        <v>#DIV/0!</v>
      </c>
    </row>
    <row r="180" spans="1:26" x14ac:dyDescent="0.2">
      <c r="A180" s="7" t="s">
        <v>123</v>
      </c>
      <c r="B180" s="6">
        <f t="shared" si="80"/>
        <v>11</v>
      </c>
      <c r="C180" s="7" t="s">
        <v>161</v>
      </c>
      <c r="D180" s="69">
        <v>75</v>
      </c>
      <c r="E180" s="69">
        <v>0</v>
      </c>
      <c r="F180" s="66">
        <f t="shared" si="78"/>
        <v>0</v>
      </c>
      <c r="G180" s="61" t="e">
        <f t="shared" si="81"/>
        <v>#DIV/0!</v>
      </c>
      <c r="H180" s="66" t="e">
        <f t="shared" si="85"/>
        <v>#DIV/0!</v>
      </c>
      <c r="I180" s="66" t="e">
        <f t="shared" si="85"/>
        <v>#DIV/0!</v>
      </c>
      <c r="J180" s="66" t="e">
        <f t="shared" si="85"/>
        <v>#DIV/0!</v>
      </c>
      <c r="K180" s="70">
        <v>34200</v>
      </c>
      <c r="L180" s="70">
        <f>'Monitoramento Acumulado Geral'!Q180</f>
        <v>0</v>
      </c>
      <c r="M180" s="6">
        <f>(SUM(L170:L180))/K179</f>
        <v>0.34795321637426901</v>
      </c>
      <c r="N180" s="35" t="str">
        <f t="shared" si="82"/>
        <v>Desempenho Médio</v>
      </c>
      <c r="O180" s="6">
        <f t="shared" si="89"/>
        <v>0.42046470140126019</v>
      </c>
      <c r="P180" s="6">
        <f t="shared" si="89"/>
        <v>0.84574683442734511</v>
      </c>
      <c r="Q180" s="6">
        <f t="shared" si="89"/>
        <v>-4.8174316248247306E-3</v>
      </c>
      <c r="R180" s="70">
        <v>80</v>
      </c>
      <c r="S180" s="70">
        <v>0</v>
      </c>
      <c r="T180" s="6">
        <f t="shared" si="79"/>
        <v>0</v>
      </c>
      <c r="U180" s="35" t="e">
        <f t="shared" si="83"/>
        <v>#DIV/0!</v>
      </c>
      <c r="V180" s="6" t="e">
        <f t="shared" si="88"/>
        <v>#DIV/0!</v>
      </c>
      <c r="W180" s="6" t="e">
        <f t="shared" si="88"/>
        <v>#DIV/0!</v>
      </c>
      <c r="X180" s="6" t="e">
        <f t="shared" si="88"/>
        <v>#DIV/0!</v>
      </c>
      <c r="Y180" s="6" t="e">
        <f t="shared" si="88"/>
        <v>#DIV/0!</v>
      </c>
      <c r="Z180" s="6" t="e">
        <f t="shared" si="88"/>
        <v>#DIV/0!</v>
      </c>
    </row>
    <row r="181" spans="1:26" x14ac:dyDescent="0.2">
      <c r="A181" s="7" t="s">
        <v>123</v>
      </c>
      <c r="B181" s="6">
        <f t="shared" si="80"/>
        <v>12</v>
      </c>
      <c r="C181" s="7" t="s">
        <v>162</v>
      </c>
      <c r="D181" s="69">
        <v>75</v>
      </c>
      <c r="E181" s="69">
        <v>0</v>
      </c>
      <c r="F181" s="66">
        <f t="shared" si="78"/>
        <v>0</v>
      </c>
      <c r="G181" s="61" t="e">
        <f t="shared" si="81"/>
        <v>#DIV/0!</v>
      </c>
      <c r="H181" s="66" t="e">
        <f t="shared" si="85"/>
        <v>#DIV/0!</v>
      </c>
      <c r="I181" s="66" t="e">
        <f t="shared" si="85"/>
        <v>#DIV/0!</v>
      </c>
      <c r="J181" s="66" t="e">
        <f t="shared" si="85"/>
        <v>#DIV/0!</v>
      </c>
      <c r="K181" s="70">
        <v>34200</v>
      </c>
      <c r="L181" s="70">
        <f>'Monitoramento Acumulado Geral'!Q181</f>
        <v>0</v>
      </c>
      <c r="M181" s="6">
        <f>(SUM(L170:L181))/K180</f>
        <v>0.34795321637426901</v>
      </c>
      <c r="N181" s="35" t="str">
        <f t="shared" si="82"/>
        <v>Desempenho Médio</v>
      </c>
      <c r="O181" s="6">
        <f t="shared" si="89"/>
        <v>0.41824651958307835</v>
      </c>
      <c r="P181" s="6">
        <f t="shared" si="89"/>
        <v>0.84510274859297763</v>
      </c>
      <c r="Q181" s="6">
        <f t="shared" si="89"/>
        <v>-8.6097094268208774E-3</v>
      </c>
      <c r="R181" s="70">
        <v>80</v>
      </c>
      <c r="S181" s="70">
        <v>0</v>
      </c>
      <c r="T181" s="6">
        <f t="shared" si="79"/>
        <v>0</v>
      </c>
      <c r="U181" s="35" t="e">
        <f t="shared" si="83"/>
        <v>#DIV/0!</v>
      </c>
      <c r="V181" s="6" t="e">
        <f t="shared" si="88"/>
        <v>#DIV/0!</v>
      </c>
      <c r="W181" s="6" t="e">
        <f t="shared" si="88"/>
        <v>#DIV/0!</v>
      </c>
      <c r="X181" s="6" t="e">
        <f t="shared" si="88"/>
        <v>#DIV/0!</v>
      </c>
      <c r="Y181" s="6" t="e">
        <f t="shared" si="88"/>
        <v>#DIV/0!</v>
      </c>
      <c r="Z181" s="6" t="e">
        <f t="shared" si="88"/>
        <v>#DIV/0!</v>
      </c>
    </row>
    <row r="182" spans="1:26" x14ac:dyDescent="0.2">
      <c r="A182" s="7" t="s">
        <v>92</v>
      </c>
      <c r="B182" s="6">
        <f t="shared" si="80"/>
        <v>1</v>
      </c>
      <c r="C182" s="7" t="s">
        <v>151</v>
      </c>
      <c r="D182" s="69">
        <v>75</v>
      </c>
      <c r="E182" s="69">
        <v>0</v>
      </c>
      <c r="F182" s="66">
        <f t="shared" si="78"/>
        <v>0</v>
      </c>
      <c r="G182" s="61" t="e">
        <f t="shared" si="81"/>
        <v>#DIV/0!</v>
      </c>
      <c r="H182" s="66" t="e">
        <f t="shared" si="85"/>
        <v>#DIV/0!</v>
      </c>
      <c r="I182" s="66" t="e">
        <f t="shared" si="85"/>
        <v>#DIV/0!</v>
      </c>
      <c r="J182" s="66" t="e">
        <f t="shared" si="85"/>
        <v>#DIV/0!</v>
      </c>
      <c r="K182" s="70">
        <v>85000</v>
      </c>
      <c r="L182" s="70">
        <f>'Monitoramento Acumulado Geral'!Q182</f>
        <v>0</v>
      </c>
      <c r="M182" s="6">
        <f>L182/K182</f>
        <v>0</v>
      </c>
      <c r="N182" s="35" t="str">
        <f t="shared" si="82"/>
        <v>Desempenho Médio</v>
      </c>
      <c r="O182" s="6">
        <f t="shared" si="89"/>
        <v>3.4274647562211005E-2</v>
      </c>
      <c r="P182" s="6">
        <f t="shared" si="89"/>
        <v>0.10289217685709087</v>
      </c>
      <c r="Q182" s="6">
        <f t="shared" si="89"/>
        <v>-3.4342881732668862E-2</v>
      </c>
      <c r="R182" s="70">
        <v>80</v>
      </c>
      <c r="S182" s="70">
        <v>0</v>
      </c>
      <c r="T182" s="6">
        <f t="shared" si="79"/>
        <v>0</v>
      </c>
      <c r="U182" s="35" t="e">
        <f t="shared" si="83"/>
        <v>#DIV/0!</v>
      </c>
      <c r="V182" s="6" t="e">
        <f t="shared" si="88"/>
        <v>#DIV/0!</v>
      </c>
      <c r="W182" s="6" t="e">
        <f t="shared" si="88"/>
        <v>#DIV/0!</v>
      </c>
      <c r="X182" s="6" t="e">
        <f t="shared" si="88"/>
        <v>#DIV/0!</v>
      </c>
      <c r="Y182" s="6" t="e">
        <f t="shared" si="88"/>
        <v>#DIV/0!</v>
      </c>
      <c r="Z182" s="6" t="e">
        <f t="shared" si="88"/>
        <v>#DIV/0!</v>
      </c>
    </row>
    <row r="183" spans="1:26" x14ac:dyDescent="0.2">
      <c r="A183" s="7" t="s">
        <v>92</v>
      </c>
      <c r="B183" s="6">
        <f t="shared" si="80"/>
        <v>2</v>
      </c>
      <c r="C183" s="7" t="s">
        <v>152</v>
      </c>
      <c r="D183" s="69">
        <v>75</v>
      </c>
      <c r="E183" s="69">
        <v>0</v>
      </c>
      <c r="F183" s="66">
        <f t="shared" si="78"/>
        <v>0</v>
      </c>
      <c r="G183" s="61" t="e">
        <f t="shared" si="81"/>
        <v>#DIV/0!</v>
      </c>
      <c r="H183" s="66" t="e">
        <f t="shared" si="85"/>
        <v>#DIV/0!</v>
      </c>
      <c r="I183" s="66" t="e">
        <f t="shared" si="85"/>
        <v>#DIV/0!</v>
      </c>
      <c r="J183" s="66" t="e">
        <f t="shared" si="85"/>
        <v>#DIV/0!</v>
      </c>
      <c r="K183" s="70">
        <v>85000</v>
      </c>
      <c r="L183" s="70">
        <f>'Monitoramento Acumulado Geral'!Q183</f>
        <v>0</v>
      </c>
      <c r="M183" s="6">
        <f>(SUM(L182:L183))/K182</f>
        <v>0</v>
      </c>
      <c r="N183" s="35" t="str">
        <f t="shared" si="82"/>
        <v>Desempenho Médio</v>
      </c>
      <c r="O183" s="6">
        <f t="shared" si="89"/>
        <v>8.1815188943147363E-2</v>
      </c>
      <c r="P183" s="6">
        <f t="shared" si="89"/>
        <v>0.20623883252423067</v>
      </c>
      <c r="Q183" s="6">
        <f t="shared" si="89"/>
        <v>-4.2608454637935944E-2</v>
      </c>
      <c r="R183" s="70">
        <v>80</v>
      </c>
      <c r="S183" s="70">
        <v>0</v>
      </c>
      <c r="T183" s="6">
        <f t="shared" si="79"/>
        <v>0</v>
      </c>
      <c r="U183" s="35" t="e">
        <f t="shared" si="83"/>
        <v>#DIV/0!</v>
      </c>
      <c r="V183" s="6" t="e">
        <f t="shared" si="88"/>
        <v>#DIV/0!</v>
      </c>
      <c r="W183" s="6" t="e">
        <f t="shared" si="88"/>
        <v>#DIV/0!</v>
      </c>
      <c r="X183" s="6" t="e">
        <f t="shared" si="88"/>
        <v>#DIV/0!</v>
      </c>
      <c r="Y183" s="6" t="e">
        <f t="shared" si="88"/>
        <v>#DIV/0!</v>
      </c>
      <c r="Z183" s="6" t="e">
        <f t="shared" si="88"/>
        <v>#DIV/0!</v>
      </c>
    </row>
    <row r="184" spans="1:26" x14ac:dyDescent="0.2">
      <c r="A184" s="7" t="s">
        <v>92</v>
      </c>
      <c r="B184" s="6">
        <f t="shared" si="80"/>
        <v>3</v>
      </c>
      <c r="C184" s="7" t="s">
        <v>153</v>
      </c>
      <c r="D184" s="69">
        <v>75</v>
      </c>
      <c r="E184" s="69">
        <v>8</v>
      </c>
      <c r="F184" s="66">
        <f t="shared" si="78"/>
        <v>0.10666666666666667</v>
      </c>
      <c r="G184" s="61" t="e">
        <f t="shared" si="81"/>
        <v>#DIV/0!</v>
      </c>
      <c r="H184" s="66" t="e">
        <f t="shared" si="85"/>
        <v>#DIV/0!</v>
      </c>
      <c r="I184" s="66" t="e">
        <f t="shared" si="85"/>
        <v>#DIV/0!</v>
      </c>
      <c r="J184" s="66" t="e">
        <f t="shared" si="85"/>
        <v>#DIV/0!</v>
      </c>
      <c r="K184" s="70">
        <v>85000</v>
      </c>
      <c r="L184" s="70">
        <f>'Monitoramento Acumulado Geral'!Q184</f>
        <v>4275</v>
      </c>
      <c r="M184" s="6">
        <f>(SUM(L182:L184))/K183</f>
        <v>5.0294117647058822E-2</v>
      </c>
      <c r="N184" s="35" t="str">
        <f t="shared" si="82"/>
        <v>Desempenho Médio</v>
      </c>
      <c r="O184" s="6">
        <f t="shared" si="89"/>
        <v>0.13411292471649494</v>
      </c>
      <c r="P184" s="6">
        <f t="shared" si="89"/>
        <v>0.29721906787058483</v>
      </c>
      <c r="Q184" s="6">
        <f t="shared" si="89"/>
        <v>-2.899321843759492E-2</v>
      </c>
      <c r="R184" s="70">
        <v>80</v>
      </c>
      <c r="S184" s="70">
        <v>0</v>
      </c>
      <c r="T184" s="6">
        <f t="shared" si="79"/>
        <v>0</v>
      </c>
      <c r="U184" s="35" t="e">
        <f t="shared" si="83"/>
        <v>#DIV/0!</v>
      </c>
      <c r="V184" s="6" t="e">
        <f t="shared" si="88"/>
        <v>#DIV/0!</v>
      </c>
      <c r="W184" s="6" t="e">
        <f t="shared" si="88"/>
        <v>#DIV/0!</v>
      </c>
      <c r="X184" s="6" t="e">
        <f t="shared" si="88"/>
        <v>#DIV/0!</v>
      </c>
      <c r="Y184" s="6" t="e">
        <f t="shared" si="88"/>
        <v>#DIV/0!</v>
      </c>
      <c r="Z184" s="6" t="e">
        <f t="shared" si="88"/>
        <v>#DIV/0!</v>
      </c>
    </row>
    <row r="185" spans="1:26" x14ac:dyDescent="0.2">
      <c r="A185" s="7" t="s">
        <v>92</v>
      </c>
      <c r="B185" s="6">
        <f t="shared" si="80"/>
        <v>4</v>
      </c>
      <c r="C185" s="7" t="s">
        <v>154</v>
      </c>
      <c r="D185" s="69">
        <v>75</v>
      </c>
      <c r="E185" s="69">
        <v>8</v>
      </c>
      <c r="F185" s="66">
        <f t="shared" si="78"/>
        <v>0.10666666666666667</v>
      </c>
      <c r="G185" s="61" t="e">
        <f t="shared" si="81"/>
        <v>#DIV/0!</v>
      </c>
      <c r="H185" s="66" t="e">
        <f t="shared" si="85"/>
        <v>#DIV/0!</v>
      </c>
      <c r="I185" s="66" t="e">
        <f t="shared" si="85"/>
        <v>#DIV/0!</v>
      </c>
      <c r="J185" s="66" t="e">
        <f t="shared" si="85"/>
        <v>#DIV/0!</v>
      </c>
      <c r="K185" s="70">
        <v>85000</v>
      </c>
      <c r="L185" s="70">
        <f>'Monitoramento Acumulado Geral'!Q185</f>
        <v>0</v>
      </c>
      <c r="M185" s="6">
        <f>(SUM(L182:L185))/K184</f>
        <v>5.0294117647058822E-2</v>
      </c>
      <c r="N185" s="35" t="str">
        <f t="shared" si="82"/>
        <v>Desempenho Médio</v>
      </c>
      <c r="O185" s="6">
        <f t="shared" si="89"/>
        <v>0.15392483870093213</v>
      </c>
      <c r="P185" s="6">
        <f t="shared" si="89"/>
        <v>0.32772007016950033</v>
      </c>
      <c r="Q185" s="6">
        <f t="shared" si="89"/>
        <v>-1.9870392767636053E-2</v>
      </c>
      <c r="R185" s="70">
        <v>80</v>
      </c>
      <c r="S185" s="70">
        <v>0</v>
      </c>
      <c r="T185" s="6">
        <f t="shared" si="79"/>
        <v>0</v>
      </c>
      <c r="U185" s="35" t="e">
        <f t="shared" si="83"/>
        <v>#DIV/0!</v>
      </c>
      <c r="V185" s="6" t="e">
        <f t="shared" si="88"/>
        <v>#DIV/0!</v>
      </c>
      <c r="W185" s="6" t="e">
        <f t="shared" si="88"/>
        <v>#DIV/0!</v>
      </c>
      <c r="X185" s="6" t="e">
        <f t="shared" si="88"/>
        <v>#DIV/0!</v>
      </c>
      <c r="Y185" s="6" t="e">
        <f t="shared" si="88"/>
        <v>#DIV/0!</v>
      </c>
      <c r="Z185" s="6" t="e">
        <f t="shared" si="88"/>
        <v>#DIV/0!</v>
      </c>
    </row>
    <row r="186" spans="1:26" x14ac:dyDescent="0.2">
      <c r="A186" s="7" t="s">
        <v>92</v>
      </c>
      <c r="B186" s="6">
        <f t="shared" si="80"/>
        <v>5</v>
      </c>
      <c r="C186" s="7" t="s">
        <v>155</v>
      </c>
      <c r="D186" s="69">
        <v>75</v>
      </c>
      <c r="E186" s="69">
        <v>25</v>
      </c>
      <c r="F186" s="66">
        <f t="shared" si="78"/>
        <v>0.33333333333333331</v>
      </c>
      <c r="G186" s="61" t="e">
        <f t="shared" si="81"/>
        <v>#DIV/0!</v>
      </c>
      <c r="H186" s="66" t="e">
        <f t="shared" si="85"/>
        <v>#DIV/0!</v>
      </c>
      <c r="I186" s="66" t="e">
        <f t="shared" si="85"/>
        <v>#DIV/0!</v>
      </c>
      <c r="J186" s="66" t="e">
        <f t="shared" si="85"/>
        <v>#DIV/0!</v>
      </c>
      <c r="K186" s="70">
        <v>85000</v>
      </c>
      <c r="L186" s="70">
        <f>'Monitoramento Acumulado Geral'!Q186</f>
        <v>6600</v>
      </c>
      <c r="M186" s="6">
        <f>(SUM(L182:L186))/K185</f>
        <v>0.12794117647058822</v>
      </c>
      <c r="N186" s="35" t="str">
        <f t="shared" si="82"/>
        <v>Desempenho Médio</v>
      </c>
      <c r="O186" s="6">
        <f t="shared" si="89"/>
        <v>0.21139287248463789</v>
      </c>
      <c r="P186" s="6">
        <f t="shared" si="89"/>
        <v>0.43680804416292918</v>
      </c>
      <c r="Q186" s="6">
        <f t="shared" si="89"/>
        <v>-1.4022299193653387E-2</v>
      </c>
      <c r="R186" s="70">
        <v>80</v>
      </c>
      <c r="S186" s="70">
        <v>0</v>
      </c>
      <c r="T186" s="6">
        <f t="shared" si="79"/>
        <v>0</v>
      </c>
      <c r="U186" s="35" t="e">
        <f t="shared" si="83"/>
        <v>#DIV/0!</v>
      </c>
      <c r="V186" s="6" t="e">
        <f t="shared" si="88"/>
        <v>#DIV/0!</v>
      </c>
      <c r="W186" s="6" t="e">
        <f t="shared" si="88"/>
        <v>#DIV/0!</v>
      </c>
      <c r="X186" s="6" t="e">
        <f t="shared" si="88"/>
        <v>#DIV/0!</v>
      </c>
      <c r="Y186" s="6" t="e">
        <f t="shared" si="88"/>
        <v>#DIV/0!</v>
      </c>
      <c r="Z186" s="6" t="e">
        <f t="shared" si="88"/>
        <v>#DIV/0!</v>
      </c>
    </row>
    <row r="187" spans="1:26" x14ac:dyDescent="0.2">
      <c r="A187" s="7" t="s">
        <v>92</v>
      </c>
      <c r="B187" s="6">
        <f t="shared" si="80"/>
        <v>6</v>
      </c>
      <c r="C187" s="7" t="s">
        <v>156</v>
      </c>
      <c r="D187" s="69">
        <v>75</v>
      </c>
      <c r="E187" s="69">
        <v>25</v>
      </c>
      <c r="F187" s="66">
        <f t="shared" si="78"/>
        <v>0.33333333333333331</v>
      </c>
      <c r="G187" s="61" t="e">
        <f t="shared" si="81"/>
        <v>#DIV/0!</v>
      </c>
      <c r="H187" s="66" t="e">
        <f t="shared" si="85"/>
        <v>#DIV/0!</v>
      </c>
      <c r="I187" s="66" t="e">
        <f t="shared" si="85"/>
        <v>#DIV/0!</v>
      </c>
      <c r="J187" s="66" t="e">
        <f t="shared" si="85"/>
        <v>#DIV/0!</v>
      </c>
      <c r="K187" s="70">
        <v>85000</v>
      </c>
      <c r="L187" s="70">
        <f>'Monitoramento Acumulado Geral'!Q187</f>
        <v>0</v>
      </c>
      <c r="M187" s="6">
        <f>(SUM(L182:L187))/K186</f>
        <v>0.12794117647058822</v>
      </c>
      <c r="N187" s="35" t="str">
        <f t="shared" si="82"/>
        <v>Desempenho Médio</v>
      </c>
      <c r="O187" s="6">
        <f t="shared" si="89"/>
        <v>0.28403291059934432</v>
      </c>
      <c r="P187" s="6">
        <f t="shared" si="89"/>
        <v>0.56118246348434164</v>
      </c>
      <c r="Q187" s="6">
        <f t="shared" si="89"/>
        <v>6.8833577143469493E-3</v>
      </c>
      <c r="R187" s="70">
        <v>80</v>
      </c>
      <c r="S187" s="70">
        <v>0</v>
      </c>
      <c r="T187" s="6">
        <f t="shared" si="79"/>
        <v>0</v>
      </c>
      <c r="U187" s="35" t="e">
        <f t="shared" si="83"/>
        <v>#DIV/0!</v>
      </c>
      <c r="V187" s="6" t="e">
        <f t="shared" ref="V187:Z202" si="90">V175</f>
        <v>#DIV/0!</v>
      </c>
      <c r="W187" s="6" t="e">
        <f t="shared" si="90"/>
        <v>#DIV/0!</v>
      </c>
      <c r="X187" s="6" t="e">
        <f t="shared" si="90"/>
        <v>#DIV/0!</v>
      </c>
      <c r="Y187" s="6" t="e">
        <f t="shared" si="90"/>
        <v>#DIV/0!</v>
      </c>
      <c r="Z187" s="6" t="e">
        <f t="shared" si="90"/>
        <v>#DIV/0!</v>
      </c>
    </row>
    <row r="188" spans="1:26" x14ac:dyDescent="0.2">
      <c r="A188" s="7" t="s">
        <v>92</v>
      </c>
      <c r="B188" s="6">
        <f t="shared" si="80"/>
        <v>7</v>
      </c>
      <c r="C188" s="7" t="s">
        <v>157</v>
      </c>
      <c r="D188" s="69">
        <v>75</v>
      </c>
      <c r="E188" s="69">
        <v>28</v>
      </c>
      <c r="F188" s="66">
        <f t="shared" si="78"/>
        <v>0.37333333333333335</v>
      </c>
      <c r="G188" s="61" t="e">
        <f t="shared" si="81"/>
        <v>#DIV/0!</v>
      </c>
      <c r="H188" s="66" t="e">
        <f t="shared" si="85"/>
        <v>#DIV/0!</v>
      </c>
      <c r="I188" s="66" t="e">
        <f t="shared" si="85"/>
        <v>#DIV/0!</v>
      </c>
      <c r="J188" s="66" t="e">
        <f t="shared" si="85"/>
        <v>#DIV/0!</v>
      </c>
      <c r="K188" s="70">
        <v>85000</v>
      </c>
      <c r="L188" s="70">
        <f>'Monitoramento Acumulado Geral'!Q188</f>
        <v>2750</v>
      </c>
      <c r="M188" s="6">
        <f>(SUM(L182:L188))/K187</f>
        <v>0.16029411764705884</v>
      </c>
      <c r="N188" s="35" t="str">
        <f t="shared" si="82"/>
        <v>Desempenho Médio</v>
      </c>
      <c r="O188" s="6">
        <f t="shared" si="89"/>
        <v>0.42046470140126019</v>
      </c>
      <c r="P188" s="6">
        <f t="shared" si="89"/>
        <v>0.84574683442734511</v>
      </c>
      <c r="Q188" s="6">
        <f t="shared" si="89"/>
        <v>-4.8174316248247306E-3</v>
      </c>
      <c r="R188" s="70">
        <v>80</v>
      </c>
      <c r="S188" s="70">
        <v>0</v>
      </c>
      <c r="T188" s="6">
        <f t="shared" si="79"/>
        <v>0</v>
      </c>
      <c r="U188" s="35" t="e">
        <f t="shared" si="83"/>
        <v>#DIV/0!</v>
      </c>
      <c r="V188" s="6" t="e">
        <f t="shared" si="90"/>
        <v>#DIV/0!</v>
      </c>
      <c r="W188" s="6" t="e">
        <f t="shared" si="90"/>
        <v>#DIV/0!</v>
      </c>
      <c r="X188" s="6" t="e">
        <f t="shared" si="90"/>
        <v>#DIV/0!</v>
      </c>
      <c r="Y188" s="6" t="e">
        <f t="shared" si="90"/>
        <v>#DIV/0!</v>
      </c>
      <c r="Z188" s="6" t="e">
        <f t="shared" si="90"/>
        <v>#DIV/0!</v>
      </c>
    </row>
    <row r="189" spans="1:26" x14ac:dyDescent="0.2">
      <c r="A189" s="7" t="s">
        <v>92</v>
      </c>
      <c r="B189" s="6">
        <f t="shared" si="80"/>
        <v>8</v>
      </c>
      <c r="C189" s="7" t="s">
        <v>158</v>
      </c>
      <c r="D189" s="69">
        <v>75</v>
      </c>
      <c r="E189" s="69">
        <v>0</v>
      </c>
      <c r="F189" s="66">
        <f t="shared" si="78"/>
        <v>0</v>
      </c>
      <c r="G189" s="61" t="e">
        <f t="shared" si="81"/>
        <v>#DIV/0!</v>
      </c>
      <c r="H189" s="66" t="e">
        <f t="shared" si="85"/>
        <v>#DIV/0!</v>
      </c>
      <c r="I189" s="66" t="e">
        <f t="shared" si="85"/>
        <v>#DIV/0!</v>
      </c>
      <c r="J189" s="66" t="e">
        <f t="shared" si="85"/>
        <v>#DIV/0!</v>
      </c>
      <c r="K189" s="70">
        <v>85000</v>
      </c>
      <c r="L189" s="70">
        <f>'Monitoramento Acumulado Geral'!Q189</f>
        <v>0</v>
      </c>
      <c r="M189" s="6">
        <f>(SUM(L182:L189))/K188</f>
        <v>0.16029411764705884</v>
      </c>
      <c r="N189" s="35" t="str">
        <f t="shared" si="82"/>
        <v>Desempenho Médio</v>
      </c>
      <c r="O189" s="6">
        <f t="shared" si="89"/>
        <v>0.42046470140126019</v>
      </c>
      <c r="P189" s="6">
        <f t="shared" si="89"/>
        <v>0.84574683442734511</v>
      </c>
      <c r="Q189" s="6">
        <f t="shared" si="89"/>
        <v>-4.8174316248247306E-3</v>
      </c>
      <c r="R189" s="70">
        <v>80</v>
      </c>
      <c r="S189" s="70">
        <v>0</v>
      </c>
      <c r="T189" s="6">
        <f t="shared" si="79"/>
        <v>0</v>
      </c>
      <c r="U189" s="35" t="e">
        <f t="shared" si="83"/>
        <v>#DIV/0!</v>
      </c>
      <c r="V189" s="6" t="e">
        <f t="shared" si="90"/>
        <v>#DIV/0!</v>
      </c>
      <c r="W189" s="6" t="e">
        <f t="shared" si="90"/>
        <v>#DIV/0!</v>
      </c>
      <c r="X189" s="6" t="e">
        <f t="shared" si="90"/>
        <v>#DIV/0!</v>
      </c>
      <c r="Y189" s="6" t="e">
        <f t="shared" si="90"/>
        <v>#DIV/0!</v>
      </c>
      <c r="Z189" s="6" t="e">
        <f t="shared" si="90"/>
        <v>#DIV/0!</v>
      </c>
    </row>
    <row r="190" spans="1:26" x14ac:dyDescent="0.2">
      <c r="A190" s="7" t="s">
        <v>92</v>
      </c>
      <c r="B190" s="6">
        <f t="shared" si="80"/>
        <v>9</v>
      </c>
      <c r="C190" s="7" t="s">
        <v>159</v>
      </c>
      <c r="D190" s="69">
        <v>75</v>
      </c>
      <c r="E190" s="69">
        <v>0</v>
      </c>
      <c r="F190" s="66">
        <f t="shared" si="78"/>
        <v>0</v>
      </c>
      <c r="G190" s="61" t="e">
        <f t="shared" si="81"/>
        <v>#DIV/0!</v>
      </c>
      <c r="H190" s="66" t="e">
        <f t="shared" si="85"/>
        <v>#DIV/0!</v>
      </c>
      <c r="I190" s="66" t="e">
        <f t="shared" si="85"/>
        <v>#DIV/0!</v>
      </c>
      <c r="J190" s="66" t="e">
        <f t="shared" si="85"/>
        <v>#DIV/0!</v>
      </c>
      <c r="K190" s="70">
        <v>85000</v>
      </c>
      <c r="L190" s="70">
        <f>'Monitoramento Acumulado Geral'!Q190</f>
        <v>0</v>
      </c>
      <c r="M190" s="6">
        <f>(SUM(L182:L190))/K189</f>
        <v>0.16029411764705884</v>
      </c>
      <c r="N190" s="35" t="str">
        <f t="shared" si="82"/>
        <v>Desempenho Médio</v>
      </c>
      <c r="O190" s="6">
        <f t="shared" si="89"/>
        <v>0.42046470140126019</v>
      </c>
      <c r="P190" s="6">
        <f t="shared" si="89"/>
        <v>0.84574683442734511</v>
      </c>
      <c r="Q190" s="6">
        <f t="shared" si="89"/>
        <v>-4.8174316248247306E-3</v>
      </c>
      <c r="R190" s="70">
        <v>80</v>
      </c>
      <c r="S190" s="70">
        <v>0</v>
      </c>
      <c r="T190" s="6">
        <f t="shared" si="79"/>
        <v>0</v>
      </c>
      <c r="U190" s="35" t="e">
        <f t="shared" si="83"/>
        <v>#DIV/0!</v>
      </c>
      <c r="V190" s="6" t="e">
        <f t="shared" si="90"/>
        <v>#DIV/0!</v>
      </c>
      <c r="W190" s="6" t="e">
        <f t="shared" si="90"/>
        <v>#DIV/0!</v>
      </c>
      <c r="X190" s="6" t="e">
        <f t="shared" si="90"/>
        <v>#DIV/0!</v>
      </c>
      <c r="Y190" s="6" t="e">
        <f t="shared" si="90"/>
        <v>#DIV/0!</v>
      </c>
      <c r="Z190" s="6" t="e">
        <f t="shared" si="90"/>
        <v>#DIV/0!</v>
      </c>
    </row>
    <row r="191" spans="1:26" x14ac:dyDescent="0.2">
      <c r="A191" s="7" t="s">
        <v>92</v>
      </c>
      <c r="B191" s="6">
        <f t="shared" si="80"/>
        <v>10</v>
      </c>
      <c r="C191" s="7" t="s">
        <v>160</v>
      </c>
      <c r="D191" s="69">
        <v>75</v>
      </c>
      <c r="E191" s="69">
        <v>0</v>
      </c>
      <c r="F191" s="66">
        <f t="shared" si="78"/>
        <v>0</v>
      </c>
      <c r="G191" s="61" t="e">
        <f t="shared" si="81"/>
        <v>#DIV/0!</v>
      </c>
      <c r="H191" s="66" t="e">
        <f t="shared" si="85"/>
        <v>#DIV/0!</v>
      </c>
      <c r="I191" s="66" t="e">
        <f t="shared" si="85"/>
        <v>#DIV/0!</v>
      </c>
      <c r="J191" s="66" t="e">
        <f t="shared" si="85"/>
        <v>#DIV/0!</v>
      </c>
      <c r="K191" s="70">
        <v>85000</v>
      </c>
      <c r="L191" s="70">
        <f>'Monitoramento Acumulado Geral'!Q191</f>
        <v>0</v>
      </c>
      <c r="M191" s="6">
        <f>(SUM(L182:L191))/K190</f>
        <v>0.16029411764705884</v>
      </c>
      <c r="N191" s="35" t="str">
        <f t="shared" si="82"/>
        <v>Desempenho Médio</v>
      </c>
      <c r="O191" s="6">
        <f t="shared" si="89"/>
        <v>0.42046470140126019</v>
      </c>
      <c r="P191" s="6">
        <f t="shared" si="89"/>
        <v>0.84574683442734511</v>
      </c>
      <c r="Q191" s="6">
        <f t="shared" si="89"/>
        <v>-4.8174316248247306E-3</v>
      </c>
      <c r="R191" s="70">
        <v>80</v>
      </c>
      <c r="S191" s="70">
        <v>0</v>
      </c>
      <c r="T191" s="6">
        <f t="shared" si="79"/>
        <v>0</v>
      </c>
      <c r="U191" s="35" t="e">
        <f t="shared" si="83"/>
        <v>#DIV/0!</v>
      </c>
      <c r="V191" s="6" t="e">
        <f t="shared" si="90"/>
        <v>#DIV/0!</v>
      </c>
      <c r="W191" s="6" t="e">
        <f t="shared" si="90"/>
        <v>#DIV/0!</v>
      </c>
      <c r="X191" s="6" t="e">
        <f t="shared" si="90"/>
        <v>#DIV/0!</v>
      </c>
      <c r="Y191" s="6" t="e">
        <f t="shared" si="90"/>
        <v>#DIV/0!</v>
      </c>
      <c r="Z191" s="6" t="e">
        <f t="shared" si="90"/>
        <v>#DIV/0!</v>
      </c>
    </row>
    <row r="192" spans="1:26" x14ac:dyDescent="0.2">
      <c r="A192" s="7" t="s">
        <v>92</v>
      </c>
      <c r="B192" s="6">
        <f t="shared" si="80"/>
        <v>11</v>
      </c>
      <c r="C192" s="7" t="s">
        <v>161</v>
      </c>
      <c r="D192" s="69">
        <v>75</v>
      </c>
      <c r="E192" s="69">
        <v>0</v>
      </c>
      <c r="F192" s="66">
        <f t="shared" si="78"/>
        <v>0</v>
      </c>
      <c r="G192" s="61" t="e">
        <f t="shared" si="81"/>
        <v>#DIV/0!</v>
      </c>
      <c r="H192" s="66" t="e">
        <f t="shared" si="85"/>
        <v>#DIV/0!</v>
      </c>
      <c r="I192" s="66" t="e">
        <f t="shared" si="85"/>
        <v>#DIV/0!</v>
      </c>
      <c r="J192" s="66" t="e">
        <f t="shared" si="85"/>
        <v>#DIV/0!</v>
      </c>
      <c r="K192" s="70">
        <v>85000</v>
      </c>
      <c r="L192" s="70">
        <f>'Monitoramento Acumulado Geral'!Q192</f>
        <v>0</v>
      </c>
      <c r="M192" s="6">
        <f>(SUM(L182:L192))/K191</f>
        <v>0.16029411764705884</v>
      </c>
      <c r="N192" s="35" t="str">
        <f t="shared" si="82"/>
        <v>Desempenho Médio</v>
      </c>
      <c r="O192" s="6">
        <f t="shared" si="89"/>
        <v>0.42046470140126019</v>
      </c>
      <c r="P192" s="6">
        <f t="shared" si="89"/>
        <v>0.84574683442734511</v>
      </c>
      <c r="Q192" s="6">
        <f t="shared" si="89"/>
        <v>-4.8174316248247306E-3</v>
      </c>
      <c r="R192" s="70">
        <v>80</v>
      </c>
      <c r="S192" s="70">
        <v>0</v>
      </c>
      <c r="T192" s="6">
        <f t="shared" si="79"/>
        <v>0</v>
      </c>
      <c r="U192" s="35" t="e">
        <f t="shared" si="83"/>
        <v>#DIV/0!</v>
      </c>
      <c r="V192" s="6" t="e">
        <f t="shared" si="90"/>
        <v>#DIV/0!</v>
      </c>
      <c r="W192" s="6" t="e">
        <f t="shared" si="90"/>
        <v>#DIV/0!</v>
      </c>
      <c r="X192" s="6" t="e">
        <f t="shared" si="90"/>
        <v>#DIV/0!</v>
      </c>
      <c r="Y192" s="6" t="e">
        <f t="shared" si="90"/>
        <v>#DIV/0!</v>
      </c>
      <c r="Z192" s="6" t="e">
        <f t="shared" si="90"/>
        <v>#DIV/0!</v>
      </c>
    </row>
    <row r="193" spans="1:26" x14ac:dyDescent="0.2">
      <c r="A193" s="7" t="s">
        <v>92</v>
      </c>
      <c r="B193" s="6">
        <f t="shared" si="80"/>
        <v>12</v>
      </c>
      <c r="C193" s="7" t="s">
        <v>162</v>
      </c>
      <c r="D193" s="69">
        <v>75</v>
      </c>
      <c r="E193" s="69">
        <v>0</v>
      </c>
      <c r="F193" s="66">
        <f t="shared" si="78"/>
        <v>0</v>
      </c>
      <c r="G193" s="61" t="e">
        <f t="shared" si="81"/>
        <v>#DIV/0!</v>
      </c>
      <c r="H193" s="66" t="e">
        <f t="shared" si="85"/>
        <v>#DIV/0!</v>
      </c>
      <c r="I193" s="66" t="e">
        <f t="shared" si="85"/>
        <v>#DIV/0!</v>
      </c>
      <c r="J193" s="66" t="e">
        <f t="shared" si="85"/>
        <v>#DIV/0!</v>
      </c>
      <c r="K193" s="70">
        <v>85000</v>
      </c>
      <c r="L193" s="70">
        <f>'Monitoramento Acumulado Geral'!Q193</f>
        <v>0</v>
      </c>
      <c r="M193" s="6">
        <f>(SUM(L182:L193))/K192</f>
        <v>0.16029411764705884</v>
      </c>
      <c r="N193" s="35" t="str">
        <f t="shared" si="82"/>
        <v>Desempenho Médio</v>
      </c>
      <c r="O193" s="6">
        <f t="shared" si="89"/>
        <v>0.41824651958307835</v>
      </c>
      <c r="P193" s="6">
        <f t="shared" si="89"/>
        <v>0.84510274859297763</v>
      </c>
      <c r="Q193" s="6">
        <f t="shared" si="89"/>
        <v>-8.6097094268208774E-3</v>
      </c>
      <c r="R193" s="70">
        <v>80</v>
      </c>
      <c r="S193" s="70">
        <v>0</v>
      </c>
      <c r="T193" s="6">
        <f t="shared" si="79"/>
        <v>0</v>
      </c>
      <c r="U193" s="35" t="e">
        <f t="shared" si="83"/>
        <v>#DIV/0!</v>
      </c>
      <c r="V193" s="6" t="e">
        <f t="shared" si="90"/>
        <v>#DIV/0!</v>
      </c>
      <c r="W193" s="6" t="e">
        <f t="shared" si="90"/>
        <v>#DIV/0!</v>
      </c>
      <c r="X193" s="6" t="e">
        <f t="shared" si="90"/>
        <v>#DIV/0!</v>
      </c>
      <c r="Y193" s="6" t="e">
        <f t="shared" si="90"/>
        <v>#DIV/0!</v>
      </c>
      <c r="Z193" s="6" t="e">
        <f t="shared" si="90"/>
        <v>#DIV/0!</v>
      </c>
    </row>
    <row r="194" spans="1:26" x14ac:dyDescent="0.2">
      <c r="A194" s="7" t="s">
        <v>37</v>
      </c>
      <c r="B194" s="6">
        <f t="shared" si="80"/>
        <v>1</v>
      </c>
      <c r="C194" s="7" t="s">
        <v>151</v>
      </c>
      <c r="D194" s="69">
        <v>62</v>
      </c>
      <c r="E194" s="69">
        <v>0</v>
      </c>
      <c r="F194" s="66">
        <f t="shared" si="78"/>
        <v>0</v>
      </c>
      <c r="G194" s="61" t="e">
        <f t="shared" si="81"/>
        <v>#DIV/0!</v>
      </c>
      <c r="H194" s="66" t="e">
        <f t="shared" si="85"/>
        <v>#DIV/0!</v>
      </c>
      <c r="I194" s="66" t="e">
        <f t="shared" si="85"/>
        <v>#DIV/0!</v>
      </c>
      <c r="J194" s="66" t="e">
        <f t="shared" si="85"/>
        <v>#DIV/0!</v>
      </c>
      <c r="K194" s="70">
        <v>6600</v>
      </c>
      <c r="L194" s="70">
        <f>'Monitoramento Acumulado Geral'!Q194</f>
        <v>0</v>
      </c>
      <c r="M194" s="6">
        <f>L194/K194</f>
        <v>0</v>
      </c>
      <c r="N194" s="35" t="str">
        <f t="shared" si="82"/>
        <v>Desempenho Médio</v>
      </c>
      <c r="O194" s="6">
        <f t="shared" ref="O194:Q209" si="91">O182</f>
        <v>3.4274647562211005E-2</v>
      </c>
      <c r="P194" s="6">
        <f t="shared" si="91"/>
        <v>0.10289217685709087</v>
      </c>
      <c r="Q194" s="6">
        <f t="shared" si="91"/>
        <v>-3.4342881732668862E-2</v>
      </c>
      <c r="R194" s="70">
        <v>54</v>
      </c>
      <c r="S194" s="70">
        <v>0</v>
      </c>
      <c r="T194" s="6">
        <f t="shared" si="79"/>
        <v>0</v>
      </c>
      <c r="U194" s="35" t="e">
        <f t="shared" si="83"/>
        <v>#DIV/0!</v>
      </c>
      <c r="V194" s="6" t="e">
        <f t="shared" si="90"/>
        <v>#DIV/0!</v>
      </c>
      <c r="W194" s="6" t="e">
        <f t="shared" si="90"/>
        <v>#DIV/0!</v>
      </c>
      <c r="X194" s="6" t="e">
        <f t="shared" si="90"/>
        <v>#DIV/0!</v>
      </c>
      <c r="Y194" s="6" t="e">
        <f t="shared" si="90"/>
        <v>#DIV/0!</v>
      </c>
      <c r="Z194" s="6" t="e">
        <f t="shared" si="90"/>
        <v>#DIV/0!</v>
      </c>
    </row>
    <row r="195" spans="1:26" x14ac:dyDescent="0.2">
      <c r="A195" s="7" t="s">
        <v>37</v>
      </c>
      <c r="B195" s="6">
        <f t="shared" si="80"/>
        <v>2</v>
      </c>
      <c r="C195" s="7" t="s">
        <v>152</v>
      </c>
      <c r="D195" s="69">
        <v>62</v>
      </c>
      <c r="E195" s="69">
        <v>0</v>
      </c>
      <c r="F195" s="66">
        <f t="shared" si="78"/>
        <v>0</v>
      </c>
      <c r="G195" s="61" t="e">
        <f t="shared" si="81"/>
        <v>#DIV/0!</v>
      </c>
      <c r="H195" s="66" t="e">
        <f t="shared" si="85"/>
        <v>#DIV/0!</v>
      </c>
      <c r="I195" s="66" t="e">
        <f t="shared" si="85"/>
        <v>#DIV/0!</v>
      </c>
      <c r="J195" s="66" t="e">
        <f t="shared" si="85"/>
        <v>#DIV/0!</v>
      </c>
      <c r="K195" s="70">
        <v>6600</v>
      </c>
      <c r="L195" s="70">
        <f>'Monitoramento Acumulado Geral'!Q195</f>
        <v>0</v>
      </c>
      <c r="M195" s="6">
        <f>(SUM(L194:L195))/K194</f>
        <v>0</v>
      </c>
      <c r="N195" s="35" t="str">
        <f t="shared" si="82"/>
        <v>Desempenho Médio</v>
      </c>
      <c r="O195" s="6">
        <f t="shared" si="91"/>
        <v>8.1815188943147363E-2</v>
      </c>
      <c r="P195" s="6">
        <f t="shared" si="91"/>
        <v>0.20623883252423067</v>
      </c>
      <c r="Q195" s="6">
        <f t="shared" si="91"/>
        <v>-4.2608454637935944E-2</v>
      </c>
      <c r="R195" s="70">
        <v>54</v>
      </c>
      <c r="S195" s="70">
        <v>0</v>
      </c>
      <c r="T195" s="6">
        <f t="shared" si="79"/>
        <v>0</v>
      </c>
      <c r="U195" s="35" t="e">
        <f t="shared" si="83"/>
        <v>#DIV/0!</v>
      </c>
      <c r="V195" s="6" t="e">
        <f t="shared" si="90"/>
        <v>#DIV/0!</v>
      </c>
      <c r="W195" s="6" t="e">
        <f t="shared" si="90"/>
        <v>#DIV/0!</v>
      </c>
      <c r="X195" s="6" t="e">
        <f t="shared" si="90"/>
        <v>#DIV/0!</v>
      </c>
      <c r="Y195" s="6" t="e">
        <f t="shared" si="90"/>
        <v>#DIV/0!</v>
      </c>
      <c r="Z195" s="6" t="e">
        <f t="shared" si="90"/>
        <v>#DIV/0!</v>
      </c>
    </row>
    <row r="196" spans="1:26" x14ac:dyDescent="0.2">
      <c r="A196" s="7" t="s">
        <v>37</v>
      </c>
      <c r="B196" s="6">
        <f t="shared" si="80"/>
        <v>3</v>
      </c>
      <c r="C196" s="7" t="s">
        <v>153</v>
      </c>
      <c r="D196" s="69">
        <v>62</v>
      </c>
      <c r="E196" s="69">
        <v>80</v>
      </c>
      <c r="F196" s="66">
        <f t="shared" si="78"/>
        <v>1.2903225806451613</v>
      </c>
      <c r="G196" s="61" t="e">
        <f t="shared" si="81"/>
        <v>#DIV/0!</v>
      </c>
      <c r="H196" s="66" t="e">
        <f t="shared" si="85"/>
        <v>#DIV/0!</v>
      </c>
      <c r="I196" s="66" t="e">
        <f t="shared" si="85"/>
        <v>#DIV/0!</v>
      </c>
      <c r="J196" s="66" t="e">
        <f t="shared" si="85"/>
        <v>#DIV/0!</v>
      </c>
      <c r="K196" s="70">
        <v>6600</v>
      </c>
      <c r="L196" s="70">
        <f>'Monitoramento Acumulado Geral'!Q196</f>
        <v>1800</v>
      </c>
      <c r="M196" s="6">
        <f>(SUM(L194:L196))/K195</f>
        <v>0.27272727272727271</v>
      </c>
      <c r="N196" s="35" t="str">
        <f t="shared" si="82"/>
        <v>Desempenho Bom</v>
      </c>
      <c r="O196" s="6">
        <f t="shared" si="91"/>
        <v>0.13411292471649494</v>
      </c>
      <c r="P196" s="6">
        <f t="shared" si="91"/>
        <v>0.29721906787058483</v>
      </c>
      <c r="Q196" s="6">
        <f t="shared" si="91"/>
        <v>-2.899321843759492E-2</v>
      </c>
      <c r="R196" s="70">
        <v>54</v>
      </c>
      <c r="S196" s="70">
        <v>0</v>
      </c>
      <c r="T196" s="6">
        <f t="shared" si="79"/>
        <v>0</v>
      </c>
      <c r="U196" s="35" t="e">
        <f t="shared" si="83"/>
        <v>#DIV/0!</v>
      </c>
      <c r="V196" s="6" t="e">
        <f t="shared" si="90"/>
        <v>#DIV/0!</v>
      </c>
      <c r="W196" s="6" t="e">
        <f t="shared" si="90"/>
        <v>#DIV/0!</v>
      </c>
      <c r="X196" s="6" t="e">
        <f t="shared" si="90"/>
        <v>#DIV/0!</v>
      </c>
      <c r="Y196" s="6" t="e">
        <f t="shared" si="90"/>
        <v>#DIV/0!</v>
      </c>
      <c r="Z196" s="6" t="e">
        <f t="shared" si="90"/>
        <v>#DIV/0!</v>
      </c>
    </row>
    <row r="197" spans="1:26" x14ac:dyDescent="0.2">
      <c r="A197" s="7" t="s">
        <v>37</v>
      </c>
      <c r="B197" s="6">
        <f t="shared" si="80"/>
        <v>4</v>
      </c>
      <c r="C197" s="7" t="s">
        <v>154</v>
      </c>
      <c r="D197" s="69">
        <v>62</v>
      </c>
      <c r="E197" s="69">
        <v>80</v>
      </c>
      <c r="F197" s="66">
        <f t="shared" si="78"/>
        <v>1.2903225806451613</v>
      </c>
      <c r="G197" s="61" t="e">
        <f t="shared" si="81"/>
        <v>#DIV/0!</v>
      </c>
      <c r="H197" s="66" t="e">
        <f t="shared" si="85"/>
        <v>#DIV/0!</v>
      </c>
      <c r="I197" s="66" t="e">
        <f t="shared" si="85"/>
        <v>#DIV/0!</v>
      </c>
      <c r="J197" s="66" t="e">
        <f t="shared" si="85"/>
        <v>#DIV/0!</v>
      </c>
      <c r="K197" s="70">
        <v>6600</v>
      </c>
      <c r="L197" s="70">
        <f>'Monitoramento Acumulado Geral'!Q197</f>
        <v>0</v>
      </c>
      <c r="M197" s="6">
        <f>(SUM(L194:L197))/K196</f>
        <v>0.27272727272727271</v>
      </c>
      <c r="N197" s="35" t="str">
        <f t="shared" si="82"/>
        <v>Desempenho Bom</v>
      </c>
      <c r="O197" s="6">
        <f t="shared" si="91"/>
        <v>0.15392483870093213</v>
      </c>
      <c r="P197" s="6">
        <f t="shared" si="91"/>
        <v>0.32772007016950033</v>
      </c>
      <c r="Q197" s="6">
        <f t="shared" si="91"/>
        <v>-1.9870392767636053E-2</v>
      </c>
      <c r="R197" s="70">
        <v>54</v>
      </c>
      <c r="S197" s="70">
        <v>0</v>
      </c>
      <c r="T197" s="6">
        <f t="shared" si="79"/>
        <v>0</v>
      </c>
      <c r="U197" s="35" t="e">
        <f t="shared" si="83"/>
        <v>#DIV/0!</v>
      </c>
      <c r="V197" s="6" t="e">
        <f t="shared" si="90"/>
        <v>#DIV/0!</v>
      </c>
      <c r="W197" s="6" t="e">
        <f t="shared" si="90"/>
        <v>#DIV/0!</v>
      </c>
      <c r="X197" s="6" t="e">
        <f t="shared" si="90"/>
        <v>#DIV/0!</v>
      </c>
      <c r="Y197" s="6" t="e">
        <f t="shared" si="90"/>
        <v>#DIV/0!</v>
      </c>
      <c r="Z197" s="6" t="e">
        <f t="shared" si="90"/>
        <v>#DIV/0!</v>
      </c>
    </row>
    <row r="198" spans="1:26" x14ac:dyDescent="0.2">
      <c r="A198" s="7" t="s">
        <v>37</v>
      </c>
      <c r="B198" s="6">
        <f t="shared" si="80"/>
        <v>5</v>
      </c>
      <c r="C198" s="7" t="s">
        <v>155</v>
      </c>
      <c r="D198" s="69">
        <v>62</v>
      </c>
      <c r="E198" s="69">
        <v>80</v>
      </c>
      <c r="F198" s="66">
        <f t="shared" si="78"/>
        <v>1.2903225806451613</v>
      </c>
      <c r="G198" s="61" t="e">
        <f t="shared" si="81"/>
        <v>#DIV/0!</v>
      </c>
      <c r="H198" s="66" t="e">
        <f t="shared" si="85"/>
        <v>#DIV/0!</v>
      </c>
      <c r="I198" s="66" t="e">
        <f t="shared" si="85"/>
        <v>#DIV/0!</v>
      </c>
      <c r="J198" s="66" t="e">
        <f t="shared" si="85"/>
        <v>#DIV/0!</v>
      </c>
      <c r="K198" s="70">
        <v>6600</v>
      </c>
      <c r="L198" s="70">
        <f>'Monitoramento Acumulado Geral'!Q198</f>
        <v>0</v>
      </c>
      <c r="M198" s="6">
        <f>(SUM(L194:L198))/K197</f>
        <v>0.27272727272727271</v>
      </c>
      <c r="N198" s="35" t="str">
        <f t="shared" si="82"/>
        <v>Desempenho Bom</v>
      </c>
      <c r="O198" s="6">
        <f t="shared" si="91"/>
        <v>0.21139287248463789</v>
      </c>
      <c r="P198" s="6">
        <f t="shared" si="91"/>
        <v>0.43680804416292918</v>
      </c>
      <c r="Q198" s="6">
        <f t="shared" si="91"/>
        <v>-1.4022299193653387E-2</v>
      </c>
      <c r="R198" s="70">
        <v>54</v>
      </c>
      <c r="S198" s="70">
        <v>0</v>
      </c>
      <c r="T198" s="6">
        <f t="shared" si="79"/>
        <v>0</v>
      </c>
      <c r="U198" s="35" t="e">
        <f t="shared" si="83"/>
        <v>#DIV/0!</v>
      </c>
      <c r="V198" s="6" t="e">
        <f t="shared" si="90"/>
        <v>#DIV/0!</v>
      </c>
      <c r="W198" s="6" t="e">
        <f t="shared" si="90"/>
        <v>#DIV/0!</v>
      </c>
      <c r="X198" s="6" t="e">
        <f t="shared" si="90"/>
        <v>#DIV/0!</v>
      </c>
      <c r="Y198" s="6" t="e">
        <f t="shared" si="90"/>
        <v>#DIV/0!</v>
      </c>
      <c r="Z198" s="6" t="e">
        <f t="shared" si="90"/>
        <v>#DIV/0!</v>
      </c>
    </row>
    <row r="199" spans="1:26" x14ac:dyDescent="0.2">
      <c r="A199" s="7" t="s">
        <v>37</v>
      </c>
      <c r="B199" s="6">
        <f t="shared" si="80"/>
        <v>6</v>
      </c>
      <c r="C199" s="7" t="s">
        <v>156</v>
      </c>
      <c r="D199" s="69">
        <v>62</v>
      </c>
      <c r="E199" s="69">
        <v>100</v>
      </c>
      <c r="F199" s="66">
        <f t="shared" si="78"/>
        <v>1.6129032258064515</v>
      </c>
      <c r="G199" s="61" t="e">
        <f t="shared" si="81"/>
        <v>#DIV/0!</v>
      </c>
      <c r="H199" s="66" t="e">
        <f t="shared" si="85"/>
        <v>#DIV/0!</v>
      </c>
      <c r="I199" s="66" t="e">
        <f t="shared" si="85"/>
        <v>#DIV/0!</v>
      </c>
      <c r="J199" s="66" t="e">
        <f t="shared" si="85"/>
        <v>#DIV/0!</v>
      </c>
      <c r="K199" s="70">
        <v>6600</v>
      </c>
      <c r="L199" s="70">
        <f>'Monitoramento Acumulado Geral'!Q199</f>
        <v>1180</v>
      </c>
      <c r="M199" s="6">
        <f>(SUM(L194:L199))/K198</f>
        <v>0.45151515151515154</v>
      </c>
      <c r="N199" s="35" t="str">
        <f t="shared" si="82"/>
        <v>Desempenho Bom</v>
      </c>
      <c r="O199" s="6">
        <f t="shared" si="91"/>
        <v>0.28403291059934432</v>
      </c>
      <c r="P199" s="6">
        <f t="shared" si="91"/>
        <v>0.56118246348434164</v>
      </c>
      <c r="Q199" s="6">
        <f t="shared" si="91"/>
        <v>6.8833577143469493E-3</v>
      </c>
      <c r="R199" s="70">
        <v>54</v>
      </c>
      <c r="S199" s="70">
        <v>0</v>
      </c>
      <c r="T199" s="6">
        <f t="shared" si="79"/>
        <v>0</v>
      </c>
      <c r="U199" s="35" t="e">
        <f t="shared" si="83"/>
        <v>#DIV/0!</v>
      </c>
      <c r="V199" s="6" t="e">
        <f t="shared" si="90"/>
        <v>#DIV/0!</v>
      </c>
      <c r="W199" s="6" t="e">
        <f t="shared" si="90"/>
        <v>#DIV/0!</v>
      </c>
      <c r="X199" s="6" t="e">
        <f t="shared" si="90"/>
        <v>#DIV/0!</v>
      </c>
      <c r="Y199" s="6" t="e">
        <f t="shared" si="90"/>
        <v>#DIV/0!</v>
      </c>
      <c r="Z199" s="6" t="e">
        <f t="shared" si="90"/>
        <v>#DIV/0!</v>
      </c>
    </row>
    <row r="200" spans="1:26" x14ac:dyDescent="0.2">
      <c r="A200" s="7" t="s">
        <v>37</v>
      </c>
      <c r="B200" s="6">
        <f t="shared" si="80"/>
        <v>7</v>
      </c>
      <c r="C200" s="7" t="s">
        <v>157</v>
      </c>
      <c r="D200" s="69">
        <v>62</v>
      </c>
      <c r="E200" s="69">
        <v>100</v>
      </c>
      <c r="F200" s="66">
        <f t="shared" si="78"/>
        <v>1.6129032258064515</v>
      </c>
      <c r="G200" s="61" t="e">
        <f t="shared" si="81"/>
        <v>#DIV/0!</v>
      </c>
      <c r="H200" s="66" t="e">
        <f t="shared" si="85"/>
        <v>#DIV/0!</v>
      </c>
      <c r="I200" s="66" t="e">
        <f t="shared" si="85"/>
        <v>#DIV/0!</v>
      </c>
      <c r="J200" s="66" t="e">
        <f t="shared" si="85"/>
        <v>#DIV/0!</v>
      </c>
      <c r="K200" s="70">
        <v>6600</v>
      </c>
      <c r="L200" s="70">
        <f>'Monitoramento Acumulado Geral'!Q200</f>
        <v>6960</v>
      </c>
      <c r="M200" s="6">
        <f>(SUM(L194:L200))/K199</f>
        <v>1.5060606060606061</v>
      </c>
      <c r="N200" s="35" t="str">
        <f t="shared" si="82"/>
        <v>Desempenho Ótimo</v>
      </c>
      <c r="O200" s="6">
        <f t="shared" si="91"/>
        <v>0.42046470140126019</v>
      </c>
      <c r="P200" s="6">
        <f t="shared" si="91"/>
        <v>0.84574683442734511</v>
      </c>
      <c r="Q200" s="6">
        <f t="shared" si="91"/>
        <v>-4.8174316248247306E-3</v>
      </c>
      <c r="R200" s="70">
        <v>54</v>
      </c>
      <c r="S200" s="70">
        <v>0</v>
      </c>
      <c r="T200" s="6">
        <f t="shared" si="79"/>
        <v>0</v>
      </c>
      <c r="U200" s="35" t="e">
        <f t="shared" si="83"/>
        <v>#DIV/0!</v>
      </c>
      <c r="V200" s="6" t="e">
        <f t="shared" si="90"/>
        <v>#DIV/0!</v>
      </c>
      <c r="W200" s="6" t="e">
        <f t="shared" si="90"/>
        <v>#DIV/0!</v>
      </c>
      <c r="X200" s="6" t="e">
        <f t="shared" si="90"/>
        <v>#DIV/0!</v>
      </c>
      <c r="Y200" s="6" t="e">
        <f t="shared" si="90"/>
        <v>#DIV/0!</v>
      </c>
      <c r="Z200" s="6" t="e">
        <f t="shared" si="90"/>
        <v>#DIV/0!</v>
      </c>
    </row>
    <row r="201" spans="1:26" x14ac:dyDescent="0.2">
      <c r="A201" s="7" t="s">
        <v>37</v>
      </c>
      <c r="B201" s="6">
        <f t="shared" si="80"/>
        <v>8</v>
      </c>
      <c r="C201" s="7" t="s">
        <v>158</v>
      </c>
      <c r="D201" s="69">
        <v>62</v>
      </c>
      <c r="E201" s="69">
        <v>0</v>
      </c>
      <c r="F201" s="66">
        <f t="shared" si="78"/>
        <v>0</v>
      </c>
      <c r="G201" s="61" t="e">
        <f t="shared" si="81"/>
        <v>#DIV/0!</v>
      </c>
      <c r="H201" s="66" t="e">
        <f t="shared" si="85"/>
        <v>#DIV/0!</v>
      </c>
      <c r="I201" s="66" t="e">
        <f t="shared" si="85"/>
        <v>#DIV/0!</v>
      </c>
      <c r="J201" s="66" t="e">
        <f t="shared" si="85"/>
        <v>#DIV/0!</v>
      </c>
      <c r="K201" s="70">
        <v>6600</v>
      </c>
      <c r="L201" s="70">
        <f>'Monitoramento Acumulado Geral'!Q201</f>
        <v>0</v>
      </c>
      <c r="M201" s="6">
        <f>(SUM(L194:L201))/K200</f>
        <v>1.5060606060606061</v>
      </c>
      <c r="N201" s="35" t="str">
        <f t="shared" si="82"/>
        <v>Desempenho Ótimo</v>
      </c>
      <c r="O201" s="6">
        <f t="shared" si="91"/>
        <v>0.42046470140126019</v>
      </c>
      <c r="P201" s="6">
        <f t="shared" si="91"/>
        <v>0.84574683442734511</v>
      </c>
      <c r="Q201" s="6">
        <f t="shared" si="91"/>
        <v>-4.8174316248247306E-3</v>
      </c>
      <c r="R201" s="70">
        <v>54</v>
      </c>
      <c r="S201" s="70">
        <v>0</v>
      </c>
      <c r="T201" s="6">
        <f t="shared" si="79"/>
        <v>0</v>
      </c>
      <c r="U201" s="35" t="e">
        <f t="shared" si="83"/>
        <v>#DIV/0!</v>
      </c>
      <c r="V201" s="6" t="e">
        <f t="shared" si="90"/>
        <v>#DIV/0!</v>
      </c>
      <c r="W201" s="6" t="e">
        <f t="shared" si="90"/>
        <v>#DIV/0!</v>
      </c>
      <c r="X201" s="6" t="e">
        <f t="shared" si="90"/>
        <v>#DIV/0!</v>
      </c>
      <c r="Y201" s="6" t="e">
        <f t="shared" si="90"/>
        <v>#DIV/0!</v>
      </c>
      <c r="Z201" s="6" t="e">
        <f t="shared" si="90"/>
        <v>#DIV/0!</v>
      </c>
    </row>
    <row r="202" spans="1:26" x14ac:dyDescent="0.2">
      <c r="A202" s="7" t="s">
        <v>37</v>
      </c>
      <c r="B202" s="6">
        <f t="shared" si="80"/>
        <v>9</v>
      </c>
      <c r="C202" s="7" t="s">
        <v>159</v>
      </c>
      <c r="D202" s="69">
        <v>62</v>
      </c>
      <c r="E202" s="69">
        <v>0</v>
      </c>
      <c r="F202" s="66">
        <f t="shared" si="78"/>
        <v>0</v>
      </c>
      <c r="G202" s="61" t="e">
        <f t="shared" si="81"/>
        <v>#DIV/0!</v>
      </c>
      <c r="H202" s="66" t="e">
        <f t="shared" si="85"/>
        <v>#DIV/0!</v>
      </c>
      <c r="I202" s="66" t="e">
        <f t="shared" si="85"/>
        <v>#DIV/0!</v>
      </c>
      <c r="J202" s="66" t="e">
        <f t="shared" si="85"/>
        <v>#DIV/0!</v>
      </c>
      <c r="K202" s="70">
        <v>6600</v>
      </c>
      <c r="L202" s="70">
        <f>'Monitoramento Acumulado Geral'!Q202</f>
        <v>0</v>
      </c>
      <c r="M202" s="6">
        <f>(SUM(L194:L202))/K201</f>
        <v>1.5060606060606061</v>
      </c>
      <c r="N202" s="35" t="str">
        <f t="shared" si="82"/>
        <v>Desempenho Ótimo</v>
      </c>
      <c r="O202" s="6">
        <f t="shared" si="91"/>
        <v>0.42046470140126019</v>
      </c>
      <c r="P202" s="6">
        <f t="shared" si="91"/>
        <v>0.84574683442734511</v>
      </c>
      <c r="Q202" s="6">
        <f t="shared" si="91"/>
        <v>-4.8174316248247306E-3</v>
      </c>
      <c r="R202" s="70">
        <v>54</v>
      </c>
      <c r="S202" s="70">
        <v>0</v>
      </c>
      <c r="T202" s="6">
        <f t="shared" si="79"/>
        <v>0</v>
      </c>
      <c r="U202" s="35" t="e">
        <f t="shared" si="83"/>
        <v>#DIV/0!</v>
      </c>
      <c r="V202" s="6" t="e">
        <f t="shared" si="90"/>
        <v>#DIV/0!</v>
      </c>
      <c r="W202" s="6" t="e">
        <f t="shared" si="90"/>
        <v>#DIV/0!</v>
      </c>
      <c r="X202" s="6" t="e">
        <f t="shared" si="90"/>
        <v>#DIV/0!</v>
      </c>
      <c r="Y202" s="6" t="e">
        <f t="shared" si="90"/>
        <v>#DIV/0!</v>
      </c>
      <c r="Z202" s="6" t="e">
        <f t="shared" si="90"/>
        <v>#DIV/0!</v>
      </c>
    </row>
    <row r="203" spans="1:26" x14ac:dyDescent="0.2">
      <c r="A203" s="7" t="s">
        <v>37</v>
      </c>
      <c r="B203" s="6">
        <f t="shared" si="80"/>
        <v>10</v>
      </c>
      <c r="C203" s="7" t="s">
        <v>160</v>
      </c>
      <c r="D203" s="69">
        <v>62</v>
      </c>
      <c r="E203" s="69">
        <v>0</v>
      </c>
      <c r="F203" s="66">
        <f t="shared" si="78"/>
        <v>0</v>
      </c>
      <c r="G203" s="61" t="e">
        <f t="shared" si="81"/>
        <v>#DIV/0!</v>
      </c>
      <c r="H203" s="66" t="e">
        <f t="shared" si="85"/>
        <v>#DIV/0!</v>
      </c>
      <c r="I203" s="66" t="e">
        <f t="shared" si="85"/>
        <v>#DIV/0!</v>
      </c>
      <c r="J203" s="66" t="e">
        <f t="shared" si="85"/>
        <v>#DIV/0!</v>
      </c>
      <c r="K203" s="70">
        <v>6600</v>
      </c>
      <c r="L203" s="70">
        <f>'Monitoramento Acumulado Geral'!Q203</f>
        <v>0</v>
      </c>
      <c r="M203" s="6">
        <f>(SUM(L194:L203))/K202</f>
        <v>1.5060606060606061</v>
      </c>
      <c r="N203" s="35" t="str">
        <f t="shared" si="82"/>
        <v>Desempenho Ótimo</v>
      </c>
      <c r="O203" s="6">
        <f t="shared" si="91"/>
        <v>0.42046470140126019</v>
      </c>
      <c r="P203" s="6">
        <f t="shared" si="91"/>
        <v>0.84574683442734511</v>
      </c>
      <c r="Q203" s="6">
        <f t="shared" si="91"/>
        <v>-4.8174316248247306E-3</v>
      </c>
      <c r="R203" s="70">
        <v>54</v>
      </c>
      <c r="S203" s="70">
        <v>0</v>
      </c>
      <c r="T203" s="6">
        <f t="shared" si="79"/>
        <v>0</v>
      </c>
      <c r="U203" s="35" t="e">
        <f t="shared" si="83"/>
        <v>#DIV/0!</v>
      </c>
      <c r="V203" s="6" t="e">
        <f t="shared" ref="V203:Z218" si="92">V191</f>
        <v>#DIV/0!</v>
      </c>
      <c r="W203" s="6" t="e">
        <f t="shared" si="92"/>
        <v>#DIV/0!</v>
      </c>
      <c r="X203" s="6" t="e">
        <f t="shared" si="92"/>
        <v>#DIV/0!</v>
      </c>
      <c r="Y203" s="6" t="e">
        <f t="shared" si="92"/>
        <v>#DIV/0!</v>
      </c>
      <c r="Z203" s="6" t="e">
        <f t="shared" si="92"/>
        <v>#DIV/0!</v>
      </c>
    </row>
    <row r="204" spans="1:26" x14ac:dyDescent="0.2">
      <c r="A204" s="7" t="s">
        <v>37</v>
      </c>
      <c r="B204" s="6">
        <f t="shared" si="80"/>
        <v>11</v>
      </c>
      <c r="C204" s="7" t="s">
        <v>161</v>
      </c>
      <c r="D204" s="69">
        <v>62</v>
      </c>
      <c r="E204" s="69">
        <v>0</v>
      </c>
      <c r="F204" s="66">
        <f t="shared" si="78"/>
        <v>0</v>
      </c>
      <c r="G204" s="61" t="e">
        <f t="shared" si="81"/>
        <v>#DIV/0!</v>
      </c>
      <c r="H204" s="66" t="e">
        <f t="shared" si="85"/>
        <v>#DIV/0!</v>
      </c>
      <c r="I204" s="66" t="e">
        <f t="shared" si="85"/>
        <v>#DIV/0!</v>
      </c>
      <c r="J204" s="66" t="e">
        <f t="shared" si="85"/>
        <v>#DIV/0!</v>
      </c>
      <c r="K204" s="70">
        <v>6600</v>
      </c>
      <c r="L204" s="70">
        <f>'Monitoramento Acumulado Geral'!Q204</f>
        <v>0</v>
      </c>
      <c r="M204" s="6">
        <f>(SUM(L194:L204))/K203</f>
        <v>1.5060606060606061</v>
      </c>
      <c r="N204" s="35" t="str">
        <f t="shared" si="82"/>
        <v>Desempenho Ótimo</v>
      </c>
      <c r="O204" s="6">
        <f t="shared" si="91"/>
        <v>0.42046470140126019</v>
      </c>
      <c r="P204" s="6">
        <f t="shared" si="91"/>
        <v>0.84574683442734511</v>
      </c>
      <c r="Q204" s="6">
        <f t="shared" si="91"/>
        <v>-4.8174316248247306E-3</v>
      </c>
      <c r="R204" s="70">
        <v>54</v>
      </c>
      <c r="S204" s="70">
        <v>0</v>
      </c>
      <c r="T204" s="6">
        <f t="shared" si="79"/>
        <v>0</v>
      </c>
      <c r="U204" s="35" t="e">
        <f t="shared" si="83"/>
        <v>#DIV/0!</v>
      </c>
      <c r="V204" s="6" t="e">
        <f t="shared" si="92"/>
        <v>#DIV/0!</v>
      </c>
      <c r="W204" s="6" t="e">
        <f t="shared" si="92"/>
        <v>#DIV/0!</v>
      </c>
      <c r="X204" s="6" t="e">
        <f t="shared" si="92"/>
        <v>#DIV/0!</v>
      </c>
      <c r="Y204" s="6" t="e">
        <f t="shared" si="92"/>
        <v>#DIV/0!</v>
      </c>
      <c r="Z204" s="6" t="e">
        <f t="shared" si="92"/>
        <v>#DIV/0!</v>
      </c>
    </row>
    <row r="205" spans="1:26" x14ac:dyDescent="0.2">
      <c r="A205" s="7" t="s">
        <v>37</v>
      </c>
      <c r="B205" s="6">
        <f t="shared" si="80"/>
        <v>12</v>
      </c>
      <c r="C205" s="7" t="s">
        <v>162</v>
      </c>
      <c r="D205" s="69">
        <v>62</v>
      </c>
      <c r="E205" s="69">
        <v>0</v>
      </c>
      <c r="F205" s="66">
        <f t="shared" si="78"/>
        <v>0</v>
      </c>
      <c r="G205" s="61" t="e">
        <f t="shared" si="81"/>
        <v>#DIV/0!</v>
      </c>
      <c r="H205" s="66" t="e">
        <f t="shared" si="85"/>
        <v>#DIV/0!</v>
      </c>
      <c r="I205" s="66" t="e">
        <f t="shared" si="85"/>
        <v>#DIV/0!</v>
      </c>
      <c r="J205" s="66" t="e">
        <f t="shared" si="85"/>
        <v>#DIV/0!</v>
      </c>
      <c r="K205" s="70">
        <v>6600</v>
      </c>
      <c r="L205" s="70">
        <f>'Monitoramento Acumulado Geral'!Q205</f>
        <v>0</v>
      </c>
      <c r="M205" s="6">
        <f>(SUM(L194:L205))/K204</f>
        <v>1.5060606060606061</v>
      </c>
      <c r="N205" s="35" t="str">
        <f t="shared" si="82"/>
        <v>Desempenho Ótimo</v>
      </c>
      <c r="O205" s="6">
        <f t="shared" si="91"/>
        <v>0.41824651958307835</v>
      </c>
      <c r="P205" s="6">
        <f t="shared" si="91"/>
        <v>0.84510274859297763</v>
      </c>
      <c r="Q205" s="6">
        <f t="shared" si="91"/>
        <v>-8.6097094268208774E-3</v>
      </c>
      <c r="R205" s="70">
        <v>54</v>
      </c>
      <c r="S205" s="70">
        <v>0</v>
      </c>
      <c r="T205" s="6">
        <f t="shared" si="79"/>
        <v>0</v>
      </c>
      <c r="U205" s="35" t="e">
        <f t="shared" si="83"/>
        <v>#DIV/0!</v>
      </c>
      <c r="V205" s="6" t="e">
        <f t="shared" si="92"/>
        <v>#DIV/0!</v>
      </c>
      <c r="W205" s="6" t="e">
        <f t="shared" si="92"/>
        <v>#DIV/0!</v>
      </c>
      <c r="X205" s="6" t="e">
        <f t="shared" si="92"/>
        <v>#DIV/0!</v>
      </c>
      <c r="Y205" s="6" t="e">
        <f t="shared" si="92"/>
        <v>#DIV/0!</v>
      </c>
      <c r="Z205" s="6" t="e">
        <f t="shared" si="92"/>
        <v>#DIV/0!</v>
      </c>
    </row>
    <row r="206" spans="1:26" x14ac:dyDescent="0.2">
      <c r="A206" s="7" t="s">
        <v>91</v>
      </c>
      <c r="B206" s="6">
        <f t="shared" si="80"/>
        <v>1</v>
      </c>
      <c r="C206" s="7" t="s">
        <v>151</v>
      </c>
      <c r="D206" s="69">
        <v>75</v>
      </c>
      <c r="E206" s="69">
        <v>43</v>
      </c>
      <c r="F206" s="66">
        <f t="shared" ref="F206:F281" si="93">E206/D206</f>
        <v>0.57333333333333336</v>
      </c>
      <c r="G206" s="61" t="e">
        <f t="shared" si="81"/>
        <v>#DIV/0!</v>
      </c>
      <c r="H206" s="66" t="e">
        <f t="shared" si="85"/>
        <v>#DIV/0!</v>
      </c>
      <c r="I206" s="66" t="e">
        <f t="shared" si="85"/>
        <v>#DIV/0!</v>
      </c>
      <c r="J206" s="66" t="e">
        <f t="shared" si="85"/>
        <v>#DIV/0!</v>
      </c>
      <c r="K206" s="70">
        <v>25000</v>
      </c>
      <c r="L206" s="70">
        <f>'Monitoramento Acumulado Geral'!Q206</f>
        <v>4057</v>
      </c>
      <c r="M206" s="6">
        <f>L206/K206</f>
        <v>0.16228000000000001</v>
      </c>
      <c r="N206" s="35" t="str">
        <f t="shared" si="82"/>
        <v>Desempenho Ótimo</v>
      </c>
      <c r="O206" s="6">
        <f t="shared" si="91"/>
        <v>3.4274647562211005E-2</v>
      </c>
      <c r="P206" s="6">
        <f t="shared" si="91"/>
        <v>0.10289217685709087</v>
      </c>
      <c r="Q206" s="6">
        <f t="shared" si="91"/>
        <v>-3.4342881732668862E-2</v>
      </c>
      <c r="R206" s="70">
        <v>77</v>
      </c>
      <c r="S206" s="70">
        <v>0</v>
      </c>
      <c r="T206" s="6">
        <f t="shared" ref="T206:T281" si="94">S206/R206</f>
        <v>0</v>
      </c>
      <c r="U206" s="35" t="e">
        <f t="shared" si="83"/>
        <v>#DIV/0!</v>
      </c>
      <c r="V206" s="6" t="e">
        <f t="shared" si="92"/>
        <v>#DIV/0!</v>
      </c>
      <c r="W206" s="6" t="e">
        <f t="shared" si="92"/>
        <v>#DIV/0!</v>
      </c>
      <c r="X206" s="6" t="e">
        <f t="shared" si="92"/>
        <v>#DIV/0!</v>
      </c>
      <c r="Y206" s="6" t="e">
        <f t="shared" si="92"/>
        <v>#DIV/0!</v>
      </c>
      <c r="Z206" s="6" t="e">
        <f t="shared" si="92"/>
        <v>#DIV/0!</v>
      </c>
    </row>
    <row r="207" spans="1:26" x14ac:dyDescent="0.2">
      <c r="A207" s="7" t="s">
        <v>91</v>
      </c>
      <c r="B207" s="6">
        <f t="shared" ref="B207:B282" si="95">_xlfn.IFS(C207="Janeiro",1,C207="Fevereiro",2,C207="Março",3,C207="Abril",4,C207="Maio",5,C207="Junho",6,C207="Julho",7,C207="Agosto",8,C207="Setembro",9,C207="Outubro",10,C207="Novembro",11,C207="Dezembro",12,TRUE,0)</f>
        <v>2</v>
      </c>
      <c r="C207" s="7" t="s">
        <v>152</v>
      </c>
      <c r="D207" s="69">
        <v>75</v>
      </c>
      <c r="E207" s="69">
        <v>43</v>
      </c>
      <c r="F207" s="66">
        <f t="shared" si="93"/>
        <v>0.57333333333333336</v>
      </c>
      <c r="G207" s="61" t="e">
        <f t="shared" ref="G207:G282" si="96">IF(F207&gt;=I207,"Desempenho Ótimo",(IF(F207&gt;H207,"Desempenho Bom",(IF(F207&gt;J207,"Desempenho Médio",IF(F207&lt;=J207,"Desempenho Deficitário",0))))))</f>
        <v>#DIV/0!</v>
      </c>
      <c r="H207" s="66" t="e">
        <f t="shared" si="85"/>
        <v>#DIV/0!</v>
      </c>
      <c r="I207" s="66" t="e">
        <f t="shared" si="85"/>
        <v>#DIV/0!</v>
      </c>
      <c r="J207" s="66" t="e">
        <f t="shared" si="85"/>
        <v>#DIV/0!</v>
      </c>
      <c r="K207" s="70">
        <v>25000</v>
      </c>
      <c r="L207" s="70">
        <f>'Monitoramento Acumulado Geral'!Q207</f>
        <v>0</v>
      </c>
      <c r="M207" s="6">
        <f>(SUM(L206:L207))/K206</f>
        <v>0.16228000000000001</v>
      </c>
      <c r="N207" s="35" t="str">
        <f t="shared" ref="N207:N282" si="97">IF(M207&gt;=P207,"Desempenho Ótimo",(IF(M207&gt;O207,"Desempenho Bom",(IF(M207&gt;Q207,"Desempenho Médio",IF(M207&lt;=Q207,"Desempenho Deficitário",0))))))</f>
        <v>Desempenho Bom</v>
      </c>
      <c r="O207" s="6">
        <f t="shared" si="91"/>
        <v>8.1815188943147363E-2</v>
      </c>
      <c r="P207" s="6">
        <f t="shared" si="91"/>
        <v>0.20623883252423067</v>
      </c>
      <c r="Q207" s="6">
        <f t="shared" si="91"/>
        <v>-4.2608454637935944E-2</v>
      </c>
      <c r="R207" s="70">
        <v>77</v>
      </c>
      <c r="S207" s="70">
        <v>0</v>
      </c>
      <c r="T207" s="6">
        <f t="shared" si="94"/>
        <v>0</v>
      </c>
      <c r="U207" s="35" t="e">
        <f t="shared" ref="U207:U282" si="98">IF(T207&gt;=W207,"Desempenho Ótimo",(IF(T207&gt;V207,"Desempenho Bom",(IF(T207&gt;X207,"Desempenho Médio",IF(T207&lt;=X207,"Desempenho Deficitário",0))))))</f>
        <v>#DIV/0!</v>
      </c>
      <c r="V207" s="6" t="e">
        <f t="shared" si="92"/>
        <v>#DIV/0!</v>
      </c>
      <c r="W207" s="6" t="e">
        <f t="shared" si="92"/>
        <v>#DIV/0!</v>
      </c>
      <c r="X207" s="6" t="e">
        <f t="shared" si="92"/>
        <v>#DIV/0!</v>
      </c>
      <c r="Y207" s="6" t="e">
        <f t="shared" si="92"/>
        <v>#DIV/0!</v>
      </c>
      <c r="Z207" s="6" t="e">
        <f t="shared" si="92"/>
        <v>#DIV/0!</v>
      </c>
    </row>
    <row r="208" spans="1:26" x14ac:dyDescent="0.2">
      <c r="A208" s="7" t="s">
        <v>91</v>
      </c>
      <c r="B208" s="6">
        <f t="shared" si="95"/>
        <v>3</v>
      </c>
      <c r="C208" s="7" t="s">
        <v>153</v>
      </c>
      <c r="D208" s="69">
        <v>75</v>
      </c>
      <c r="E208" s="69">
        <v>48</v>
      </c>
      <c r="F208" s="66">
        <f t="shared" si="93"/>
        <v>0.64</v>
      </c>
      <c r="G208" s="61" t="e">
        <f t="shared" si="96"/>
        <v>#DIV/0!</v>
      </c>
      <c r="H208" s="66" t="e">
        <f t="shared" si="85"/>
        <v>#DIV/0!</v>
      </c>
      <c r="I208" s="66" t="e">
        <f t="shared" si="85"/>
        <v>#DIV/0!</v>
      </c>
      <c r="J208" s="66" t="e">
        <f t="shared" si="85"/>
        <v>#DIV/0!</v>
      </c>
      <c r="K208" s="70">
        <v>25000</v>
      </c>
      <c r="L208" s="70">
        <f>'Monitoramento Acumulado Geral'!Q208</f>
        <v>1750</v>
      </c>
      <c r="M208" s="6">
        <f>(SUM(L206:L208))/K207</f>
        <v>0.23227999999999999</v>
      </c>
      <c r="N208" s="35" t="str">
        <f t="shared" si="97"/>
        <v>Desempenho Bom</v>
      </c>
      <c r="O208" s="6">
        <f t="shared" si="91"/>
        <v>0.13411292471649494</v>
      </c>
      <c r="P208" s="6">
        <f t="shared" si="91"/>
        <v>0.29721906787058483</v>
      </c>
      <c r="Q208" s="6">
        <f t="shared" si="91"/>
        <v>-2.899321843759492E-2</v>
      </c>
      <c r="R208" s="70">
        <v>77</v>
      </c>
      <c r="S208" s="70">
        <v>0</v>
      </c>
      <c r="T208" s="6">
        <f t="shared" si="94"/>
        <v>0</v>
      </c>
      <c r="U208" s="35" t="e">
        <f t="shared" si="98"/>
        <v>#DIV/0!</v>
      </c>
      <c r="V208" s="6" t="e">
        <f t="shared" si="92"/>
        <v>#DIV/0!</v>
      </c>
      <c r="W208" s="6" t="e">
        <f t="shared" si="92"/>
        <v>#DIV/0!</v>
      </c>
      <c r="X208" s="6" t="e">
        <f t="shared" si="92"/>
        <v>#DIV/0!</v>
      </c>
      <c r="Y208" s="6" t="e">
        <f t="shared" si="92"/>
        <v>#DIV/0!</v>
      </c>
      <c r="Z208" s="6" t="e">
        <f t="shared" si="92"/>
        <v>#DIV/0!</v>
      </c>
    </row>
    <row r="209" spans="1:26" x14ac:dyDescent="0.2">
      <c r="A209" s="7" t="s">
        <v>91</v>
      </c>
      <c r="B209" s="6">
        <f t="shared" si="95"/>
        <v>4</v>
      </c>
      <c r="C209" s="7" t="s">
        <v>154</v>
      </c>
      <c r="D209" s="69">
        <v>75</v>
      </c>
      <c r="E209" s="69">
        <v>48</v>
      </c>
      <c r="F209" s="66">
        <f t="shared" si="93"/>
        <v>0.64</v>
      </c>
      <c r="G209" s="61" t="e">
        <f t="shared" si="96"/>
        <v>#DIV/0!</v>
      </c>
      <c r="H209" s="66" t="e">
        <f t="shared" si="85"/>
        <v>#DIV/0!</v>
      </c>
      <c r="I209" s="66" t="e">
        <f t="shared" si="85"/>
        <v>#DIV/0!</v>
      </c>
      <c r="J209" s="66" t="e">
        <f t="shared" si="85"/>
        <v>#DIV/0!</v>
      </c>
      <c r="K209" s="70">
        <v>25000</v>
      </c>
      <c r="L209" s="70">
        <f>'Monitoramento Acumulado Geral'!Q209</f>
        <v>0</v>
      </c>
      <c r="M209" s="6">
        <f>(SUM(L206:L209))/K208</f>
        <v>0.23227999999999999</v>
      </c>
      <c r="N209" s="35" t="str">
        <f t="shared" si="97"/>
        <v>Desempenho Bom</v>
      </c>
      <c r="O209" s="6">
        <f t="shared" si="91"/>
        <v>0.15392483870093213</v>
      </c>
      <c r="P209" s="6">
        <f t="shared" si="91"/>
        <v>0.32772007016950033</v>
      </c>
      <c r="Q209" s="6">
        <f t="shared" si="91"/>
        <v>-1.9870392767636053E-2</v>
      </c>
      <c r="R209" s="70">
        <v>77</v>
      </c>
      <c r="S209" s="70">
        <v>0</v>
      </c>
      <c r="T209" s="6">
        <f t="shared" si="94"/>
        <v>0</v>
      </c>
      <c r="U209" s="35" t="e">
        <f t="shared" si="98"/>
        <v>#DIV/0!</v>
      </c>
      <c r="V209" s="6" t="e">
        <f t="shared" si="92"/>
        <v>#DIV/0!</v>
      </c>
      <c r="W209" s="6" t="e">
        <f t="shared" si="92"/>
        <v>#DIV/0!</v>
      </c>
      <c r="X209" s="6" t="e">
        <f t="shared" si="92"/>
        <v>#DIV/0!</v>
      </c>
      <c r="Y209" s="6" t="e">
        <f t="shared" si="92"/>
        <v>#DIV/0!</v>
      </c>
      <c r="Z209" s="6" t="e">
        <f t="shared" si="92"/>
        <v>#DIV/0!</v>
      </c>
    </row>
    <row r="210" spans="1:26" x14ac:dyDescent="0.2">
      <c r="A210" s="7" t="s">
        <v>91</v>
      </c>
      <c r="B210" s="6">
        <f t="shared" si="95"/>
        <v>5</v>
      </c>
      <c r="C210" s="7" t="s">
        <v>155</v>
      </c>
      <c r="D210" s="69">
        <v>75</v>
      </c>
      <c r="E210" s="69">
        <v>52</v>
      </c>
      <c r="F210" s="66">
        <f t="shared" si="93"/>
        <v>0.69333333333333336</v>
      </c>
      <c r="G210" s="61" t="e">
        <f t="shared" si="96"/>
        <v>#DIV/0!</v>
      </c>
      <c r="H210" s="66" t="e">
        <f t="shared" si="85"/>
        <v>#DIV/0!</v>
      </c>
      <c r="I210" s="66" t="e">
        <f t="shared" si="85"/>
        <v>#DIV/0!</v>
      </c>
      <c r="J210" s="66" t="e">
        <f t="shared" si="85"/>
        <v>#DIV/0!</v>
      </c>
      <c r="K210" s="70">
        <v>25000</v>
      </c>
      <c r="L210" s="70">
        <f>'Monitoramento Acumulado Geral'!Q210</f>
        <v>2000</v>
      </c>
      <c r="M210" s="6">
        <f>(SUM(L206:L210))/K209</f>
        <v>0.31228</v>
      </c>
      <c r="N210" s="35" t="str">
        <f t="shared" si="97"/>
        <v>Desempenho Bom</v>
      </c>
      <c r="O210" s="6">
        <f t="shared" ref="O210:Q225" si="99">O198</f>
        <v>0.21139287248463789</v>
      </c>
      <c r="P210" s="6">
        <f t="shared" si="99"/>
        <v>0.43680804416292918</v>
      </c>
      <c r="Q210" s="6">
        <f t="shared" si="99"/>
        <v>-1.4022299193653387E-2</v>
      </c>
      <c r="R210" s="70">
        <v>77</v>
      </c>
      <c r="S210" s="70">
        <v>0</v>
      </c>
      <c r="T210" s="6">
        <f t="shared" si="94"/>
        <v>0</v>
      </c>
      <c r="U210" s="35" t="e">
        <f t="shared" si="98"/>
        <v>#DIV/0!</v>
      </c>
      <c r="V210" s="6" t="e">
        <f t="shared" si="92"/>
        <v>#DIV/0!</v>
      </c>
      <c r="W210" s="6" t="e">
        <f t="shared" si="92"/>
        <v>#DIV/0!</v>
      </c>
      <c r="X210" s="6" t="e">
        <f t="shared" si="92"/>
        <v>#DIV/0!</v>
      </c>
      <c r="Y210" s="6" t="e">
        <f t="shared" si="92"/>
        <v>#DIV/0!</v>
      </c>
      <c r="Z210" s="6" t="e">
        <f t="shared" si="92"/>
        <v>#DIV/0!</v>
      </c>
    </row>
    <row r="211" spans="1:26" x14ac:dyDescent="0.2">
      <c r="A211" s="7" t="s">
        <v>91</v>
      </c>
      <c r="B211" s="6">
        <f t="shared" si="95"/>
        <v>6</v>
      </c>
      <c r="C211" s="7" t="s">
        <v>156</v>
      </c>
      <c r="D211" s="69">
        <v>75</v>
      </c>
      <c r="E211" s="69">
        <v>67</v>
      </c>
      <c r="F211" s="66">
        <f t="shared" si="93"/>
        <v>0.89333333333333331</v>
      </c>
      <c r="G211" s="61" t="e">
        <f t="shared" si="96"/>
        <v>#DIV/0!</v>
      </c>
      <c r="H211" s="66" t="e">
        <f t="shared" si="85"/>
        <v>#DIV/0!</v>
      </c>
      <c r="I211" s="66" t="e">
        <f t="shared" si="85"/>
        <v>#DIV/0!</v>
      </c>
      <c r="J211" s="66" t="e">
        <f t="shared" si="85"/>
        <v>#DIV/0!</v>
      </c>
      <c r="K211" s="70">
        <v>25000</v>
      </c>
      <c r="L211" s="70">
        <f>'Monitoramento Acumulado Geral'!Q211</f>
        <v>5145</v>
      </c>
      <c r="M211" s="6">
        <f>(SUM(L206:L211))/K210</f>
        <v>0.51807999999999998</v>
      </c>
      <c r="N211" s="35" t="str">
        <f t="shared" si="97"/>
        <v>Desempenho Bom</v>
      </c>
      <c r="O211" s="6">
        <f t="shared" si="99"/>
        <v>0.28403291059934432</v>
      </c>
      <c r="P211" s="6">
        <f t="shared" si="99"/>
        <v>0.56118246348434164</v>
      </c>
      <c r="Q211" s="6">
        <f t="shared" si="99"/>
        <v>6.8833577143469493E-3</v>
      </c>
      <c r="R211" s="70">
        <v>77</v>
      </c>
      <c r="S211" s="70">
        <v>0</v>
      </c>
      <c r="T211" s="6">
        <f t="shared" si="94"/>
        <v>0</v>
      </c>
      <c r="U211" s="35" t="e">
        <f t="shared" si="98"/>
        <v>#DIV/0!</v>
      </c>
      <c r="V211" s="6" t="e">
        <f t="shared" si="92"/>
        <v>#DIV/0!</v>
      </c>
      <c r="W211" s="6" t="e">
        <f t="shared" si="92"/>
        <v>#DIV/0!</v>
      </c>
      <c r="X211" s="6" t="e">
        <f t="shared" si="92"/>
        <v>#DIV/0!</v>
      </c>
      <c r="Y211" s="6" t="e">
        <f t="shared" si="92"/>
        <v>#DIV/0!</v>
      </c>
      <c r="Z211" s="6" t="e">
        <f t="shared" si="92"/>
        <v>#DIV/0!</v>
      </c>
    </row>
    <row r="212" spans="1:26" x14ac:dyDescent="0.2">
      <c r="A212" s="7" t="s">
        <v>91</v>
      </c>
      <c r="B212" s="6">
        <f t="shared" si="95"/>
        <v>7</v>
      </c>
      <c r="C212" s="7" t="s">
        <v>157</v>
      </c>
      <c r="D212" s="69">
        <v>75</v>
      </c>
      <c r="E212" s="69">
        <v>76</v>
      </c>
      <c r="F212" s="66">
        <f t="shared" si="93"/>
        <v>1.0133333333333334</v>
      </c>
      <c r="G212" s="61" t="e">
        <f t="shared" si="96"/>
        <v>#DIV/0!</v>
      </c>
      <c r="H212" s="66" t="e">
        <f t="shared" si="85"/>
        <v>#DIV/0!</v>
      </c>
      <c r="I212" s="66" t="e">
        <f t="shared" si="85"/>
        <v>#DIV/0!</v>
      </c>
      <c r="J212" s="66" t="e">
        <f t="shared" si="85"/>
        <v>#DIV/0!</v>
      </c>
      <c r="K212" s="70">
        <v>25000</v>
      </c>
      <c r="L212" s="70">
        <f>'Monitoramento Acumulado Geral'!Q212</f>
        <v>5119.8</v>
      </c>
      <c r="M212" s="6">
        <f>(SUM(L206:L212))/K211</f>
        <v>0.72287199999999996</v>
      </c>
      <c r="N212" s="35" t="str">
        <f t="shared" si="97"/>
        <v>Desempenho Bom</v>
      </c>
      <c r="O212" s="6">
        <f t="shared" si="99"/>
        <v>0.42046470140126019</v>
      </c>
      <c r="P212" s="6">
        <f t="shared" si="99"/>
        <v>0.84574683442734511</v>
      </c>
      <c r="Q212" s="6">
        <f t="shared" si="99"/>
        <v>-4.8174316248247306E-3</v>
      </c>
      <c r="R212" s="70">
        <v>77</v>
      </c>
      <c r="S212" s="70">
        <v>0</v>
      </c>
      <c r="T212" s="6">
        <f t="shared" si="94"/>
        <v>0</v>
      </c>
      <c r="U212" s="35" t="e">
        <f t="shared" si="98"/>
        <v>#DIV/0!</v>
      </c>
      <c r="V212" s="6" t="e">
        <f t="shared" si="92"/>
        <v>#DIV/0!</v>
      </c>
      <c r="W212" s="6" t="e">
        <f t="shared" si="92"/>
        <v>#DIV/0!</v>
      </c>
      <c r="X212" s="6" t="e">
        <f t="shared" si="92"/>
        <v>#DIV/0!</v>
      </c>
      <c r="Y212" s="6" t="e">
        <f t="shared" si="92"/>
        <v>#DIV/0!</v>
      </c>
      <c r="Z212" s="6" t="e">
        <f t="shared" si="92"/>
        <v>#DIV/0!</v>
      </c>
    </row>
    <row r="213" spans="1:26" x14ac:dyDescent="0.2">
      <c r="A213" s="7" t="s">
        <v>91</v>
      </c>
      <c r="B213" s="6">
        <f t="shared" si="95"/>
        <v>8</v>
      </c>
      <c r="C213" s="7" t="s">
        <v>158</v>
      </c>
      <c r="D213" s="69">
        <v>75</v>
      </c>
      <c r="E213" s="69">
        <v>0</v>
      </c>
      <c r="F213" s="66">
        <f t="shared" si="93"/>
        <v>0</v>
      </c>
      <c r="G213" s="61" t="e">
        <f t="shared" si="96"/>
        <v>#DIV/0!</v>
      </c>
      <c r="H213" s="66" t="e">
        <f t="shared" si="85"/>
        <v>#DIV/0!</v>
      </c>
      <c r="I213" s="66" t="e">
        <f t="shared" si="85"/>
        <v>#DIV/0!</v>
      </c>
      <c r="J213" s="66" t="e">
        <f t="shared" si="85"/>
        <v>#DIV/0!</v>
      </c>
      <c r="K213" s="70">
        <v>25000</v>
      </c>
      <c r="L213" s="70">
        <f>'Monitoramento Acumulado Geral'!Q213</f>
        <v>0</v>
      </c>
      <c r="M213" s="6">
        <f>(SUM(L206:L213))/K212</f>
        <v>0.72287199999999996</v>
      </c>
      <c r="N213" s="35" t="str">
        <f t="shared" si="97"/>
        <v>Desempenho Bom</v>
      </c>
      <c r="O213" s="6">
        <f t="shared" si="99"/>
        <v>0.42046470140126019</v>
      </c>
      <c r="P213" s="6">
        <f t="shared" si="99"/>
        <v>0.84574683442734511</v>
      </c>
      <c r="Q213" s="6">
        <f t="shared" si="99"/>
        <v>-4.8174316248247306E-3</v>
      </c>
      <c r="R213" s="70">
        <v>77</v>
      </c>
      <c r="S213" s="70">
        <v>0</v>
      </c>
      <c r="T213" s="6">
        <f t="shared" si="94"/>
        <v>0</v>
      </c>
      <c r="U213" s="35" t="e">
        <f t="shared" si="98"/>
        <v>#DIV/0!</v>
      </c>
      <c r="V213" s="6" t="e">
        <f t="shared" si="92"/>
        <v>#DIV/0!</v>
      </c>
      <c r="W213" s="6" t="e">
        <f t="shared" si="92"/>
        <v>#DIV/0!</v>
      </c>
      <c r="X213" s="6" t="e">
        <f t="shared" si="92"/>
        <v>#DIV/0!</v>
      </c>
      <c r="Y213" s="6" t="e">
        <f t="shared" si="92"/>
        <v>#DIV/0!</v>
      </c>
      <c r="Z213" s="6" t="e">
        <f t="shared" si="92"/>
        <v>#DIV/0!</v>
      </c>
    </row>
    <row r="214" spans="1:26" x14ac:dyDescent="0.2">
      <c r="A214" s="7" t="s">
        <v>91</v>
      </c>
      <c r="B214" s="6">
        <f t="shared" si="95"/>
        <v>9</v>
      </c>
      <c r="C214" s="7" t="s">
        <v>159</v>
      </c>
      <c r="D214" s="69">
        <v>75</v>
      </c>
      <c r="E214" s="69">
        <v>0</v>
      </c>
      <c r="F214" s="66">
        <f t="shared" si="93"/>
        <v>0</v>
      </c>
      <c r="G214" s="61" t="e">
        <f t="shared" si="96"/>
        <v>#DIV/0!</v>
      </c>
      <c r="H214" s="66" t="e">
        <f t="shared" si="85"/>
        <v>#DIV/0!</v>
      </c>
      <c r="I214" s="66" t="e">
        <f t="shared" si="85"/>
        <v>#DIV/0!</v>
      </c>
      <c r="J214" s="66" t="e">
        <f t="shared" si="85"/>
        <v>#DIV/0!</v>
      </c>
      <c r="K214" s="70">
        <v>25000</v>
      </c>
      <c r="L214" s="70">
        <f>'Monitoramento Acumulado Geral'!Q214</f>
        <v>0</v>
      </c>
      <c r="M214" s="6">
        <f>(SUM(L206:L214))/K213</f>
        <v>0.72287199999999996</v>
      </c>
      <c r="N214" s="35" t="str">
        <f t="shared" si="97"/>
        <v>Desempenho Bom</v>
      </c>
      <c r="O214" s="6">
        <f t="shared" si="99"/>
        <v>0.42046470140126019</v>
      </c>
      <c r="P214" s="6">
        <f t="shared" si="99"/>
        <v>0.84574683442734511</v>
      </c>
      <c r="Q214" s="6">
        <f t="shared" si="99"/>
        <v>-4.8174316248247306E-3</v>
      </c>
      <c r="R214" s="70">
        <v>77</v>
      </c>
      <c r="S214" s="70">
        <v>0</v>
      </c>
      <c r="T214" s="6">
        <f t="shared" si="94"/>
        <v>0</v>
      </c>
      <c r="U214" s="35" t="e">
        <f t="shared" si="98"/>
        <v>#DIV/0!</v>
      </c>
      <c r="V214" s="6" t="e">
        <f t="shared" si="92"/>
        <v>#DIV/0!</v>
      </c>
      <c r="W214" s="6" t="e">
        <f t="shared" si="92"/>
        <v>#DIV/0!</v>
      </c>
      <c r="X214" s="6" t="e">
        <f t="shared" si="92"/>
        <v>#DIV/0!</v>
      </c>
      <c r="Y214" s="6" t="e">
        <f t="shared" si="92"/>
        <v>#DIV/0!</v>
      </c>
      <c r="Z214" s="6" t="e">
        <f t="shared" si="92"/>
        <v>#DIV/0!</v>
      </c>
    </row>
    <row r="215" spans="1:26" x14ac:dyDescent="0.2">
      <c r="A215" s="7" t="s">
        <v>91</v>
      </c>
      <c r="B215" s="6">
        <f t="shared" si="95"/>
        <v>10</v>
      </c>
      <c r="C215" s="7" t="s">
        <v>160</v>
      </c>
      <c r="D215" s="69">
        <v>75</v>
      </c>
      <c r="E215" s="69">
        <v>0</v>
      </c>
      <c r="F215" s="66">
        <f t="shared" si="93"/>
        <v>0</v>
      </c>
      <c r="G215" s="61" t="e">
        <f t="shared" si="96"/>
        <v>#DIV/0!</v>
      </c>
      <c r="H215" s="66" t="e">
        <f t="shared" si="85"/>
        <v>#DIV/0!</v>
      </c>
      <c r="I215" s="66" t="e">
        <f t="shared" si="85"/>
        <v>#DIV/0!</v>
      </c>
      <c r="J215" s="66" t="e">
        <f t="shared" si="85"/>
        <v>#DIV/0!</v>
      </c>
      <c r="K215" s="70">
        <v>25000</v>
      </c>
      <c r="L215" s="70">
        <f>'Monitoramento Acumulado Geral'!Q215</f>
        <v>0</v>
      </c>
      <c r="M215" s="6">
        <f>(SUM(L206:L215))/K214</f>
        <v>0.72287199999999996</v>
      </c>
      <c r="N215" s="35" t="str">
        <f t="shared" si="97"/>
        <v>Desempenho Bom</v>
      </c>
      <c r="O215" s="6">
        <f t="shared" si="99"/>
        <v>0.42046470140126019</v>
      </c>
      <c r="P215" s="6">
        <f t="shared" si="99"/>
        <v>0.84574683442734511</v>
      </c>
      <c r="Q215" s="6">
        <f t="shared" si="99"/>
        <v>-4.8174316248247306E-3</v>
      </c>
      <c r="R215" s="70">
        <v>77</v>
      </c>
      <c r="S215" s="70">
        <v>0</v>
      </c>
      <c r="T215" s="6">
        <f t="shared" si="94"/>
        <v>0</v>
      </c>
      <c r="U215" s="35" t="e">
        <f t="shared" si="98"/>
        <v>#DIV/0!</v>
      </c>
      <c r="V215" s="6" t="e">
        <f t="shared" si="92"/>
        <v>#DIV/0!</v>
      </c>
      <c r="W215" s="6" t="e">
        <f t="shared" si="92"/>
        <v>#DIV/0!</v>
      </c>
      <c r="X215" s="6" t="e">
        <f t="shared" si="92"/>
        <v>#DIV/0!</v>
      </c>
      <c r="Y215" s="6" t="e">
        <f t="shared" si="92"/>
        <v>#DIV/0!</v>
      </c>
      <c r="Z215" s="6" t="e">
        <f t="shared" si="92"/>
        <v>#DIV/0!</v>
      </c>
    </row>
    <row r="216" spans="1:26" x14ac:dyDescent="0.2">
      <c r="A216" s="7" t="s">
        <v>91</v>
      </c>
      <c r="B216" s="6">
        <f t="shared" si="95"/>
        <v>11</v>
      </c>
      <c r="C216" s="7" t="s">
        <v>161</v>
      </c>
      <c r="D216" s="69">
        <v>75</v>
      </c>
      <c r="E216" s="69">
        <v>0</v>
      </c>
      <c r="F216" s="66">
        <f t="shared" si="93"/>
        <v>0</v>
      </c>
      <c r="G216" s="61" t="e">
        <f t="shared" si="96"/>
        <v>#DIV/0!</v>
      </c>
      <c r="H216" s="66" t="e">
        <f t="shared" si="85"/>
        <v>#DIV/0!</v>
      </c>
      <c r="I216" s="66" t="e">
        <f t="shared" si="85"/>
        <v>#DIV/0!</v>
      </c>
      <c r="J216" s="66" t="e">
        <f t="shared" si="85"/>
        <v>#DIV/0!</v>
      </c>
      <c r="K216" s="70">
        <v>25000</v>
      </c>
      <c r="L216" s="70">
        <f>'Monitoramento Acumulado Geral'!Q216</f>
        <v>0</v>
      </c>
      <c r="M216" s="6">
        <f>(SUM(L206:L216))/K215</f>
        <v>0.72287199999999996</v>
      </c>
      <c r="N216" s="35" t="str">
        <f t="shared" si="97"/>
        <v>Desempenho Bom</v>
      </c>
      <c r="O216" s="6">
        <f t="shared" si="99"/>
        <v>0.42046470140126019</v>
      </c>
      <c r="P216" s="6">
        <f t="shared" si="99"/>
        <v>0.84574683442734511</v>
      </c>
      <c r="Q216" s="6">
        <f t="shared" si="99"/>
        <v>-4.8174316248247306E-3</v>
      </c>
      <c r="R216" s="70">
        <v>77</v>
      </c>
      <c r="S216" s="70">
        <v>0</v>
      </c>
      <c r="T216" s="6">
        <f t="shared" si="94"/>
        <v>0</v>
      </c>
      <c r="U216" s="35" t="e">
        <f t="shared" si="98"/>
        <v>#DIV/0!</v>
      </c>
      <c r="V216" s="6" t="e">
        <f t="shared" si="92"/>
        <v>#DIV/0!</v>
      </c>
      <c r="W216" s="6" t="e">
        <f t="shared" si="92"/>
        <v>#DIV/0!</v>
      </c>
      <c r="X216" s="6" t="e">
        <f t="shared" si="92"/>
        <v>#DIV/0!</v>
      </c>
      <c r="Y216" s="6" t="e">
        <f t="shared" si="92"/>
        <v>#DIV/0!</v>
      </c>
      <c r="Z216" s="6" t="e">
        <f t="shared" si="92"/>
        <v>#DIV/0!</v>
      </c>
    </row>
    <row r="217" spans="1:26" x14ac:dyDescent="0.2">
      <c r="A217" s="7" t="s">
        <v>91</v>
      </c>
      <c r="B217" s="6">
        <f t="shared" si="95"/>
        <v>12</v>
      </c>
      <c r="C217" s="7" t="s">
        <v>162</v>
      </c>
      <c r="D217" s="69">
        <v>75</v>
      </c>
      <c r="E217" s="69">
        <v>0</v>
      </c>
      <c r="F217" s="66">
        <f t="shared" si="93"/>
        <v>0</v>
      </c>
      <c r="G217" s="61" t="e">
        <f t="shared" si="96"/>
        <v>#DIV/0!</v>
      </c>
      <c r="H217" s="66" t="e">
        <f t="shared" si="85"/>
        <v>#DIV/0!</v>
      </c>
      <c r="I217" s="66" t="e">
        <f t="shared" si="85"/>
        <v>#DIV/0!</v>
      </c>
      <c r="J217" s="66" t="e">
        <f t="shared" si="85"/>
        <v>#DIV/0!</v>
      </c>
      <c r="K217" s="70">
        <v>25000</v>
      </c>
      <c r="L217" s="70">
        <f>'Monitoramento Acumulado Geral'!Q217</f>
        <v>0</v>
      </c>
      <c r="M217" s="6">
        <f>(SUM(L206:L217))/K216</f>
        <v>0.72287199999999996</v>
      </c>
      <c r="N217" s="35" t="str">
        <f t="shared" si="97"/>
        <v>Desempenho Bom</v>
      </c>
      <c r="O217" s="6">
        <f t="shared" si="99"/>
        <v>0.41824651958307835</v>
      </c>
      <c r="P217" s="6">
        <f t="shared" si="99"/>
        <v>0.84510274859297763</v>
      </c>
      <c r="Q217" s="6">
        <f t="shared" si="99"/>
        <v>-8.6097094268208774E-3</v>
      </c>
      <c r="R217" s="70">
        <v>77</v>
      </c>
      <c r="S217" s="70">
        <v>0</v>
      </c>
      <c r="T217" s="6">
        <f t="shared" si="94"/>
        <v>0</v>
      </c>
      <c r="U217" s="35" t="e">
        <f t="shared" si="98"/>
        <v>#DIV/0!</v>
      </c>
      <c r="V217" s="6" t="e">
        <f t="shared" si="92"/>
        <v>#DIV/0!</v>
      </c>
      <c r="W217" s="6" t="e">
        <f t="shared" si="92"/>
        <v>#DIV/0!</v>
      </c>
      <c r="X217" s="6" t="e">
        <f t="shared" si="92"/>
        <v>#DIV/0!</v>
      </c>
      <c r="Y217" s="6" t="e">
        <f t="shared" si="92"/>
        <v>#DIV/0!</v>
      </c>
      <c r="Z217" s="6" t="e">
        <f t="shared" si="92"/>
        <v>#DIV/0!</v>
      </c>
    </row>
    <row r="218" spans="1:26" x14ac:dyDescent="0.2">
      <c r="A218" s="7" t="s">
        <v>126</v>
      </c>
      <c r="B218" s="6">
        <f t="shared" si="95"/>
        <v>1</v>
      </c>
      <c r="C218" s="7" t="s">
        <v>151</v>
      </c>
      <c r="D218" s="69">
        <v>75</v>
      </c>
      <c r="E218" s="69">
        <v>25</v>
      </c>
      <c r="F218" s="66">
        <f t="shared" si="93"/>
        <v>0.33333333333333331</v>
      </c>
      <c r="G218" s="61" t="e">
        <f t="shared" si="96"/>
        <v>#DIV/0!</v>
      </c>
      <c r="H218" s="66" t="e">
        <f t="shared" si="85"/>
        <v>#DIV/0!</v>
      </c>
      <c r="I218" s="66" t="e">
        <f t="shared" si="85"/>
        <v>#DIV/0!</v>
      </c>
      <c r="J218" s="66" t="e">
        <f t="shared" si="85"/>
        <v>#DIV/0!</v>
      </c>
      <c r="K218" s="70">
        <v>120000</v>
      </c>
      <c r="L218" s="70">
        <f>'Monitoramento Acumulado Geral'!Q218</f>
        <v>11050</v>
      </c>
      <c r="M218" s="6">
        <f>L218/K218</f>
        <v>9.2083333333333336E-2</v>
      </c>
      <c r="N218" s="35" t="str">
        <f t="shared" si="97"/>
        <v>Desempenho Bom</v>
      </c>
      <c r="O218" s="6">
        <f t="shared" si="99"/>
        <v>3.4274647562211005E-2</v>
      </c>
      <c r="P218" s="6">
        <f t="shared" si="99"/>
        <v>0.10289217685709087</v>
      </c>
      <c r="Q218" s="6">
        <f t="shared" si="99"/>
        <v>-3.4342881732668862E-2</v>
      </c>
      <c r="R218" s="70">
        <v>80</v>
      </c>
      <c r="S218" s="70">
        <v>0</v>
      </c>
      <c r="T218" s="6">
        <f t="shared" si="94"/>
        <v>0</v>
      </c>
      <c r="U218" s="35" t="e">
        <f t="shared" si="98"/>
        <v>#DIV/0!</v>
      </c>
      <c r="V218" s="6" t="e">
        <f t="shared" si="92"/>
        <v>#DIV/0!</v>
      </c>
      <c r="W218" s="6" t="e">
        <f t="shared" si="92"/>
        <v>#DIV/0!</v>
      </c>
      <c r="X218" s="6" t="e">
        <f t="shared" si="92"/>
        <v>#DIV/0!</v>
      </c>
      <c r="Y218" s="6" t="e">
        <f t="shared" si="92"/>
        <v>#DIV/0!</v>
      </c>
      <c r="Z218" s="6" t="e">
        <f t="shared" si="92"/>
        <v>#DIV/0!</v>
      </c>
    </row>
    <row r="219" spans="1:26" x14ac:dyDescent="0.2">
      <c r="A219" s="7" t="s">
        <v>126</v>
      </c>
      <c r="B219" s="6">
        <f t="shared" si="95"/>
        <v>2</v>
      </c>
      <c r="C219" s="7" t="s">
        <v>152</v>
      </c>
      <c r="D219" s="69">
        <v>75</v>
      </c>
      <c r="E219" s="69">
        <v>40</v>
      </c>
      <c r="F219" s="66">
        <f t="shared" si="93"/>
        <v>0.53333333333333333</v>
      </c>
      <c r="G219" s="61" t="e">
        <f t="shared" si="96"/>
        <v>#DIV/0!</v>
      </c>
      <c r="H219" s="66" t="e">
        <f t="shared" ref="H219:J289" si="100">H207</f>
        <v>#DIV/0!</v>
      </c>
      <c r="I219" s="66" t="e">
        <f t="shared" si="100"/>
        <v>#DIV/0!</v>
      </c>
      <c r="J219" s="66" t="e">
        <f t="shared" si="100"/>
        <v>#DIV/0!</v>
      </c>
      <c r="K219" s="70">
        <v>120000</v>
      </c>
      <c r="L219" s="70">
        <f>'Monitoramento Acumulado Geral'!Q219</f>
        <v>7500</v>
      </c>
      <c r="M219" s="6">
        <f>(SUM(L218:L219))/K218</f>
        <v>0.15458333333333332</v>
      </c>
      <c r="N219" s="35" t="str">
        <f t="shared" si="97"/>
        <v>Desempenho Bom</v>
      </c>
      <c r="O219" s="6">
        <f t="shared" si="99"/>
        <v>8.1815188943147363E-2</v>
      </c>
      <c r="P219" s="6">
        <f t="shared" si="99"/>
        <v>0.20623883252423067</v>
      </c>
      <c r="Q219" s="6">
        <f t="shared" si="99"/>
        <v>-4.2608454637935944E-2</v>
      </c>
      <c r="R219" s="70">
        <v>80</v>
      </c>
      <c r="S219" s="70">
        <v>0</v>
      </c>
      <c r="T219" s="6">
        <f t="shared" si="94"/>
        <v>0</v>
      </c>
      <c r="U219" s="35" t="e">
        <f t="shared" si="98"/>
        <v>#DIV/0!</v>
      </c>
      <c r="V219" s="6" t="e">
        <f t="shared" ref="V219:Z234" si="101">V207</f>
        <v>#DIV/0!</v>
      </c>
      <c r="W219" s="6" t="e">
        <f t="shared" si="101"/>
        <v>#DIV/0!</v>
      </c>
      <c r="X219" s="6" t="e">
        <f t="shared" si="101"/>
        <v>#DIV/0!</v>
      </c>
      <c r="Y219" s="6" t="e">
        <f t="shared" si="101"/>
        <v>#DIV/0!</v>
      </c>
      <c r="Z219" s="6" t="e">
        <f t="shared" si="101"/>
        <v>#DIV/0!</v>
      </c>
    </row>
    <row r="220" spans="1:26" x14ac:dyDescent="0.2">
      <c r="A220" s="7" t="s">
        <v>126</v>
      </c>
      <c r="B220" s="6">
        <f t="shared" si="95"/>
        <v>3</v>
      </c>
      <c r="C220" s="7" t="s">
        <v>153</v>
      </c>
      <c r="D220" s="69">
        <v>75</v>
      </c>
      <c r="E220" s="69">
        <v>70</v>
      </c>
      <c r="F220" s="66">
        <f t="shared" si="93"/>
        <v>0.93333333333333335</v>
      </c>
      <c r="G220" s="61" t="e">
        <f t="shared" si="96"/>
        <v>#DIV/0!</v>
      </c>
      <c r="H220" s="66" t="e">
        <f t="shared" si="100"/>
        <v>#DIV/0!</v>
      </c>
      <c r="I220" s="66" t="e">
        <f t="shared" si="100"/>
        <v>#DIV/0!</v>
      </c>
      <c r="J220" s="66" t="e">
        <f t="shared" si="100"/>
        <v>#DIV/0!</v>
      </c>
      <c r="K220" s="70">
        <v>120000</v>
      </c>
      <c r="L220" s="70">
        <f>'Monitoramento Acumulado Geral'!Q220</f>
        <v>18100</v>
      </c>
      <c r="M220" s="6">
        <f>(SUM(L218:L220))/K219</f>
        <v>0.30541666666666667</v>
      </c>
      <c r="N220" s="35" t="str">
        <f t="shared" si="97"/>
        <v>Desempenho Ótimo</v>
      </c>
      <c r="O220" s="6">
        <f t="shared" si="99"/>
        <v>0.13411292471649494</v>
      </c>
      <c r="P220" s="6">
        <f t="shared" si="99"/>
        <v>0.29721906787058483</v>
      </c>
      <c r="Q220" s="6">
        <f t="shared" si="99"/>
        <v>-2.899321843759492E-2</v>
      </c>
      <c r="R220" s="70">
        <v>80</v>
      </c>
      <c r="S220" s="70">
        <v>0</v>
      </c>
      <c r="T220" s="6">
        <f t="shared" si="94"/>
        <v>0</v>
      </c>
      <c r="U220" s="35" t="e">
        <f t="shared" si="98"/>
        <v>#DIV/0!</v>
      </c>
      <c r="V220" s="6" t="e">
        <f t="shared" si="101"/>
        <v>#DIV/0!</v>
      </c>
      <c r="W220" s="6" t="e">
        <f t="shared" si="101"/>
        <v>#DIV/0!</v>
      </c>
      <c r="X220" s="6" t="e">
        <f t="shared" si="101"/>
        <v>#DIV/0!</v>
      </c>
      <c r="Y220" s="6" t="e">
        <f t="shared" si="101"/>
        <v>#DIV/0!</v>
      </c>
      <c r="Z220" s="6" t="e">
        <f t="shared" si="101"/>
        <v>#DIV/0!</v>
      </c>
    </row>
    <row r="221" spans="1:26" x14ac:dyDescent="0.2">
      <c r="A221" s="7" t="s">
        <v>126</v>
      </c>
      <c r="B221" s="6">
        <f t="shared" si="95"/>
        <v>4</v>
      </c>
      <c r="C221" s="7" t="s">
        <v>154</v>
      </c>
      <c r="D221" s="69">
        <v>75</v>
      </c>
      <c r="E221" s="69">
        <v>70</v>
      </c>
      <c r="F221" s="66">
        <f t="shared" si="93"/>
        <v>0.93333333333333335</v>
      </c>
      <c r="G221" s="61" t="e">
        <f t="shared" si="96"/>
        <v>#DIV/0!</v>
      </c>
      <c r="H221" s="66" t="e">
        <f t="shared" si="100"/>
        <v>#DIV/0!</v>
      </c>
      <c r="I221" s="66" t="e">
        <f t="shared" si="100"/>
        <v>#DIV/0!</v>
      </c>
      <c r="J221" s="66" t="e">
        <f t="shared" si="100"/>
        <v>#DIV/0!</v>
      </c>
      <c r="K221" s="70">
        <v>120000</v>
      </c>
      <c r="L221" s="70">
        <f>'Monitoramento Acumulado Geral'!Q221</f>
        <v>0</v>
      </c>
      <c r="M221" s="6">
        <f>(SUM(L218:L221))/K220</f>
        <v>0.30541666666666667</v>
      </c>
      <c r="N221" s="35" t="str">
        <f t="shared" si="97"/>
        <v>Desempenho Bom</v>
      </c>
      <c r="O221" s="6">
        <f t="shared" si="99"/>
        <v>0.15392483870093213</v>
      </c>
      <c r="P221" s="6">
        <f t="shared" si="99"/>
        <v>0.32772007016950033</v>
      </c>
      <c r="Q221" s="6">
        <f t="shared" si="99"/>
        <v>-1.9870392767636053E-2</v>
      </c>
      <c r="R221" s="70">
        <v>80</v>
      </c>
      <c r="S221" s="70">
        <v>0</v>
      </c>
      <c r="T221" s="6">
        <f t="shared" si="94"/>
        <v>0</v>
      </c>
      <c r="U221" s="35" t="e">
        <f t="shared" si="98"/>
        <v>#DIV/0!</v>
      </c>
      <c r="V221" s="6" t="e">
        <f t="shared" si="101"/>
        <v>#DIV/0!</v>
      </c>
      <c r="W221" s="6" t="e">
        <f t="shared" si="101"/>
        <v>#DIV/0!</v>
      </c>
      <c r="X221" s="6" t="e">
        <f t="shared" si="101"/>
        <v>#DIV/0!</v>
      </c>
      <c r="Y221" s="6" t="e">
        <f t="shared" si="101"/>
        <v>#DIV/0!</v>
      </c>
      <c r="Z221" s="6" t="e">
        <f t="shared" si="101"/>
        <v>#DIV/0!</v>
      </c>
    </row>
    <row r="222" spans="1:26" x14ac:dyDescent="0.2">
      <c r="A222" s="7" t="s">
        <v>126</v>
      </c>
      <c r="B222" s="6">
        <f t="shared" si="95"/>
        <v>5</v>
      </c>
      <c r="C222" s="7" t="s">
        <v>155</v>
      </c>
      <c r="D222" s="69">
        <v>75</v>
      </c>
      <c r="E222" s="69">
        <v>70</v>
      </c>
      <c r="F222" s="66">
        <f t="shared" si="93"/>
        <v>0.93333333333333335</v>
      </c>
      <c r="G222" s="61" t="e">
        <f t="shared" si="96"/>
        <v>#DIV/0!</v>
      </c>
      <c r="H222" s="66" t="e">
        <f t="shared" si="100"/>
        <v>#DIV/0!</v>
      </c>
      <c r="I222" s="66" t="e">
        <f t="shared" si="100"/>
        <v>#DIV/0!</v>
      </c>
      <c r="J222" s="66" t="e">
        <f t="shared" si="100"/>
        <v>#DIV/0!</v>
      </c>
      <c r="K222" s="70">
        <v>120000</v>
      </c>
      <c r="L222" s="70">
        <f>'Monitoramento Acumulado Geral'!Q222</f>
        <v>14760</v>
      </c>
      <c r="M222" s="6">
        <f>(SUM(L218:L222))/K221</f>
        <v>0.42841666666666667</v>
      </c>
      <c r="N222" s="35" t="str">
        <f t="shared" si="97"/>
        <v>Desempenho Bom</v>
      </c>
      <c r="O222" s="6">
        <f t="shared" si="99"/>
        <v>0.21139287248463789</v>
      </c>
      <c r="P222" s="6">
        <f t="shared" si="99"/>
        <v>0.43680804416292918</v>
      </c>
      <c r="Q222" s="6">
        <f t="shared" si="99"/>
        <v>-1.4022299193653387E-2</v>
      </c>
      <c r="R222" s="70">
        <v>80</v>
      </c>
      <c r="S222" s="70">
        <v>0</v>
      </c>
      <c r="T222" s="6">
        <f t="shared" si="94"/>
        <v>0</v>
      </c>
      <c r="U222" s="35" t="e">
        <f t="shared" si="98"/>
        <v>#DIV/0!</v>
      </c>
      <c r="V222" s="6" t="e">
        <f t="shared" si="101"/>
        <v>#DIV/0!</v>
      </c>
      <c r="W222" s="6" t="e">
        <f t="shared" si="101"/>
        <v>#DIV/0!</v>
      </c>
      <c r="X222" s="6" t="e">
        <f t="shared" si="101"/>
        <v>#DIV/0!</v>
      </c>
      <c r="Y222" s="6" t="e">
        <f t="shared" si="101"/>
        <v>#DIV/0!</v>
      </c>
      <c r="Z222" s="6" t="e">
        <f t="shared" si="101"/>
        <v>#DIV/0!</v>
      </c>
    </row>
    <row r="223" spans="1:26" x14ac:dyDescent="0.2">
      <c r="A223" s="7" t="s">
        <v>126</v>
      </c>
      <c r="B223" s="6">
        <f t="shared" si="95"/>
        <v>6</v>
      </c>
      <c r="C223" s="7" t="s">
        <v>156</v>
      </c>
      <c r="D223" s="69">
        <v>75</v>
      </c>
      <c r="E223" s="69">
        <v>70</v>
      </c>
      <c r="F223" s="66">
        <f t="shared" si="93"/>
        <v>0.93333333333333335</v>
      </c>
      <c r="G223" s="61" t="e">
        <f t="shared" si="96"/>
        <v>#DIV/0!</v>
      </c>
      <c r="H223" s="66" t="e">
        <f t="shared" si="100"/>
        <v>#DIV/0!</v>
      </c>
      <c r="I223" s="66" t="e">
        <f t="shared" si="100"/>
        <v>#DIV/0!</v>
      </c>
      <c r="J223" s="66" t="e">
        <f t="shared" si="100"/>
        <v>#DIV/0!</v>
      </c>
      <c r="K223" s="70">
        <v>120000</v>
      </c>
      <c r="L223" s="70">
        <f>'Monitoramento Acumulado Geral'!Q223</f>
        <v>20710</v>
      </c>
      <c r="M223" s="6">
        <f>(SUM(L218:L223))/K222</f>
        <v>0.60099999999999998</v>
      </c>
      <c r="N223" s="35" t="str">
        <f t="shared" si="97"/>
        <v>Desempenho Ótimo</v>
      </c>
      <c r="O223" s="6">
        <f t="shared" si="99"/>
        <v>0.28403291059934432</v>
      </c>
      <c r="P223" s="6">
        <f t="shared" si="99"/>
        <v>0.56118246348434164</v>
      </c>
      <c r="Q223" s="6">
        <f t="shared" si="99"/>
        <v>6.8833577143469493E-3</v>
      </c>
      <c r="R223" s="70">
        <v>80</v>
      </c>
      <c r="S223" s="70">
        <v>0</v>
      </c>
      <c r="T223" s="6">
        <f t="shared" si="94"/>
        <v>0</v>
      </c>
      <c r="U223" s="35" t="e">
        <f t="shared" si="98"/>
        <v>#DIV/0!</v>
      </c>
      <c r="V223" s="6" t="e">
        <f t="shared" si="101"/>
        <v>#DIV/0!</v>
      </c>
      <c r="W223" s="6" t="e">
        <f t="shared" si="101"/>
        <v>#DIV/0!</v>
      </c>
      <c r="X223" s="6" t="e">
        <f t="shared" si="101"/>
        <v>#DIV/0!</v>
      </c>
      <c r="Y223" s="6" t="e">
        <f t="shared" si="101"/>
        <v>#DIV/0!</v>
      </c>
      <c r="Z223" s="6" t="e">
        <f t="shared" si="101"/>
        <v>#DIV/0!</v>
      </c>
    </row>
    <row r="224" spans="1:26" x14ac:dyDescent="0.2">
      <c r="A224" s="7" t="s">
        <v>126</v>
      </c>
      <c r="B224" s="6">
        <f t="shared" si="95"/>
        <v>7</v>
      </c>
      <c r="C224" s="7" t="s">
        <v>157</v>
      </c>
      <c r="D224" s="69">
        <v>75</v>
      </c>
      <c r="E224" s="69">
        <v>70</v>
      </c>
      <c r="F224" s="66">
        <f t="shared" si="93"/>
        <v>0.93333333333333335</v>
      </c>
      <c r="G224" s="61" t="e">
        <f t="shared" si="96"/>
        <v>#DIV/0!</v>
      </c>
      <c r="H224" s="66" t="e">
        <f t="shared" si="100"/>
        <v>#DIV/0!</v>
      </c>
      <c r="I224" s="66" t="e">
        <f t="shared" si="100"/>
        <v>#DIV/0!</v>
      </c>
      <c r="J224" s="66" t="e">
        <f t="shared" si="100"/>
        <v>#DIV/0!</v>
      </c>
      <c r="K224" s="70">
        <v>120000</v>
      </c>
      <c r="L224" s="70">
        <f>'Monitoramento Acumulado Geral'!Q224</f>
        <v>1350</v>
      </c>
      <c r="M224" s="6">
        <f>(SUM(L218:L224))/K223</f>
        <v>0.61224999999999996</v>
      </c>
      <c r="N224" s="35" t="str">
        <f t="shared" si="97"/>
        <v>Desempenho Bom</v>
      </c>
      <c r="O224" s="6">
        <f t="shared" si="99"/>
        <v>0.42046470140126019</v>
      </c>
      <c r="P224" s="6">
        <f t="shared" si="99"/>
        <v>0.84574683442734511</v>
      </c>
      <c r="Q224" s="6">
        <f t="shared" si="99"/>
        <v>-4.8174316248247306E-3</v>
      </c>
      <c r="R224" s="70">
        <v>80</v>
      </c>
      <c r="S224" s="70">
        <v>0</v>
      </c>
      <c r="T224" s="6">
        <f t="shared" si="94"/>
        <v>0</v>
      </c>
      <c r="U224" s="35" t="e">
        <f t="shared" si="98"/>
        <v>#DIV/0!</v>
      </c>
      <c r="V224" s="6" t="e">
        <f t="shared" si="101"/>
        <v>#DIV/0!</v>
      </c>
      <c r="W224" s="6" t="e">
        <f t="shared" si="101"/>
        <v>#DIV/0!</v>
      </c>
      <c r="X224" s="6" t="e">
        <f t="shared" si="101"/>
        <v>#DIV/0!</v>
      </c>
      <c r="Y224" s="6" t="e">
        <f t="shared" si="101"/>
        <v>#DIV/0!</v>
      </c>
      <c r="Z224" s="6" t="e">
        <f t="shared" si="101"/>
        <v>#DIV/0!</v>
      </c>
    </row>
    <row r="225" spans="1:26" x14ac:dyDescent="0.2">
      <c r="A225" s="7" t="s">
        <v>126</v>
      </c>
      <c r="B225" s="6">
        <f t="shared" si="95"/>
        <v>8</v>
      </c>
      <c r="C225" s="7" t="s">
        <v>158</v>
      </c>
      <c r="D225" s="69">
        <v>75</v>
      </c>
      <c r="E225" s="69">
        <v>0</v>
      </c>
      <c r="F225" s="66">
        <f t="shared" si="93"/>
        <v>0</v>
      </c>
      <c r="G225" s="61" t="e">
        <f t="shared" si="96"/>
        <v>#DIV/0!</v>
      </c>
      <c r="H225" s="66" t="e">
        <f t="shared" si="100"/>
        <v>#DIV/0!</v>
      </c>
      <c r="I225" s="66" t="e">
        <f t="shared" si="100"/>
        <v>#DIV/0!</v>
      </c>
      <c r="J225" s="66" t="e">
        <f t="shared" si="100"/>
        <v>#DIV/0!</v>
      </c>
      <c r="K225" s="70">
        <v>120000</v>
      </c>
      <c r="L225" s="70">
        <f>'Monitoramento Acumulado Geral'!Q225</f>
        <v>0</v>
      </c>
      <c r="M225" s="6">
        <f>(SUM(L218:L225))/K224</f>
        <v>0.61224999999999996</v>
      </c>
      <c r="N225" s="35" t="str">
        <f t="shared" si="97"/>
        <v>Desempenho Bom</v>
      </c>
      <c r="O225" s="6">
        <f t="shared" si="99"/>
        <v>0.42046470140126019</v>
      </c>
      <c r="P225" s="6">
        <f t="shared" si="99"/>
        <v>0.84574683442734511</v>
      </c>
      <c r="Q225" s="6">
        <f t="shared" si="99"/>
        <v>-4.8174316248247306E-3</v>
      </c>
      <c r="R225" s="70">
        <v>80</v>
      </c>
      <c r="S225" s="70">
        <v>0</v>
      </c>
      <c r="T225" s="6">
        <f t="shared" si="94"/>
        <v>0</v>
      </c>
      <c r="U225" s="35" t="e">
        <f t="shared" si="98"/>
        <v>#DIV/0!</v>
      </c>
      <c r="V225" s="6" t="e">
        <f t="shared" si="101"/>
        <v>#DIV/0!</v>
      </c>
      <c r="W225" s="6" t="e">
        <f t="shared" si="101"/>
        <v>#DIV/0!</v>
      </c>
      <c r="X225" s="6" t="e">
        <f t="shared" si="101"/>
        <v>#DIV/0!</v>
      </c>
      <c r="Y225" s="6" t="e">
        <f t="shared" si="101"/>
        <v>#DIV/0!</v>
      </c>
      <c r="Z225" s="6" t="e">
        <f t="shared" si="101"/>
        <v>#DIV/0!</v>
      </c>
    </row>
    <row r="226" spans="1:26" x14ac:dyDescent="0.2">
      <c r="A226" s="7" t="s">
        <v>126</v>
      </c>
      <c r="B226" s="6">
        <f t="shared" si="95"/>
        <v>9</v>
      </c>
      <c r="C226" s="7" t="s">
        <v>159</v>
      </c>
      <c r="D226" s="69">
        <v>75</v>
      </c>
      <c r="E226" s="69">
        <v>0</v>
      </c>
      <c r="F226" s="66">
        <f t="shared" si="93"/>
        <v>0</v>
      </c>
      <c r="G226" s="61" t="e">
        <f t="shared" si="96"/>
        <v>#DIV/0!</v>
      </c>
      <c r="H226" s="66" t="e">
        <f t="shared" si="100"/>
        <v>#DIV/0!</v>
      </c>
      <c r="I226" s="66" t="e">
        <f t="shared" si="100"/>
        <v>#DIV/0!</v>
      </c>
      <c r="J226" s="66" t="e">
        <f t="shared" si="100"/>
        <v>#DIV/0!</v>
      </c>
      <c r="K226" s="70">
        <v>120000</v>
      </c>
      <c r="L226" s="70">
        <f>'Monitoramento Acumulado Geral'!Q226</f>
        <v>0</v>
      </c>
      <c r="M226" s="6">
        <f>(SUM(L218:L226))/K225</f>
        <v>0.61224999999999996</v>
      </c>
      <c r="N226" s="35" t="str">
        <f t="shared" si="97"/>
        <v>Desempenho Bom</v>
      </c>
      <c r="O226" s="6">
        <f t="shared" ref="O226:Q241" si="102">O214</f>
        <v>0.42046470140126019</v>
      </c>
      <c r="P226" s="6">
        <f t="shared" si="102"/>
        <v>0.84574683442734511</v>
      </c>
      <c r="Q226" s="6">
        <f t="shared" si="102"/>
        <v>-4.8174316248247306E-3</v>
      </c>
      <c r="R226" s="70">
        <v>80</v>
      </c>
      <c r="S226" s="70">
        <v>0</v>
      </c>
      <c r="T226" s="6">
        <f t="shared" si="94"/>
        <v>0</v>
      </c>
      <c r="U226" s="35" t="e">
        <f t="shared" si="98"/>
        <v>#DIV/0!</v>
      </c>
      <c r="V226" s="6" t="e">
        <f t="shared" si="101"/>
        <v>#DIV/0!</v>
      </c>
      <c r="W226" s="6" t="e">
        <f t="shared" si="101"/>
        <v>#DIV/0!</v>
      </c>
      <c r="X226" s="6" t="e">
        <f t="shared" si="101"/>
        <v>#DIV/0!</v>
      </c>
      <c r="Y226" s="6" t="e">
        <f t="shared" si="101"/>
        <v>#DIV/0!</v>
      </c>
      <c r="Z226" s="6" t="e">
        <f t="shared" si="101"/>
        <v>#DIV/0!</v>
      </c>
    </row>
    <row r="227" spans="1:26" x14ac:dyDescent="0.2">
      <c r="A227" s="7" t="s">
        <v>126</v>
      </c>
      <c r="B227" s="6">
        <f t="shared" si="95"/>
        <v>10</v>
      </c>
      <c r="C227" s="7" t="s">
        <v>160</v>
      </c>
      <c r="D227" s="69">
        <v>75</v>
      </c>
      <c r="E227" s="69">
        <v>0</v>
      </c>
      <c r="F227" s="66">
        <f t="shared" si="93"/>
        <v>0</v>
      </c>
      <c r="G227" s="61" t="e">
        <f t="shared" si="96"/>
        <v>#DIV/0!</v>
      </c>
      <c r="H227" s="66" t="e">
        <f t="shared" si="100"/>
        <v>#DIV/0!</v>
      </c>
      <c r="I227" s="66" t="e">
        <f t="shared" si="100"/>
        <v>#DIV/0!</v>
      </c>
      <c r="J227" s="66" t="e">
        <f t="shared" si="100"/>
        <v>#DIV/0!</v>
      </c>
      <c r="K227" s="70">
        <v>120000</v>
      </c>
      <c r="L227" s="70">
        <f>'Monitoramento Acumulado Geral'!Q227</f>
        <v>0</v>
      </c>
      <c r="M227" s="6">
        <f>(SUM(L218:L227))/K226</f>
        <v>0.61224999999999996</v>
      </c>
      <c r="N227" s="35" t="str">
        <f t="shared" si="97"/>
        <v>Desempenho Bom</v>
      </c>
      <c r="O227" s="6">
        <f t="shared" si="102"/>
        <v>0.42046470140126019</v>
      </c>
      <c r="P227" s="6">
        <f t="shared" si="102"/>
        <v>0.84574683442734511</v>
      </c>
      <c r="Q227" s="6">
        <f t="shared" si="102"/>
        <v>-4.8174316248247306E-3</v>
      </c>
      <c r="R227" s="70">
        <v>80</v>
      </c>
      <c r="S227" s="70">
        <v>0</v>
      </c>
      <c r="T227" s="6">
        <f t="shared" si="94"/>
        <v>0</v>
      </c>
      <c r="U227" s="35" t="e">
        <f t="shared" si="98"/>
        <v>#DIV/0!</v>
      </c>
      <c r="V227" s="6" t="e">
        <f t="shared" si="101"/>
        <v>#DIV/0!</v>
      </c>
      <c r="W227" s="6" t="e">
        <f t="shared" si="101"/>
        <v>#DIV/0!</v>
      </c>
      <c r="X227" s="6" t="e">
        <f t="shared" si="101"/>
        <v>#DIV/0!</v>
      </c>
      <c r="Y227" s="6" t="e">
        <f t="shared" si="101"/>
        <v>#DIV/0!</v>
      </c>
      <c r="Z227" s="6" t="e">
        <f t="shared" si="101"/>
        <v>#DIV/0!</v>
      </c>
    </row>
    <row r="228" spans="1:26" x14ac:dyDescent="0.2">
      <c r="A228" s="7" t="s">
        <v>126</v>
      </c>
      <c r="B228" s="6">
        <f t="shared" si="95"/>
        <v>11</v>
      </c>
      <c r="C228" s="7" t="s">
        <v>161</v>
      </c>
      <c r="D228" s="69">
        <v>75</v>
      </c>
      <c r="E228" s="69">
        <v>0</v>
      </c>
      <c r="F228" s="66">
        <f t="shared" si="93"/>
        <v>0</v>
      </c>
      <c r="G228" s="61" t="e">
        <f t="shared" si="96"/>
        <v>#DIV/0!</v>
      </c>
      <c r="H228" s="66" t="e">
        <f t="shared" si="100"/>
        <v>#DIV/0!</v>
      </c>
      <c r="I228" s="66" t="e">
        <f t="shared" si="100"/>
        <v>#DIV/0!</v>
      </c>
      <c r="J228" s="66" t="e">
        <f t="shared" si="100"/>
        <v>#DIV/0!</v>
      </c>
      <c r="K228" s="70">
        <v>120000</v>
      </c>
      <c r="L228" s="70">
        <f>'Monitoramento Acumulado Geral'!Q228</f>
        <v>0</v>
      </c>
      <c r="M228" s="6">
        <f>(SUM(L218:L228))/K227</f>
        <v>0.61224999999999996</v>
      </c>
      <c r="N228" s="35" t="str">
        <f t="shared" si="97"/>
        <v>Desempenho Bom</v>
      </c>
      <c r="O228" s="6">
        <f t="shared" si="102"/>
        <v>0.42046470140126019</v>
      </c>
      <c r="P228" s="6">
        <f t="shared" si="102"/>
        <v>0.84574683442734511</v>
      </c>
      <c r="Q228" s="6">
        <f t="shared" si="102"/>
        <v>-4.8174316248247306E-3</v>
      </c>
      <c r="R228" s="70">
        <v>80</v>
      </c>
      <c r="S228" s="70">
        <v>0</v>
      </c>
      <c r="T228" s="6">
        <f t="shared" si="94"/>
        <v>0</v>
      </c>
      <c r="U228" s="35" t="e">
        <f t="shared" si="98"/>
        <v>#DIV/0!</v>
      </c>
      <c r="V228" s="6" t="e">
        <f t="shared" si="101"/>
        <v>#DIV/0!</v>
      </c>
      <c r="W228" s="6" t="e">
        <f t="shared" si="101"/>
        <v>#DIV/0!</v>
      </c>
      <c r="X228" s="6" t="e">
        <f t="shared" si="101"/>
        <v>#DIV/0!</v>
      </c>
      <c r="Y228" s="6" t="e">
        <f t="shared" si="101"/>
        <v>#DIV/0!</v>
      </c>
      <c r="Z228" s="6" t="e">
        <f t="shared" si="101"/>
        <v>#DIV/0!</v>
      </c>
    </row>
    <row r="229" spans="1:26" x14ac:dyDescent="0.2">
      <c r="A229" s="7" t="s">
        <v>126</v>
      </c>
      <c r="B229" s="6">
        <f t="shared" si="95"/>
        <v>12</v>
      </c>
      <c r="C229" s="7" t="s">
        <v>162</v>
      </c>
      <c r="D229" s="69">
        <v>75</v>
      </c>
      <c r="E229" s="69">
        <v>0</v>
      </c>
      <c r="F229" s="66">
        <f t="shared" si="93"/>
        <v>0</v>
      </c>
      <c r="G229" s="61" t="e">
        <f t="shared" si="96"/>
        <v>#DIV/0!</v>
      </c>
      <c r="H229" s="66" t="e">
        <f t="shared" si="100"/>
        <v>#DIV/0!</v>
      </c>
      <c r="I229" s="66" t="e">
        <f t="shared" si="100"/>
        <v>#DIV/0!</v>
      </c>
      <c r="J229" s="66" t="e">
        <f t="shared" si="100"/>
        <v>#DIV/0!</v>
      </c>
      <c r="K229" s="70">
        <v>120000</v>
      </c>
      <c r="L229" s="70">
        <f>'Monitoramento Acumulado Geral'!Q229</f>
        <v>0</v>
      </c>
      <c r="M229" s="6">
        <f>(SUM(L218:L229))/K228</f>
        <v>0.61224999999999996</v>
      </c>
      <c r="N229" s="35" t="str">
        <f t="shared" si="97"/>
        <v>Desempenho Bom</v>
      </c>
      <c r="O229" s="6">
        <f t="shared" si="102"/>
        <v>0.41824651958307835</v>
      </c>
      <c r="P229" s="6">
        <f t="shared" si="102"/>
        <v>0.84510274859297763</v>
      </c>
      <c r="Q229" s="6">
        <f t="shared" si="102"/>
        <v>-8.6097094268208774E-3</v>
      </c>
      <c r="R229" s="70">
        <v>80</v>
      </c>
      <c r="S229" s="70">
        <v>0</v>
      </c>
      <c r="T229" s="6">
        <f t="shared" si="94"/>
        <v>0</v>
      </c>
      <c r="U229" s="35" t="e">
        <f t="shared" si="98"/>
        <v>#DIV/0!</v>
      </c>
      <c r="V229" s="6" t="e">
        <f t="shared" si="101"/>
        <v>#DIV/0!</v>
      </c>
      <c r="W229" s="6" t="e">
        <f t="shared" si="101"/>
        <v>#DIV/0!</v>
      </c>
      <c r="X229" s="6" t="e">
        <f t="shared" si="101"/>
        <v>#DIV/0!</v>
      </c>
      <c r="Y229" s="6" t="e">
        <f t="shared" si="101"/>
        <v>#DIV/0!</v>
      </c>
      <c r="Z229" s="6" t="e">
        <f t="shared" si="101"/>
        <v>#DIV/0!</v>
      </c>
    </row>
    <row r="230" spans="1:26" x14ac:dyDescent="0.2">
      <c r="A230" s="7" t="s">
        <v>73</v>
      </c>
      <c r="B230" s="6">
        <f t="shared" si="95"/>
        <v>1</v>
      </c>
      <c r="C230" s="7" t="s">
        <v>151</v>
      </c>
      <c r="D230" s="69">
        <v>60</v>
      </c>
      <c r="E230" s="69">
        <v>0</v>
      </c>
      <c r="F230" s="66">
        <f t="shared" si="93"/>
        <v>0</v>
      </c>
      <c r="G230" s="61" t="e">
        <f t="shared" si="96"/>
        <v>#DIV/0!</v>
      </c>
      <c r="H230" s="66" t="e">
        <f t="shared" si="100"/>
        <v>#DIV/0!</v>
      </c>
      <c r="I230" s="66" t="e">
        <f t="shared" si="100"/>
        <v>#DIV/0!</v>
      </c>
      <c r="J230" s="66" t="e">
        <f t="shared" si="100"/>
        <v>#DIV/0!</v>
      </c>
      <c r="K230" s="70">
        <v>10800</v>
      </c>
      <c r="L230" s="70">
        <f>'Monitoramento Acumulado Geral'!Q230</f>
        <v>0</v>
      </c>
      <c r="M230" s="6">
        <f>L230/K230</f>
        <v>0</v>
      </c>
      <c r="N230" s="35" t="str">
        <f t="shared" si="97"/>
        <v>Desempenho Médio</v>
      </c>
      <c r="O230" s="6">
        <f t="shared" si="102"/>
        <v>3.4274647562211005E-2</v>
      </c>
      <c r="P230" s="6">
        <f t="shared" si="102"/>
        <v>0.10289217685709087</v>
      </c>
      <c r="Q230" s="6">
        <f t="shared" si="102"/>
        <v>-3.4342881732668862E-2</v>
      </c>
      <c r="R230" s="70">
        <v>80</v>
      </c>
      <c r="S230" s="70">
        <v>0</v>
      </c>
      <c r="T230" s="6">
        <f t="shared" si="94"/>
        <v>0</v>
      </c>
      <c r="U230" s="35" t="e">
        <f t="shared" si="98"/>
        <v>#DIV/0!</v>
      </c>
      <c r="V230" s="6" t="e">
        <f t="shared" si="101"/>
        <v>#DIV/0!</v>
      </c>
      <c r="W230" s="6" t="e">
        <f t="shared" si="101"/>
        <v>#DIV/0!</v>
      </c>
      <c r="X230" s="6" t="e">
        <f t="shared" si="101"/>
        <v>#DIV/0!</v>
      </c>
      <c r="Y230" s="6" t="e">
        <f t="shared" si="101"/>
        <v>#DIV/0!</v>
      </c>
      <c r="Z230" s="6" t="e">
        <f t="shared" si="101"/>
        <v>#DIV/0!</v>
      </c>
    </row>
    <row r="231" spans="1:26" x14ac:dyDescent="0.2">
      <c r="A231" s="7" t="s">
        <v>73</v>
      </c>
      <c r="B231" s="6">
        <f t="shared" si="95"/>
        <v>2</v>
      </c>
      <c r="C231" s="7" t="s">
        <v>152</v>
      </c>
      <c r="D231" s="69">
        <v>60</v>
      </c>
      <c r="E231" s="69">
        <v>0</v>
      </c>
      <c r="F231" s="66">
        <f t="shared" si="93"/>
        <v>0</v>
      </c>
      <c r="G231" s="61" t="e">
        <f t="shared" si="96"/>
        <v>#DIV/0!</v>
      </c>
      <c r="H231" s="66" t="e">
        <f t="shared" si="100"/>
        <v>#DIV/0!</v>
      </c>
      <c r="I231" s="66" t="e">
        <f t="shared" si="100"/>
        <v>#DIV/0!</v>
      </c>
      <c r="J231" s="66" t="e">
        <f t="shared" si="100"/>
        <v>#DIV/0!</v>
      </c>
      <c r="K231" s="70">
        <v>10800</v>
      </c>
      <c r="L231" s="70">
        <f>'Monitoramento Acumulado Geral'!Q231</f>
        <v>0</v>
      </c>
      <c r="M231" s="6">
        <f>(SUM(L230:L231))/K230</f>
        <v>0</v>
      </c>
      <c r="N231" s="35" t="str">
        <f t="shared" si="97"/>
        <v>Desempenho Médio</v>
      </c>
      <c r="O231" s="6">
        <f t="shared" si="102"/>
        <v>8.1815188943147363E-2</v>
      </c>
      <c r="P231" s="6">
        <f t="shared" si="102"/>
        <v>0.20623883252423067</v>
      </c>
      <c r="Q231" s="6">
        <f t="shared" si="102"/>
        <v>-4.2608454637935944E-2</v>
      </c>
      <c r="R231" s="70">
        <v>80</v>
      </c>
      <c r="S231" s="70">
        <v>0</v>
      </c>
      <c r="T231" s="6">
        <f t="shared" si="94"/>
        <v>0</v>
      </c>
      <c r="U231" s="35" t="e">
        <f t="shared" si="98"/>
        <v>#DIV/0!</v>
      </c>
      <c r="V231" s="6" t="e">
        <f t="shared" si="101"/>
        <v>#DIV/0!</v>
      </c>
      <c r="W231" s="6" t="e">
        <f t="shared" si="101"/>
        <v>#DIV/0!</v>
      </c>
      <c r="X231" s="6" t="e">
        <f t="shared" si="101"/>
        <v>#DIV/0!</v>
      </c>
      <c r="Y231" s="6" t="e">
        <f t="shared" si="101"/>
        <v>#DIV/0!</v>
      </c>
      <c r="Z231" s="6" t="e">
        <f t="shared" si="101"/>
        <v>#DIV/0!</v>
      </c>
    </row>
    <row r="232" spans="1:26" x14ac:dyDescent="0.2">
      <c r="A232" s="7" t="s">
        <v>73</v>
      </c>
      <c r="B232" s="6">
        <f t="shared" si="95"/>
        <v>3</v>
      </c>
      <c r="C232" s="7" t="s">
        <v>153</v>
      </c>
      <c r="D232" s="69">
        <v>60</v>
      </c>
      <c r="E232" s="69">
        <v>0</v>
      </c>
      <c r="F232" s="66">
        <f t="shared" si="93"/>
        <v>0</v>
      </c>
      <c r="G232" s="61" t="e">
        <f t="shared" si="96"/>
        <v>#DIV/0!</v>
      </c>
      <c r="H232" s="66" t="e">
        <f t="shared" si="100"/>
        <v>#DIV/0!</v>
      </c>
      <c r="I232" s="66" t="e">
        <f t="shared" si="100"/>
        <v>#DIV/0!</v>
      </c>
      <c r="J232" s="66" t="e">
        <f t="shared" si="100"/>
        <v>#DIV/0!</v>
      </c>
      <c r="K232" s="70">
        <v>10800</v>
      </c>
      <c r="L232" s="70">
        <f>'Monitoramento Acumulado Geral'!Q232</f>
        <v>0</v>
      </c>
      <c r="M232" s="6">
        <f>(SUM(L230:L232))/K231</f>
        <v>0</v>
      </c>
      <c r="N232" s="35" t="str">
        <f t="shared" si="97"/>
        <v>Desempenho Médio</v>
      </c>
      <c r="O232" s="6">
        <f t="shared" si="102"/>
        <v>0.13411292471649494</v>
      </c>
      <c r="P232" s="6">
        <f t="shared" si="102"/>
        <v>0.29721906787058483</v>
      </c>
      <c r="Q232" s="6">
        <f t="shared" si="102"/>
        <v>-2.899321843759492E-2</v>
      </c>
      <c r="R232" s="70">
        <v>80</v>
      </c>
      <c r="S232" s="70">
        <v>0</v>
      </c>
      <c r="T232" s="6">
        <f t="shared" si="94"/>
        <v>0</v>
      </c>
      <c r="U232" s="35" t="e">
        <f t="shared" si="98"/>
        <v>#DIV/0!</v>
      </c>
      <c r="V232" s="6" t="e">
        <f t="shared" si="101"/>
        <v>#DIV/0!</v>
      </c>
      <c r="W232" s="6" t="e">
        <f t="shared" si="101"/>
        <v>#DIV/0!</v>
      </c>
      <c r="X232" s="6" t="e">
        <f t="shared" si="101"/>
        <v>#DIV/0!</v>
      </c>
      <c r="Y232" s="6" t="e">
        <f t="shared" si="101"/>
        <v>#DIV/0!</v>
      </c>
      <c r="Z232" s="6" t="e">
        <f t="shared" si="101"/>
        <v>#DIV/0!</v>
      </c>
    </row>
    <row r="233" spans="1:26" x14ac:dyDescent="0.2">
      <c r="A233" s="7" t="s">
        <v>73</v>
      </c>
      <c r="B233" s="6">
        <f t="shared" si="95"/>
        <v>4</v>
      </c>
      <c r="C233" s="7" t="s">
        <v>154</v>
      </c>
      <c r="D233" s="69">
        <v>60</v>
      </c>
      <c r="E233" s="69">
        <v>0</v>
      </c>
      <c r="F233" s="66">
        <f t="shared" si="93"/>
        <v>0</v>
      </c>
      <c r="G233" s="61" t="e">
        <f t="shared" si="96"/>
        <v>#DIV/0!</v>
      </c>
      <c r="H233" s="66" t="e">
        <f t="shared" si="100"/>
        <v>#DIV/0!</v>
      </c>
      <c r="I233" s="66" t="e">
        <f t="shared" si="100"/>
        <v>#DIV/0!</v>
      </c>
      <c r="J233" s="66" t="e">
        <f t="shared" si="100"/>
        <v>#DIV/0!</v>
      </c>
      <c r="K233" s="70">
        <v>10800</v>
      </c>
      <c r="L233" s="70">
        <f>'Monitoramento Acumulado Geral'!Q233</f>
        <v>0</v>
      </c>
      <c r="M233" s="6">
        <f>(SUM(L230:L233))/K232</f>
        <v>0</v>
      </c>
      <c r="N233" s="35" t="str">
        <f t="shared" si="97"/>
        <v>Desempenho Médio</v>
      </c>
      <c r="O233" s="6">
        <f t="shared" si="102"/>
        <v>0.15392483870093213</v>
      </c>
      <c r="P233" s="6">
        <f t="shared" si="102"/>
        <v>0.32772007016950033</v>
      </c>
      <c r="Q233" s="6">
        <f t="shared" si="102"/>
        <v>-1.9870392767636053E-2</v>
      </c>
      <c r="R233" s="70">
        <v>80</v>
      </c>
      <c r="S233" s="70">
        <v>0</v>
      </c>
      <c r="T233" s="6">
        <f t="shared" si="94"/>
        <v>0</v>
      </c>
      <c r="U233" s="35" t="e">
        <f t="shared" si="98"/>
        <v>#DIV/0!</v>
      </c>
      <c r="V233" s="6" t="e">
        <f t="shared" si="101"/>
        <v>#DIV/0!</v>
      </c>
      <c r="W233" s="6" t="e">
        <f t="shared" si="101"/>
        <v>#DIV/0!</v>
      </c>
      <c r="X233" s="6" t="e">
        <f t="shared" si="101"/>
        <v>#DIV/0!</v>
      </c>
      <c r="Y233" s="6" t="e">
        <f t="shared" si="101"/>
        <v>#DIV/0!</v>
      </c>
      <c r="Z233" s="6" t="e">
        <f t="shared" si="101"/>
        <v>#DIV/0!</v>
      </c>
    </row>
    <row r="234" spans="1:26" x14ac:dyDescent="0.2">
      <c r="A234" s="7" t="s">
        <v>73</v>
      </c>
      <c r="B234" s="6">
        <f t="shared" si="95"/>
        <v>5</v>
      </c>
      <c r="C234" s="7" t="s">
        <v>155</v>
      </c>
      <c r="D234" s="69">
        <v>60</v>
      </c>
      <c r="E234" s="69">
        <v>0</v>
      </c>
      <c r="F234" s="66">
        <f t="shared" si="93"/>
        <v>0</v>
      </c>
      <c r="G234" s="61" t="e">
        <f t="shared" si="96"/>
        <v>#DIV/0!</v>
      </c>
      <c r="H234" s="66" t="e">
        <f t="shared" si="100"/>
        <v>#DIV/0!</v>
      </c>
      <c r="I234" s="66" t="e">
        <f t="shared" si="100"/>
        <v>#DIV/0!</v>
      </c>
      <c r="J234" s="66" t="e">
        <f t="shared" si="100"/>
        <v>#DIV/0!</v>
      </c>
      <c r="K234" s="70">
        <v>10800</v>
      </c>
      <c r="L234" s="70">
        <f>'Monitoramento Acumulado Geral'!Q234</f>
        <v>0</v>
      </c>
      <c r="M234" s="6">
        <f>(SUM(L230:L234))/K233</f>
        <v>0</v>
      </c>
      <c r="N234" s="35" t="str">
        <f t="shared" si="97"/>
        <v>Desempenho Médio</v>
      </c>
      <c r="O234" s="6">
        <f t="shared" si="102"/>
        <v>0.21139287248463789</v>
      </c>
      <c r="P234" s="6">
        <f t="shared" si="102"/>
        <v>0.43680804416292918</v>
      </c>
      <c r="Q234" s="6">
        <f t="shared" si="102"/>
        <v>-1.4022299193653387E-2</v>
      </c>
      <c r="R234" s="70">
        <v>80</v>
      </c>
      <c r="S234" s="70">
        <v>0</v>
      </c>
      <c r="T234" s="6">
        <f t="shared" si="94"/>
        <v>0</v>
      </c>
      <c r="U234" s="35" t="e">
        <f t="shared" si="98"/>
        <v>#DIV/0!</v>
      </c>
      <c r="V234" s="6" t="e">
        <f t="shared" si="101"/>
        <v>#DIV/0!</v>
      </c>
      <c r="W234" s="6" t="e">
        <f t="shared" si="101"/>
        <v>#DIV/0!</v>
      </c>
      <c r="X234" s="6" t="e">
        <f t="shared" si="101"/>
        <v>#DIV/0!</v>
      </c>
      <c r="Y234" s="6" t="e">
        <f t="shared" si="101"/>
        <v>#DIV/0!</v>
      </c>
      <c r="Z234" s="6" t="e">
        <f t="shared" si="101"/>
        <v>#DIV/0!</v>
      </c>
    </row>
    <row r="235" spans="1:26" x14ac:dyDescent="0.2">
      <c r="A235" s="7" t="s">
        <v>73</v>
      </c>
      <c r="B235" s="6">
        <f t="shared" si="95"/>
        <v>6</v>
      </c>
      <c r="C235" s="7" t="s">
        <v>156</v>
      </c>
      <c r="D235" s="69">
        <v>60</v>
      </c>
      <c r="E235" s="69">
        <v>0</v>
      </c>
      <c r="F235" s="66">
        <f t="shared" si="93"/>
        <v>0</v>
      </c>
      <c r="G235" s="61" t="e">
        <f t="shared" si="96"/>
        <v>#DIV/0!</v>
      </c>
      <c r="H235" s="66" t="e">
        <f t="shared" si="100"/>
        <v>#DIV/0!</v>
      </c>
      <c r="I235" s="66" t="e">
        <f t="shared" si="100"/>
        <v>#DIV/0!</v>
      </c>
      <c r="J235" s="66" t="e">
        <f t="shared" si="100"/>
        <v>#DIV/0!</v>
      </c>
      <c r="K235" s="70">
        <v>10800</v>
      </c>
      <c r="L235" s="70">
        <f>'Monitoramento Acumulado Geral'!Q235</f>
        <v>0</v>
      </c>
      <c r="M235" s="6">
        <f>(SUM(L230:L235))/K234</f>
        <v>0</v>
      </c>
      <c r="N235" s="35" t="str">
        <f t="shared" si="97"/>
        <v>Desempenho Deficitário</v>
      </c>
      <c r="O235" s="6">
        <f t="shared" si="102"/>
        <v>0.28403291059934432</v>
      </c>
      <c r="P235" s="6">
        <f t="shared" si="102"/>
        <v>0.56118246348434164</v>
      </c>
      <c r="Q235" s="6">
        <f t="shared" si="102"/>
        <v>6.8833577143469493E-3</v>
      </c>
      <c r="R235" s="70">
        <v>80</v>
      </c>
      <c r="S235" s="70">
        <v>0</v>
      </c>
      <c r="T235" s="6">
        <f t="shared" si="94"/>
        <v>0</v>
      </c>
      <c r="U235" s="35" t="e">
        <f t="shared" si="98"/>
        <v>#DIV/0!</v>
      </c>
      <c r="V235" s="6" t="e">
        <f t="shared" ref="V235:Z250" si="103">V223</f>
        <v>#DIV/0!</v>
      </c>
      <c r="W235" s="6" t="e">
        <f t="shared" si="103"/>
        <v>#DIV/0!</v>
      </c>
      <c r="X235" s="6" t="e">
        <f t="shared" si="103"/>
        <v>#DIV/0!</v>
      </c>
      <c r="Y235" s="6" t="e">
        <f t="shared" si="103"/>
        <v>#DIV/0!</v>
      </c>
      <c r="Z235" s="6" t="e">
        <f t="shared" si="103"/>
        <v>#DIV/0!</v>
      </c>
    </row>
    <row r="236" spans="1:26" x14ac:dyDescent="0.2">
      <c r="A236" s="7" t="s">
        <v>73</v>
      </c>
      <c r="B236" s="6">
        <f t="shared" si="95"/>
        <v>7</v>
      </c>
      <c r="C236" s="7" t="s">
        <v>157</v>
      </c>
      <c r="D236" s="69">
        <v>60</v>
      </c>
      <c r="E236" s="69">
        <v>12</v>
      </c>
      <c r="F236" s="66">
        <f t="shared" si="93"/>
        <v>0.2</v>
      </c>
      <c r="G236" s="61" t="e">
        <f t="shared" si="96"/>
        <v>#DIV/0!</v>
      </c>
      <c r="H236" s="66" t="e">
        <f t="shared" si="100"/>
        <v>#DIV/0!</v>
      </c>
      <c r="I236" s="66" t="e">
        <f t="shared" si="100"/>
        <v>#DIV/0!</v>
      </c>
      <c r="J236" s="66" t="e">
        <f t="shared" si="100"/>
        <v>#DIV/0!</v>
      </c>
      <c r="K236" s="70">
        <v>10800</v>
      </c>
      <c r="L236" s="70">
        <f>'Monitoramento Acumulado Geral'!Q236</f>
        <v>810</v>
      </c>
      <c r="M236" s="6">
        <f>(SUM(L230:L236))/K235</f>
        <v>7.4999999999999997E-2</v>
      </c>
      <c r="N236" s="35" t="str">
        <f t="shared" si="97"/>
        <v>Desempenho Médio</v>
      </c>
      <c r="O236" s="6">
        <f t="shared" si="102"/>
        <v>0.42046470140126019</v>
      </c>
      <c r="P236" s="6">
        <f t="shared" si="102"/>
        <v>0.84574683442734511</v>
      </c>
      <c r="Q236" s="6">
        <f t="shared" si="102"/>
        <v>-4.8174316248247306E-3</v>
      </c>
      <c r="R236" s="70">
        <v>80</v>
      </c>
      <c r="S236" s="70">
        <v>0</v>
      </c>
      <c r="T236" s="6">
        <f t="shared" si="94"/>
        <v>0</v>
      </c>
      <c r="U236" s="35" t="e">
        <f t="shared" si="98"/>
        <v>#DIV/0!</v>
      </c>
      <c r="V236" s="6" t="e">
        <f t="shared" si="103"/>
        <v>#DIV/0!</v>
      </c>
      <c r="W236" s="6" t="e">
        <f t="shared" si="103"/>
        <v>#DIV/0!</v>
      </c>
      <c r="X236" s="6" t="e">
        <f t="shared" si="103"/>
        <v>#DIV/0!</v>
      </c>
      <c r="Y236" s="6" t="e">
        <f t="shared" si="103"/>
        <v>#DIV/0!</v>
      </c>
      <c r="Z236" s="6" t="e">
        <f t="shared" si="103"/>
        <v>#DIV/0!</v>
      </c>
    </row>
    <row r="237" spans="1:26" x14ac:dyDescent="0.2">
      <c r="A237" s="7" t="s">
        <v>73</v>
      </c>
      <c r="B237" s="6">
        <f t="shared" si="95"/>
        <v>8</v>
      </c>
      <c r="C237" s="7" t="s">
        <v>158</v>
      </c>
      <c r="D237" s="69">
        <v>60</v>
      </c>
      <c r="E237" s="69">
        <v>0</v>
      </c>
      <c r="F237" s="66">
        <f t="shared" si="93"/>
        <v>0</v>
      </c>
      <c r="G237" s="61" t="e">
        <f t="shared" si="96"/>
        <v>#DIV/0!</v>
      </c>
      <c r="H237" s="66" t="e">
        <f t="shared" si="100"/>
        <v>#DIV/0!</v>
      </c>
      <c r="I237" s="66" t="e">
        <f t="shared" si="100"/>
        <v>#DIV/0!</v>
      </c>
      <c r="J237" s="66" t="e">
        <f t="shared" si="100"/>
        <v>#DIV/0!</v>
      </c>
      <c r="K237" s="70">
        <v>10800</v>
      </c>
      <c r="L237" s="70">
        <f>'Monitoramento Acumulado Geral'!Q237</f>
        <v>0</v>
      </c>
      <c r="M237" s="6">
        <f>(SUM(L230:L237))/K236</f>
        <v>7.4999999999999997E-2</v>
      </c>
      <c r="N237" s="35" t="str">
        <f t="shared" si="97"/>
        <v>Desempenho Médio</v>
      </c>
      <c r="O237" s="6">
        <f t="shared" si="102"/>
        <v>0.42046470140126019</v>
      </c>
      <c r="P237" s="6">
        <f t="shared" si="102"/>
        <v>0.84574683442734511</v>
      </c>
      <c r="Q237" s="6">
        <f t="shared" si="102"/>
        <v>-4.8174316248247306E-3</v>
      </c>
      <c r="R237" s="70">
        <v>80</v>
      </c>
      <c r="S237" s="70">
        <v>0</v>
      </c>
      <c r="T237" s="6">
        <f t="shared" si="94"/>
        <v>0</v>
      </c>
      <c r="U237" s="35" t="e">
        <f t="shared" si="98"/>
        <v>#DIV/0!</v>
      </c>
      <c r="V237" s="6" t="e">
        <f t="shared" si="103"/>
        <v>#DIV/0!</v>
      </c>
      <c r="W237" s="6" t="e">
        <f t="shared" si="103"/>
        <v>#DIV/0!</v>
      </c>
      <c r="X237" s="6" t="e">
        <f t="shared" si="103"/>
        <v>#DIV/0!</v>
      </c>
      <c r="Y237" s="6" t="e">
        <f t="shared" si="103"/>
        <v>#DIV/0!</v>
      </c>
      <c r="Z237" s="6" t="e">
        <f t="shared" si="103"/>
        <v>#DIV/0!</v>
      </c>
    </row>
    <row r="238" spans="1:26" x14ac:dyDescent="0.2">
      <c r="A238" s="7" t="s">
        <v>73</v>
      </c>
      <c r="B238" s="6">
        <f t="shared" si="95"/>
        <v>9</v>
      </c>
      <c r="C238" s="7" t="s">
        <v>159</v>
      </c>
      <c r="D238" s="69">
        <v>60</v>
      </c>
      <c r="E238" s="69">
        <v>0</v>
      </c>
      <c r="F238" s="66">
        <f t="shared" si="93"/>
        <v>0</v>
      </c>
      <c r="G238" s="61" t="e">
        <f t="shared" si="96"/>
        <v>#DIV/0!</v>
      </c>
      <c r="H238" s="66" t="e">
        <f t="shared" si="100"/>
        <v>#DIV/0!</v>
      </c>
      <c r="I238" s="66" t="e">
        <f t="shared" si="100"/>
        <v>#DIV/0!</v>
      </c>
      <c r="J238" s="66" t="e">
        <f t="shared" si="100"/>
        <v>#DIV/0!</v>
      </c>
      <c r="K238" s="70">
        <v>10800</v>
      </c>
      <c r="L238" s="70">
        <f>'Monitoramento Acumulado Geral'!Q238</f>
        <v>0</v>
      </c>
      <c r="M238" s="6">
        <f>(SUM(L230:L238))/K237</f>
        <v>7.4999999999999997E-2</v>
      </c>
      <c r="N238" s="35" t="str">
        <f t="shared" si="97"/>
        <v>Desempenho Médio</v>
      </c>
      <c r="O238" s="6">
        <f t="shared" si="102"/>
        <v>0.42046470140126019</v>
      </c>
      <c r="P238" s="6">
        <f t="shared" si="102"/>
        <v>0.84574683442734511</v>
      </c>
      <c r="Q238" s="6">
        <f t="shared" si="102"/>
        <v>-4.8174316248247306E-3</v>
      </c>
      <c r="R238" s="70">
        <v>80</v>
      </c>
      <c r="S238" s="70">
        <v>0</v>
      </c>
      <c r="T238" s="6">
        <f t="shared" si="94"/>
        <v>0</v>
      </c>
      <c r="U238" s="35" t="e">
        <f t="shared" si="98"/>
        <v>#DIV/0!</v>
      </c>
      <c r="V238" s="6" t="e">
        <f t="shared" si="103"/>
        <v>#DIV/0!</v>
      </c>
      <c r="W238" s="6" t="e">
        <f t="shared" si="103"/>
        <v>#DIV/0!</v>
      </c>
      <c r="X238" s="6" t="e">
        <f t="shared" si="103"/>
        <v>#DIV/0!</v>
      </c>
      <c r="Y238" s="6" t="e">
        <f t="shared" si="103"/>
        <v>#DIV/0!</v>
      </c>
      <c r="Z238" s="6" t="e">
        <f t="shared" si="103"/>
        <v>#DIV/0!</v>
      </c>
    </row>
    <row r="239" spans="1:26" x14ac:dyDescent="0.2">
      <c r="A239" s="7" t="s">
        <v>73</v>
      </c>
      <c r="B239" s="6">
        <f t="shared" si="95"/>
        <v>10</v>
      </c>
      <c r="C239" s="7" t="s">
        <v>160</v>
      </c>
      <c r="D239" s="69">
        <v>60</v>
      </c>
      <c r="E239" s="69">
        <v>0</v>
      </c>
      <c r="F239" s="66">
        <f t="shared" si="93"/>
        <v>0</v>
      </c>
      <c r="G239" s="61" t="e">
        <f t="shared" si="96"/>
        <v>#DIV/0!</v>
      </c>
      <c r="H239" s="66" t="e">
        <f t="shared" si="100"/>
        <v>#DIV/0!</v>
      </c>
      <c r="I239" s="66" t="e">
        <f t="shared" si="100"/>
        <v>#DIV/0!</v>
      </c>
      <c r="J239" s="66" t="e">
        <f t="shared" si="100"/>
        <v>#DIV/0!</v>
      </c>
      <c r="K239" s="70">
        <v>10800</v>
      </c>
      <c r="L239" s="70">
        <f>'Monitoramento Acumulado Geral'!Q239</f>
        <v>0</v>
      </c>
      <c r="M239" s="6">
        <f>(SUM(L230:L239))/K238</f>
        <v>7.4999999999999997E-2</v>
      </c>
      <c r="N239" s="35" t="str">
        <f t="shared" si="97"/>
        <v>Desempenho Médio</v>
      </c>
      <c r="O239" s="6">
        <f t="shared" si="102"/>
        <v>0.42046470140126019</v>
      </c>
      <c r="P239" s="6">
        <f t="shared" si="102"/>
        <v>0.84574683442734511</v>
      </c>
      <c r="Q239" s="6">
        <f t="shared" si="102"/>
        <v>-4.8174316248247306E-3</v>
      </c>
      <c r="R239" s="70">
        <v>80</v>
      </c>
      <c r="S239" s="70">
        <v>0</v>
      </c>
      <c r="T239" s="6">
        <f t="shared" si="94"/>
        <v>0</v>
      </c>
      <c r="U239" s="35" t="e">
        <f t="shared" si="98"/>
        <v>#DIV/0!</v>
      </c>
      <c r="V239" s="6" t="e">
        <f t="shared" si="103"/>
        <v>#DIV/0!</v>
      </c>
      <c r="W239" s="6" t="e">
        <f t="shared" si="103"/>
        <v>#DIV/0!</v>
      </c>
      <c r="X239" s="6" t="e">
        <f t="shared" si="103"/>
        <v>#DIV/0!</v>
      </c>
      <c r="Y239" s="6" t="e">
        <f t="shared" si="103"/>
        <v>#DIV/0!</v>
      </c>
      <c r="Z239" s="6" t="e">
        <f t="shared" si="103"/>
        <v>#DIV/0!</v>
      </c>
    </row>
    <row r="240" spans="1:26" x14ac:dyDescent="0.2">
      <c r="A240" s="7" t="s">
        <v>73</v>
      </c>
      <c r="B240" s="6">
        <f t="shared" si="95"/>
        <v>11</v>
      </c>
      <c r="C240" s="7" t="s">
        <v>161</v>
      </c>
      <c r="D240" s="69">
        <v>60</v>
      </c>
      <c r="E240" s="69">
        <v>0</v>
      </c>
      <c r="F240" s="66">
        <f t="shared" si="93"/>
        <v>0</v>
      </c>
      <c r="G240" s="61" t="e">
        <f t="shared" si="96"/>
        <v>#DIV/0!</v>
      </c>
      <c r="H240" s="66" t="e">
        <f t="shared" si="100"/>
        <v>#DIV/0!</v>
      </c>
      <c r="I240" s="66" t="e">
        <f t="shared" si="100"/>
        <v>#DIV/0!</v>
      </c>
      <c r="J240" s="66" t="e">
        <f t="shared" si="100"/>
        <v>#DIV/0!</v>
      </c>
      <c r="K240" s="70">
        <v>10800</v>
      </c>
      <c r="L240" s="70">
        <f>'Monitoramento Acumulado Geral'!Q240</f>
        <v>0</v>
      </c>
      <c r="M240" s="6">
        <f>(SUM(L230:L240))/K239</f>
        <v>7.4999999999999997E-2</v>
      </c>
      <c r="N240" s="35" t="str">
        <f t="shared" si="97"/>
        <v>Desempenho Médio</v>
      </c>
      <c r="O240" s="6">
        <f t="shared" si="102"/>
        <v>0.42046470140126019</v>
      </c>
      <c r="P240" s="6">
        <f t="shared" si="102"/>
        <v>0.84574683442734511</v>
      </c>
      <c r="Q240" s="6">
        <f t="shared" si="102"/>
        <v>-4.8174316248247306E-3</v>
      </c>
      <c r="R240" s="70">
        <v>80</v>
      </c>
      <c r="S240" s="70">
        <v>0</v>
      </c>
      <c r="T240" s="6">
        <f t="shared" si="94"/>
        <v>0</v>
      </c>
      <c r="U240" s="35" t="e">
        <f t="shared" si="98"/>
        <v>#DIV/0!</v>
      </c>
      <c r="V240" s="6" t="e">
        <f t="shared" si="103"/>
        <v>#DIV/0!</v>
      </c>
      <c r="W240" s="6" t="e">
        <f t="shared" si="103"/>
        <v>#DIV/0!</v>
      </c>
      <c r="X240" s="6" t="e">
        <f t="shared" si="103"/>
        <v>#DIV/0!</v>
      </c>
      <c r="Y240" s="6" t="e">
        <f t="shared" si="103"/>
        <v>#DIV/0!</v>
      </c>
      <c r="Z240" s="6" t="e">
        <f t="shared" si="103"/>
        <v>#DIV/0!</v>
      </c>
    </row>
    <row r="241" spans="1:26" x14ac:dyDescent="0.2">
      <c r="A241" s="7" t="s">
        <v>73</v>
      </c>
      <c r="B241" s="6">
        <f t="shared" si="95"/>
        <v>12</v>
      </c>
      <c r="C241" s="7" t="s">
        <v>162</v>
      </c>
      <c r="D241" s="69">
        <v>60</v>
      </c>
      <c r="E241" s="69">
        <v>0</v>
      </c>
      <c r="F241" s="66">
        <f t="shared" si="93"/>
        <v>0</v>
      </c>
      <c r="G241" s="61" t="e">
        <f t="shared" si="96"/>
        <v>#DIV/0!</v>
      </c>
      <c r="H241" s="66" t="e">
        <f t="shared" si="100"/>
        <v>#DIV/0!</v>
      </c>
      <c r="I241" s="66" t="e">
        <f t="shared" si="100"/>
        <v>#DIV/0!</v>
      </c>
      <c r="J241" s="66" t="e">
        <f t="shared" si="100"/>
        <v>#DIV/0!</v>
      </c>
      <c r="K241" s="70">
        <v>10800</v>
      </c>
      <c r="L241" s="70">
        <f>'Monitoramento Acumulado Geral'!Q241</f>
        <v>0</v>
      </c>
      <c r="M241" s="6">
        <f>(SUM(L230:L241))/K240</f>
        <v>7.4999999999999997E-2</v>
      </c>
      <c r="N241" s="35" t="str">
        <f t="shared" si="97"/>
        <v>Desempenho Médio</v>
      </c>
      <c r="O241" s="6">
        <f t="shared" si="102"/>
        <v>0.41824651958307835</v>
      </c>
      <c r="P241" s="6">
        <f t="shared" si="102"/>
        <v>0.84510274859297763</v>
      </c>
      <c r="Q241" s="6">
        <f t="shared" si="102"/>
        <v>-8.6097094268208774E-3</v>
      </c>
      <c r="R241" s="70">
        <v>80</v>
      </c>
      <c r="S241" s="70">
        <v>0</v>
      </c>
      <c r="T241" s="6">
        <f t="shared" si="94"/>
        <v>0</v>
      </c>
      <c r="U241" s="35" t="e">
        <f t="shared" si="98"/>
        <v>#DIV/0!</v>
      </c>
      <c r="V241" s="6" t="e">
        <f t="shared" si="103"/>
        <v>#DIV/0!</v>
      </c>
      <c r="W241" s="6" t="e">
        <f t="shared" si="103"/>
        <v>#DIV/0!</v>
      </c>
      <c r="X241" s="6" t="e">
        <f t="shared" si="103"/>
        <v>#DIV/0!</v>
      </c>
      <c r="Y241" s="6" t="e">
        <f t="shared" si="103"/>
        <v>#DIV/0!</v>
      </c>
      <c r="Z241" s="6" t="e">
        <f t="shared" si="103"/>
        <v>#DIV/0!</v>
      </c>
    </row>
    <row r="242" spans="1:26" x14ac:dyDescent="0.2">
      <c r="A242" s="7" t="s">
        <v>56</v>
      </c>
      <c r="B242" s="6">
        <f t="shared" si="95"/>
        <v>1</v>
      </c>
      <c r="C242" s="7" t="s">
        <v>151</v>
      </c>
      <c r="D242" s="69">
        <v>75</v>
      </c>
      <c r="E242" s="69">
        <v>0</v>
      </c>
      <c r="F242" s="66">
        <f t="shared" si="93"/>
        <v>0</v>
      </c>
      <c r="G242" s="61" t="e">
        <f t="shared" si="96"/>
        <v>#DIV/0!</v>
      </c>
      <c r="H242" s="66" t="e">
        <f t="shared" si="100"/>
        <v>#DIV/0!</v>
      </c>
      <c r="I242" s="66" t="e">
        <f t="shared" si="100"/>
        <v>#DIV/0!</v>
      </c>
      <c r="J242" s="66" t="e">
        <f t="shared" si="100"/>
        <v>#DIV/0!</v>
      </c>
      <c r="K242" s="70">
        <v>28211.11</v>
      </c>
      <c r="L242" s="70">
        <f>'Monitoramento Acumulado Geral'!Q242</f>
        <v>0</v>
      </c>
      <c r="M242" s="6">
        <f>L242/K242</f>
        <v>0</v>
      </c>
      <c r="N242" s="35" t="str">
        <f t="shared" si="97"/>
        <v>Desempenho Médio</v>
      </c>
      <c r="O242" s="6">
        <f t="shared" ref="O242:Q253" si="104">O230</f>
        <v>3.4274647562211005E-2</v>
      </c>
      <c r="P242" s="6">
        <f t="shared" si="104"/>
        <v>0.10289217685709087</v>
      </c>
      <c r="Q242" s="6">
        <f t="shared" si="104"/>
        <v>-3.4342881732668862E-2</v>
      </c>
      <c r="R242" s="70">
        <v>80</v>
      </c>
      <c r="S242" s="70">
        <v>0</v>
      </c>
      <c r="T242" s="6">
        <f t="shared" si="94"/>
        <v>0</v>
      </c>
      <c r="U242" s="35" t="e">
        <f t="shared" si="98"/>
        <v>#DIV/0!</v>
      </c>
      <c r="V242" s="6" t="e">
        <f t="shared" si="103"/>
        <v>#DIV/0!</v>
      </c>
      <c r="W242" s="6" t="e">
        <f t="shared" si="103"/>
        <v>#DIV/0!</v>
      </c>
      <c r="X242" s="6" t="e">
        <f t="shared" si="103"/>
        <v>#DIV/0!</v>
      </c>
      <c r="Y242" s="6" t="e">
        <f t="shared" si="103"/>
        <v>#DIV/0!</v>
      </c>
      <c r="Z242" s="6" t="e">
        <f t="shared" si="103"/>
        <v>#DIV/0!</v>
      </c>
    </row>
    <row r="243" spans="1:26" x14ac:dyDescent="0.2">
      <c r="A243" s="7" t="s">
        <v>56</v>
      </c>
      <c r="B243" s="6">
        <f t="shared" si="95"/>
        <v>2</v>
      </c>
      <c r="C243" s="7" t="s">
        <v>152</v>
      </c>
      <c r="D243" s="69">
        <v>75</v>
      </c>
      <c r="E243" s="69">
        <v>23</v>
      </c>
      <c r="F243" s="66">
        <f t="shared" si="93"/>
        <v>0.30666666666666664</v>
      </c>
      <c r="G243" s="61" t="e">
        <f t="shared" si="96"/>
        <v>#DIV/0!</v>
      </c>
      <c r="H243" s="66" t="e">
        <f t="shared" si="100"/>
        <v>#DIV/0!</v>
      </c>
      <c r="I243" s="66" t="e">
        <f t="shared" si="100"/>
        <v>#DIV/0!</v>
      </c>
      <c r="J243" s="66" t="e">
        <f t="shared" si="100"/>
        <v>#DIV/0!</v>
      </c>
      <c r="K243" s="70">
        <v>28211.11</v>
      </c>
      <c r="L243" s="70">
        <f>'Monitoramento Acumulado Geral'!Q243</f>
        <v>2700</v>
      </c>
      <c r="M243" s="6">
        <f>(SUM(L242:L243))/K242</f>
        <v>9.5706975017998228E-2</v>
      </c>
      <c r="N243" s="35" t="str">
        <f t="shared" si="97"/>
        <v>Desempenho Bom</v>
      </c>
      <c r="O243" s="6">
        <f t="shared" si="104"/>
        <v>8.1815188943147363E-2</v>
      </c>
      <c r="P243" s="6">
        <f t="shared" si="104"/>
        <v>0.20623883252423067</v>
      </c>
      <c r="Q243" s="6">
        <f t="shared" si="104"/>
        <v>-4.2608454637935944E-2</v>
      </c>
      <c r="R243" s="70">
        <v>80</v>
      </c>
      <c r="S243" s="70">
        <v>0</v>
      </c>
      <c r="T243" s="6">
        <f t="shared" si="94"/>
        <v>0</v>
      </c>
      <c r="U243" s="35" t="e">
        <f t="shared" si="98"/>
        <v>#DIV/0!</v>
      </c>
      <c r="V243" s="6" t="e">
        <f t="shared" si="103"/>
        <v>#DIV/0!</v>
      </c>
      <c r="W243" s="6" t="e">
        <f t="shared" si="103"/>
        <v>#DIV/0!</v>
      </c>
      <c r="X243" s="6" t="e">
        <f t="shared" si="103"/>
        <v>#DIV/0!</v>
      </c>
      <c r="Y243" s="6" t="e">
        <f t="shared" si="103"/>
        <v>#DIV/0!</v>
      </c>
      <c r="Z243" s="6" t="e">
        <f t="shared" si="103"/>
        <v>#DIV/0!</v>
      </c>
    </row>
    <row r="244" spans="1:26" x14ac:dyDescent="0.2">
      <c r="A244" s="7" t="s">
        <v>56</v>
      </c>
      <c r="B244" s="6">
        <f t="shared" si="95"/>
        <v>3</v>
      </c>
      <c r="C244" s="7" t="s">
        <v>153</v>
      </c>
      <c r="D244" s="69">
        <v>75</v>
      </c>
      <c r="E244" s="69">
        <v>23</v>
      </c>
      <c r="F244" s="66">
        <f t="shared" si="93"/>
        <v>0.30666666666666664</v>
      </c>
      <c r="G244" s="61" t="e">
        <f t="shared" si="96"/>
        <v>#DIV/0!</v>
      </c>
      <c r="H244" s="66" t="e">
        <f t="shared" si="100"/>
        <v>#DIV/0!</v>
      </c>
      <c r="I244" s="66" t="e">
        <f t="shared" si="100"/>
        <v>#DIV/0!</v>
      </c>
      <c r="J244" s="66" t="e">
        <f t="shared" si="100"/>
        <v>#DIV/0!</v>
      </c>
      <c r="K244" s="70">
        <v>28211.11</v>
      </c>
      <c r="L244" s="70">
        <f>'Monitoramento Acumulado Geral'!Q244</f>
        <v>0</v>
      </c>
      <c r="M244" s="6">
        <f>(SUM(L242:L244))/K243</f>
        <v>9.5706975017998228E-2</v>
      </c>
      <c r="N244" s="35" t="str">
        <f t="shared" si="97"/>
        <v>Desempenho Médio</v>
      </c>
      <c r="O244" s="6">
        <f t="shared" si="104"/>
        <v>0.13411292471649494</v>
      </c>
      <c r="P244" s="6">
        <f t="shared" si="104"/>
        <v>0.29721906787058483</v>
      </c>
      <c r="Q244" s="6">
        <f t="shared" si="104"/>
        <v>-2.899321843759492E-2</v>
      </c>
      <c r="R244" s="70">
        <v>80</v>
      </c>
      <c r="S244" s="70">
        <v>0</v>
      </c>
      <c r="T244" s="6">
        <f t="shared" si="94"/>
        <v>0</v>
      </c>
      <c r="U244" s="35" t="e">
        <f t="shared" si="98"/>
        <v>#DIV/0!</v>
      </c>
      <c r="V244" s="6" t="e">
        <f t="shared" si="103"/>
        <v>#DIV/0!</v>
      </c>
      <c r="W244" s="6" t="e">
        <f t="shared" si="103"/>
        <v>#DIV/0!</v>
      </c>
      <c r="X244" s="6" t="e">
        <f t="shared" si="103"/>
        <v>#DIV/0!</v>
      </c>
      <c r="Y244" s="6" t="e">
        <f t="shared" si="103"/>
        <v>#DIV/0!</v>
      </c>
      <c r="Z244" s="6" t="e">
        <f t="shared" si="103"/>
        <v>#DIV/0!</v>
      </c>
    </row>
    <row r="245" spans="1:26" x14ac:dyDescent="0.2">
      <c r="A245" s="7" t="s">
        <v>56</v>
      </c>
      <c r="B245" s="6">
        <f t="shared" si="95"/>
        <v>4</v>
      </c>
      <c r="C245" s="7" t="s">
        <v>154</v>
      </c>
      <c r="D245" s="69">
        <v>75</v>
      </c>
      <c r="E245" s="69">
        <v>23</v>
      </c>
      <c r="F245" s="66">
        <f t="shared" si="93"/>
        <v>0.30666666666666664</v>
      </c>
      <c r="G245" s="61" t="e">
        <f t="shared" si="96"/>
        <v>#DIV/0!</v>
      </c>
      <c r="H245" s="66" t="e">
        <f t="shared" si="100"/>
        <v>#DIV/0!</v>
      </c>
      <c r="I245" s="66" t="e">
        <f t="shared" si="100"/>
        <v>#DIV/0!</v>
      </c>
      <c r="J245" s="66" t="e">
        <f t="shared" si="100"/>
        <v>#DIV/0!</v>
      </c>
      <c r="K245" s="70">
        <v>28211.11</v>
      </c>
      <c r="L245" s="70">
        <f>'Monitoramento Acumulado Geral'!Q245</f>
        <v>0</v>
      </c>
      <c r="M245" s="6">
        <f>(SUM(L242:L245))/K244</f>
        <v>9.5706975017998228E-2</v>
      </c>
      <c r="N245" s="35" t="str">
        <f t="shared" si="97"/>
        <v>Desempenho Médio</v>
      </c>
      <c r="O245" s="6">
        <f t="shared" si="104"/>
        <v>0.15392483870093213</v>
      </c>
      <c r="P245" s="6">
        <f t="shared" si="104"/>
        <v>0.32772007016950033</v>
      </c>
      <c r="Q245" s="6">
        <f t="shared" si="104"/>
        <v>-1.9870392767636053E-2</v>
      </c>
      <c r="R245" s="70">
        <v>80</v>
      </c>
      <c r="S245" s="70">
        <v>0</v>
      </c>
      <c r="T245" s="6">
        <f t="shared" si="94"/>
        <v>0</v>
      </c>
      <c r="U245" s="35" t="e">
        <f t="shared" si="98"/>
        <v>#DIV/0!</v>
      </c>
      <c r="V245" s="6" t="e">
        <f t="shared" si="103"/>
        <v>#DIV/0!</v>
      </c>
      <c r="W245" s="6" t="e">
        <f t="shared" si="103"/>
        <v>#DIV/0!</v>
      </c>
      <c r="X245" s="6" t="e">
        <f t="shared" si="103"/>
        <v>#DIV/0!</v>
      </c>
      <c r="Y245" s="6" t="e">
        <f t="shared" si="103"/>
        <v>#DIV/0!</v>
      </c>
      <c r="Z245" s="6" t="e">
        <f t="shared" si="103"/>
        <v>#DIV/0!</v>
      </c>
    </row>
    <row r="246" spans="1:26" x14ac:dyDescent="0.2">
      <c r="A246" s="7" t="s">
        <v>56</v>
      </c>
      <c r="B246" s="6">
        <f t="shared" si="95"/>
        <v>5</v>
      </c>
      <c r="C246" s="7" t="s">
        <v>155</v>
      </c>
      <c r="D246" s="69">
        <v>75</v>
      </c>
      <c r="E246" s="69">
        <v>23</v>
      </c>
      <c r="F246" s="66">
        <f t="shared" si="93"/>
        <v>0.30666666666666664</v>
      </c>
      <c r="G246" s="61" t="e">
        <f t="shared" si="96"/>
        <v>#DIV/0!</v>
      </c>
      <c r="H246" s="66" t="e">
        <f t="shared" si="100"/>
        <v>#DIV/0!</v>
      </c>
      <c r="I246" s="66" t="e">
        <f t="shared" si="100"/>
        <v>#DIV/0!</v>
      </c>
      <c r="J246" s="66" t="e">
        <f t="shared" si="100"/>
        <v>#DIV/0!</v>
      </c>
      <c r="K246" s="70">
        <v>28211.11</v>
      </c>
      <c r="L246" s="70">
        <f>'Monitoramento Acumulado Geral'!Q246</f>
        <v>0</v>
      </c>
      <c r="M246" s="6">
        <f>(SUM(L242:L246))/K245</f>
        <v>9.5706975017998228E-2</v>
      </c>
      <c r="N246" s="35" t="str">
        <f t="shared" si="97"/>
        <v>Desempenho Médio</v>
      </c>
      <c r="O246" s="6">
        <f t="shared" si="104"/>
        <v>0.21139287248463789</v>
      </c>
      <c r="P246" s="6">
        <f t="shared" si="104"/>
        <v>0.43680804416292918</v>
      </c>
      <c r="Q246" s="6">
        <f t="shared" si="104"/>
        <v>-1.4022299193653387E-2</v>
      </c>
      <c r="R246" s="70">
        <v>80</v>
      </c>
      <c r="S246" s="70">
        <v>0</v>
      </c>
      <c r="T246" s="6">
        <f t="shared" si="94"/>
        <v>0</v>
      </c>
      <c r="U246" s="35" t="e">
        <f t="shared" si="98"/>
        <v>#DIV/0!</v>
      </c>
      <c r="V246" s="6" t="e">
        <f t="shared" si="103"/>
        <v>#DIV/0!</v>
      </c>
      <c r="W246" s="6" t="e">
        <f t="shared" si="103"/>
        <v>#DIV/0!</v>
      </c>
      <c r="X246" s="6" t="e">
        <f t="shared" si="103"/>
        <v>#DIV/0!</v>
      </c>
      <c r="Y246" s="6" t="e">
        <f t="shared" si="103"/>
        <v>#DIV/0!</v>
      </c>
      <c r="Z246" s="6" t="e">
        <f t="shared" si="103"/>
        <v>#DIV/0!</v>
      </c>
    </row>
    <row r="247" spans="1:26" x14ac:dyDescent="0.2">
      <c r="A247" s="7" t="s">
        <v>56</v>
      </c>
      <c r="B247" s="6">
        <f t="shared" si="95"/>
        <v>6</v>
      </c>
      <c r="C247" s="7" t="s">
        <v>156</v>
      </c>
      <c r="D247" s="69">
        <v>75</v>
      </c>
      <c r="E247" s="69">
        <v>23</v>
      </c>
      <c r="F247" s="66">
        <f t="shared" si="93"/>
        <v>0.30666666666666664</v>
      </c>
      <c r="G247" s="61" t="e">
        <f t="shared" si="96"/>
        <v>#DIV/0!</v>
      </c>
      <c r="H247" s="66" t="e">
        <f t="shared" si="100"/>
        <v>#DIV/0!</v>
      </c>
      <c r="I247" s="66" t="e">
        <f t="shared" si="100"/>
        <v>#DIV/0!</v>
      </c>
      <c r="J247" s="66" t="e">
        <f t="shared" si="100"/>
        <v>#DIV/0!</v>
      </c>
      <c r="K247" s="70">
        <v>28211.11</v>
      </c>
      <c r="L247" s="70">
        <f>'Monitoramento Acumulado Geral'!Q247</f>
        <v>0</v>
      </c>
      <c r="M247" s="6">
        <f>(SUM(L242:L247))/K246</f>
        <v>9.5706975017998228E-2</v>
      </c>
      <c r="N247" s="35" t="str">
        <f t="shared" si="97"/>
        <v>Desempenho Médio</v>
      </c>
      <c r="O247" s="6">
        <f t="shared" si="104"/>
        <v>0.28403291059934432</v>
      </c>
      <c r="P247" s="6">
        <f t="shared" si="104"/>
        <v>0.56118246348434164</v>
      </c>
      <c r="Q247" s="6">
        <f t="shared" si="104"/>
        <v>6.8833577143469493E-3</v>
      </c>
      <c r="R247" s="70">
        <v>80</v>
      </c>
      <c r="S247" s="70">
        <v>0</v>
      </c>
      <c r="T247" s="6">
        <f t="shared" si="94"/>
        <v>0</v>
      </c>
      <c r="U247" s="35" t="e">
        <f t="shared" si="98"/>
        <v>#DIV/0!</v>
      </c>
      <c r="V247" s="6" t="e">
        <f t="shared" si="103"/>
        <v>#DIV/0!</v>
      </c>
      <c r="W247" s="6" t="e">
        <f t="shared" si="103"/>
        <v>#DIV/0!</v>
      </c>
      <c r="X247" s="6" t="e">
        <f t="shared" si="103"/>
        <v>#DIV/0!</v>
      </c>
      <c r="Y247" s="6" t="e">
        <f t="shared" si="103"/>
        <v>#DIV/0!</v>
      </c>
      <c r="Z247" s="6" t="e">
        <f t="shared" si="103"/>
        <v>#DIV/0!</v>
      </c>
    </row>
    <row r="248" spans="1:26" x14ac:dyDescent="0.2">
      <c r="A248" s="7" t="s">
        <v>56</v>
      </c>
      <c r="B248" s="6">
        <f t="shared" si="95"/>
        <v>7</v>
      </c>
      <c r="C248" s="7" t="s">
        <v>157</v>
      </c>
      <c r="D248" s="69">
        <v>75</v>
      </c>
      <c r="E248" s="69">
        <v>23</v>
      </c>
      <c r="F248" s="66">
        <f t="shared" si="93"/>
        <v>0.30666666666666664</v>
      </c>
      <c r="G248" s="61" t="e">
        <f t="shared" si="96"/>
        <v>#DIV/0!</v>
      </c>
      <c r="H248" s="66" t="e">
        <f t="shared" si="100"/>
        <v>#DIV/0!</v>
      </c>
      <c r="I248" s="66" t="e">
        <f t="shared" si="100"/>
        <v>#DIV/0!</v>
      </c>
      <c r="J248" s="66" t="e">
        <f t="shared" si="100"/>
        <v>#DIV/0!</v>
      </c>
      <c r="K248" s="70">
        <v>28211.11</v>
      </c>
      <c r="L248" s="70">
        <f>'Monitoramento Acumulado Geral'!Q248</f>
        <v>0</v>
      </c>
      <c r="M248" s="6">
        <f>(SUM(L242:L248))/K247</f>
        <v>9.5706975017998228E-2</v>
      </c>
      <c r="N248" s="35" t="str">
        <f t="shared" si="97"/>
        <v>Desempenho Médio</v>
      </c>
      <c r="O248" s="6">
        <f t="shared" si="104"/>
        <v>0.42046470140126019</v>
      </c>
      <c r="P248" s="6">
        <f t="shared" si="104"/>
        <v>0.84574683442734511</v>
      </c>
      <c r="Q248" s="6">
        <f t="shared" si="104"/>
        <v>-4.8174316248247306E-3</v>
      </c>
      <c r="R248" s="70">
        <v>80</v>
      </c>
      <c r="S248" s="70">
        <v>0</v>
      </c>
      <c r="T248" s="6">
        <f t="shared" si="94"/>
        <v>0</v>
      </c>
      <c r="U248" s="35" t="e">
        <f t="shared" si="98"/>
        <v>#DIV/0!</v>
      </c>
      <c r="V248" s="6" t="e">
        <f t="shared" si="103"/>
        <v>#DIV/0!</v>
      </c>
      <c r="W248" s="6" t="e">
        <f t="shared" si="103"/>
        <v>#DIV/0!</v>
      </c>
      <c r="X248" s="6" t="e">
        <f t="shared" si="103"/>
        <v>#DIV/0!</v>
      </c>
      <c r="Y248" s="6" t="e">
        <f t="shared" si="103"/>
        <v>#DIV/0!</v>
      </c>
      <c r="Z248" s="6" t="e">
        <f t="shared" si="103"/>
        <v>#DIV/0!</v>
      </c>
    </row>
    <row r="249" spans="1:26" x14ac:dyDescent="0.2">
      <c r="A249" s="7" t="s">
        <v>56</v>
      </c>
      <c r="B249" s="6">
        <f t="shared" si="95"/>
        <v>8</v>
      </c>
      <c r="C249" s="7" t="s">
        <v>158</v>
      </c>
      <c r="D249" s="69">
        <v>75</v>
      </c>
      <c r="E249" s="69">
        <v>0</v>
      </c>
      <c r="F249" s="66">
        <f t="shared" si="93"/>
        <v>0</v>
      </c>
      <c r="G249" s="61" t="e">
        <f t="shared" si="96"/>
        <v>#DIV/0!</v>
      </c>
      <c r="H249" s="66" t="e">
        <f t="shared" si="100"/>
        <v>#DIV/0!</v>
      </c>
      <c r="I249" s="66" t="e">
        <f t="shared" si="100"/>
        <v>#DIV/0!</v>
      </c>
      <c r="J249" s="66" t="e">
        <f t="shared" si="100"/>
        <v>#DIV/0!</v>
      </c>
      <c r="K249" s="70">
        <v>28211.11</v>
      </c>
      <c r="L249" s="70">
        <f>'Monitoramento Acumulado Geral'!Q249</f>
        <v>0</v>
      </c>
      <c r="M249" s="6">
        <f>(SUM(L242:L249))/K248</f>
        <v>9.5706975017998228E-2</v>
      </c>
      <c r="N249" s="35" t="str">
        <f t="shared" si="97"/>
        <v>Desempenho Médio</v>
      </c>
      <c r="O249" s="6">
        <f t="shared" si="104"/>
        <v>0.42046470140126019</v>
      </c>
      <c r="P249" s="6">
        <f t="shared" si="104"/>
        <v>0.84574683442734511</v>
      </c>
      <c r="Q249" s="6">
        <f t="shared" si="104"/>
        <v>-4.8174316248247306E-3</v>
      </c>
      <c r="R249" s="70">
        <v>80</v>
      </c>
      <c r="S249" s="70">
        <v>0</v>
      </c>
      <c r="T249" s="6">
        <f t="shared" si="94"/>
        <v>0</v>
      </c>
      <c r="U249" s="35" t="e">
        <f t="shared" si="98"/>
        <v>#DIV/0!</v>
      </c>
      <c r="V249" s="6" t="e">
        <f t="shared" si="103"/>
        <v>#DIV/0!</v>
      </c>
      <c r="W249" s="6" t="e">
        <f t="shared" si="103"/>
        <v>#DIV/0!</v>
      </c>
      <c r="X249" s="6" t="e">
        <f t="shared" si="103"/>
        <v>#DIV/0!</v>
      </c>
      <c r="Y249" s="6" t="e">
        <f t="shared" si="103"/>
        <v>#DIV/0!</v>
      </c>
      <c r="Z249" s="6" t="e">
        <f t="shared" si="103"/>
        <v>#DIV/0!</v>
      </c>
    </row>
    <row r="250" spans="1:26" x14ac:dyDescent="0.2">
      <c r="A250" s="7" t="s">
        <v>56</v>
      </c>
      <c r="B250" s="6">
        <f t="shared" si="95"/>
        <v>9</v>
      </c>
      <c r="C250" s="7" t="s">
        <v>159</v>
      </c>
      <c r="D250" s="69">
        <v>75</v>
      </c>
      <c r="E250" s="69">
        <v>0</v>
      </c>
      <c r="F250" s="66">
        <f t="shared" si="93"/>
        <v>0</v>
      </c>
      <c r="G250" s="61" t="e">
        <f t="shared" si="96"/>
        <v>#DIV/0!</v>
      </c>
      <c r="H250" s="66" t="e">
        <f t="shared" si="100"/>
        <v>#DIV/0!</v>
      </c>
      <c r="I250" s="66" t="e">
        <f t="shared" si="100"/>
        <v>#DIV/0!</v>
      </c>
      <c r="J250" s="66" t="e">
        <f t="shared" si="100"/>
        <v>#DIV/0!</v>
      </c>
      <c r="K250" s="70">
        <v>28211.11</v>
      </c>
      <c r="L250" s="70">
        <f>'Monitoramento Acumulado Geral'!Q250</f>
        <v>0</v>
      </c>
      <c r="M250" s="6">
        <f>(SUM(L242:L250))/K249</f>
        <v>9.5706975017998228E-2</v>
      </c>
      <c r="N250" s="35" t="str">
        <f t="shared" si="97"/>
        <v>Desempenho Médio</v>
      </c>
      <c r="O250" s="6">
        <f t="shared" si="104"/>
        <v>0.42046470140126019</v>
      </c>
      <c r="P250" s="6">
        <f t="shared" si="104"/>
        <v>0.84574683442734511</v>
      </c>
      <c r="Q250" s="6">
        <f t="shared" si="104"/>
        <v>-4.8174316248247306E-3</v>
      </c>
      <c r="R250" s="70">
        <v>80</v>
      </c>
      <c r="S250" s="70">
        <v>0</v>
      </c>
      <c r="T250" s="6">
        <f t="shared" si="94"/>
        <v>0</v>
      </c>
      <c r="U250" s="35" t="e">
        <f t="shared" si="98"/>
        <v>#DIV/0!</v>
      </c>
      <c r="V250" s="6" t="e">
        <f t="shared" si="103"/>
        <v>#DIV/0!</v>
      </c>
      <c r="W250" s="6" t="e">
        <f t="shared" si="103"/>
        <v>#DIV/0!</v>
      </c>
      <c r="X250" s="6" t="e">
        <f t="shared" si="103"/>
        <v>#DIV/0!</v>
      </c>
      <c r="Y250" s="6" t="e">
        <f t="shared" si="103"/>
        <v>#DIV/0!</v>
      </c>
      <c r="Z250" s="6" t="e">
        <f t="shared" si="103"/>
        <v>#DIV/0!</v>
      </c>
    </row>
    <row r="251" spans="1:26" x14ac:dyDescent="0.2">
      <c r="A251" s="7" t="s">
        <v>56</v>
      </c>
      <c r="B251" s="6">
        <f t="shared" si="95"/>
        <v>10</v>
      </c>
      <c r="C251" s="7" t="s">
        <v>160</v>
      </c>
      <c r="D251" s="69">
        <v>75</v>
      </c>
      <c r="E251" s="69">
        <v>0</v>
      </c>
      <c r="F251" s="66">
        <f t="shared" si="93"/>
        <v>0</v>
      </c>
      <c r="G251" s="61" t="e">
        <f t="shared" si="96"/>
        <v>#DIV/0!</v>
      </c>
      <c r="H251" s="66" t="e">
        <f t="shared" si="100"/>
        <v>#DIV/0!</v>
      </c>
      <c r="I251" s="66" t="e">
        <f t="shared" si="100"/>
        <v>#DIV/0!</v>
      </c>
      <c r="J251" s="66" t="e">
        <f t="shared" si="100"/>
        <v>#DIV/0!</v>
      </c>
      <c r="K251" s="70">
        <v>28211.11</v>
      </c>
      <c r="L251" s="70">
        <f>'Monitoramento Acumulado Geral'!Q251</f>
        <v>0</v>
      </c>
      <c r="M251" s="6">
        <f>(SUM(L242:L251))/K250</f>
        <v>9.5706975017998228E-2</v>
      </c>
      <c r="N251" s="35" t="str">
        <f t="shared" si="97"/>
        <v>Desempenho Médio</v>
      </c>
      <c r="O251" s="6">
        <f t="shared" si="104"/>
        <v>0.42046470140126019</v>
      </c>
      <c r="P251" s="6">
        <f t="shared" si="104"/>
        <v>0.84574683442734511</v>
      </c>
      <c r="Q251" s="6">
        <f t="shared" si="104"/>
        <v>-4.8174316248247306E-3</v>
      </c>
      <c r="R251" s="70">
        <v>80</v>
      </c>
      <c r="S251" s="70">
        <v>0</v>
      </c>
      <c r="T251" s="6">
        <f t="shared" si="94"/>
        <v>0</v>
      </c>
      <c r="U251" s="35" t="e">
        <f t="shared" si="98"/>
        <v>#DIV/0!</v>
      </c>
      <c r="V251" s="6" t="e">
        <f t="shared" ref="V251:Z278" si="105">V239</f>
        <v>#DIV/0!</v>
      </c>
      <c r="W251" s="6" t="e">
        <f t="shared" si="105"/>
        <v>#DIV/0!</v>
      </c>
      <c r="X251" s="6" t="e">
        <f t="shared" si="105"/>
        <v>#DIV/0!</v>
      </c>
      <c r="Y251" s="6" t="e">
        <f t="shared" si="105"/>
        <v>#DIV/0!</v>
      </c>
      <c r="Z251" s="6" t="e">
        <f t="shared" si="105"/>
        <v>#DIV/0!</v>
      </c>
    </row>
    <row r="252" spans="1:26" x14ac:dyDescent="0.2">
      <c r="A252" s="7" t="s">
        <v>56</v>
      </c>
      <c r="B252" s="6">
        <f t="shared" si="95"/>
        <v>11</v>
      </c>
      <c r="C252" s="7" t="s">
        <v>161</v>
      </c>
      <c r="D252" s="69">
        <v>75</v>
      </c>
      <c r="E252" s="69">
        <v>0</v>
      </c>
      <c r="F252" s="66">
        <f t="shared" si="93"/>
        <v>0</v>
      </c>
      <c r="G252" s="61" t="e">
        <f t="shared" si="96"/>
        <v>#DIV/0!</v>
      </c>
      <c r="H252" s="66" t="e">
        <f t="shared" si="100"/>
        <v>#DIV/0!</v>
      </c>
      <c r="I252" s="66" t="e">
        <f t="shared" si="100"/>
        <v>#DIV/0!</v>
      </c>
      <c r="J252" s="66" t="e">
        <f t="shared" si="100"/>
        <v>#DIV/0!</v>
      </c>
      <c r="K252" s="70">
        <v>28211.11</v>
      </c>
      <c r="L252" s="70">
        <f>'Monitoramento Acumulado Geral'!Q252</f>
        <v>0</v>
      </c>
      <c r="M252" s="6">
        <f>(SUM(L242:L252))/K251</f>
        <v>9.5706975017998228E-2</v>
      </c>
      <c r="N252" s="35" t="str">
        <f t="shared" si="97"/>
        <v>Desempenho Médio</v>
      </c>
      <c r="O252" s="6">
        <f t="shared" si="104"/>
        <v>0.42046470140126019</v>
      </c>
      <c r="P252" s="6">
        <f t="shared" si="104"/>
        <v>0.84574683442734511</v>
      </c>
      <c r="Q252" s="6">
        <f t="shared" si="104"/>
        <v>-4.8174316248247306E-3</v>
      </c>
      <c r="R252" s="70">
        <v>80</v>
      </c>
      <c r="S252" s="70">
        <v>0</v>
      </c>
      <c r="T252" s="6">
        <f t="shared" si="94"/>
        <v>0</v>
      </c>
      <c r="U252" s="35" t="e">
        <f t="shared" si="98"/>
        <v>#DIV/0!</v>
      </c>
      <c r="V252" s="6" t="e">
        <f t="shared" si="105"/>
        <v>#DIV/0!</v>
      </c>
      <c r="W252" s="6" t="e">
        <f t="shared" si="105"/>
        <v>#DIV/0!</v>
      </c>
      <c r="X252" s="6" t="e">
        <f t="shared" si="105"/>
        <v>#DIV/0!</v>
      </c>
      <c r="Y252" s="6" t="e">
        <f t="shared" si="105"/>
        <v>#DIV/0!</v>
      </c>
      <c r="Z252" s="6" t="e">
        <f t="shared" si="105"/>
        <v>#DIV/0!</v>
      </c>
    </row>
    <row r="253" spans="1:26" x14ac:dyDescent="0.2">
      <c r="A253" s="7" t="s">
        <v>56</v>
      </c>
      <c r="B253" s="6">
        <f t="shared" si="95"/>
        <v>12</v>
      </c>
      <c r="C253" s="7" t="s">
        <v>162</v>
      </c>
      <c r="D253" s="69">
        <v>75</v>
      </c>
      <c r="E253" s="69">
        <v>0</v>
      </c>
      <c r="F253" s="66">
        <f t="shared" si="93"/>
        <v>0</v>
      </c>
      <c r="G253" s="61" t="e">
        <f t="shared" si="96"/>
        <v>#DIV/0!</v>
      </c>
      <c r="H253" s="66" t="e">
        <f t="shared" si="100"/>
        <v>#DIV/0!</v>
      </c>
      <c r="I253" s="66" t="e">
        <f t="shared" si="100"/>
        <v>#DIV/0!</v>
      </c>
      <c r="J253" s="66" t="e">
        <f t="shared" si="100"/>
        <v>#DIV/0!</v>
      </c>
      <c r="K253" s="70">
        <v>28211.11</v>
      </c>
      <c r="L253" s="70">
        <f>'Monitoramento Acumulado Geral'!Q253</f>
        <v>0</v>
      </c>
      <c r="M253" s="6">
        <f>(SUM(L242:L253))/K252</f>
        <v>9.5706975017998228E-2</v>
      </c>
      <c r="N253" s="35" t="str">
        <f t="shared" si="97"/>
        <v>Desempenho Médio</v>
      </c>
      <c r="O253" s="6">
        <f t="shared" si="104"/>
        <v>0.41824651958307835</v>
      </c>
      <c r="P253" s="6">
        <f t="shared" si="104"/>
        <v>0.84510274859297763</v>
      </c>
      <c r="Q253" s="6">
        <f t="shared" si="104"/>
        <v>-8.6097094268208774E-3</v>
      </c>
      <c r="R253" s="70">
        <v>80</v>
      </c>
      <c r="S253" s="70">
        <v>0</v>
      </c>
      <c r="T253" s="6">
        <f t="shared" si="94"/>
        <v>0</v>
      </c>
      <c r="U253" s="35" t="e">
        <f t="shared" si="98"/>
        <v>#DIV/0!</v>
      </c>
      <c r="V253" s="6" t="e">
        <f t="shared" si="105"/>
        <v>#DIV/0!</v>
      </c>
      <c r="W253" s="6" t="e">
        <f t="shared" si="105"/>
        <v>#DIV/0!</v>
      </c>
      <c r="X253" s="6" t="e">
        <f t="shared" si="105"/>
        <v>#DIV/0!</v>
      </c>
      <c r="Y253" s="6" t="e">
        <f t="shared" si="105"/>
        <v>#DIV/0!</v>
      </c>
      <c r="Z253" s="6" t="e">
        <f t="shared" si="105"/>
        <v>#DIV/0!</v>
      </c>
    </row>
    <row r="254" spans="1:26" x14ac:dyDescent="0.2">
      <c r="A254" t="s">
        <v>300</v>
      </c>
      <c r="B254" s="6">
        <f t="shared" ref="B254:B265" si="106">_xlfn.IFS(C254="Janeiro",1,C254="Fevereiro",2,C254="Março",3,C254="Abril",4,C254="Maio",5,C254="Junho",6,C254="Julho",7,C254="Agosto",8,C254="Setembro",9,C254="Outubro",10,C254="Novembro",11,C254="Dezembro",12,TRUE,0)</f>
        <v>1</v>
      </c>
      <c r="C254" s="7" t="s">
        <v>151</v>
      </c>
      <c r="D254" s="69">
        <v>0</v>
      </c>
      <c r="E254" s="69">
        <v>0</v>
      </c>
      <c r="F254" s="66" t="e">
        <f t="shared" si="93"/>
        <v>#DIV/0!</v>
      </c>
      <c r="G254" s="61" t="e">
        <f t="shared" ref="G254:G265" si="107">IF(F254&gt;=I254,"Desempenho Ótimo",(IF(F254&gt;H254,"Desempenho Bom",(IF(F254&gt;J254,"Desempenho Médio",IF(F254&lt;=J254,"Desempenho Deficitário",0))))))</f>
        <v>#DIV/0!</v>
      </c>
      <c r="H254" s="66" t="e">
        <f t="shared" ref="H254:J254" si="108">H242</f>
        <v>#DIV/0!</v>
      </c>
      <c r="I254" s="66" t="e">
        <f t="shared" si="108"/>
        <v>#DIV/0!</v>
      </c>
      <c r="J254" s="66" t="e">
        <f t="shared" si="108"/>
        <v>#DIV/0!</v>
      </c>
      <c r="K254" s="70">
        <v>0</v>
      </c>
      <c r="L254" s="70">
        <f>'Monitoramento Acumulado Geral'!Q254</f>
        <v>0</v>
      </c>
      <c r="M254" s="6">
        <f>(SUM(L250:L254))/K253</f>
        <v>0</v>
      </c>
      <c r="N254" s="35" t="str">
        <f t="shared" ref="N254:N265" si="109">IF(M254&gt;=P254,"Desempenho Ótimo",(IF(M254&gt;O254,"Desempenho Bom",(IF(M254&gt;Q254,"Desempenho Médio",IF(M254&lt;=Q254,"Desempenho Deficitário",0))))))</f>
        <v>Desempenho Médio</v>
      </c>
      <c r="O254" s="6">
        <f t="shared" ref="O254:Q254" si="110">O242</f>
        <v>3.4274647562211005E-2</v>
      </c>
      <c r="P254" s="6">
        <f t="shared" si="110"/>
        <v>0.10289217685709087</v>
      </c>
      <c r="Q254" s="6">
        <f t="shared" si="110"/>
        <v>-3.4342881732668862E-2</v>
      </c>
      <c r="R254" s="70">
        <v>0</v>
      </c>
      <c r="S254" s="70">
        <v>0</v>
      </c>
      <c r="T254" s="6" t="e">
        <f t="shared" ref="T254:T265" si="111">S254/R254</f>
        <v>#DIV/0!</v>
      </c>
      <c r="U254" s="35" t="e">
        <f t="shared" ref="U254:U265" si="112">IF(T254&gt;=W254,"Desempenho Ótimo",(IF(T254&gt;V254,"Desempenho Bom",(IF(T254&gt;X254,"Desempenho Médio",IF(T254&lt;=X254,"Desempenho Deficitário",0))))))</f>
        <v>#DIV/0!</v>
      </c>
      <c r="V254" s="6" t="e">
        <f t="shared" ref="V254:Z254" si="113">V242</f>
        <v>#DIV/0!</v>
      </c>
      <c r="W254" s="6" t="e">
        <f t="shared" si="113"/>
        <v>#DIV/0!</v>
      </c>
      <c r="X254" s="6" t="e">
        <f t="shared" si="113"/>
        <v>#DIV/0!</v>
      </c>
      <c r="Y254" s="6" t="e">
        <f t="shared" si="113"/>
        <v>#DIV/0!</v>
      </c>
      <c r="Z254" s="6" t="e">
        <f t="shared" si="113"/>
        <v>#DIV/0!</v>
      </c>
    </row>
    <row r="255" spans="1:26" x14ac:dyDescent="0.2">
      <c r="A255" t="s">
        <v>300</v>
      </c>
      <c r="B255" s="6">
        <f t="shared" si="106"/>
        <v>2</v>
      </c>
      <c r="C255" s="7" t="s">
        <v>152</v>
      </c>
      <c r="D255" s="69">
        <v>0</v>
      </c>
      <c r="E255" s="69">
        <v>0</v>
      </c>
      <c r="F255" s="66" t="e">
        <f t="shared" si="93"/>
        <v>#DIV/0!</v>
      </c>
      <c r="G255" s="61" t="e">
        <f t="shared" si="107"/>
        <v>#DIV/0!</v>
      </c>
      <c r="H255" s="66" t="e">
        <f t="shared" ref="H255:J255" si="114">H243</f>
        <v>#DIV/0!</v>
      </c>
      <c r="I255" s="66" t="e">
        <f t="shared" si="114"/>
        <v>#DIV/0!</v>
      </c>
      <c r="J255" s="66" t="e">
        <f t="shared" si="114"/>
        <v>#DIV/0!</v>
      </c>
      <c r="K255" s="70">
        <v>0</v>
      </c>
      <c r="L255" s="70">
        <f>'Monitoramento Acumulado Geral'!Q255</f>
        <v>0</v>
      </c>
      <c r="M255" s="6" t="e">
        <f>(SUM(L250:L255))/K254</f>
        <v>#DIV/0!</v>
      </c>
      <c r="N255" s="35" t="e">
        <f t="shared" si="109"/>
        <v>#DIV/0!</v>
      </c>
      <c r="O255" s="6">
        <f t="shared" ref="O255:Q255" si="115">O243</f>
        <v>8.1815188943147363E-2</v>
      </c>
      <c r="P255" s="6">
        <f t="shared" si="115"/>
        <v>0.20623883252423067</v>
      </c>
      <c r="Q255" s="6">
        <f t="shared" si="115"/>
        <v>-4.2608454637935944E-2</v>
      </c>
      <c r="R255" s="70">
        <v>0</v>
      </c>
      <c r="S255" s="70">
        <v>0</v>
      </c>
      <c r="T255" s="6" t="e">
        <f t="shared" si="111"/>
        <v>#DIV/0!</v>
      </c>
      <c r="U255" s="35" t="e">
        <f t="shared" si="112"/>
        <v>#DIV/0!</v>
      </c>
      <c r="V255" s="6" t="e">
        <f t="shared" ref="V255:Z255" si="116">V243</f>
        <v>#DIV/0!</v>
      </c>
      <c r="W255" s="6" t="e">
        <f t="shared" si="116"/>
        <v>#DIV/0!</v>
      </c>
      <c r="X255" s="6" t="e">
        <f t="shared" si="116"/>
        <v>#DIV/0!</v>
      </c>
      <c r="Y255" s="6" t="e">
        <f t="shared" si="116"/>
        <v>#DIV/0!</v>
      </c>
      <c r="Z255" s="6" t="e">
        <f t="shared" si="116"/>
        <v>#DIV/0!</v>
      </c>
    </row>
    <row r="256" spans="1:26" x14ac:dyDescent="0.2">
      <c r="A256" t="s">
        <v>300</v>
      </c>
      <c r="B256" s="6">
        <f t="shared" si="106"/>
        <v>3</v>
      </c>
      <c r="C256" s="7" t="s">
        <v>153</v>
      </c>
      <c r="D256" s="69">
        <v>0</v>
      </c>
      <c r="E256" s="69">
        <v>0</v>
      </c>
      <c r="F256" s="66" t="e">
        <f t="shared" si="93"/>
        <v>#DIV/0!</v>
      </c>
      <c r="G256" s="61" t="e">
        <f t="shared" si="107"/>
        <v>#DIV/0!</v>
      </c>
      <c r="H256" s="66" t="e">
        <f t="shared" ref="H256:J256" si="117">H244</f>
        <v>#DIV/0!</v>
      </c>
      <c r="I256" s="66" t="e">
        <f t="shared" si="117"/>
        <v>#DIV/0!</v>
      </c>
      <c r="J256" s="66" t="e">
        <f t="shared" si="117"/>
        <v>#DIV/0!</v>
      </c>
      <c r="K256" s="70">
        <v>0</v>
      </c>
      <c r="L256" s="70">
        <f>'Monitoramento Acumulado Geral'!Q256</f>
        <v>0</v>
      </c>
      <c r="M256" s="6" t="e">
        <f>(SUM(L250:L256))/K255</f>
        <v>#DIV/0!</v>
      </c>
      <c r="N256" s="35" t="e">
        <f t="shared" si="109"/>
        <v>#DIV/0!</v>
      </c>
      <c r="O256" s="6">
        <f t="shared" ref="O256:Q256" si="118">O244</f>
        <v>0.13411292471649494</v>
      </c>
      <c r="P256" s="6">
        <f t="shared" si="118"/>
        <v>0.29721906787058483</v>
      </c>
      <c r="Q256" s="6">
        <f t="shared" si="118"/>
        <v>-2.899321843759492E-2</v>
      </c>
      <c r="R256" s="70">
        <v>0</v>
      </c>
      <c r="S256" s="70">
        <v>0</v>
      </c>
      <c r="T256" s="6" t="e">
        <f t="shared" si="111"/>
        <v>#DIV/0!</v>
      </c>
      <c r="U256" s="35" t="e">
        <f t="shared" si="112"/>
        <v>#DIV/0!</v>
      </c>
      <c r="V256" s="6" t="e">
        <f t="shared" ref="V256:Z256" si="119">V244</f>
        <v>#DIV/0!</v>
      </c>
      <c r="W256" s="6" t="e">
        <f t="shared" si="119"/>
        <v>#DIV/0!</v>
      </c>
      <c r="X256" s="6" t="e">
        <f t="shared" si="119"/>
        <v>#DIV/0!</v>
      </c>
      <c r="Y256" s="6" t="e">
        <f t="shared" si="119"/>
        <v>#DIV/0!</v>
      </c>
      <c r="Z256" s="6" t="e">
        <f t="shared" si="119"/>
        <v>#DIV/0!</v>
      </c>
    </row>
    <row r="257" spans="1:26" x14ac:dyDescent="0.2">
      <c r="A257" t="s">
        <v>300</v>
      </c>
      <c r="B257" s="6">
        <f t="shared" si="106"/>
        <v>4</v>
      </c>
      <c r="C257" s="7" t="s">
        <v>154</v>
      </c>
      <c r="D257" s="69">
        <v>0</v>
      </c>
      <c r="E257" s="69">
        <v>0</v>
      </c>
      <c r="F257" s="66" t="e">
        <f t="shared" si="93"/>
        <v>#DIV/0!</v>
      </c>
      <c r="G257" s="61" t="e">
        <f t="shared" si="107"/>
        <v>#DIV/0!</v>
      </c>
      <c r="H257" s="66" t="e">
        <f t="shared" ref="H257:J257" si="120">H245</f>
        <v>#DIV/0!</v>
      </c>
      <c r="I257" s="66" t="e">
        <f t="shared" si="120"/>
        <v>#DIV/0!</v>
      </c>
      <c r="J257" s="66" t="e">
        <f t="shared" si="120"/>
        <v>#DIV/0!</v>
      </c>
      <c r="K257" s="70">
        <v>0</v>
      </c>
      <c r="L257" s="70">
        <f>'Monitoramento Acumulado Geral'!Q257</f>
        <v>0</v>
      </c>
      <c r="M257" s="6" t="e">
        <f>(SUM(L250:L257))/K256</f>
        <v>#DIV/0!</v>
      </c>
      <c r="N257" s="35" t="e">
        <f t="shared" si="109"/>
        <v>#DIV/0!</v>
      </c>
      <c r="O257" s="6">
        <f t="shared" ref="O257:Q257" si="121">O245</f>
        <v>0.15392483870093213</v>
      </c>
      <c r="P257" s="6">
        <f t="shared" si="121"/>
        <v>0.32772007016950033</v>
      </c>
      <c r="Q257" s="6">
        <f t="shared" si="121"/>
        <v>-1.9870392767636053E-2</v>
      </c>
      <c r="R257" s="70">
        <v>0</v>
      </c>
      <c r="S257" s="70">
        <v>0</v>
      </c>
      <c r="T257" s="6" t="e">
        <f t="shared" si="111"/>
        <v>#DIV/0!</v>
      </c>
      <c r="U257" s="35" t="e">
        <f t="shared" si="112"/>
        <v>#DIV/0!</v>
      </c>
      <c r="V257" s="6" t="e">
        <f t="shared" ref="V257:Z257" si="122">V245</f>
        <v>#DIV/0!</v>
      </c>
      <c r="W257" s="6" t="e">
        <f t="shared" si="122"/>
        <v>#DIV/0!</v>
      </c>
      <c r="X257" s="6" t="e">
        <f t="shared" si="122"/>
        <v>#DIV/0!</v>
      </c>
      <c r="Y257" s="6" t="e">
        <f t="shared" si="122"/>
        <v>#DIV/0!</v>
      </c>
      <c r="Z257" s="6" t="e">
        <f t="shared" si="122"/>
        <v>#DIV/0!</v>
      </c>
    </row>
    <row r="258" spans="1:26" x14ac:dyDescent="0.2">
      <c r="A258" t="s">
        <v>300</v>
      </c>
      <c r="B258" s="6">
        <f t="shared" si="106"/>
        <v>5</v>
      </c>
      <c r="C258" s="7" t="s">
        <v>155</v>
      </c>
      <c r="D258" s="69">
        <v>0</v>
      </c>
      <c r="E258" s="69">
        <v>0</v>
      </c>
      <c r="F258" s="66" t="e">
        <f t="shared" si="93"/>
        <v>#DIV/0!</v>
      </c>
      <c r="G258" s="61" t="e">
        <f t="shared" si="107"/>
        <v>#DIV/0!</v>
      </c>
      <c r="H258" s="66" t="e">
        <f t="shared" ref="H258:J258" si="123">H246</f>
        <v>#DIV/0!</v>
      </c>
      <c r="I258" s="66" t="e">
        <f t="shared" si="123"/>
        <v>#DIV/0!</v>
      </c>
      <c r="J258" s="66" t="e">
        <f t="shared" si="123"/>
        <v>#DIV/0!</v>
      </c>
      <c r="K258" s="70">
        <v>0</v>
      </c>
      <c r="L258" s="70">
        <f>'Monitoramento Acumulado Geral'!Q258</f>
        <v>0</v>
      </c>
      <c r="M258" s="6" t="e">
        <f>(SUM(L250:L258))/K257</f>
        <v>#DIV/0!</v>
      </c>
      <c r="N258" s="35" t="e">
        <f t="shared" si="109"/>
        <v>#DIV/0!</v>
      </c>
      <c r="O258" s="6">
        <f t="shared" ref="O258:Q258" si="124">O246</f>
        <v>0.21139287248463789</v>
      </c>
      <c r="P258" s="6">
        <f t="shared" si="124"/>
        <v>0.43680804416292918</v>
      </c>
      <c r="Q258" s="6">
        <f t="shared" si="124"/>
        <v>-1.4022299193653387E-2</v>
      </c>
      <c r="R258" s="70">
        <v>0</v>
      </c>
      <c r="S258" s="70">
        <v>0</v>
      </c>
      <c r="T258" s="6" t="e">
        <f t="shared" si="111"/>
        <v>#DIV/0!</v>
      </c>
      <c r="U258" s="35" t="e">
        <f t="shared" si="112"/>
        <v>#DIV/0!</v>
      </c>
      <c r="V258" s="6" t="e">
        <f t="shared" ref="V258:Z258" si="125">V246</f>
        <v>#DIV/0!</v>
      </c>
      <c r="W258" s="6" t="e">
        <f t="shared" si="125"/>
        <v>#DIV/0!</v>
      </c>
      <c r="X258" s="6" t="e">
        <f t="shared" si="125"/>
        <v>#DIV/0!</v>
      </c>
      <c r="Y258" s="6" t="e">
        <f t="shared" si="125"/>
        <v>#DIV/0!</v>
      </c>
      <c r="Z258" s="6" t="e">
        <f t="shared" si="125"/>
        <v>#DIV/0!</v>
      </c>
    </row>
    <row r="259" spans="1:26" x14ac:dyDescent="0.2">
      <c r="A259" t="s">
        <v>300</v>
      </c>
      <c r="B259" s="6">
        <f t="shared" si="106"/>
        <v>6</v>
      </c>
      <c r="C259" s="7" t="s">
        <v>156</v>
      </c>
      <c r="D259" s="69">
        <v>0</v>
      </c>
      <c r="E259" s="69">
        <v>0</v>
      </c>
      <c r="F259" s="66" t="e">
        <f t="shared" si="93"/>
        <v>#DIV/0!</v>
      </c>
      <c r="G259" s="61" t="e">
        <f t="shared" si="107"/>
        <v>#DIV/0!</v>
      </c>
      <c r="H259" s="66" t="e">
        <f t="shared" ref="H259:J259" si="126">H247</f>
        <v>#DIV/0!</v>
      </c>
      <c r="I259" s="66" t="e">
        <f t="shared" si="126"/>
        <v>#DIV/0!</v>
      </c>
      <c r="J259" s="66" t="e">
        <f t="shared" si="126"/>
        <v>#DIV/0!</v>
      </c>
      <c r="K259" s="70">
        <v>0</v>
      </c>
      <c r="L259" s="70">
        <f>'Monitoramento Acumulado Geral'!Q259</f>
        <v>0</v>
      </c>
      <c r="M259" s="6" t="e">
        <f>(SUM(L250:L259))/K258</f>
        <v>#DIV/0!</v>
      </c>
      <c r="N259" s="35" t="e">
        <f t="shared" si="109"/>
        <v>#DIV/0!</v>
      </c>
      <c r="O259" s="6">
        <f t="shared" ref="O259:Q259" si="127">O247</f>
        <v>0.28403291059934432</v>
      </c>
      <c r="P259" s="6">
        <f t="shared" si="127"/>
        <v>0.56118246348434164</v>
      </c>
      <c r="Q259" s="6">
        <f t="shared" si="127"/>
        <v>6.8833577143469493E-3</v>
      </c>
      <c r="R259" s="70">
        <v>0</v>
      </c>
      <c r="S259" s="70">
        <v>0</v>
      </c>
      <c r="T259" s="6" t="e">
        <f t="shared" si="111"/>
        <v>#DIV/0!</v>
      </c>
      <c r="U259" s="35" t="e">
        <f t="shared" si="112"/>
        <v>#DIV/0!</v>
      </c>
      <c r="V259" s="6" t="e">
        <f t="shared" ref="V259:Z259" si="128">V247</f>
        <v>#DIV/0!</v>
      </c>
      <c r="W259" s="6" t="e">
        <f t="shared" si="128"/>
        <v>#DIV/0!</v>
      </c>
      <c r="X259" s="6" t="e">
        <f t="shared" si="128"/>
        <v>#DIV/0!</v>
      </c>
      <c r="Y259" s="6" t="e">
        <f t="shared" si="128"/>
        <v>#DIV/0!</v>
      </c>
      <c r="Z259" s="6" t="e">
        <f t="shared" si="128"/>
        <v>#DIV/0!</v>
      </c>
    </row>
    <row r="260" spans="1:26" x14ac:dyDescent="0.2">
      <c r="A260" t="s">
        <v>300</v>
      </c>
      <c r="B260" s="6">
        <f t="shared" si="106"/>
        <v>7</v>
      </c>
      <c r="C260" s="7" t="s">
        <v>157</v>
      </c>
      <c r="D260" s="69">
        <v>0</v>
      </c>
      <c r="E260" s="69">
        <v>0</v>
      </c>
      <c r="F260" s="66" t="e">
        <f t="shared" si="93"/>
        <v>#DIV/0!</v>
      </c>
      <c r="G260" s="61" t="e">
        <f t="shared" si="107"/>
        <v>#DIV/0!</v>
      </c>
      <c r="H260" s="66" t="e">
        <f t="shared" ref="H260:J260" si="129">H248</f>
        <v>#DIV/0!</v>
      </c>
      <c r="I260" s="66" t="e">
        <f t="shared" si="129"/>
        <v>#DIV/0!</v>
      </c>
      <c r="J260" s="66" t="e">
        <f t="shared" si="129"/>
        <v>#DIV/0!</v>
      </c>
      <c r="K260" s="70">
        <v>0</v>
      </c>
      <c r="L260" s="70">
        <f>'Monitoramento Acumulado Geral'!Q260</f>
        <v>262</v>
      </c>
      <c r="M260" s="6" t="e">
        <f>(SUM(L250:L260))/K259</f>
        <v>#DIV/0!</v>
      </c>
      <c r="N260" s="35" t="e">
        <f t="shared" si="109"/>
        <v>#DIV/0!</v>
      </c>
      <c r="O260" s="6">
        <f t="shared" ref="O260:Q260" si="130">O248</f>
        <v>0.42046470140126019</v>
      </c>
      <c r="P260" s="6">
        <f t="shared" si="130"/>
        <v>0.84574683442734511</v>
      </c>
      <c r="Q260" s="6">
        <f t="shared" si="130"/>
        <v>-4.8174316248247306E-3</v>
      </c>
      <c r="R260" s="70">
        <v>0</v>
      </c>
      <c r="S260" s="70">
        <v>0</v>
      </c>
      <c r="T260" s="6" t="e">
        <f t="shared" si="111"/>
        <v>#DIV/0!</v>
      </c>
      <c r="U260" s="35" t="e">
        <f t="shared" si="112"/>
        <v>#DIV/0!</v>
      </c>
      <c r="V260" s="6" t="e">
        <f t="shared" ref="V260:Z260" si="131">V248</f>
        <v>#DIV/0!</v>
      </c>
      <c r="W260" s="6" t="e">
        <f t="shared" si="131"/>
        <v>#DIV/0!</v>
      </c>
      <c r="X260" s="6" t="e">
        <f t="shared" si="131"/>
        <v>#DIV/0!</v>
      </c>
      <c r="Y260" s="6" t="e">
        <f t="shared" si="131"/>
        <v>#DIV/0!</v>
      </c>
      <c r="Z260" s="6" t="e">
        <f t="shared" si="131"/>
        <v>#DIV/0!</v>
      </c>
    </row>
    <row r="261" spans="1:26" x14ac:dyDescent="0.2">
      <c r="A261" t="s">
        <v>300</v>
      </c>
      <c r="B261" s="6">
        <f t="shared" si="106"/>
        <v>8</v>
      </c>
      <c r="C261" s="7" t="s">
        <v>158</v>
      </c>
      <c r="D261" s="69">
        <v>0</v>
      </c>
      <c r="E261" s="69">
        <v>0</v>
      </c>
      <c r="F261" s="66" t="e">
        <f t="shared" si="93"/>
        <v>#DIV/0!</v>
      </c>
      <c r="G261" s="61" t="e">
        <f t="shared" si="107"/>
        <v>#DIV/0!</v>
      </c>
      <c r="H261" s="66" t="e">
        <f t="shared" ref="H261:J261" si="132">H249</f>
        <v>#DIV/0!</v>
      </c>
      <c r="I261" s="66" t="e">
        <f t="shared" si="132"/>
        <v>#DIV/0!</v>
      </c>
      <c r="J261" s="66" t="e">
        <f t="shared" si="132"/>
        <v>#DIV/0!</v>
      </c>
      <c r="K261" s="70">
        <v>0</v>
      </c>
      <c r="L261" s="70">
        <f>'Monitoramento Acumulado Geral'!Q261</f>
        <v>0</v>
      </c>
      <c r="M261" s="6" t="e">
        <f>(SUM(L250:L261))/K260</f>
        <v>#DIV/0!</v>
      </c>
      <c r="N261" s="35" t="e">
        <f t="shared" si="109"/>
        <v>#DIV/0!</v>
      </c>
      <c r="O261" s="6">
        <f t="shared" ref="O261:Q261" si="133">O249</f>
        <v>0.42046470140126019</v>
      </c>
      <c r="P261" s="6">
        <f t="shared" si="133"/>
        <v>0.84574683442734511</v>
      </c>
      <c r="Q261" s="6">
        <f t="shared" si="133"/>
        <v>-4.8174316248247306E-3</v>
      </c>
      <c r="R261" s="70">
        <v>0</v>
      </c>
      <c r="S261" s="70">
        <v>0</v>
      </c>
      <c r="T261" s="6" t="e">
        <f t="shared" si="111"/>
        <v>#DIV/0!</v>
      </c>
      <c r="U261" s="35" t="e">
        <f t="shared" si="112"/>
        <v>#DIV/0!</v>
      </c>
      <c r="V261" s="6" t="e">
        <f t="shared" ref="V261:Z261" si="134">V249</f>
        <v>#DIV/0!</v>
      </c>
      <c r="W261" s="6" t="e">
        <f t="shared" si="134"/>
        <v>#DIV/0!</v>
      </c>
      <c r="X261" s="6" t="e">
        <f t="shared" si="134"/>
        <v>#DIV/0!</v>
      </c>
      <c r="Y261" s="6" t="e">
        <f t="shared" si="134"/>
        <v>#DIV/0!</v>
      </c>
      <c r="Z261" s="6" t="e">
        <f t="shared" si="134"/>
        <v>#DIV/0!</v>
      </c>
    </row>
    <row r="262" spans="1:26" x14ac:dyDescent="0.2">
      <c r="A262" t="s">
        <v>300</v>
      </c>
      <c r="B262" s="6">
        <f t="shared" si="106"/>
        <v>9</v>
      </c>
      <c r="C262" s="7" t="s">
        <v>159</v>
      </c>
      <c r="D262" s="69">
        <v>0</v>
      </c>
      <c r="E262" s="69">
        <v>0</v>
      </c>
      <c r="F262" s="66" t="e">
        <f t="shared" si="93"/>
        <v>#DIV/0!</v>
      </c>
      <c r="G262" s="61" t="e">
        <f t="shared" si="107"/>
        <v>#DIV/0!</v>
      </c>
      <c r="H262" s="66" t="e">
        <f t="shared" ref="H262:J262" si="135">H250</f>
        <v>#DIV/0!</v>
      </c>
      <c r="I262" s="66" t="e">
        <f t="shared" si="135"/>
        <v>#DIV/0!</v>
      </c>
      <c r="J262" s="66" t="e">
        <f t="shared" si="135"/>
        <v>#DIV/0!</v>
      </c>
      <c r="K262" s="70">
        <v>0</v>
      </c>
      <c r="L262" s="70">
        <f>'Monitoramento Acumulado Geral'!Q262</f>
        <v>0</v>
      </c>
      <c r="M262" s="6" t="e">
        <f>L262/K262</f>
        <v>#DIV/0!</v>
      </c>
      <c r="N262" s="35" t="e">
        <f t="shared" si="109"/>
        <v>#DIV/0!</v>
      </c>
      <c r="O262" s="6">
        <f t="shared" ref="O262:Q262" si="136">O250</f>
        <v>0.42046470140126019</v>
      </c>
      <c r="P262" s="6">
        <f t="shared" si="136"/>
        <v>0.84574683442734511</v>
      </c>
      <c r="Q262" s="6">
        <f t="shared" si="136"/>
        <v>-4.8174316248247306E-3</v>
      </c>
      <c r="R262" s="70">
        <v>0</v>
      </c>
      <c r="S262" s="70">
        <v>0</v>
      </c>
      <c r="T262" s="6" t="e">
        <f t="shared" si="111"/>
        <v>#DIV/0!</v>
      </c>
      <c r="U262" s="35" t="e">
        <f t="shared" si="112"/>
        <v>#DIV/0!</v>
      </c>
      <c r="V262" s="6" t="e">
        <f t="shared" ref="V262:Z262" si="137">V250</f>
        <v>#DIV/0!</v>
      </c>
      <c r="W262" s="6" t="e">
        <f t="shared" si="137"/>
        <v>#DIV/0!</v>
      </c>
      <c r="X262" s="6" t="e">
        <f t="shared" si="137"/>
        <v>#DIV/0!</v>
      </c>
      <c r="Y262" s="6" t="e">
        <f t="shared" si="137"/>
        <v>#DIV/0!</v>
      </c>
      <c r="Z262" s="6" t="e">
        <f t="shared" si="137"/>
        <v>#DIV/0!</v>
      </c>
    </row>
    <row r="263" spans="1:26" x14ac:dyDescent="0.2">
      <c r="A263" t="s">
        <v>300</v>
      </c>
      <c r="B263" s="6">
        <f t="shared" si="106"/>
        <v>10</v>
      </c>
      <c r="C263" s="7" t="s">
        <v>160</v>
      </c>
      <c r="D263" s="69">
        <v>0</v>
      </c>
      <c r="E263" s="69">
        <v>0</v>
      </c>
      <c r="F263" s="66" t="e">
        <f t="shared" si="93"/>
        <v>#DIV/0!</v>
      </c>
      <c r="G263" s="61" t="e">
        <f t="shared" si="107"/>
        <v>#DIV/0!</v>
      </c>
      <c r="H263" s="66" t="e">
        <f t="shared" ref="H263:J263" si="138">H251</f>
        <v>#DIV/0!</v>
      </c>
      <c r="I263" s="66" t="e">
        <f t="shared" si="138"/>
        <v>#DIV/0!</v>
      </c>
      <c r="J263" s="66" t="e">
        <f t="shared" si="138"/>
        <v>#DIV/0!</v>
      </c>
      <c r="K263" s="70">
        <v>0</v>
      </c>
      <c r="L263" s="70">
        <f>'Monitoramento Acumulado Geral'!Q263</f>
        <v>0</v>
      </c>
      <c r="M263" s="6" t="e">
        <f>(SUM(L262:L263))/K262</f>
        <v>#DIV/0!</v>
      </c>
      <c r="N263" s="35" t="e">
        <f t="shared" si="109"/>
        <v>#DIV/0!</v>
      </c>
      <c r="O263" s="6">
        <f t="shared" ref="O263:Q263" si="139">O251</f>
        <v>0.42046470140126019</v>
      </c>
      <c r="P263" s="6">
        <f t="shared" si="139"/>
        <v>0.84574683442734511</v>
      </c>
      <c r="Q263" s="6">
        <f t="shared" si="139"/>
        <v>-4.8174316248247306E-3</v>
      </c>
      <c r="R263" s="70">
        <v>0</v>
      </c>
      <c r="S263" s="70">
        <v>0</v>
      </c>
      <c r="T263" s="6" t="e">
        <f t="shared" si="111"/>
        <v>#DIV/0!</v>
      </c>
      <c r="U263" s="35" t="e">
        <f t="shared" si="112"/>
        <v>#DIV/0!</v>
      </c>
      <c r="V263" s="6" t="e">
        <f t="shared" ref="V263:Z263" si="140">V251</f>
        <v>#DIV/0!</v>
      </c>
      <c r="W263" s="6" t="e">
        <f t="shared" si="140"/>
        <v>#DIV/0!</v>
      </c>
      <c r="X263" s="6" t="e">
        <f t="shared" si="140"/>
        <v>#DIV/0!</v>
      </c>
      <c r="Y263" s="6" t="e">
        <f t="shared" si="140"/>
        <v>#DIV/0!</v>
      </c>
      <c r="Z263" s="6" t="e">
        <f t="shared" si="140"/>
        <v>#DIV/0!</v>
      </c>
    </row>
    <row r="264" spans="1:26" x14ac:dyDescent="0.2">
      <c r="A264" t="s">
        <v>300</v>
      </c>
      <c r="B264" s="6">
        <f t="shared" si="106"/>
        <v>11</v>
      </c>
      <c r="C264" s="7" t="s">
        <v>161</v>
      </c>
      <c r="D264" s="69">
        <v>0</v>
      </c>
      <c r="E264" s="69">
        <v>0</v>
      </c>
      <c r="F264" s="66" t="e">
        <f t="shared" si="93"/>
        <v>#DIV/0!</v>
      </c>
      <c r="G264" s="61" t="e">
        <f t="shared" si="107"/>
        <v>#DIV/0!</v>
      </c>
      <c r="H264" s="66" t="e">
        <f t="shared" ref="H264:J264" si="141">H252</f>
        <v>#DIV/0!</v>
      </c>
      <c r="I264" s="66" t="e">
        <f t="shared" si="141"/>
        <v>#DIV/0!</v>
      </c>
      <c r="J264" s="66" t="e">
        <f t="shared" si="141"/>
        <v>#DIV/0!</v>
      </c>
      <c r="K264" s="70">
        <v>0</v>
      </c>
      <c r="L264" s="70">
        <f>'Monitoramento Acumulado Geral'!Q264</f>
        <v>0</v>
      </c>
      <c r="M264" s="6" t="e">
        <f>(SUM(L262:L264))/K263</f>
        <v>#DIV/0!</v>
      </c>
      <c r="N264" s="35" t="e">
        <f t="shared" si="109"/>
        <v>#DIV/0!</v>
      </c>
      <c r="O264" s="6">
        <f t="shared" ref="O264:Q264" si="142">O252</f>
        <v>0.42046470140126019</v>
      </c>
      <c r="P264" s="6">
        <f t="shared" si="142"/>
        <v>0.84574683442734511</v>
      </c>
      <c r="Q264" s="6">
        <f t="shared" si="142"/>
        <v>-4.8174316248247306E-3</v>
      </c>
      <c r="R264" s="70">
        <v>0</v>
      </c>
      <c r="S264" s="70">
        <v>0</v>
      </c>
      <c r="T264" s="6" t="e">
        <f t="shared" si="111"/>
        <v>#DIV/0!</v>
      </c>
      <c r="U264" s="35" t="e">
        <f t="shared" si="112"/>
        <v>#DIV/0!</v>
      </c>
      <c r="V264" s="6" t="e">
        <f t="shared" ref="V264:Z264" si="143">V252</f>
        <v>#DIV/0!</v>
      </c>
      <c r="W264" s="6" t="e">
        <f t="shared" si="143"/>
        <v>#DIV/0!</v>
      </c>
      <c r="X264" s="6" t="e">
        <f t="shared" si="143"/>
        <v>#DIV/0!</v>
      </c>
      <c r="Y264" s="6" t="e">
        <f t="shared" si="143"/>
        <v>#DIV/0!</v>
      </c>
      <c r="Z264" s="6" t="e">
        <f t="shared" si="143"/>
        <v>#DIV/0!</v>
      </c>
    </row>
    <row r="265" spans="1:26" x14ac:dyDescent="0.2">
      <c r="A265" t="s">
        <v>300</v>
      </c>
      <c r="B265" s="6">
        <f t="shared" si="106"/>
        <v>12</v>
      </c>
      <c r="C265" s="7" t="s">
        <v>162</v>
      </c>
      <c r="D265" s="69">
        <v>0</v>
      </c>
      <c r="E265" s="69">
        <v>0</v>
      </c>
      <c r="F265" s="66" t="e">
        <f t="shared" si="93"/>
        <v>#DIV/0!</v>
      </c>
      <c r="G265" s="61" t="e">
        <f t="shared" si="107"/>
        <v>#DIV/0!</v>
      </c>
      <c r="H265" s="66" t="e">
        <f t="shared" ref="H265:J265" si="144">H253</f>
        <v>#DIV/0!</v>
      </c>
      <c r="I265" s="66" t="e">
        <f t="shared" si="144"/>
        <v>#DIV/0!</v>
      </c>
      <c r="J265" s="66" t="e">
        <f t="shared" si="144"/>
        <v>#DIV/0!</v>
      </c>
      <c r="K265" s="70">
        <v>0</v>
      </c>
      <c r="L265" s="70">
        <f>'Monitoramento Acumulado Geral'!Q265</f>
        <v>0</v>
      </c>
      <c r="M265" s="6" t="e">
        <f>(SUM(L262:L265))/K264</f>
        <v>#DIV/0!</v>
      </c>
      <c r="N265" s="35" t="e">
        <f t="shared" si="109"/>
        <v>#DIV/0!</v>
      </c>
      <c r="O265" s="6">
        <f t="shared" ref="O265:Q265" si="145">O253</f>
        <v>0.41824651958307835</v>
      </c>
      <c r="P265" s="6">
        <f t="shared" si="145"/>
        <v>0.84510274859297763</v>
      </c>
      <c r="Q265" s="6">
        <f t="shared" si="145"/>
        <v>-8.6097094268208774E-3</v>
      </c>
      <c r="R265" s="70">
        <v>0</v>
      </c>
      <c r="S265" s="70">
        <v>0</v>
      </c>
      <c r="T265" s="6" t="e">
        <f t="shared" si="111"/>
        <v>#DIV/0!</v>
      </c>
      <c r="U265" s="35" t="e">
        <f t="shared" si="112"/>
        <v>#DIV/0!</v>
      </c>
      <c r="V265" s="6" t="e">
        <f t="shared" ref="V265:Z265" si="146">V253</f>
        <v>#DIV/0!</v>
      </c>
      <c r="W265" s="6" t="e">
        <f t="shared" si="146"/>
        <v>#DIV/0!</v>
      </c>
      <c r="X265" s="6" t="e">
        <f t="shared" si="146"/>
        <v>#DIV/0!</v>
      </c>
      <c r="Y265" s="6" t="e">
        <f t="shared" si="146"/>
        <v>#DIV/0!</v>
      </c>
      <c r="Z265" s="6" t="e">
        <f t="shared" si="146"/>
        <v>#DIV/0!</v>
      </c>
    </row>
    <row r="266" spans="1:26" x14ac:dyDescent="0.2">
      <c r="A266" s="7" t="s">
        <v>90</v>
      </c>
      <c r="B266" s="6">
        <f t="shared" si="95"/>
        <v>1</v>
      </c>
      <c r="C266" s="7" t="s">
        <v>151</v>
      </c>
      <c r="D266" s="69">
        <v>75</v>
      </c>
      <c r="E266" s="69">
        <v>8</v>
      </c>
      <c r="F266" s="66">
        <f t="shared" si="93"/>
        <v>0.10666666666666667</v>
      </c>
      <c r="G266" s="61" t="e">
        <f t="shared" si="96"/>
        <v>#DIV/0!</v>
      </c>
      <c r="H266" s="66" t="e">
        <f t="shared" ref="H266:J277" si="147">H242</f>
        <v>#DIV/0!</v>
      </c>
      <c r="I266" s="66" t="e">
        <f t="shared" si="147"/>
        <v>#DIV/0!</v>
      </c>
      <c r="J266" s="66" t="e">
        <f t="shared" si="147"/>
        <v>#DIV/0!</v>
      </c>
      <c r="K266" s="70">
        <v>257719.44</v>
      </c>
      <c r="L266" s="70">
        <f>'Monitoramento Acumulado Geral'!Q266</f>
        <v>13500</v>
      </c>
      <c r="M266" s="6">
        <f>L266/K266</f>
        <v>5.2382544366851025E-2</v>
      </c>
      <c r="N266" s="35" t="str">
        <f t="shared" si="97"/>
        <v>Desempenho Bom</v>
      </c>
      <c r="O266" s="6">
        <f t="shared" ref="O266:Q277" si="148">O242</f>
        <v>3.4274647562211005E-2</v>
      </c>
      <c r="P266" s="6">
        <f t="shared" si="148"/>
        <v>0.10289217685709087</v>
      </c>
      <c r="Q266" s="6">
        <f t="shared" si="148"/>
        <v>-3.4342881732668862E-2</v>
      </c>
      <c r="R266" s="70">
        <v>80</v>
      </c>
      <c r="S266" s="70">
        <v>0</v>
      </c>
      <c r="T266" s="6">
        <f t="shared" si="94"/>
        <v>0</v>
      </c>
      <c r="U266" s="35" t="e">
        <f t="shared" si="98"/>
        <v>#DIV/0!</v>
      </c>
      <c r="V266" s="6" t="e">
        <f t="shared" ref="V266:Z277" si="149">V242</f>
        <v>#DIV/0!</v>
      </c>
      <c r="W266" s="6" t="e">
        <f t="shared" si="149"/>
        <v>#DIV/0!</v>
      </c>
      <c r="X266" s="6" t="e">
        <f t="shared" si="149"/>
        <v>#DIV/0!</v>
      </c>
      <c r="Y266" s="6" t="e">
        <f t="shared" si="149"/>
        <v>#DIV/0!</v>
      </c>
      <c r="Z266" s="6" t="e">
        <f t="shared" si="149"/>
        <v>#DIV/0!</v>
      </c>
    </row>
    <row r="267" spans="1:26" x14ac:dyDescent="0.2">
      <c r="A267" s="7" t="s">
        <v>90</v>
      </c>
      <c r="B267" s="6">
        <f t="shared" si="95"/>
        <v>2</v>
      </c>
      <c r="C267" s="7" t="s">
        <v>152</v>
      </c>
      <c r="D267" s="69">
        <v>75</v>
      </c>
      <c r="E267" s="69">
        <v>33</v>
      </c>
      <c r="F267" s="66">
        <f t="shared" si="93"/>
        <v>0.44</v>
      </c>
      <c r="G267" s="61" t="e">
        <f t="shared" si="96"/>
        <v>#DIV/0!</v>
      </c>
      <c r="H267" s="66" t="e">
        <f t="shared" si="147"/>
        <v>#DIV/0!</v>
      </c>
      <c r="I267" s="66" t="e">
        <f t="shared" si="147"/>
        <v>#DIV/0!</v>
      </c>
      <c r="J267" s="66" t="e">
        <f t="shared" si="147"/>
        <v>#DIV/0!</v>
      </c>
      <c r="K267" s="70">
        <v>257719.44</v>
      </c>
      <c r="L267" s="70">
        <f>'Monitoramento Acumulado Geral'!Q267</f>
        <v>78932</v>
      </c>
      <c r="M267" s="6">
        <f>(SUM(L266:L267))/K266</f>
        <v>0.3586535808086499</v>
      </c>
      <c r="N267" s="35" t="str">
        <f t="shared" si="97"/>
        <v>Desempenho Ótimo</v>
      </c>
      <c r="O267" s="6">
        <f t="shared" si="148"/>
        <v>8.1815188943147363E-2</v>
      </c>
      <c r="P267" s="6">
        <f t="shared" si="148"/>
        <v>0.20623883252423067</v>
      </c>
      <c r="Q267" s="6">
        <f t="shared" si="148"/>
        <v>-4.2608454637935944E-2</v>
      </c>
      <c r="R267" s="70">
        <v>80</v>
      </c>
      <c r="S267" s="70">
        <v>0</v>
      </c>
      <c r="T267" s="6">
        <f t="shared" si="94"/>
        <v>0</v>
      </c>
      <c r="U267" s="35" t="e">
        <f t="shared" si="98"/>
        <v>#DIV/0!</v>
      </c>
      <c r="V267" s="6" t="e">
        <f t="shared" si="149"/>
        <v>#DIV/0!</v>
      </c>
      <c r="W267" s="6" t="e">
        <f t="shared" si="149"/>
        <v>#DIV/0!</v>
      </c>
      <c r="X267" s="6" t="e">
        <f t="shared" si="149"/>
        <v>#DIV/0!</v>
      </c>
      <c r="Y267" s="6" t="e">
        <f t="shared" si="149"/>
        <v>#DIV/0!</v>
      </c>
      <c r="Z267" s="6" t="e">
        <f t="shared" si="149"/>
        <v>#DIV/0!</v>
      </c>
    </row>
    <row r="268" spans="1:26" x14ac:dyDescent="0.2">
      <c r="A268" s="7" t="s">
        <v>90</v>
      </c>
      <c r="B268" s="6">
        <f t="shared" si="95"/>
        <v>3</v>
      </c>
      <c r="C268" s="7" t="s">
        <v>153</v>
      </c>
      <c r="D268" s="69">
        <v>75</v>
      </c>
      <c r="E268" s="69">
        <v>44</v>
      </c>
      <c r="F268" s="66">
        <f t="shared" si="93"/>
        <v>0.58666666666666667</v>
      </c>
      <c r="G268" s="61" t="e">
        <f t="shared" si="96"/>
        <v>#DIV/0!</v>
      </c>
      <c r="H268" s="66" t="e">
        <f t="shared" si="147"/>
        <v>#DIV/0!</v>
      </c>
      <c r="I268" s="66" t="e">
        <f t="shared" si="147"/>
        <v>#DIV/0!</v>
      </c>
      <c r="J268" s="66" t="e">
        <f t="shared" si="147"/>
        <v>#DIV/0!</v>
      </c>
      <c r="K268" s="70">
        <v>257719.44</v>
      </c>
      <c r="L268" s="70">
        <f>'Monitoramento Acumulado Geral'!Q268</f>
        <v>42100</v>
      </c>
      <c r="M268" s="6">
        <f>(SUM(L266:L268))/K267</f>
        <v>0.52200951546379271</v>
      </c>
      <c r="N268" s="35" t="str">
        <f t="shared" si="97"/>
        <v>Desempenho Ótimo</v>
      </c>
      <c r="O268" s="6">
        <f t="shared" si="148"/>
        <v>0.13411292471649494</v>
      </c>
      <c r="P268" s="6">
        <f t="shared" si="148"/>
        <v>0.29721906787058483</v>
      </c>
      <c r="Q268" s="6">
        <f t="shared" si="148"/>
        <v>-2.899321843759492E-2</v>
      </c>
      <c r="R268" s="70">
        <v>80</v>
      </c>
      <c r="S268" s="70">
        <v>0</v>
      </c>
      <c r="T268" s="6">
        <f t="shared" si="94"/>
        <v>0</v>
      </c>
      <c r="U268" s="35" t="e">
        <f t="shared" si="98"/>
        <v>#DIV/0!</v>
      </c>
      <c r="V268" s="6" t="e">
        <f t="shared" si="149"/>
        <v>#DIV/0!</v>
      </c>
      <c r="W268" s="6" t="e">
        <f t="shared" si="149"/>
        <v>#DIV/0!</v>
      </c>
      <c r="X268" s="6" t="e">
        <f t="shared" si="149"/>
        <v>#DIV/0!</v>
      </c>
      <c r="Y268" s="6" t="e">
        <f t="shared" si="149"/>
        <v>#DIV/0!</v>
      </c>
      <c r="Z268" s="6" t="e">
        <f t="shared" si="149"/>
        <v>#DIV/0!</v>
      </c>
    </row>
    <row r="269" spans="1:26" x14ac:dyDescent="0.2">
      <c r="A269" s="7" t="s">
        <v>90</v>
      </c>
      <c r="B269" s="6">
        <f t="shared" si="95"/>
        <v>4</v>
      </c>
      <c r="C269" s="7" t="s">
        <v>154</v>
      </c>
      <c r="D269" s="69">
        <v>75</v>
      </c>
      <c r="E269" s="69">
        <v>44</v>
      </c>
      <c r="F269" s="66">
        <f t="shared" si="93"/>
        <v>0.58666666666666667</v>
      </c>
      <c r="G269" s="61" t="e">
        <f t="shared" si="96"/>
        <v>#DIV/0!</v>
      </c>
      <c r="H269" s="66" t="e">
        <f t="shared" si="147"/>
        <v>#DIV/0!</v>
      </c>
      <c r="I269" s="66" t="e">
        <f t="shared" si="147"/>
        <v>#DIV/0!</v>
      </c>
      <c r="J269" s="66" t="e">
        <f t="shared" si="147"/>
        <v>#DIV/0!</v>
      </c>
      <c r="K269" s="70">
        <v>257719.44</v>
      </c>
      <c r="L269" s="70">
        <f>'Monitoramento Acumulado Geral'!Q269</f>
        <v>0</v>
      </c>
      <c r="M269" s="6">
        <f>(SUM(L266:L269))/K268</f>
        <v>0.52200951546379271</v>
      </c>
      <c r="N269" s="35" t="str">
        <f t="shared" si="97"/>
        <v>Desempenho Ótimo</v>
      </c>
      <c r="O269" s="6">
        <f t="shared" si="148"/>
        <v>0.15392483870093213</v>
      </c>
      <c r="P269" s="6">
        <f t="shared" si="148"/>
        <v>0.32772007016950033</v>
      </c>
      <c r="Q269" s="6">
        <f t="shared" si="148"/>
        <v>-1.9870392767636053E-2</v>
      </c>
      <c r="R269" s="70">
        <v>80</v>
      </c>
      <c r="S269" s="70">
        <v>0</v>
      </c>
      <c r="T269" s="6">
        <f t="shared" si="94"/>
        <v>0</v>
      </c>
      <c r="U269" s="35" t="e">
        <f t="shared" si="98"/>
        <v>#DIV/0!</v>
      </c>
      <c r="V269" s="6" t="e">
        <f t="shared" si="149"/>
        <v>#DIV/0!</v>
      </c>
      <c r="W269" s="6" t="e">
        <f t="shared" si="149"/>
        <v>#DIV/0!</v>
      </c>
      <c r="X269" s="6" t="e">
        <f t="shared" si="149"/>
        <v>#DIV/0!</v>
      </c>
      <c r="Y269" s="6" t="e">
        <f t="shared" si="149"/>
        <v>#DIV/0!</v>
      </c>
      <c r="Z269" s="6" t="e">
        <f t="shared" si="149"/>
        <v>#DIV/0!</v>
      </c>
    </row>
    <row r="270" spans="1:26" x14ac:dyDescent="0.2">
      <c r="A270" s="7" t="s">
        <v>90</v>
      </c>
      <c r="B270" s="6">
        <f t="shared" si="95"/>
        <v>5</v>
      </c>
      <c r="C270" s="7" t="s">
        <v>155</v>
      </c>
      <c r="D270" s="69">
        <v>75</v>
      </c>
      <c r="E270" s="69">
        <v>51</v>
      </c>
      <c r="F270" s="66">
        <f t="shared" si="93"/>
        <v>0.68</v>
      </c>
      <c r="G270" s="61" t="e">
        <f t="shared" si="96"/>
        <v>#DIV/0!</v>
      </c>
      <c r="H270" s="66" t="e">
        <f t="shared" si="147"/>
        <v>#DIV/0!</v>
      </c>
      <c r="I270" s="66" t="e">
        <f t="shared" si="147"/>
        <v>#DIV/0!</v>
      </c>
      <c r="J270" s="66" t="e">
        <f t="shared" si="147"/>
        <v>#DIV/0!</v>
      </c>
      <c r="K270" s="70">
        <v>257719.44</v>
      </c>
      <c r="L270" s="70">
        <f>'Monitoramento Acumulado Geral'!Q270</f>
        <v>41739.129999999997</v>
      </c>
      <c r="M270" s="6">
        <f>(SUM(L266:L270))/K269</f>
        <v>0.68396520650518255</v>
      </c>
      <c r="N270" s="35" t="str">
        <f t="shared" si="97"/>
        <v>Desempenho Ótimo</v>
      </c>
      <c r="O270" s="6">
        <f t="shared" si="148"/>
        <v>0.21139287248463789</v>
      </c>
      <c r="P270" s="6">
        <f t="shared" si="148"/>
        <v>0.43680804416292918</v>
      </c>
      <c r="Q270" s="6">
        <f t="shared" si="148"/>
        <v>-1.4022299193653387E-2</v>
      </c>
      <c r="R270" s="70">
        <v>80</v>
      </c>
      <c r="S270" s="70">
        <v>0</v>
      </c>
      <c r="T270" s="6">
        <f t="shared" si="94"/>
        <v>0</v>
      </c>
      <c r="U270" s="35" t="e">
        <f t="shared" si="98"/>
        <v>#DIV/0!</v>
      </c>
      <c r="V270" s="6" t="e">
        <f t="shared" si="149"/>
        <v>#DIV/0!</v>
      </c>
      <c r="W270" s="6" t="e">
        <f t="shared" si="149"/>
        <v>#DIV/0!</v>
      </c>
      <c r="X270" s="6" t="e">
        <f t="shared" si="149"/>
        <v>#DIV/0!</v>
      </c>
      <c r="Y270" s="6" t="e">
        <f t="shared" si="149"/>
        <v>#DIV/0!</v>
      </c>
      <c r="Z270" s="6" t="e">
        <f t="shared" si="149"/>
        <v>#DIV/0!</v>
      </c>
    </row>
    <row r="271" spans="1:26" x14ac:dyDescent="0.2">
      <c r="A271" s="7" t="s">
        <v>90</v>
      </c>
      <c r="B271" s="6">
        <f t="shared" si="95"/>
        <v>6</v>
      </c>
      <c r="C271" s="7" t="s">
        <v>156</v>
      </c>
      <c r="D271" s="69">
        <v>75</v>
      </c>
      <c r="E271" s="69">
        <v>64</v>
      </c>
      <c r="F271" s="66">
        <f t="shared" si="93"/>
        <v>0.85333333333333339</v>
      </c>
      <c r="G271" s="61" t="e">
        <f t="shared" si="96"/>
        <v>#DIV/0!</v>
      </c>
      <c r="H271" s="66" t="e">
        <f t="shared" si="147"/>
        <v>#DIV/0!</v>
      </c>
      <c r="I271" s="66" t="e">
        <f t="shared" si="147"/>
        <v>#DIV/0!</v>
      </c>
      <c r="J271" s="66" t="e">
        <f t="shared" si="147"/>
        <v>#DIV/0!</v>
      </c>
      <c r="K271" s="70">
        <v>257719.44</v>
      </c>
      <c r="L271" s="70">
        <f>'Monitoramento Acumulado Geral'!Q271</f>
        <v>31448.31</v>
      </c>
      <c r="M271" s="6">
        <f>(SUM(L266:L271))/K270</f>
        <v>0.80599057641907024</v>
      </c>
      <c r="N271" s="35" t="str">
        <f t="shared" si="97"/>
        <v>Desempenho Ótimo</v>
      </c>
      <c r="O271" s="6">
        <f t="shared" si="148"/>
        <v>0.28403291059934432</v>
      </c>
      <c r="P271" s="6">
        <f t="shared" si="148"/>
        <v>0.56118246348434164</v>
      </c>
      <c r="Q271" s="6">
        <f t="shared" si="148"/>
        <v>6.8833577143469493E-3</v>
      </c>
      <c r="R271" s="70">
        <v>80</v>
      </c>
      <c r="S271" s="70">
        <v>0</v>
      </c>
      <c r="T271" s="6">
        <f t="shared" si="94"/>
        <v>0</v>
      </c>
      <c r="U271" s="35" t="e">
        <f t="shared" si="98"/>
        <v>#DIV/0!</v>
      </c>
      <c r="V271" s="6" t="e">
        <f t="shared" si="149"/>
        <v>#DIV/0!</v>
      </c>
      <c r="W271" s="6" t="e">
        <f t="shared" si="149"/>
        <v>#DIV/0!</v>
      </c>
      <c r="X271" s="6" t="e">
        <f t="shared" si="149"/>
        <v>#DIV/0!</v>
      </c>
      <c r="Y271" s="6" t="e">
        <f t="shared" si="149"/>
        <v>#DIV/0!</v>
      </c>
      <c r="Z271" s="6" t="e">
        <f t="shared" si="149"/>
        <v>#DIV/0!</v>
      </c>
    </row>
    <row r="272" spans="1:26" x14ac:dyDescent="0.2">
      <c r="A272" s="7" t="s">
        <v>90</v>
      </c>
      <c r="B272" s="6">
        <f t="shared" si="95"/>
        <v>7</v>
      </c>
      <c r="C272" s="7" t="s">
        <v>157</v>
      </c>
      <c r="D272" s="69">
        <v>75</v>
      </c>
      <c r="E272" s="69">
        <v>77</v>
      </c>
      <c r="F272" s="66">
        <f t="shared" si="93"/>
        <v>1.0266666666666666</v>
      </c>
      <c r="G272" s="61" t="e">
        <f t="shared" si="96"/>
        <v>#DIV/0!</v>
      </c>
      <c r="H272" s="66" t="e">
        <f t="shared" si="147"/>
        <v>#DIV/0!</v>
      </c>
      <c r="I272" s="66" t="e">
        <f t="shared" si="147"/>
        <v>#DIV/0!</v>
      </c>
      <c r="J272" s="66" t="e">
        <f t="shared" si="147"/>
        <v>#DIV/0!</v>
      </c>
      <c r="K272" s="70">
        <v>257719.44</v>
      </c>
      <c r="L272" s="70">
        <f>'Monitoramento Acumulado Geral'!Q272</f>
        <v>25250</v>
      </c>
      <c r="M272" s="6">
        <f>(SUM(L266:L272))/K271</f>
        <v>0.90396533532743983</v>
      </c>
      <c r="N272" s="35" t="str">
        <f t="shared" si="97"/>
        <v>Desempenho Ótimo</v>
      </c>
      <c r="O272" s="6">
        <f t="shared" si="148"/>
        <v>0.42046470140126019</v>
      </c>
      <c r="P272" s="6">
        <f t="shared" si="148"/>
        <v>0.84574683442734511</v>
      </c>
      <c r="Q272" s="6">
        <f t="shared" si="148"/>
        <v>-4.8174316248247306E-3</v>
      </c>
      <c r="R272" s="70">
        <v>80</v>
      </c>
      <c r="S272" s="70">
        <v>0</v>
      </c>
      <c r="T272" s="6">
        <f t="shared" si="94"/>
        <v>0</v>
      </c>
      <c r="U272" s="35" t="e">
        <f t="shared" si="98"/>
        <v>#DIV/0!</v>
      </c>
      <c r="V272" s="6" t="e">
        <f t="shared" si="149"/>
        <v>#DIV/0!</v>
      </c>
      <c r="W272" s="6" t="e">
        <f t="shared" si="149"/>
        <v>#DIV/0!</v>
      </c>
      <c r="X272" s="6" t="e">
        <f t="shared" si="149"/>
        <v>#DIV/0!</v>
      </c>
      <c r="Y272" s="6" t="e">
        <f t="shared" si="149"/>
        <v>#DIV/0!</v>
      </c>
      <c r="Z272" s="6" t="e">
        <f t="shared" si="149"/>
        <v>#DIV/0!</v>
      </c>
    </row>
    <row r="273" spans="1:26" x14ac:dyDescent="0.2">
      <c r="A273" s="7" t="s">
        <v>90</v>
      </c>
      <c r="B273" s="6">
        <f t="shared" si="95"/>
        <v>8</v>
      </c>
      <c r="C273" s="7" t="s">
        <v>158</v>
      </c>
      <c r="D273" s="69">
        <v>75</v>
      </c>
      <c r="E273" s="69">
        <v>0</v>
      </c>
      <c r="F273" s="66">
        <f t="shared" si="93"/>
        <v>0</v>
      </c>
      <c r="G273" s="61" t="e">
        <f t="shared" si="96"/>
        <v>#DIV/0!</v>
      </c>
      <c r="H273" s="66" t="e">
        <f t="shared" si="147"/>
        <v>#DIV/0!</v>
      </c>
      <c r="I273" s="66" t="e">
        <f t="shared" si="147"/>
        <v>#DIV/0!</v>
      </c>
      <c r="J273" s="66" t="e">
        <f t="shared" si="147"/>
        <v>#DIV/0!</v>
      </c>
      <c r="K273" s="70">
        <v>257719.44</v>
      </c>
      <c r="L273" s="70">
        <f>'Monitoramento Acumulado Geral'!Q273</f>
        <v>0</v>
      </c>
      <c r="M273" s="6">
        <f>(SUM(L266:L273))/K272</f>
        <v>0.90396533532743983</v>
      </c>
      <c r="N273" s="35" t="str">
        <f t="shared" si="97"/>
        <v>Desempenho Ótimo</v>
      </c>
      <c r="O273" s="6">
        <f t="shared" si="148"/>
        <v>0.42046470140126019</v>
      </c>
      <c r="P273" s="6">
        <f t="shared" si="148"/>
        <v>0.84574683442734511</v>
      </c>
      <c r="Q273" s="6">
        <f t="shared" si="148"/>
        <v>-4.8174316248247306E-3</v>
      </c>
      <c r="R273" s="70">
        <v>80</v>
      </c>
      <c r="S273" s="70">
        <v>0</v>
      </c>
      <c r="T273" s="6">
        <f t="shared" si="94"/>
        <v>0</v>
      </c>
      <c r="U273" s="35" t="e">
        <f t="shared" si="98"/>
        <v>#DIV/0!</v>
      </c>
      <c r="V273" s="6" t="e">
        <f t="shared" si="149"/>
        <v>#DIV/0!</v>
      </c>
      <c r="W273" s="6" t="e">
        <f t="shared" si="149"/>
        <v>#DIV/0!</v>
      </c>
      <c r="X273" s="6" t="e">
        <f t="shared" si="149"/>
        <v>#DIV/0!</v>
      </c>
      <c r="Y273" s="6" t="e">
        <f t="shared" si="149"/>
        <v>#DIV/0!</v>
      </c>
      <c r="Z273" s="6" t="e">
        <f t="shared" si="149"/>
        <v>#DIV/0!</v>
      </c>
    </row>
    <row r="274" spans="1:26" x14ac:dyDescent="0.2">
      <c r="A274" s="7" t="s">
        <v>90</v>
      </c>
      <c r="B274" s="6">
        <f t="shared" si="95"/>
        <v>9</v>
      </c>
      <c r="C274" s="7" t="s">
        <v>159</v>
      </c>
      <c r="D274" s="69">
        <v>75</v>
      </c>
      <c r="E274" s="69">
        <v>0</v>
      </c>
      <c r="F274" s="66">
        <f t="shared" si="93"/>
        <v>0</v>
      </c>
      <c r="G274" s="61" t="e">
        <f t="shared" si="96"/>
        <v>#DIV/0!</v>
      </c>
      <c r="H274" s="66" t="e">
        <f t="shared" si="147"/>
        <v>#DIV/0!</v>
      </c>
      <c r="I274" s="66" t="e">
        <f t="shared" si="147"/>
        <v>#DIV/0!</v>
      </c>
      <c r="J274" s="66" t="e">
        <f t="shared" si="147"/>
        <v>#DIV/0!</v>
      </c>
      <c r="K274" s="70">
        <v>257719.44</v>
      </c>
      <c r="L274" s="70">
        <f>'Monitoramento Acumulado Geral'!Q274</f>
        <v>0</v>
      </c>
      <c r="M274" s="6">
        <f>(SUM(L266:L274))/K273</f>
        <v>0.90396533532743983</v>
      </c>
      <c r="N274" s="35" t="str">
        <f t="shared" si="97"/>
        <v>Desempenho Ótimo</v>
      </c>
      <c r="O274" s="6">
        <f t="shared" si="148"/>
        <v>0.42046470140126019</v>
      </c>
      <c r="P274" s="6">
        <f t="shared" si="148"/>
        <v>0.84574683442734511</v>
      </c>
      <c r="Q274" s="6">
        <f t="shared" si="148"/>
        <v>-4.8174316248247306E-3</v>
      </c>
      <c r="R274" s="70">
        <v>80</v>
      </c>
      <c r="S274" s="70">
        <v>0</v>
      </c>
      <c r="T274" s="6">
        <f t="shared" si="94"/>
        <v>0</v>
      </c>
      <c r="U274" s="35" t="e">
        <f t="shared" si="98"/>
        <v>#DIV/0!</v>
      </c>
      <c r="V274" s="6" t="e">
        <f t="shared" si="149"/>
        <v>#DIV/0!</v>
      </c>
      <c r="W274" s="6" t="e">
        <f t="shared" si="149"/>
        <v>#DIV/0!</v>
      </c>
      <c r="X274" s="6" t="e">
        <f t="shared" si="149"/>
        <v>#DIV/0!</v>
      </c>
      <c r="Y274" s="6" t="e">
        <f t="shared" si="149"/>
        <v>#DIV/0!</v>
      </c>
      <c r="Z274" s="6" t="e">
        <f t="shared" si="149"/>
        <v>#DIV/0!</v>
      </c>
    </row>
    <row r="275" spans="1:26" x14ac:dyDescent="0.2">
      <c r="A275" s="7" t="s">
        <v>90</v>
      </c>
      <c r="B275" s="6">
        <f t="shared" si="95"/>
        <v>10</v>
      </c>
      <c r="C275" s="7" t="s">
        <v>160</v>
      </c>
      <c r="D275" s="69">
        <v>75</v>
      </c>
      <c r="E275" s="69">
        <v>0</v>
      </c>
      <c r="F275" s="66">
        <f t="shared" si="93"/>
        <v>0</v>
      </c>
      <c r="G275" s="61" t="e">
        <f t="shared" si="96"/>
        <v>#DIV/0!</v>
      </c>
      <c r="H275" s="66" t="e">
        <f t="shared" si="147"/>
        <v>#DIV/0!</v>
      </c>
      <c r="I275" s="66" t="e">
        <f t="shared" si="147"/>
        <v>#DIV/0!</v>
      </c>
      <c r="J275" s="66" t="e">
        <f t="shared" si="147"/>
        <v>#DIV/0!</v>
      </c>
      <c r="K275" s="70">
        <v>257719.44</v>
      </c>
      <c r="L275" s="70">
        <f>'Monitoramento Acumulado Geral'!Q275</f>
        <v>0</v>
      </c>
      <c r="M275" s="6">
        <f>(SUM(L266:L275))/K274</f>
        <v>0.90396533532743983</v>
      </c>
      <c r="N275" s="35" t="str">
        <f t="shared" si="97"/>
        <v>Desempenho Ótimo</v>
      </c>
      <c r="O275" s="6">
        <f t="shared" si="148"/>
        <v>0.42046470140126019</v>
      </c>
      <c r="P275" s="6">
        <f t="shared" si="148"/>
        <v>0.84574683442734511</v>
      </c>
      <c r="Q275" s="6">
        <f t="shared" si="148"/>
        <v>-4.8174316248247306E-3</v>
      </c>
      <c r="R275" s="70">
        <v>80</v>
      </c>
      <c r="S275" s="70">
        <v>0</v>
      </c>
      <c r="T275" s="6">
        <f t="shared" si="94"/>
        <v>0</v>
      </c>
      <c r="U275" s="35" t="e">
        <f t="shared" si="98"/>
        <v>#DIV/0!</v>
      </c>
      <c r="V275" s="6" t="e">
        <f t="shared" si="149"/>
        <v>#DIV/0!</v>
      </c>
      <c r="W275" s="6" t="e">
        <f t="shared" si="149"/>
        <v>#DIV/0!</v>
      </c>
      <c r="X275" s="6" t="e">
        <f t="shared" si="149"/>
        <v>#DIV/0!</v>
      </c>
      <c r="Y275" s="6" t="e">
        <f t="shared" si="149"/>
        <v>#DIV/0!</v>
      </c>
      <c r="Z275" s="6" t="e">
        <f t="shared" si="149"/>
        <v>#DIV/0!</v>
      </c>
    </row>
    <row r="276" spans="1:26" x14ac:dyDescent="0.2">
      <c r="A276" s="7" t="s">
        <v>90</v>
      </c>
      <c r="B276" s="6">
        <f t="shared" si="95"/>
        <v>11</v>
      </c>
      <c r="C276" s="7" t="s">
        <v>161</v>
      </c>
      <c r="D276" s="69">
        <v>75</v>
      </c>
      <c r="E276" s="69">
        <v>0</v>
      </c>
      <c r="F276" s="66">
        <f t="shared" si="93"/>
        <v>0</v>
      </c>
      <c r="G276" s="61" t="e">
        <f t="shared" si="96"/>
        <v>#DIV/0!</v>
      </c>
      <c r="H276" s="66" t="e">
        <f t="shared" si="147"/>
        <v>#DIV/0!</v>
      </c>
      <c r="I276" s="66" t="e">
        <f t="shared" si="147"/>
        <v>#DIV/0!</v>
      </c>
      <c r="J276" s="66" t="e">
        <f t="shared" si="147"/>
        <v>#DIV/0!</v>
      </c>
      <c r="K276" s="70">
        <v>257719.44</v>
      </c>
      <c r="L276" s="70">
        <f>'Monitoramento Acumulado Geral'!Q276</f>
        <v>0</v>
      </c>
      <c r="M276" s="6">
        <f>(SUM(L266:L276))/K275</f>
        <v>0.90396533532743983</v>
      </c>
      <c r="N276" s="35" t="str">
        <f t="shared" si="97"/>
        <v>Desempenho Ótimo</v>
      </c>
      <c r="O276" s="6">
        <f t="shared" si="148"/>
        <v>0.42046470140126019</v>
      </c>
      <c r="P276" s="6">
        <f t="shared" si="148"/>
        <v>0.84574683442734511</v>
      </c>
      <c r="Q276" s="6">
        <f t="shared" si="148"/>
        <v>-4.8174316248247306E-3</v>
      </c>
      <c r="R276" s="70">
        <v>80</v>
      </c>
      <c r="S276" s="70">
        <v>0</v>
      </c>
      <c r="T276" s="6">
        <f t="shared" si="94"/>
        <v>0</v>
      </c>
      <c r="U276" s="35" t="e">
        <f t="shared" si="98"/>
        <v>#DIV/0!</v>
      </c>
      <c r="V276" s="6" t="e">
        <f t="shared" si="149"/>
        <v>#DIV/0!</v>
      </c>
      <c r="W276" s="6" t="e">
        <f t="shared" si="149"/>
        <v>#DIV/0!</v>
      </c>
      <c r="X276" s="6" t="e">
        <f t="shared" si="149"/>
        <v>#DIV/0!</v>
      </c>
      <c r="Y276" s="6" t="e">
        <f t="shared" si="149"/>
        <v>#DIV/0!</v>
      </c>
      <c r="Z276" s="6" t="e">
        <f t="shared" si="149"/>
        <v>#DIV/0!</v>
      </c>
    </row>
    <row r="277" spans="1:26" x14ac:dyDescent="0.2">
      <c r="A277" s="7" t="s">
        <v>90</v>
      </c>
      <c r="B277" s="6">
        <f t="shared" si="95"/>
        <v>12</v>
      </c>
      <c r="C277" s="7" t="s">
        <v>162</v>
      </c>
      <c r="D277" s="69">
        <v>75</v>
      </c>
      <c r="E277" s="69">
        <v>0</v>
      </c>
      <c r="F277" s="66">
        <f t="shared" si="93"/>
        <v>0</v>
      </c>
      <c r="G277" s="61" t="e">
        <f t="shared" si="96"/>
        <v>#DIV/0!</v>
      </c>
      <c r="H277" s="66" t="e">
        <f t="shared" si="147"/>
        <v>#DIV/0!</v>
      </c>
      <c r="I277" s="66" t="e">
        <f t="shared" si="147"/>
        <v>#DIV/0!</v>
      </c>
      <c r="J277" s="66" t="e">
        <f t="shared" si="147"/>
        <v>#DIV/0!</v>
      </c>
      <c r="K277" s="70">
        <v>257719.44</v>
      </c>
      <c r="L277" s="70">
        <f>'Monitoramento Acumulado Geral'!Q277</f>
        <v>0</v>
      </c>
      <c r="M277" s="6">
        <f>(SUM(L266:L277))/K276</f>
        <v>0.90396533532743983</v>
      </c>
      <c r="N277" s="35" t="str">
        <f t="shared" si="97"/>
        <v>Desempenho Ótimo</v>
      </c>
      <c r="O277" s="6">
        <f t="shared" si="148"/>
        <v>0.41824651958307835</v>
      </c>
      <c r="P277" s="6">
        <f t="shared" si="148"/>
        <v>0.84510274859297763</v>
      </c>
      <c r="Q277" s="6">
        <f t="shared" si="148"/>
        <v>-8.6097094268208774E-3</v>
      </c>
      <c r="R277" s="70">
        <v>80</v>
      </c>
      <c r="S277" s="70">
        <v>0</v>
      </c>
      <c r="T277" s="6">
        <f t="shared" si="94"/>
        <v>0</v>
      </c>
      <c r="U277" s="35" t="e">
        <f t="shared" si="98"/>
        <v>#DIV/0!</v>
      </c>
      <c r="V277" s="6" t="e">
        <f t="shared" si="149"/>
        <v>#DIV/0!</v>
      </c>
      <c r="W277" s="6" t="e">
        <f t="shared" si="149"/>
        <v>#DIV/0!</v>
      </c>
      <c r="X277" s="6" t="e">
        <f t="shared" si="149"/>
        <v>#DIV/0!</v>
      </c>
      <c r="Y277" s="6" t="e">
        <f t="shared" si="149"/>
        <v>#DIV/0!</v>
      </c>
      <c r="Z277" s="6" t="e">
        <f t="shared" si="149"/>
        <v>#DIV/0!</v>
      </c>
    </row>
    <row r="278" spans="1:26" x14ac:dyDescent="0.2">
      <c r="A278" s="7" t="s">
        <v>54</v>
      </c>
      <c r="B278" s="6">
        <f t="shared" si="95"/>
        <v>1</v>
      </c>
      <c r="C278" s="7" t="s">
        <v>151</v>
      </c>
      <c r="D278" s="69">
        <v>75</v>
      </c>
      <c r="E278" s="69">
        <v>6</v>
      </c>
      <c r="F278" s="66">
        <f t="shared" si="93"/>
        <v>0.08</v>
      </c>
      <c r="G278" s="61" t="e">
        <f t="shared" si="96"/>
        <v>#DIV/0!</v>
      </c>
      <c r="H278" s="66" t="e">
        <f t="shared" si="100"/>
        <v>#DIV/0!</v>
      </c>
      <c r="I278" s="66" t="e">
        <f t="shared" si="100"/>
        <v>#DIV/0!</v>
      </c>
      <c r="J278" s="66" t="e">
        <f t="shared" si="100"/>
        <v>#DIV/0!</v>
      </c>
      <c r="K278" s="70">
        <v>37857.379999999997</v>
      </c>
      <c r="L278" s="70">
        <f>'Monitoramento Acumulado Geral'!Q278</f>
        <v>40</v>
      </c>
      <c r="M278" s="6">
        <f>L278/K278</f>
        <v>1.0565971549008411E-3</v>
      </c>
      <c r="N278" s="35" t="str">
        <f t="shared" si="97"/>
        <v>Desempenho Médio</v>
      </c>
      <c r="O278" s="6">
        <f t="shared" ref="O278:Q285" si="150">O266</f>
        <v>3.4274647562211005E-2</v>
      </c>
      <c r="P278" s="6">
        <f t="shared" si="150"/>
        <v>0.10289217685709087</v>
      </c>
      <c r="Q278" s="6">
        <f t="shared" si="150"/>
        <v>-3.4342881732668862E-2</v>
      </c>
      <c r="R278" s="70">
        <v>80</v>
      </c>
      <c r="S278" s="70">
        <v>0</v>
      </c>
      <c r="T278" s="6">
        <f t="shared" si="94"/>
        <v>0</v>
      </c>
      <c r="U278" s="35" t="e">
        <f t="shared" si="98"/>
        <v>#DIV/0!</v>
      </c>
      <c r="V278" s="6" t="e">
        <f t="shared" si="105"/>
        <v>#DIV/0!</v>
      </c>
      <c r="W278" s="6" t="e">
        <f t="shared" si="105"/>
        <v>#DIV/0!</v>
      </c>
      <c r="X278" s="6" t="e">
        <f t="shared" si="105"/>
        <v>#DIV/0!</v>
      </c>
      <c r="Y278" s="6" t="e">
        <f t="shared" si="105"/>
        <v>#DIV/0!</v>
      </c>
      <c r="Z278" s="6" t="e">
        <f t="shared" si="105"/>
        <v>#DIV/0!</v>
      </c>
    </row>
    <row r="279" spans="1:26" x14ac:dyDescent="0.2">
      <c r="A279" s="7" t="s">
        <v>54</v>
      </c>
      <c r="B279" s="6">
        <f t="shared" si="95"/>
        <v>2</v>
      </c>
      <c r="C279" s="7" t="s">
        <v>152</v>
      </c>
      <c r="D279" s="69">
        <v>75</v>
      </c>
      <c r="E279" s="69">
        <v>6</v>
      </c>
      <c r="F279" s="66">
        <f t="shared" si="93"/>
        <v>0.08</v>
      </c>
      <c r="G279" s="61" t="e">
        <f t="shared" si="96"/>
        <v>#DIV/0!</v>
      </c>
      <c r="H279" s="66" t="e">
        <f t="shared" si="100"/>
        <v>#DIV/0!</v>
      </c>
      <c r="I279" s="66" t="e">
        <f t="shared" si="100"/>
        <v>#DIV/0!</v>
      </c>
      <c r="J279" s="66" t="e">
        <f t="shared" si="100"/>
        <v>#DIV/0!</v>
      </c>
      <c r="K279" s="70">
        <v>37857.379999999997</v>
      </c>
      <c r="L279" s="70">
        <f>'Monitoramento Acumulado Geral'!Q279</f>
        <v>0</v>
      </c>
      <c r="M279" s="6">
        <f>(SUM(L278:L279))/K278</f>
        <v>1.0565971549008411E-3</v>
      </c>
      <c r="N279" s="35" t="str">
        <f t="shared" si="97"/>
        <v>Desempenho Médio</v>
      </c>
      <c r="O279" s="6">
        <f t="shared" si="150"/>
        <v>8.1815188943147363E-2</v>
      </c>
      <c r="P279" s="6">
        <f t="shared" si="150"/>
        <v>0.20623883252423067</v>
      </c>
      <c r="Q279" s="6">
        <f t="shared" si="150"/>
        <v>-4.2608454637935944E-2</v>
      </c>
      <c r="R279" s="70">
        <v>80</v>
      </c>
      <c r="S279" s="70">
        <v>0</v>
      </c>
      <c r="T279" s="6">
        <f t="shared" si="94"/>
        <v>0</v>
      </c>
      <c r="U279" s="35" t="e">
        <f t="shared" si="98"/>
        <v>#DIV/0!</v>
      </c>
      <c r="V279" s="6" t="e">
        <f t="shared" ref="V279:Z289" si="151">V267</f>
        <v>#DIV/0!</v>
      </c>
      <c r="W279" s="6" t="e">
        <f t="shared" si="151"/>
        <v>#DIV/0!</v>
      </c>
      <c r="X279" s="6" t="e">
        <f t="shared" si="151"/>
        <v>#DIV/0!</v>
      </c>
      <c r="Y279" s="6" t="e">
        <f t="shared" si="151"/>
        <v>#DIV/0!</v>
      </c>
      <c r="Z279" s="6" t="e">
        <f t="shared" si="151"/>
        <v>#DIV/0!</v>
      </c>
    </row>
    <row r="280" spans="1:26" x14ac:dyDescent="0.2">
      <c r="A280" s="7" t="s">
        <v>54</v>
      </c>
      <c r="B280" s="6">
        <f t="shared" si="95"/>
        <v>3</v>
      </c>
      <c r="C280" s="7" t="s">
        <v>153</v>
      </c>
      <c r="D280" s="69">
        <v>75</v>
      </c>
      <c r="E280" s="69">
        <v>28</v>
      </c>
      <c r="F280" s="66">
        <f t="shared" si="93"/>
        <v>0.37333333333333335</v>
      </c>
      <c r="G280" s="61" t="e">
        <f t="shared" si="96"/>
        <v>#DIV/0!</v>
      </c>
      <c r="H280" s="66" t="e">
        <f t="shared" si="100"/>
        <v>#DIV/0!</v>
      </c>
      <c r="I280" s="66" t="e">
        <f t="shared" si="100"/>
        <v>#DIV/0!</v>
      </c>
      <c r="J280" s="66" t="e">
        <f t="shared" si="100"/>
        <v>#DIV/0!</v>
      </c>
      <c r="K280" s="70">
        <v>37857.379999999997</v>
      </c>
      <c r="L280" s="70">
        <f>'Monitoramento Acumulado Geral'!Q280</f>
        <v>720</v>
      </c>
      <c r="M280" s="6">
        <f>(SUM(L278:L280))/K279</f>
        <v>2.0075345943115979E-2</v>
      </c>
      <c r="N280" s="35" t="str">
        <f t="shared" si="97"/>
        <v>Desempenho Médio</v>
      </c>
      <c r="O280" s="6">
        <f t="shared" si="150"/>
        <v>0.13411292471649494</v>
      </c>
      <c r="P280" s="6">
        <f t="shared" si="150"/>
        <v>0.29721906787058483</v>
      </c>
      <c r="Q280" s="6">
        <f t="shared" si="150"/>
        <v>-2.899321843759492E-2</v>
      </c>
      <c r="R280" s="70">
        <v>80</v>
      </c>
      <c r="S280" s="70">
        <v>0</v>
      </c>
      <c r="T280" s="6">
        <f t="shared" si="94"/>
        <v>0</v>
      </c>
      <c r="U280" s="35" t="e">
        <f t="shared" si="98"/>
        <v>#DIV/0!</v>
      </c>
      <c r="V280" s="6" t="e">
        <f t="shared" si="151"/>
        <v>#DIV/0!</v>
      </c>
      <c r="W280" s="6" t="e">
        <f t="shared" si="151"/>
        <v>#DIV/0!</v>
      </c>
      <c r="X280" s="6" t="e">
        <f t="shared" si="151"/>
        <v>#DIV/0!</v>
      </c>
      <c r="Y280" s="6" t="e">
        <f t="shared" si="151"/>
        <v>#DIV/0!</v>
      </c>
      <c r="Z280" s="6" t="e">
        <f t="shared" si="151"/>
        <v>#DIV/0!</v>
      </c>
    </row>
    <row r="281" spans="1:26" x14ac:dyDescent="0.2">
      <c r="A281" s="7" t="s">
        <v>54</v>
      </c>
      <c r="B281" s="6">
        <f t="shared" si="95"/>
        <v>4</v>
      </c>
      <c r="C281" s="7" t="s">
        <v>154</v>
      </c>
      <c r="D281" s="69">
        <v>75</v>
      </c>
      <c r="E281" s="69">
        <v>28</v>
      </c>
      <c r="F281" s="66">
        <f t="shared" si="93"/>
        <v>0.37333333333333335</v>
      </c>
      <c r="G281" s="61" t="e">
        <f t="shared" si="96"/>
        <v>#DIV/0!</v>
      </c>
      <c r="H281" s="66" t="e">
        <f t="shared" si="100"/>
        <v>#DIV/0!</v>
      </c>
      <c r="I281" s="66" t="e">
        <f t="shared" si="100"/>
        <v>#DIV/0!</v>
      </c>
      <c r="J281" s="66" t="e">
        <f t="shared" si="100"/>
        <v>#DIV/0!</v>
      </c>
      <c r="K281" s="70">
        <v>37857.379999999997</v>
      </c>
      <c r="L281" s="70">
        <f>'Monitoramento Acumulado Geral'!Q281</f>
        <v>0</v>
      </c>
      <c r="M281" s="6">
        <f>(SUM(L278:L281))/K280</f>
        <v>2.0075345943115979E-2</v>
      </c>
      <c r="N281" s="35" t="str">
        <f t="shared" si="97"/>
        <v>Desempenho Médio</v>
      </c>
      <c r="O281" s="6">
        <f t="shared" si="150"/>
        <v>0.15392483870093213</v>
      </c>
      <c r="P281" s="6">
        <f t="shared" si="150"/>
        <v>0.32772007016950033</v>
      </c>
      <c r="Q281" s="6">
        <f t="shared" si="150"/>
        <v>-1.9870392767636053E-2</v>
      </c>
      <c r="R281" s="70">
        <v>80</v>
      </c>
      <c r="S281" s="70">
        <v>0</v>
      </c>
      <c r="T281" s="6">
        <f t="shared" si="94"/>
        <v>0</v>
      </c>
      <c r="U281" s="35" t="e">
        <f t="shared" si="98"/>
        <v>#DIV/0!</v>
      </c>
      <c r="V281" s="6" t="e">
        <f t="shared" si="151"/>
        <v>#DIV/0!</v>
      </c>
      <c r="W281" s="6" t="e">
        <f t="shared" si="151"/>
        <v>#DIV/0!</v>
      </c>
      <c r="X281" s="6" t="e">
        <f t="shared" si="151"/>
        <v>#DIV/0!</v>
      </c>
      <c r="Y281" s="6" t="e">
        <f t="shared" si="151"/>
        <v>#DIV/0!</v>
      </c>
      <c r="Z281" s="6" t="e">
        <f t="shared" si="151"/>
        <v>#DIV/0!</v>
      </c>
    </row>
    <row r="282" spans="1:26" x14ac:dyDescent="0.2">
      <c r="A282" s="7" t="s">
        <v>54</v>
      </c>
      <c r="B282" s="6">
        <f t="shared" si="95"/>
        <v>5</v>
      </c>
      <c r="C282" s="7" t="s">
        <v>155</v>
      </c>
      <c r="D282" s="69">
        <v>75</v>
      </c>
      <c r="E282" s="69">
        <v>28</v>
      </c>
      <c r="F282" s="66">
        <f t="shared" ref="F282:F357" si="152">E282/D282</f>
        <v>0.37333333333333335</v>
      </c>
      <c r="G282" s="61" t="e">
        <f t="shared" si="96"/>
        <v>#DIV/0!</v>
      </c>
      <c r="H282" s="66" t="e">
        <f t="shared" si="100"/>
        <v>#DIV/0!</v>
      </c>
      <c r="I282" s="66" t="e">
        <f t="shared" si="100"/>
        <v>#DIV/0!</v>
      </c>
      <c r="J282" s="66" t="e">
        <f t="shared" si="100"/>
        <v>#DIV/0!</v>
      </c>
      <c r="K282" s="70">
        <v>37857.379999999997</v>
      </c>
      <c r="L282" s="70">
        <f>'Monitoramento Acumulado Geral'!Q282</f>
        <v>0</v>
      </c>
      <c r="M282" s="6">
        <f>(SUM(L278:L282))/K281</f>
        <v>2.0075345943115979E-2</v>
      </c>
      <c r="N282" s="35" t="str">
        <f t="shared" si="97"/>
        <v>Desempenho Médio</v>
      </c>
      <c r="O282" s="6">
        <f t="shared" si="150"/>
        <v>0.21139287248463789</v>
      </c>
      <c r="P282" s="6">
        <f t="shared" si="150"/>
        <v>0.43680804416292918</v>
      </c>
      <c r="Q282" s="6">
        <f t="shared" si="150"/>
        <v>-1.4022299193653387E-2</v>
      </c>
      <c r="R282" s="70">
        <v>80</v>
      </c>
      <c r="S282" s="70">
        <v>0</v>
      </c>
      <c r="T282" s="6">
        <f t="shared" ref="T282:T357" si="153">S282/R282</f>
        <v>0</v>
      </c>
      <c r="U282" s="35" t="e">
        <f t="shared" si="98"/>
        <v>#DIV/0!</v>
      </c>
      <c r="V282" s="6" t="e">
        <f t="shared" si="151"/>
        <v>#DIV/0!</v>
      </c>
      <c r="W282" s="6" t="e">
        <f t="shared" si="151"/>
        <v>#DIV/0!</v>
      </c>
      <c r="X282" s="6" t="e">
        <f t="shared" si="151"/>
        <v>#DIV/0!</v>
      </c>
      <c r="Y282" s="6" t="e">
        <f t="shared" si="151"/>
        <v>#DIV/0!</v>
      </c>
      <c r="Z282" s="6" t="e">
        <f t="shared" si="151"/>
        <v>#DIV/0!</v>
      </c>
    </row>
    <row r="283" spans="1:26" x14ac:dyDescent="0.2">
      <c r="A283" s="7" t="s">
        <v>54</v>
      </c>
      <c r="B283" s="6">
        <f t="shared" ref="B283:B358" si="154">_xlfn.IFS(C283="Janeiro",1,C283="Fevereiro",2,C283="Março",3,C283="Abril",4,C283="Maio",5,C283="Junho",6,C283="Julho",7,C283="Agosto",8,C283="Setembro",9,C283="Outubro",10,C283="Novembro",11,C283="Dezembro",12,TRUE,0)</f>
        <v>6</v>
      </c>
      <c r="C283" s="7" t="s">
        <v>156</v>
      </c>
      <c r="D283" s="69">
        <v>75</v>
      </c>
      <c r="E283" s="69">
        <v>100</v>
      </c>
      <c r="F283" s="66">
        <f t="shared" si="152"/>
        <v>1.3333333333333333</v>
      </c>
      <c r="G283" s="61" t="e">
        <f t="shared" ref="G283:G358" si="155">IF(F283&gt;=I283,"Desempenho Ótimo",(IF(F283&gt;H283,"Desempenho Bom",(IF(F283&gt;J283,"Desempenho Médio",IF(F283&lt;=J283,"Desempenho Deficitário",0))))))</f>
        <v>#DIV/0!</v>
      </c>
      <c r="H283" s="66" t="e">
        <f t="shared" si="100"/>
        <v>#DIV/0!</v>
      </c>
      <c r="I283" s="66" t="e">
        <f t="shared" si="100"/>
        <v>#DIV/0!</v>
      </c>
      <c r="J283" s="66" t="e">
        <f t="shared" si="100"/>
        <v>#DIV/0!</v>
      </c>
      <c r="K283" s="70">
        <v>37857.379999999997</v>
      </c>
      <c r="L283" s="70">
        <f>'Monitoramento Acumulado Geral'!Q283</f>
        <v>20955.73</v>
      </c>
      <c r="M283" s="6">
        <f>(SUM(L278:L283))/K282</f>
        <v>0.57361946336487102</v>
      </c>
      <c r="N283" s="35" t="str">
        <f t="shared" ref="N283:N358" si="156">IF(M283&gt;=P283,"Desempenho Ótimo",(IF(M283&gt;O283,"Desempenho Bom",(IF(M283&gt;Q283,"Desempenho Médio",IF(M283&lt;=Q283,"Desempenho Deficitário",0))))))</f>
        <v>Desempenho Ótimo</v>
      </c>
      <c r="O283" s="6">
        <f t="shared" si="150"/>
        <v>0.28403291059934432</v>
      </c>
      <c r="P283" s="6">
        <f t="shared" si="150"/>
        <v>0.56118246348434164</v>
      </c>
      <c r="Q283" s="6">
        <f t="shared" si="150"/>
        <v>6.8833577143469493E-3</v>
      </c>
      <c r="R283" s="70">
        <v>80</v>
      </c>
      <c r="S283" s="70">
        <v>0</v>
      </c>
      <c r="T283" s="6">
        <f t="shared" si="153"/>
        <v>0</v>
      </c>
      <c r="U283" s="35" t="e">
        <f t="shared" ref="U283:U358" si="157">IF(T283&gt;=W283,"Desempenho Ótimo",(IF(T283&gt;V283,"Desempenho Bom",(IF(T283&gt;X283,"Desempenho Médio",IF(T283&lt;=X283,"Desempenho Deficitário",0))))))</f>
        <v>#DIV/0!</v>
      </c>
      <c r="V283" s="6" t="e">
        <f t="shared" si="151"/>
        <v>#DIV/0!</v>
      </c>
      <c r="W283" s="6" t="e">
        <f t="shared" si="151"/>
        <v>#DIV/0!</v>
      </c>
      <c r="X283" s="6" t="e">
        <f t="shared" si="151"/>
        <v>#DIV/0!</v>
      </c>
      <c r="Y283" s="6" t="e">
        <f t="shared" si="151"/>
        <v>#DIV/0!</v>
      </c>
      <c r="Z283" s="6" t="e">
        <f t="shared" si="151"/>
        <v>#DIV/0!</v>
      </c>
    </row>
    <row r="284" spans="1:26" x14ac:dyDescent="0.2">
      <c r="A284" s="7" t="s">
        <v>54</v>
      </c>
      <c r="B284" s="6">
        <f t="shared" si="154"/>
        <v>7</v>
      </c>
      <c r="C284" s="7" t="s">
        <v>157</v>
      </c>
      <c r="D284" s="69">
        <v>75</v>
      </c>
      <c r="E284" s="69">
        <v>100</v>
      </c>
      <c r="F284" s="66">
        <f t="shared" si="152"/>
        <v>1.3333333333333333</v>
      </c>
      <c r="G284" s="61" t="e">
        <f t="shared" si="155"/>
        <v>#DIV/0!</v>
      </c>
      <c r="H284" s="66" t="e">
        <f t="shared" si="100"/>
        <v>#DIV/0!</v>
      </c>
      <c r="I284" s="66" t="e">
        <f t="shared" si="100"/>
        <v>#DIV/0!</v>
      </c>
      <c r="J284" s="66" t="e">
        <f t="shared" si="100"/>
        <v>#DIV/0!</v>
      </c>
      <c r="K284" s="70">
        <v>37857.379999999997</v>
      </c>
      <c r="L284" s="70">
        <f>'Monitoramento Acumulado Geral'!Q284</f>
        <v>3160</v>
      </c>
      <c r="M284" s="6">
        <f>(SUM(L278:L284))/K283</f>
        <v>0.65709063860203742</v>
      </c>
      <c r="N284" s="35" t="str">
        <f t="shared" si="156"/>
        <v>Desempenho Bom</v>
      </c>
      <c r="O284" s="6">
        <f t="shared" si="150"/>
        <v>0.42046470140126019</v>
      </c>
      <c r="P284" s="6">
        <f t="shared" si="150"/>
        <v>0.84574683442734511</v>
      </c>
      <c r="Q284" s="6">
        <f t="shared" si="150"/>
        <v>-4.8174316248247306E-3</v>
      </c>
      <c r="R284" s="70">
        <v>80</v>
      </c>
      <c r="S284" s="70">
        <v>0</v>
      </c>
      <c r="T284" s="6">
        <f t="shared" si="153"/>
        <v>0</v>
      </c>
      <c r="U284" s="35" t="e">
        <f t="shared" si="157"/>
        <v>#DIV/0!</v>
      </c>
      <c r="V284" s="6" t="e">
        <f t="shared" si="151"/>
        <v>#DIV/0!</v>
      </c>
      <c r="W284" s="6" t="e">
        <f t="shared" si="151"/>
        <v>#DIV/0!</v>
      </c>
      <c r="X284" s="6" t="e">
        <f t="shared" si="151"/>
        <v>#DIV/0!</v>
      </c>
      <c r="Y284" s="6" t="e">
        <f t="shared" si="151"/>
        <v>#DIV/0!</v>
      </c>
      <c r="Z284" s="6" t="e">
        <f t="shared" si="151"/>
        <v>#DIV/0!</v>
      </c>
    </row>
    <row r="285" spans="1:26" x14ac:dyDescent="0.2">
      <c r="A285" s="7" t="s">
        <v>54</v>
      </c>
      <c r="B285" s="6">
        <f t="shared" si="154"/>
        <v>8</v>
      </c>
      <c r="C285" s="7" t="s">
        <v>158</v>
      </c>
      <c r="D285" s="69">
        <v>75</v>
      </c>
      <c r="E285" s="69">
        <v>0</v>
      </c>
      <c r="F285" s="66">
        <f t="shared" si="152"/>
        <v>0</v>
      </c>
      <c r="G285" s="61" t="e">
        <f t="shared" si="155"/>
        <v>#DIV/0!</v>
      </c>
      <c r="H285" s="66" t="e">
        <f t="shared" si="100"/>
        <v>#DIV/0!</v>
      </c>
      <c r="I285" s="66" t="e">
        <f t="shared" si="100"/>
        <v>#DIV/0!</v>
      </c>
      <c r="J285" s="66" t="e">
        <f t="shared" si="100"/>
        <v>#DIV/0!</v>
      </c>
      <c r="K285" s="70">
        <v>37857.379999999997</v>
      </c>
      <c r="L285" s="70">
        <f>'Monitoramento Acumulado Geral'!Q285</f>
        <v>0</v>
      </c>
      <c r="M285" s="6">
        <f>(SUM(L278:L285))/K284</f>
        <v>0.65709063860203742</v>
      </c>
      <c r="N285" s="35" t="str">
        <f t="shared" si="156"/>
        <v>Desempenho Bom</v>
      </c>
      <c r="O285" s="6">
        <f t="shared" si="150"/>
        <v>0.42046470140126019</v>
      </c>
      <c r="P285" s="6">
        <f t="shared" si="150"/>
        <v>0.84574683442734511</v>
      </c>
      <c r="Q285" s="6">
        <f t="shared" si="150"/>
        <v>-4.8174316248247306E-3</v>
      </c>
      <c r="R285" s="70">
        <v>80</v>
      </c>
      <c r="S285" s="70">
        <v>0</v>
      </c>
      <c r="T285" s="6">
        <f t="shared" si="153"/>
        <v>0</v>
      </c>
      <c r="U285" s="35" t="e">
        <f t="shared" si="157"/>
        <v>#DIV/0!</v>
      </c>
      <c r="V285" s="6" t="e">
        <f t="shared" si="151"/>
        <v>#DIV/0!</v>
      </c>
      <c r="W285" s="6" t="e">
        <f t="shared" si="151"/>
        <v>#DIV/0!</v>
      </c>
      <c r="X285" s="6" t="e">
        <f t="shared" si="151"/>
        <v>#DIV/0!</v>
      </c>
      <c r="Y285" s="6" t="e">
        <f t="shared" si="151"/>
        <v>#DIV/0!</v>
      </c>
      <c r="Z285" s="6" t="e">
        <f t="shared" si="151"/>
        <v>#DIV/0!</v>
      </c>
    </row>
    <row r="286" spans="1:26" x14ac:dyDescent="0.2">
      <c r="A286" s="7" t="s">
        <v>54</v>
      </c>
      <c r="B286" s="6">
        <f t="shared" si="154"/>
        <v>9</v>
      </c>
      <c r="C286" s="7" t="s">
        <v>159</v>
      </c>
      <c r="D286" s="69">
        <v>75</v>
      </c>
      <c r="E286" s="69">
        <v>0</v>
      </c>
      <c r="F286" s="66">
        <f t="shared" si="152"/>
        <v>0</v>
      </c>
      <c r="G286" s="61" t="e">
        <f t="shared" si="155"/>
        <v>#DIV/0!</v>
      </c>
      <c r="H286" s="66" t="e">
        <f t="shared" si="100"/>
        <v>#DIV/0!</v>
      </c>
      <c r="I286" s="66" t="e">
        <f t="shared" si="100"/>
        <v>#DIV/0!</v>
      </c>
      <c r="J286" s="66" t="e">
        <f t="shared" si="100"/>
        <v>#DIV/0!</v>
      </c>
      <c r="K286" s="70">
        <v>37857.379999999997</v>
      </c>
      <c r="L286" s="70">
        <f>'Monitoramento Acumulado Geral'!Q286</f>
        <v>0</v>
      </c>
      <c r="M286" s="6">
        <f>(SUM(L278:L286))/K285</f>
        <v>0.65709063860203742</v>
      </c>
      <c r="N286" s="35" t="str">
        <f t="shared" si="156"/>
        <v>Desempenho Bom</v>
      </c>
      <c r="O286" s="6">
        <f t="shared" ref="O286:Q289" si="158">O274</f>
        <v>0.42046470140126019</v>
      </c>
      <c r="P286" s="6">
        <f t="shared" si="158"/>
        <v>0.84574683442734511</v>
      </c>
      <c r="Q286" s="6">
        <f t="shared" si="158"/>
        <v>-4.8174316248247306E-3</v>
      </c>
      <c r="R286" s="70">
        <v>80</v>
      </c>
      <c r="S286" s="70">
        <v>0</v>
      </c>
      <c r="T286" s="6">
        <f t="shared" si="153"/>
        <v>0</v>
      </c>
      <c r="U286" s="35" t="e">
        <f t="shared" si="157"/>
        <v>#DIV/0!</v>
      </c>
      <c r="V286" s="6" t="e">
        <f t="shared" si="151"/>
        <v>#DIV/0!</v>
      </c>
      <c r="W286" s="6" t="e">
        <f t="shared" si="151"/>
        <v>#DIV/0!</v>
      </c>
      <c r="X286" s="6" t="e">
        <f t="shared" si="151"/>
        <v>#DIV/0!</v>
      </c>
      <c r="Y286" s="6" t="e">
        <f t="shared" si="151"/>
        <v>#DIV/0!</v>
      </c>
      <c r="Z286" s="6" t="e">
        <f t="shared" si="151"/>
        <v>#DIV/0!</v>
      </c>
    </row>
    <row r="287" spans="1:26" x14ac:dyDescent="0.2">
      <c r="A287" s="7" t="s">
        <v>54</v>
      </c>
      <c r="B287" s="6">
        <f t="shared" si="154"/>
        <v>10</v>
      </c>
      <c r="C287" s="7" t="s">
        <v>160</v>
      </c>
      <c r="D287" s="69">
        <v>75</v>
      </c>
      <c r="E287" s="69">
        <v>0</v>
      </c>
      <c r="F287" s="66">
        <f t="shared" si="152"/>
        <v>0</v>
      </c>
      <c r="G287" s="61" t="e">
        <f t="shared" si="155"/>
        <v>#DIV/0!</v>
      </c>
      <c r="H287" s="66" t="e">
        <f t="shared" si="100"/>
        <v>#DIV/0!</v>
      </c>
      <c r="I287" s="66" t="e">
        <f t="shared" si="100"/>
        <v>#DIV/0!</v>
      </c>
      <c r="J287" s="66" t="e">
        <f t="shared" si="100"/>
        <v>#DIV/0!</v>
      </c>
      <c r="K287" s="70">
        <v>37857.379999999997</v>
      </c>
      <c r="L287" s="70">
        <f>'Monitoramento Acumulado Geral'!Q287</f>
        <v>0</v>
      </c>
      <c r="M287" s="6">
        <f>(SUM(L278:L287))/K286</f>
        <v>0.65709063860203742</v>
      </c>
      <c r="N287" s="35" t="str">
        <f t="shared" si="156"/>
        <v>Desempenho Bom</v>
      </c>
      <c r="O287" s="6">
        <f t="shared" si="158"/>
        <v>0.42046470140126019</v>
      </c>
      <c r="P287" s="6">
        <f t="shared" si="158"/>
        <v>0.84574683442734511</v>
      </c>
      <c r="Q287" s="6">
        <f t="shared" si="158"/>
        <v>-4.8174316248247306E-3</v>
      </c>
      <c r="R287" s="70">
        <v>80</v>
      </c>
      <c r="S287" s="70">
        <v>0</v>
      </c>
      <c r="T287" s="6">
        <f t="shared" si="153"/>
        <v>0</v>
      </c>
      <c r="U287" s="35" t="e">
        <f t="shared" si="157"/>
        <v>#DIV/0!</v>
      </c>
      <c r="V287" s="6" t="e">
        <f t="shared" si="151"/>
        <v>#DIV/0!</v>
      </c>
      <c r="W287" s="6" t="e">
        <f t="shared" si="151"/>
        <v>#DIV/0!</v>
      </c>
      <c r="X287" s="6" t="e">
        <f t="shared" si="151"/>
        <v>#DIV/0!</v>
      </c>
      <c r="Y287" s="6" t="e">
        <f t="shared" si="151"/>
        <v>#DIV/0!</v>
      </c>
      <c r="Z287" s="6" t="e">
        <f t="shared" si="151"/>
        <v>#DIV/0!</v>
      </c>
    </row>
    <row r="288" spans="1:26" x14ac:dyDescent="0.2">
      <c r="A288" s="7" t="s">
        <v>54</v>
      </c>
      <c r="B288" s="6">
        <f t="shared" si="154"/>
        <v>11</v>
      </c>
      <c r="C288" s="7" t="s">
        <v>161</v>
      </c>
      <c r="D288" s="69">
        <v>75</v>
      </c>
      <c r="E288" s="69">
        <v>0</v>
      </c>
      <c r="F288" s="66">
        <f t="shared" si="152"/>
        <v>0</v>
      </c>
      <c r="G288" s="61" t="e">
        <f t="shared" si="155"/>
        <v>#DIV/0!</v>
      </c>
      <c r="H288" s="66" t="e">
        <f t="shared" si="100"/>
        <v>#DIV/0!</v>
      </c>
      <c r="I288" s="66" t="e">
        <f t="shared" si="100"/>
        <v>#DIV/0!</v>
      </c>
      <c r="J288" s="66" t="e">
        <f t="shared" si="100"/>
        <v>#DIV/0!</v>
      </c>
      <c r="K288" s="70">
        <v>37857.379999999997</v>
      </c>
      <c r="L288" s="70">
        <f>'Monitoramento Acumulado Geral'!Q288</f>
        <v>0</v>
      </c>
      <c r="M288" s="6">
        <f>(SUM(L278:L288))/K287</f>
        <v>0.65709063860203742</v>
      </c>
      <c r="N288" s="35" t="str">
        <f t="shared" si="156"/>
        <v>Desempenho Bom</v>
      </c>
      <c r="O288" s="6">
        <f t="shared" si="158"/>
        <v>0.42046470140126019</v>
      </c>
      <c r="P288" s="6">
        <f t="shared" si="158"/>
        <v>0.84574683442734511</v>
      </c>
      <c r="Q288" s="6">
        <f t="shared" si="158"/>
        <v>-4.8174316248247306E-3</v>
      </c>
      <c r="R288" s="70">
        <v>80</v>
      </c>
      <c r="S288" s="70">
        <v>0</v>
      </c>
      <c r="T288" s="6">
        <f t="shared" si="153"/>
        <v>0</v>
      </c>
      <c r="U288" s="35" t="e">
        <f t="shared" si="157"/>
        <v>#DIV/0!</v>
      </c>
      <c r="V288" s="6" t="e">
        <f t="shared" si="151"/>
        <v>#DIV/0!</v>
      </c>
      <c r="W288" s="6" t="e">
        <f t="shared" si="151"/>
        <v>#DIV/0!</v>
      </c>
      <c r="X288" s="6" t="e">
        <f t="shared" si="151"/>
        <v>#DIV/0!</v>
      </c>
      <c r="Y288" s="6" t="e">
        <f t="shared" si="151"/>
        <v>#DIV/0!</v>
      </c>
      <c r="Z288" s="6" t="e">
        <f t="shared" si="151"/>
        <v>#DIV/0!</v>
      </c>
    </row>
    <row r="289" spans="1:26" x14ac:dyDescent="0.2">
      <c r="A289" s="7" t="s">
        <v>54</v>
      </c>
      <c r="B289" s="6">
        <f t="shared" si="154"/>
        <v>12</v>
      </c>
      <c r="C289" s="7" t="s">
        <v>162</v>
      </c>
      <c r="D289" s="69">
        <v>75</v>
      </c>
      <c r="E289" s="69">
        <v>0</v>
      </c>
      <c r="F289" s="66">
        <f t="shared" si="152"/>
        <v>0</v>
      </c>
      <c r="G289" s="61" t="e">
        <f t="shared" si="155"/>
        <v>#DIV/0!</v>
      </c>
      <c r="H289" s="66" t="e">
        <f t="shared" si="100"/>
        <v>#DIV/0!</v>
      </c>
      <c r="I289" s="66" t="e">
        <f t="shared" si="100"/>
        <v>#DIV/0!</v>
      </c>
      <c r="J289" s="66" t="e">
        <f t="shared" si="100"/>
        <v>#DIV/0!</v>
      </c>
      <c r="K289" s="70">
        <v>37857.379999999997</v>
      </c>
      <c r="L289" s="70">
        <f>'Monitoramento Acumulado Geral'!Q289</f>
        <v>0</v>
      </c>
      <c r="M289" s="6">
        <f>(SUM(L278:L289))/K288</f>
        <v>0.65709063860203742</v>
      </c>
      <c r="N289" s="35" t="str">
        <f t="shared" si="156"/>
        <v>Desempenho Bom</v>
      </c>
      <c r="O289" s="6">
        <f t="shared" si="158"/>
        <v>0.41824651958307835</v>
      </c>
      <c r="P289" s="6">
        <f t="shared" si="158"/>
        <v>0.84510274859297763</v>
      </c>
      <c r="Q289" s="6">
        <f t="shared" si="158"/>
        <v>-8.6097094268208774E-3</v>
      </c>
      <c r="R289" s="70">
        <v>80</v>
      </c>
      <c r="S289" s="70">
        <v>0</v>
      </c>
      <c r="T289" s="6">
        <f t="shared" si="153"/>
        <v>0</v>
      </c>
      <c r="U289" s="35" t="e">
        <f t="shared" si="157"/>
        <v>#DIV/0!</v>
      </c>
      <c r="V289" s="6" t="e">
        <f t="shared" si="151"/>
        <v>#DIV/0!</v>
      </c>
      <c r="W289" s="6" t="e">
        <f t="shared" si="151"/>
        <v>#DIV/0!</v>
      </c>
      <c r="X289" s="6" t="e">
        <f t="shared" si="151"/>
        <v>#DIV/0!</v>
      </c>
      <c r="Y289" s="6" t="e">
        <f t="shared" si="151"/>
        <v>#DIV/0!</v>
      </c>
      <c r="Z289" s="6" t="e">
        <f t="shared" si="151"/>
        <v>#DIV/0!</v>
      </c>
    </row>
    <row r="290" spans="1:26" x14ac:dyDescent="0.2">
      <c r="A290" t="s">
        <v>301</v>
      </c>
      <c r="B290" s="6">
        <f t="shared" si="154"/>
        <v>1</v>
      </c>
      <c r="C290" s="7" t="s">
        <v>151</v>
      </c>
      <c r="D290" s="69">
        <v>0</v>
      </c>
      <c r="E290" s="69">
        <v>0</v>
      </c>
      <c r="F290" s="66" t="e">
        <f t="shared" si="152"/>
        <v>#DIV/0!</v>
      </c>
      <c r="G290" s="61" t="e">
        <f t="shared" si="155"/>
        <v>#DIV/0!</v>
      </c>
      <c r="H290" s="66" t="e">
        <f t="shared" ref="H290:J290" si="159">H266</f>
        <v>#DIV/0!</v>
      </c>
      <c r="I290" s="66" t="e">
        <f t="shared" si="159"/>
        <v>#DIV/0!</v>
      </c>
      <c r="J290" s="66" t="e">
        <f t="shared" si="159"/>
        <v>#DIV/0!</v>
      </c>
      <c r="K290" s="70">
        <v>7000</v>
      </c>
      <c r="L290" s="70">
        <f>'Monitoramento Acumulado Geral'!Q290</f>
        <v>0</v>
      </c>
      <c r="M290" s="6"/>
      <c r="N290" s="35"/>
      <c r="O290" s="6">
        <f t="shared" ref="O290:Q290" si="160">O266</f>
        <v>3.4274647562211005E-2</v>
      </c>
      <c r="P290" s="6">
        <f t="shared" si="160"/>
        <v>0.10289217685709087</v>
      </c>
      <c r="Q290" s="6">
        <f t="shared" si="160"/>
        <v>-3.4342881732668862E-2</v>
      </c>
      <c r="R290" s="70">
        <v>0</v>
      </c>
      <c r="S290" s="70">
        <v>0</v>
      </c>
      <c r="T290" s="6" t="e">
        <f t="shared" si="153"/>
        <v>#DIV/0!</v>
      </c>
      <c r="U290" s="35" t="e">
        <f t="shared" si="157"/>
        <v>#DIV/0!</v>
      </c>
      <c r="V290" s="6" t="e">
        <f t="shared" ref="V290:Z290" si="161">V266</f>
        <v>#DIV/0!</v>
      </c>
      <c r="W290" s="6" t="e">
        <f t="shared" si="161"/>
        <v>#DIV/0!</v>
      </c>
      <c r="X290" s="6" t="e">
        <f t="shared" si="161"/>
        <v>#DIV/0!</v>
      </c>
      <c r="Y290" s="6" t="e">
        <f t="shared" si="161"/>
        <v>#DIV/0!</v>
      </c>
      <c r="Z290" s="6" t="e">
        <f t="shared" si="161"/>
        <v>#DIV/0!</v>
      </c>
    </row>
    <row r="291" spans="1:26" x14ac:dyDescent="0.2">
      <c r="A291" t="s">
        <v>301</v>
      </c>
      <c r="B291" s="6">
        <f t="shared" si="154"/>
        <v>2</v>
      </c>
      <c r="C291" s="7" t="s">
        <v>152</v>
      </c>
      <c r="D291" s="69">
        <v>0</v>
      </c>
      <c r="E291" s="69">
        <v>0</v>
      </c>
      <c r="F291" s="66" t="e">
        <f t="shared" si="152"/>
        <v>#DIV/0!</v>
      </c>
      <c r="G291" s="61" t="e">
        <f t="shared" si="155"/>
        <v>#DIV/0!</v>
      </c>
      <c r="H291" s="66" t="e">
        <f t="shared" ref="H291:J291" si="162">H267</f>
        <v>#DIV/0!</v>
      </c>
      <c r="I291" s="66" t="e">
        <f t="shared" si="162"/>
        <v>#DIV/0!</v>
      </c>
      <c r="J291" s="66" t="e">
        <f t="shared" si="162"/>
        <v>#DIV/0!</v>
      </c>
      <c r="K291" s="70">
        <v>7000</v>
      </c>
      <c r="L291" s="70">
        <f>'Monitoramento Acumulado Geral'!Q291</f>
        <v>0</v>
      </c>
      <c r="M291" s="6"/>
      <c r="N291" s="35"/>
      <c r="O291" s="6">
        <f t="shared" ref="O291:Q291" si="163">O267</f>
        <v>8.1815188943147363E-2</v>
      </c>
      <c r="P291" s="6">
        <f t="shared" si="163"/>
        <v>0.20623883252423067</v>
      </c>
      <c r="Q291" s="6">
        <f t="shared" si="163"/>
        <v>-4.2608454637935944E-2</v>
      </c>
      <c r="R291" s="70">
        <v>0</v>
      </c>
      <c r="S291" s="70">
        <v>0</v>
      </c>
      <c r="T291" s="6" t="e">
        <f t="shared" si="153"/>
        <v>#DIV/0!</v>
      </c>
      <c r="U291" s="35" t="e">
        <f t="shared" si="157"/>
        <v>#DIV/0!</v>
      </c>
      <c r="V291" s="6" t="e">
        <f t="shared" ref="V291:Z291" si="164">V267</f>
        <v>#DIV/0!</v>
      </c>
      <c r="W291" s="6" t="e">
        <f t="shared" si="164"/>
        <v>#DIV/0!</v>
      </c>
      <c r="X291" s="6" t="e">
        <f t="shared" si="164"/>
        <v>#DIV/0!</v>
      </c>
      <c r="Y291" s="6" t="e">
        <f t="shared" si="164"/>
        <v>#DIV/0!</v>
      </c>
      <c r="Z291" s="6" t="e">
        <f t="shared" si="164"/>
        <v>#DIV/0!</v>
      </c>
    </row>
    <row r="292" spans="1:26" x14ac:dyDescent="0.2">
      <c r="A292" t="s">
        <v>301</v>
      </c>
      <c r="B292" s="6">
        <f t="shared" si="154"/>
        <v>3</v>
      </c>
      <c r="C292" s="7" t="s">
        <v>153</v>
      </c>
      <c r="D292" s="69">
        <v>0</v>
      </c>
      <c r="E292" s="69">
        <v>0</v>
      </c>
      <c r="F292" s="66" t="e">
        <f t="shared" si="152"/>
        <v>#DIV/0!</v>
      </c>
      <c r="G292" s="61" t="e">
        <f t="shared" si="155"/>
        <v>#DIV/0!</v>
      </c>
      <c r="H292" s="66" t="e">
        <f t="shared" ref="H292:J292" si="165">H268</f>
        <v>#DIV/0!</v>
      </c>
      <c r="I292" s="66" t="e">
        <f t="shared" si="165"/>
        <v>#DIV/0!</v>
      </c>
      <c r="J292" s="66" t="e">
        <f t="shared" si="165"/>
        <v>#DIV/0!</v>
      </c>
      <c r="K292" s="70">
        <v>7000</v>
      </c>
      <c r="L292" s="70">
        <f>'Monitoramento Acumulado Geral'!Q292</f>
        <v>0</v>
      </c>
      <c r="M292" s="6"/>
      <c r="N292" s="35"/>
      <c r="O292" s="6">
        <f t="shared" ref="O292:Q292" si="166">O268</f>
        <v>0.13411292471649494</v>
      </c>
      <c r="P292" s="6">
        <f t="shared" si="166"/>
        <v>0.29721906787058483</v>
      </c>
      <c r="Q292" s="6">
        <f t="shared" si="166"/>
        <v>-2.899321843759492E-2</v>
      </c>
      <c r="R292" s="70">
        <v>0</v>
      </c>
      <c r="S292" s="70">
        <v>0</v>
      </c>
      <c r="T292" s="6" t="e">
        <f t="shared" si="153"/>
        <v>#DIV/0!</v>
      </c>
      <c r="U292" s="35" t="e">
        <f t="shared" si="157"/>
        <v>#DIV/0!</v>
      </c>
      <c r="V292" s="6" t="e">
        <f t="shared" ref="V292:Z292" si="167">V268</f>
        <v>#DIV/0!</v>
      </c>
      <c r="W292" s="6" t="e">
        <f t="shared" si="167"/>
        <v>#DIV/0!</v>
      </c>
      <c r="X292" s="6" t="e">
        <f t="shared" si="167"/>
        <v>#DIV/0!</v>
      </c>
      <c r="Y292" s="6" t="e">
        <f t="shared" si="167"/>
        <v>#DIV/0!</v>
      </c>
      <c r="Z292" s="6" t="e">
        <f t="shared" si="167"/>
        <v>#DIV/0!</v>
      </c>
    </row>
    <row r="293" spans="1:26" x14ac:dyDescent="0.2">
      <c r="A293" t="s">
        <v>301</v>
      </c>
      <c r="B293" s="6">
        <f t="shared" si="154"/>
        <v>4</v>
      </c>
      <c r="C293" s="7" t="s">
        <v>154</v>
      </c>
      <c r="D293" s="69">
        <v>0</v>
      </c>
      <c r="E293" s="69">
        <v>0</v>
      </c>
      <c r="F293" s="66" t="e">
        <f t="shared" si="152"/>
        <v>#DIV/0!</v>
      </c>
      <c r="G293" s="61" t="e">
        <f t="shared" si="155"/>
        <v>#DIV/0!</v>
      </c>
      <c r="H293" s="66" t="e">
        <f t="shared" ref="H293:J293" si="168">H269</f>
        <v>#DIV/0!</v>
      </c>
      <c r="I293" s="66" t="e">
        <f t="shared" si="168"/>
        <v>#DIV/0!</v>
      </c>
      <c r="J293" s="66" t="e">
        <f t="shared" si="168"/>
        <v>#DIV/0!</v>
      </c>
      <c r="K293" s="70">
        <v>7000</v>
      </c>
      <c r="L293" s="70">
        <f>'Monitoramento Acumulado Geral'!Q293</f>
        <v>0</v>
      </c>
      <c r="M293" s="6"/>
      <c r="N293" s="35"/>
      <c r="O293" s="6">
        <f t="shared" ref="O293:Q293" si="169">O269</f>
        <v>0.15392483870093213</v>
      </c>
      <c r="P293" s="6">
        <f t="shared" si="169"/>
        <v>0.32772007016950033</v>
      </c>
      <c r="Q293" s="6">
        <f t="shared" si="169"/>
        <v>-1.9870392767636053E-2</v>
      </c>
      <c r="R293" s="70">
        <v>0</v>
      </c>
      <c r="S293" s="70">
        <v>0</v>
      </c>
      <c r="T293" s="6" t="e">
        <f t="shared" si="153"/>
        <v>#DIV/0!</v>
      </c>
      <c r="U293" s="35" t="e">
        <f t="shared" si="157"/>
        <v>#DIV/0!</v>
      </c>
      <c r="V293" s="6" t="e">
        <f t="shared" ref="V293:Z293" si="170">V269</f>
        <v>#DIV/0!</v>
      </c>
      <c r="W293" s="6" t="e">
        <f t="shared" si="170"/>
        <v>#DIV/0!</v>
      </c>
      <c r="X293" s="6" t="e">
        <f t="shared" si="170"/>
        <v>#DIV/0!</v>
      </c>
      <c r="Y293" s="6" t="e">
        <f t="shared" si="170"/>
        <v>#DIV/0!</v>
      </c>
      <c r="Z293" s="6" t="e">
        <f t="shared" si="170"/>
        <v>#DIV/0!</v>
      </c>
    </row>
    <row r="294" spans="1:26" x14ac:dyDescent="0.2">
      <c r="A294" t="s">
        <v>301</v>
      </c>
      <c r="B294" s="6">
        <f t="shared" si="154"/>
        <v>5</v>
      </c>
      <c r="C294" s="7" t="s">
        <v>155</v>
      </c>
      <c r="D294" s="69">
        <v>0</v>
      </c>
      <c r="E294" s="69">
        <v>0</v>
      </c>
      <c r="F294" s="66" t="e">
        <f t="shared" si="152"/>
        <v>#DIV/0!</v>
      </c>
      <c r="G294" s="61" t="e">
        <f t="shared" si="155"/>
        <v>#DIV/0!</v>
      </c>
      <c r="H294" s="66" t="e">
        <f t="shared" ref="H294:J294" si="171">H270</f>
        <v>#DIV/0!</v>
      </c>
      <c r="I294" s="66" t="e">
        <f t="shared" si="171"/>
        <v>#DIV/0!</v>
      </c>
      <c r="J294" s="66" t="e">
        <f t="shared" si="171"/>
        <v>#DIV/0!</v>
      </c>
      <c r="K294" s="70">
        <v>7000</v>
      </c>
      <c r="L294" s="70">
        <f>'Monitoramento Acumulado Geral'!Q294</f>
        <v>0</v>
      </c>
      <c r="M294" s="6"/>
      <c r="N294" s="35"/>
      <c r="O294" s="6">
        <f t="shared" ref="O294:Q294" si="172">O270</f>
        <v>0.21139287248463789</v>
      </c>
      <c r="P294" s="6">
        <f t="shared" si="172"/>
        <v>0.43680804416292918</v>
      </c>
      <c r="Q294" s="6">
        <f t="shared" si="172"/>
        <v>-1.4022299193653387E-2</v>
      </c>
      <c r="R294" s="70">
        <v>0</v>
      </c>
      <c r="S294" s="70">
        <v>0</v>
      </c>
      <c r="T294" s="6" t="e">
        <f t="shared" si="153"/>
        <v>#DIV/0!</v>
      </c>
      <c r="U294" s="35" t="e">
        <f t="shared" si="157"/>
        <v>#DIV/0!</v>
      </c>
      <c r="V294" s="6" t="e">
        <f t="shared" ref="V294:Z294" si="173">V270</f>
        <v>#DIV/0!</v>
      </c>
      <c r="W294" s="6" t="e">
        <f t="shared" si="173"/>
        <v>#DIV/0!</v>
      </c>
      <c r="X294" s="6" t="e">
        <f t="shared" si="173"/>
        <v>#DIV/0!</v>
      </c>
      <c r="Y294" s="6" t="e">
        <f t="shared" si="173"/>
        <v>#DIV/0!</v>
      </c>
      <c r="Z294" s="6" t="e">
        <f t="shared" si="173"/>
        <v>#DIV/0!</v>
      </c>
    </row>
    <row r="295" spans="1:26" x14ac:dyDescent="0.2">
      <c r="A295" t="s">
        <v>301</v>
      </c>
      <c r="B295" s="6">
        <f t="shared" ref="B295:B301" si="174">_xlfn.IFS(C295="Janeiro",1,C295="Fevereiro",2,C295="Março",3,C295="Abril",4,C295="Maio",5,C295="Junho",6,C295="Julho",7,C295="Agosto",8,C295="Setembro",9,C295="Outubro",10,C295="Novembro",11,C295="Dezembro",12,TRUE,0)</f>
        <v>6</v>
      </c>
      <c r="C295" s="7" t="s">
        <v>156</v>
      </c>
      <c r="D295" s="69">
        <v>0</v>
      </c>
      <c r="E295" s="69">
        <v>0</v>
      </c>
      <c r="F295" s="66" t="e">
        <f t="shared" si="152"/>
        <v>#DIV/0!</v>
      </c>
      <c r="G295" s="61" t="e">
        <f t="shared" si="155"/>
        <v>#DIV/0!</v>
      </c>
      <c r="H295" s="66" t="e">
        <f t="shared" ref="H295:J295" si="175">H271</f>
        <v>#DIV/0!</v>
      </c>
      <c r="I295" s="66" t="e">
        <f t="shared" si="175"/>
        <v>#DIV/0!</v>
      </c>
      <c r="J295" s="66" t="e">
        <f t="shared" si="175"/>
        <v>#DIV/0!</v>
      </c>
      <c r="K295" s="70">
        <v>7000</v>
      </c>
      <c r="L295" s="70">
        <f>'Monitoramento Acumulado Geral'!Q295</f>
        <v>0</v>
      </c>
      <c r="M295" s="6"/>
      <c r="N295" s="35"/>
      <c r="O295" s="6">
        <f t="shared" ref="O295:Q295" si="176">O271</f>
        <v>0.28403291059934432</v>
      </c>
      <c r="P295" s="6">
        <f t="shared" si="176"/>
        <v>0.56118246348434164</v>
      </c>
      <c r="Q295" s="6">
        <f t="shared" si="176"/>
        <v>6.8833577143469493E-3</v>
      </c>
      <c r="R295" s="70">
        <v>0</v>
      </c>
      <c r="S295" s="70">
        <v>0</v>
      </c>
      <c r="T295" s="6" t="e">
        <f t="shared" si="153"/>
        <v>#DIV/0!</v>
      </c>
      <c r="U295" s="35" t="e">
        <f t="shared" si="157"/>
        <v>#DIV/0!</v>
      </c>
      <c r="V295" s="6" t="e">
        <f t="shared" ref="V295:Z295" si="177">V271</f>
        <v>#DIV/0!</v>
      </c>
      <c r="W295" s="6" t="e">
        <f t="shared" si="177"/>
        <v>#DIV/0!</v>
      </c>
      <c r="X295" s="6" t="e">
        <f t="shared" si="177"/>
        <v>#DIV/0!</v>
      </c>
      <c r="Y295" s="6" t="e">
        <f t="shared" si="177"/>
        <v>#DIV/0!</v>
      </c>
      <c r="Z295" s="6" t="e">
        <f t="shared" si="177"/>
        <v>#DIV/0!</v>
      </c>
    </row>
    <row r="296" spans="1:26" x14ac:dyDescent="0.2">
      <c r="A296" t="s">
        <v>301</v>
      </c>
      <c r="B296" s="6">
        <f t="shared" si="174"/>
        <v>7</v>
      </c>
      <c r="C296" s="7" t="s">
        <v>157</v>
      </c>
      <c r="D296" s="69">
        <v>0</v>
      </c>
      <c r="E296" s="69">
        <v>0</v>
      </c>
      <c r="F296" s="66" t="e">
        <f t="shared" si="152"/>
        <v>#DIV/0!</v>
      </c>
      <c r="G296" s="61" t="e">
        <f t="shared" si="155"/>
        <v>#DIV/0!</v>
      </c>
      <c r="H296" s="66" t="e">
        <f t="shared" ref="H296:J296" si="178">H272</f>
        <v>#DIV/0!</v>
      </c>
      <c r="I296" s="66" t="e">
        <f t="shared" si="178"/>
        <v>#DIV/0!</v>
      </c>
      <c r="J296" s="66" t="e">
        <f t="shared" si="178"/>
        <v>#DIV/0!</v>
      </c>
      <c r="K296" s="70">
        <v>7000</v>
      </c>
      <c r="L296" s="70">
        <f>'Monitoramento Acumulado Geral'!Q296</f>
        <v>0</v>
      </c>
      <c r="M296" s="6"/>
      <c r="N296" s="35"/>
      <c r="O296" s="6">
        <f t="shared" ref="O296:Q296" si="179">O284</f>
        <v>0.42046470140126019</v>
      </c>
      <c r="P296" s="6">
        <f t="shared" si="179"/>
        <v>0.84574683442734511</v>
      </c>
      <c r="Q296" s="6">
        <f t="shared" si="179"/>
        <v>-4.8174316248247306E-3</v>
      </c>
      <c r="R296" s="70">
        <v>0</v>
      </c>
      <c r="S296" s="70">
        <v>0</v>
      </c>
      <c r="T296" s="6" t="e">
        <f t="shared" si="153"/>
        <v>#DIV/0!</v>
      </c>
      <c r="U296" s="35" t="e">
        <f t="shared" si="157"/>
        <v>#DIV/0!</v>
      </c>
      <c r="V296" s="6" t="e">
        <f t="shared" ref="V296:Z296" si="180">V272</f>
        <v>#DIV/0!</v>
      </c>
      <c r="W296" s="6" t="e">
        <f t="shared" si="180"/>
        <v>#DIV/0!</v>
      </c>
      <c r="X296" s="6" t="e">
        <f t="shared" si="180"/>
        <v>#DIV/0!</v>
      </c>
      <c r="Y296" s="6" t="e">
        <f t="shared" si="180"/>
        <v>#DIV/0!</v>
      </c>
      <c r="Z296" s="6" t="e">
        <f t="shared" si="180"/>
        <v>#DIV/0!</v>
      </c>
    </row>
    <row r="297" spans="1:26" x14ac:dyDescent="0.2">
      <c r="A297" t="s">
        <v>301</v>
      </c>
      <c r="B297" s="6">
        <f t="shared" si="174"/>
        <v>8</v>
      </c>
      <c r="C297" s="7" t="s">
        <v>158</v>
      </c>
      <c r="D297" s="69">
        <v>0</v>
      </c>
      <c r="E297" s="69">
        <v>0</v>
      </c>
      <c r="F297" s="66" t="e">
        <f t="shared" si="152"/>
        <v>#DIV/0!</v>
      </c>
      <c r="G297" s="61" t="e">
        <f t="shared" si="155"/>
        <v>#DIV/0!</v>
      </c>
      <c r="H297" s="66" t="e">
        <f t="shared" ref="H297:J297" si="181">H273</f>
        <v>#DIV/0!</v>
      </c>
      <c r="I297" s="66" t="e">
        <f t="shared" si="181"/>
        <v>#DIV/0!</v>
      </c>
      <c r="J297" s="66" t="e">
        <f t="shared" si="181"/>
        <v>#DIV/0!</v>
      </c>
      <c r="K297" s="70">
        <v>7000</v>
      </c>
      <c r="L297" s="70">
        <f>'Monitoramento Acumulado Geral'!Q297</f>
        <v>0</v>
      </c>
      <c r="M297" s="6"/>
      <c r="N297" s="35"/>
      <c r="O297" s="6">
        <f t="shared" ref="O297:Q297" si="182">O285</f>
        <v>0.42046470140126019</v>
      </c>
      <c r="P297" s="6">
        <f t="shared" si="182"/>
        <v>0.84574683442734511</v>
      </c>
      <c r="Q297" s="6">
        <f t="shared" si="182"/>
        <v>-4.8174316248247306E-3</v>
      </c>
      <c r="R297" s="70">
        <v>0</v>
      </c>
      <c r="S297" s="70">
        <v>0</v>
      </c>
      <c r="T297" s="6" t="e">
        <f t="shared" si="153"/>
        <v>#DIV/0!</v>
      </c>
      <c r="U297" s="35" t="e">
        <f t="shared" si="157"/>
        <v>#DIV/0!</v>
      </c>
      <c r="V297" s="6" t="e">
        <f t="shared" ref="V297:Z297" si="183">V273</f>
        <v>#DIV/0!</v>
      </c>
      <c r="W297" s="6" t="e">
        <f t="shared" si="183"/>
        <v>#DIV/0!</v>
      </c>
      <c r="X297" s="6" t="e">
        <f t="shared" si="183"/>
        <v>#DIV/0!</v>
      </c>
      <c r="Y297" s="6" t="e">
        <f t="shared" si="183"/>
        <v>#DIV/0!</v>
      </c>
      <c r="Z297" s="6" t="e">
        <f t="shared" si="183"/>
        <v>#DIV/0!</v>
      </c>
    </row>
    <row r="298" spans="1:26" x14ac:dyDescent="0.2">
      <c r="A298" t="s">
        <v>301</v>
      </c>
      <c r="B298" s="6">
        <f t="shared" si="174"/>
        <v>9</v>
      </c>
      <c r="C298" s="7" t="s">
        <v>159</v>
      </c>
      <c r="D298" s="69">
        <v>0</v>
      </c>
      <c r="E298" s="69">
        <v>0</v>
      </c>
      <c r="F298" s="66" t="e">
        <f t="shared" si="152"/>
        <v>#DIV/0!</v>
      </c>
      <c r="G298" s="61" t="e">
        <f t="shared" si="155"/>
        <v>#DIV/0!</v>
      </c>
      <c r="H298" s="66" t="e">
        <f t="shared" ref="H298:J298" si="184">H274</f>
        <v>#DIV/0!</v>
      </c>
      <c r="I298" s="66" t="e">
        <f t="shared" si="184"/>
        <v>#DIV/0!</v>
      </c>
      <c r="J298" s="66" t="e">
        <f t="shared" si="184"/>
        <v>#DIV/0!</v>
      </c>
      <c r="K298" s="70">
        <v>7000</v>
      </c>
      <c r="L298" s="70">
        <f>'Monitoramento Acumulado Geral'!Q298</f>
        <v>0</v>
      </c>
      <c r="M298" s="6"/>
      <c r="N298" s="35"/>
      <c r="O298" s="6">
        <f t="shared" ref="O298:Q298" si="185">O286</f>
        <v>0.42046470140126019</v>
      </c>
      <c r="P298" s="6">
        <f t="shared" si="185"/>
        <v>0.84574683442734511</v>
      </c>
      <c r="Q298" s="6">
        <f t="shared" si="185"/>
        <v>-4.8174316248247306E-3</v>
      </c>
      <c r="R298" s="70">
        <v>0</v>
      </c>
      <c r="S298" s="70">
        <v>0</v>
      </c>
      <c r="T298" s="6" t="e">
        <f t="shared" si="153"/>
        <v>#DIV/0!</v>
      </c>
      <c r="U298" s="35" t="e">
        <f t="shared" si="157"/>
        <v>#DIV/0!</v>
      </c>
      <c r="V298" s="6" t="e">
        <f t="shared" ref="V298:Z298" si="186">V286</f>
        <v>#DIV/0!</v>
      </c>
      <c r="W298" s="6" t="e">
        <f t="shared" si="186"/>
        <v>#DIV/0!</v>
      </c>
      <c r="X298" s="6" t="e">
        <f t="shared" si="186"/>
        <v>#DIV/0!</v>
      </c>
      <c r="Y298" s="6" t="e">
        <f t="shared" si="186"/>
        <v>#DIV/0!</v>
      </c>
      <c r="Z298" s="6" t="e">
        <f t="shared" si="186"/>
        <v>#DIV/0!</v>
      </c>
    </row>
    <row r="299" spans="1:26" x14ac:dyDescent="0.2">
      <c r="A299" t="s">
        <v>301</v>
      </c>
      <c r="B299" s="6">
        <f t="shared" si="174"/>
        <v>10</v>
      </c>
      <c r="C299" s="7" t="s">
        <v>160</v>
      </c>
      <c r="D299" s="69">
        <v>0</v>
      </c>
      <c r="E299" s="69">
        <v>0</v>
      </c>
      <c r="F299" s="66" t="e">
        <f t="shared" si="152"/>
        <v>#DIV/0!</v>
      </c>
      <c r="G299" s="61" t="e">
        <f t="shared" si="155"/>
        <v>#DIV/0!</v>
      </c>
      <c r="H299" s="66" t="e">
        <f t="shared" ref="H299:J299" si="187">H287</f>
        <v>#DIV/0!</v>
      </c>
      <c r="I299" s="66" t="e">
        <f t="shared" si="187"/>
        <v>#DIV/0!</v>
      </c>
      <c r="J299" s="66" t="e">
        <f t="shared" si="187"/>
        <v>#DIV/0!</v>
      </c>
      <c r="K299" s="70">
        <v>7000</v>
      </c>
      <c r="L299" s="70">
        <f>'Monitoramento Acumulado Geral'!Q299</f>
        <v>0</v>
      </c>
      <c r="M299" s="6"/>
      <c r="N299" s="35"/>
      <c r="O299" s="6">
        <f t="shared" ref="O299:Q299" si="188">O287</f>
        <v>0.42046470140126019</v>
      </c>
      <c r="P299" s="6">
        <f t="shared" si="188"/>
        <v>0.84574683442734511</v>
      </c>
      <c r="Q299" s="6">
        <f t="shared" si="188"/>
        <v>-4.8174316248247306E-3</v>
      </c>
      <c r="R299" s="70">
        <v>0</v>
      </c>
      <c r="S299" s="70">
        <v>0</v>
      </c>
      <c r="T299" s="6" t="e">
        <f t="shared" si="153"/>
        <v>#DIV/0!</v>
      </c>
      <c r="U299" s="35" t="e">
        <f t="shared" si="157"/>
        <v>#DIV/0!</v>
      </c>
      <c r="V299" s="6" t="e">
        <f t="shared" ref="V299:Z299" si="189">V287</f>
        <v>#DIV/0!</v>
      </c>
      <c r="W299" s="6" t="e">
        <f t="shared" si="189"/>
        <v>#DIV/0!</v>
      </c>
      <c r="X299" s="6" t="e">
        <f t="shared" si="189"/>
        <v>#DIV/0!</v>
      </c>
      <c r="Y299" s="6" t="e">
        <f t="shared" si="189"/>
        <v>#DIV/0!</v>
      </c>
      <c r="Z299" s="6" t="e">
        <f t="shared" si="189"/>
        <v>#DIV/0!</v>
      </c>
    </row>
    <row r="300" spans="1:26" x14ac:dyDescent="0.2">
      <c r="A300" t="s">
        <v>301</v>
      </c>
      <c r="B300" s="6">
        <f t="shared" si="174"/>
        <v>11</v>
      </c>
      <c r="C300" s="7" t="s">
        <v>161</v>
      </c>
      <c r="D300" s="69">
        <v>0</v>
      </c>
      <c r="E300" s="69">
        <v>0</v>
      </c>
      <c r="F300" s="66" t="e">
        <f t="shared" si="152"/>
        <v>#DIV/0!</v>
      </c>
      <c r="G300" s="61" t="e">
        <f t="shared" si="155"/>
        <v>#DIV/0!</v>
      </c>
      <c r="H300" s="66" t="e">
        <f t="shared" ref="H300:J300" si="190">H288</f>
        <v>#DIV/0!</v>
      </c>
      <c r="I300" s="66" t="e">
        <f t="shared" si="190"/>
        <v>#DIV/0!</v>
      </c>
      <c r="J300" s="66" t="e">
        <f t="shared" si="190"/>
        <v>#DIV/0!</v>
      </c>
      <c r="K300" s="70">
        <v>7000</v>
      </c>
      <c r="L300" s="70">
        <f>'Monitoramento Acumulado Geral'!Q300</f>
        <v>0</v>
      </c>
      <c r="M300" s="6"/>
      <c r="N300" s="35"/>
      <c r="O300" s="6">
        <f t="shared" ref="O300:Q300" si="191">O288</f>
        <v>0.42046470140126019</v>
      </c>
      <c r="P300" s="6">
        <f t="shared" si="191"/>
        <v>0.84574683442734511</v>
      </c>
      <c r="Q300" s="6">
        <f t="shared" si="191"/>
        <v>-4.8174316248247306E-3</v>
      </c>
      <c r="R300" s="70">
        <v>0</v>
      </c>
      <c r="S300" s="70">
        <v>0</v>
      </c>
      <c r="T300" s="6" t="e">
        <f t="shared" si="153"/>
        <v>#DIV/0!</v>
      </c>
      <c r="U300" s="35" t="e">
        <f t="shared" si="157"/>
        <v>#DIV/0!</v>
      </c>
      <c r="V300" s="6" t="e">
        <f t="shared" ref="V300:Z300" si="192">V288</f>
        <v>#DIV/0!</v>
      </c>
      <c r="W300" s="6" t="e">
        <f t="shared" si="192"/>
        <v>#DIV/0!</v>
      </c>
      <c r="X300" s="6" t="e">
        <f t="shared" si="192"/>
        <v>#DIV/0!</v>
      </c>
      <c r="Y300" s="6" t="e">
        <f t="shared" si="192"/>
        <v>#DIV/0!</v>
      </c>
      <c r="Z300" s="6" t="e">
        <f t="shared" si="192"/>
        <v>#DIV/0!</v>
      </c>
    </row>
    <row r="301" spans="1:26" x14ac:dyDescent="0.2">
      <c r="A301" t="s">
        <v>301</v>
      </c>
      <c r="B301" s="6">
        <f t="shared" si="174"/>
        <v>12</v>
      </c>
      <c r="C301" s="7" t="s">
        <v>162</v>
      </c>
      <c r="D301" s="69">
        <v>0</v>
      </c>
      <c r="E301" s="69">
        <v>0</v>
      </c>
      <c r="F301" s="66" t="e">
        <f t="shared" si="152"/>
        <v>#DIV/0!</v>
      </c>
      <c r="G301" s="61" t="e">
        <f t="shared" si="155"/>
        <v>#DIV/0!</v>
      </c>
      <c r="H301" s="66" t="e">
        <f t="shared" ref="H301:J301" si="193">H289</f>
        <v>#DIV/0!</v>
      </c>
      <c r="I301" s="66" t="e">
        <f t="shared" si="193"/>
        <v>#DIV/0!</v>
      </c>
      <c r="J301" s="66" t="e">
        <f t="shared" si="193"/>
        <v>#DIV/0!</v>
      </c>
      <c r="K301" s="70">
        <v>7000</v>
      </c>
      <c r="L301" s="70">
        <f>'Monitoramento Acumulado Geral'!Q301</f>
        <v>0</v>
      </c>
      <c r="M301" s="6"/>
      <c r="N301" s="35"/>
      <c r="O301" s="6">
        <f t="shared" ref="O301:Q301" si="194">O289</f>
        <v>0.41824651958307835</v>
      </c>
      <c r="P301" s="6">
        <f t="shared" si="194"/>
        <v>0.84510274859297763</v>
      </c>
      <c r="Q301" s="6">
        <f t="shared" si="194"/>
        <v>-8.6097094268208774E-3</v>
      </c>
      <c r="R301" s="70">
        <v>0</v>
      </c>
      <c r="S301" s="70">
        <v>0</v>
      </c>
      <c r="T301" s="6" t="e">
        <f t="shared" si="153"/>
        <v>#DIV/0!</v>
      </c>
      <c r="U301" s="35" t="e">
        <f t="shared" si="157"/>
        <v>#DIV/0!</v>
      </c>
      <c r="V301" s="6" t="e">
        <f t="shared" ref="V301:Z301" si="195">V289</f>
        <v>#DIV/0!</v>
      </c>
      <c r="W301" s="6" t="e">
        <f t="shared" si="195"/>
        <v>#DIV/0!</v>
      </c>
      <c r="X301" s="6" t="e">
        <f t="shared" si="195"/>
        <v>#DIV/0!</v>
      </c>
      <c r="Y301" s="6" t="e">
        <f t="shared" si="195"/>
        <v>#DIV/0!</v>
      </c>
      <c r="Z301" s="6" t="e">
        <f t="shared" si="195"/>
        <v>#DIV/0!</v>
      </c>
    </row>
    <row r="302" spans="1:26" x14ac:dyDescent="0.2">
      <c r="A302" s="7" t="s">
        <v>147</v>
      </c>
      <c r="B302" s="6">
        <f t="shared" si="154"/>
        <v>1</v>
      </c>
      <c r="C302" s="7" t="s">
        <v>151</v>
      </c>
      <c r="D302" s="69">
        <v>70</v>
      </c>
      <c r="E302" s="69">
        <v>0</v>
      </c>
      <c r="F302" s="66">
        <f t="shared" si="152"/>
        <v>0</v>
      </c>
      <c r="G302" s="61" t="e">
        <f t="shared" si="155"/>
        <v>#DIV/0!</v>
      </c>
      <c r="H302" s="66" t="e">
        <f t="shared" ref="H302:J313" si="196">H278</f>
        <v>#DIV/0!</v>
      </c>
      <c r="I302" s="66" t="e">
        <f t="shared" si="196"/>
        <v>#DIV/0!</v>
      </c>
      <c r="J302" s="66" t="e">
        <f t="shared" si="196"/>
        <v>#DIV/0!</v>
      </c>
      <c r="K302" s="70">
        <v>6000</v>
      </c>
      <c r="L302" s="70">
        <f>'Monitoramento Acumulado Geral'!Q302</f>
        <v>0</v>
      </c>
      <c r="M302" s="6">
        <f>L302/K302</f>
        <v>0</v>
      </c>
      <c r="N302" s="35" t="str">
        <f t="shared" si="156"/>
        <v>Desempenho Médio</v>
      </c>
      <c r="O302" s="6">
        <f t="shared" ref="O302:Q313" si="197">O278</f>
        <v>3.4274647562211005E-2</v>
      </c>
      <c r="P302" s="6">
        <f t="shared" si="197"/>
        <v>0.10289217685709087</v>
      </c>
      <c r="Q302" s="6">
        <f t="shared" si="197"/>
        <v>-3.4342881732668862E-2</v>
      </c>
      <c r="R302" s="70">
        <v>35</v>
      </c>
      <c r="S302" s="70">
        <v>0</v>
      </c>
      <c r="T302" s="6">
        <f t="shared" si="153"/>
        <v>0</v>
      </c>
      <c r="U302" s="35" t="e">
        <f t="shared" si="157"/>
        <v>#DIV/0!</v>
      </c>
      <c r="V302" s="6" t="e">
        <f t="shared" ref="V302:Z313" si="198">V278</f>
        <v>#DIV/0!</v>
      </c>
      <c r="W302" s="6" t="e">
        <f t="shared" si="198"/>
        <v>#DIV/0!</v>
      </c>
      <c r="X302" s="6" t="e">
        <f t="shared" si="198"/>
        <v>#DIV/0!</v>
      </c>
      <c r="Y302" s="6" t="e">
        <f t="shared" si="198"/>
        <v>#DIV/0!</v>
      </c>
      <c r="Z302" s="6" t="e">
        <f t="shared" si="198"/>
        <v>#DIV/0!</v>
      </c>
    </row>
    <row r="303" spans="1:26" x14ac:dyDescent="0.2">
      <c r="A303" s="7" t="s">
        <v>147</v>
      </c>
      <c r="B303" s="6">
        <f t="shared" si="154"/>
        <v>2</v>
      </c>
      <c r="C303" s="7" t="s">
        <v>152</v>
      </c>
      <c r="D303" s="69">
        <v>70</v>
      </c>
      <c r="E303" s="69">
        <v>0</v>
      </c>
      <c r="F303" s="66">
        <f t="shared" si="152"/>
        <v>0</v>
      </c>
      <c r="G303" s="61" t="e">
        <f t="shared" si="155"/>
        <v>#DIV/0!</v>
      </c>
      <c r="H303" s="66" t="e">
        <f t="shared" si="196"/>
        <v>#DIV/0!</v>
      </c>
      <c r="I303" s="66" t="e">
        <f t="shared" si="196"/>
        <v>#DIV/0!</v>
      </c>
      <c r="J303" s="66" t="e">
        <f t="shared" si="196"/>
        <v>#DIV/0!</v>
      </c>
      <c r="K303" s="70">
        <v>6000</v>
      </c>
      <c r="L303" s="70">
        <f>'Monitoramento Acumulado Geral'!Q303</f>
        <v>0</v>
      </c>
      <c r="M303" s="6">
        <f>(SUM(L302:L303))/K302</f>
        <v>0</v>
      </c>
      <c r="N303" s="35" t="str">
        <f t="shared" si="156"/>
        <v>Desempenho Médio</v>
      </c>
      <c r="O303" s="6">
        <f t="shared" si="197"/>
        <v>8.1815188943147363E-2</v>
      </c>
      <c r="P303" s="6">
        <f t="shared" si="197"/>
        <v>0.20623883252423067</v>
      </c>
      <c r="Q303" s="6">
        <f t="shared" si="197"/>
        <v>-4.2608454637935944E-2</v>
      </c>
      <c r="R303" s="70">
        <v>35</v>
      </c>
      <c r="S303" s="70">
        <v>0</v>
      </c>
      <c r="T303" s="6">
        <f t="shared" si="153"/>
        <v>0</v>
      </c>
      <c r="U303" s="35" t="e">
        <f t="shared" si="157"/>
        <v>#DIV/0!</v>
      </c>
      <c r="V303" s="6" t="e">
        <f t="shared" si="198"/>
        <v>#DIV/0!</v>
      </c>
      <c r="W303" s="6" t="e">
        <f t="shared" si="198"/>
        <v>#DIV/0!</v>
      </c>
      <c r="X303" s="6" t="e">
        <f t="shared" si="198"/>
        <v>#DIV/0!</v>
      </c>
      <c r="Y303" s="6" t="e">
        <f t="shared" si="198"/>
        <v>#DIV/0!</v>
      </c>
      <c r="Z303" s="6" t="e">
        <f t="shared" si="198"/>
        <v>#DIV/0!</v>
      </c>
    </row>
    <row r="304" spans="1:26" x14ac:dyDescent="0.2">
      <c r="A304" s="7" t="s">
        <v>147</v>
      </c>
      <c r="B304" s="6">
        <f t="shared" si="154"/>
        <v>3</v>
      </c>
      <c r="C304" s="7" t="s">
        <v>153</v>
      </c>
      <c r="D304" s="69">
        <v>70</v>
      </c>
      <c r="E304" s="69">
        <v>0</v>
      </c>
      <c r="F304" s="66">
        <f t="shared" si="152"/>
        <v>0</v>
      </c>
      <c r="G304" s="61" t="e">
        <f t="shared" si="155"/>
        <v>#DIV/0!</v>
      </c>
      <c r="H304" s="66" t="e">
        <f t="shared" si="196"/>
        <v>#DIV/0!</v>
      </c>
      <c r="I304" s="66" t="e">
        <f t="shared" si="196"/>
        <v>#DIV/0!</v>
      </c>
      <c r="J304" s="66" t="e">
        <f t="shared" si="196"/>
        <v>#DIV/0!</v>
      </c>
      <c r="K304" s="70">
        <v>6000</v>
      </c>
      <c r="L304" s="70">
        <f>'Monitoramento Acumulado Geral'!Q304</f>
        <v>0</v>
      </c>
      <c r="M304" s="6">
        <f>(SUM(L302:L304))/K303</f>
        <v>0</v>
      </c>
      <c r="N304" s="35" t="str">
        <f t="shared" si="156"/>
        <v>Desempenho Médio</v>
      </c>
      <c r="O304" s="6">
        <f t="shared" si="197"/>
        <v>0.13411292471649494</v>
      </c>
      <c r="P304" s="6">
        <f t="shared" si="197"/>
        <v>0.29721906787058483</v>
      </c>
      <c r="Q304" s="6">
        <f t="shared" si="197"/>
        <v>-2.899321843759492E-2</v>
      </c>
      <c r="R304" s="70">
        <v>35</v>
      </c>
      <c r="S304" s="70">
        <v>0</v>
      </c>
      <c r="T304" s="6">
        <f t="shared" si="153"/>
        <v>0</v>
      </c>
      <c r="U304" s="35" t="e">
        <f t="shared" si="157"/>
        <v>#DIV/0!</v>
      </c>
      <c r="V304" s="6" t="e">
        <f t="shared" si="198"/>
        <v>#DIV/0!</v>
      </c>
      <c r="W304" s="6" t="e">
        <f t="shared" si="198"/>
        <v>#DIV/0!</v>
      </c>
      <c r="X304" s="6" t="e">
        <f t="shared" si="198"/>
        <v>#DIV/0!</v>
      </c>
      <c r="Y304" s="6" t="e">
        <f t="shared" si="198"/>
        <v>#DIV/0!</v>
      </c>
      <c r="Z304" s="6" t="e">
        <f t="shared" si="198"/>
        <v>#DIV/0!</v>
      </c>
    </row>
    <row r="305" spans="1:26" x14ac:dyDescent="0.2">
      <c r="A305" s="7" t="s">
        <v>147</v>
      </c>
      <c r="B305" s="6">
        <f t="shared" si="154"/>
        <v>4</v>
      </c>
      <c r="C305" s="7" t="s">
        <v>154</v>
      </c>
      <c r="D305" s="69">
        <v>70</v>
      </c>
      <c r="E305" s="69">
        <v>0</v>
      </c>
      <c r="F305" s="66">
        <f t="shared" si="152"/>
        <v>0</v>
      </c>
      <c r="G305" s="61" t="e">
        <f t="shared" si="155"/>
        <v>#DIV/0!</v>
      </c>
      <c r="H305" s="66" t="e">
        <f t="shared" si="196"/>
        <v>#DIV/0!</v>
      </c>
      <c r="I305" s="66" t="e">
        <f t="shared" si="196"/>
        <v>#DIV/0!</v>
      </c>
      <c r="J305" s="66" t="e">
        <f t="shared" si="196"/>
        <v>#DIV/0!</v>
      </c>
      <c r="K305" s="70">
        <v>6000</v>
      </c>
      <c r="L305" s="70">
        <f>'Monitoramento Acumulado Geral'!Q305</f>
        <v>0</v>
      </c>
      <c r="M305" s="6">
        <f>(SUM(L302:L305))/K304</f>
        <v>0</v>
      </c>
      <c r="N305" s="35" t="str">
        <f t="shared" si="156"/>
        <v>Desempenho Médio</v>
      </c>
      <c r="O305" s="6">
        <f t="shared" si="197"/>
        <v>0.15392483870093213</v>
      </c>
      <c r="P305" s="6">
        <f t="shared" si="197"/>
        <v>0.32772007016950033</v>
      </c>
      <c r="Q305" s="6">
        <f t="shared" si="197"/>
        <v>-1.9870392767636053E-2</v>
      </c>
      <c r="R305" s="70">
        <v>35</v>
      </c>
      <c r="S305" s="70">
        <v>0</v>
      </c>
      <c r="T305" s="6">
        <f t="shared" si="153"/>
        <v>0</v>
      </c>
      <c r="U305" s="35" t="e">
        <f t="shared" si="157"/>
        <v>#DIV/0!</v>
      </c>
      <c r="V305" s="6" t="e">
        <f t="shared" si="198"/>
        <v>#DIV/0!</v>
      </c>
      <c r="W305" s="6" t="e">
        <f t="shared" si="198"/>
        <v>#DIV/0!</v>
      </c>
      <c r="X305" s="6" t="e">
        <f t="shared" si="198"/>
        <v>#DIV/0!</v>
      </c>
      <c r="Y305" s="6" t="e">
        <f t="shared" si="198"/>
        <v>#DIV/0!</v>
      </c>
      <c r="Z305" s="6" t="e">
        <f t="shared" si="198"/>
        <v>#DIV/0!</v>
      </c>
    </row>
    <row r="306" spans="1:26" x14ac:dyDescent="0.2">
      <c r="A306" s="7" t="s">
        <v>147</v>
      </c>
      <c r="B306" s="6">
        <f t="shared" si="154"/>
        <v>5</v>
      </c>
      <c r="C306" s="7" t="s">
        <v>155</v>
      </c>
      <c r="D306" s="69">
        <v>70</v>
      </c>
      <c r="E306" s="69">
        <v>0</v>
      </c>
      <c r="F306" s="66">
        <f t="shared" si="152"/>
        <v>0</v>
      </c>
      <c r="G306" s="61" t="e">
        <f t="shared" si="155"/>
        <v>#DIV/0!</v>
      </c>
      <c r="H306" s="66" t="e">
        <f t="shared" si="196"/>
        <v>#DIV/0!</v>
      </c>
      <c r="I306" s="66" t="e">
        <f t="shared" si="196"/>
        <v>#DIV/0!</v>
      </c>
      <c r="J306" s="66" t="e">
        <f t="shared" si="196"/>
        <v>#DIV/0!</v>
      </c>
      <c r="K306" s="70">
        <v>6000</v>
      </c>
      <c r="L306" s="70">
        <f>'Monitoramento Acumulado Geral'!Q306</f>
        <v>0</v>
      </c>
      <c r="M306" s="6">
        <f>(SUM(L302:L306))/K305</f>
        <v>0</v>
      </c>
      <c r="N306" s="35" t="str">
        <f t="shared" si="156"/>
        <v>Desempenho Médio</v>
      </c>
      <c r="O306" s="6">
        <f t="shared" si="197"/>
        <v>0.21139287248463789</v>
      </c>
      <c r="P306" s="6">
        <f t="shared" si="197"/>
        <v>0.43680804416292918</v>
      </c>
      <c r="Q306" s="6">
        <f t="shared" si="197"/>
        <v>-1.4022299193653387E-2</v>
      </c>
      <c r="R306" s="70">
        <v>35</v>
      </c>
      <c r="S306" s="70">
        <v>0</v>
      </c>
      <c r="T306" s="6">
        <f t="shared" si="153"/>
        <v>0</v>
      </c>
      <c r="U306" s="35" t="e">
        <f t="shared" si="157"/>
        <v>#DIV/0!</v>
      </c>
      <c r="V306" s="6" t="e">
        <f t="shared" si="198"/>
        <v>#DIV/0!</v>
      </c>
      <c r="W306" s="6" t="e">
        <f t="shared" si="198"/>
        <v>#DIV/0!</v>
      </c>
      <c r="X306" s="6" t="e">
        <f t="shared" si="198"/>
        <v>#DIV/0!</v>
      </c>
      <c r="Y306" s="6" t="e">
        <f t="shared" si="198"/>
        <v>#DIV/0!</v>
      </c>
      <c r="Z306" s="6" t="e">
        <f t="shared" si="198"/>
        <v>#DIV/0!</v>
      </c>
    </row>
    <row r="307" spans="1:26" x14ac:dyDescent="0.2">
      <c r="A307" s="7" t="s">
        <v>147</v>
      </c>
      <c r="B307" s="6">
        <f t="shared" si="154"/>
        <v>6</v>
      </c>
      <c r="C307" s="7" t="s">
        <v>156</v>
      </c>
      <c r="D307" s="69">
        <v>70</v>
      </c>
      <c r="E307" s="69">
        <v>0</v>
      </c>
      <c r="F307" s="66">
        <f t="shared" si="152"/>
        <v>0</v>
      </c>
      <c r="G307" s="61" t="e">
        <f t="shared" si="155"/>
        <v>#DIV/0!</v>
      </c>
      <c r="H307" s="66" t="e">
        <f t="shared" si="196"/>
        <v>#DIV/0!</v>
      </c>
      <c r="I307" s="66" t="e">
        <f t="shared" si="196"/>
        <v>#DIV/0!</v>
      </c>
      <c r="J307" s="66" t="e">
        <f t="shared" si="196"/>
        <v>#DIV/0!</v>
      </c>
      <c r="K307" s="70">
        <v>6000</v>
      </c>
      <c r="L307" s="70">
        <f>'Monitoramento Acumulado Geral'!Q307</f>
        <v>0</v>
      </c>
      <c r="M307" s="6">
        <f>(SUM(L302:L307))/K306</f>
        <v>0</v>
      </c>
      <c r="N307" s="35" t="str">
        <f t="shared" si="156"/>
        <v>Desempenho Deficitário</v>
      </c>
      <c r="O307" s="6">
        <f t="shared" si="197"/>
        <v>0.28403291059934432</v>
      </c>
      <c r="P307" s="6">
        <f t="shared" si="197"/>
        <v>0.56118246348434164</v>
      </c>
      <c r="Q307" s="6">
        <f t="shared" si="197"/>
        <v>6.8833577143469493E-3</v>
      </c>
      <c r="R307" s="70">
        <v>35</v>
      </c>
      <c r="S307" s="70">
        <v>0</v>
      </c>
      <c r="T307" s="6">
        <f t="shared" si="153"/>
        <v>0</v>
      </c>
      <c r="U307" s="35" t="e">
        <f t="shared" si="157"/>
        <v>#DIV/0!</v>
      </c>
      <c r="V307" s="6" t="e">
        <f t="shared" si="198"/>
        <v>#DIV/0!</v>
      </c>
      <c r="W307" s="6" t="e">
        <f t="shared" si="198"/>
        <v>#DIV/0!</v>
      </c>
      <c r="X307" s="6" t="e">
        <f t="shared" si="198"/>
        <v>#DIV/0!</v>
      </c>
      <c r="Y307" s="6" t="e">
        <f t="shared" si="198"/>
        <v>#DIV/0!</v>
      </c>
      <c r="Z307" s="6" t="e">
        <f t="shared" si="198"/>
        <v>#DIV/0!</v>
      </c>
    </row>
    <row r="308" spans="1:26" x14ac:dyDescent="0.2">
      <c r="A308" s="7" t="s">
        <v>147</v>
      </c>
      <c r="B308" s="6">
        <f t="shared" si="154"/>
        <v>7</v>
      </c>
      <c r="C308" s="7" t="s">
        <v>157</v>
      </c>
      <c r="D308" s="69">
        <v>70</v>
      </c>
      <c r="E308" s="69">
        <v>0</v>
      </c>
      <c r="F308" s="66">
        <f t="shared" si="152"/>
        <v>0</v>
      </c>
      <c r="G308" s="61" t="e">
        <f t="shared" si="155"/>
        <v>#DIV/0!</v>
      </c>
      <c r="H308" s="66" t="e">
        <f t="shared" si="196"/>
        <v>#DIV/0!</v>
      </c>
      <c r="I308" s="66" t="e">
        <f t="shared" si="196"/>
        <v>#DIV/0!</v>
      </c>
      <c r="J308" s="66" t="e">
        <f t="shared" si="196"/>
        <v>#DIV/0!</v>
      </c>
      <c r="K308" s="70">
        <v>6000</v>
      </c>
      <c r="L308" s="70">
        <f>'Monitoramento Acumulado Geral'!Q308</f>
        <v>0</v>
      </c>
      <c r="M308" s="6">
        <f>(SUM(L302:L308))/K307</f>
        <v>0</v>
      </c>
      <c r="N308" s="35" t="str">
        <f t="shared" si="156"/>
        <v>Desempenho Médio</v>
      </c>
      <c r="O308" s="6">
        <f t="shared" si="197"/>
        <v>0.42046470140126019</v>
      </c>
      <c r="P308" s="6">
        <f t="shared" si="197"/>
        <v>0.84574683442734511</v>
      </c>
      <c r="Q308" s="6">
        <f t="shared" si="197"/>
        <v>-4.8174316248247306E-3</v>
      </c>
      <c r="R308" s="70">
        <v>35</v>
      </c>
      <c r="S308" s="70">
        <v>0</v>
      </c>
      <c r="T308" s="6">
        <f t="shared" si="153"/>
        <v>0</v>
      </c>
      <c r="U308" s="35" t="e">
        <f t="shared" si="157"/>
        <v>#DIV/0!</v>
      </c>
      <c r="V308" s="6" t="e">
        <f t="shared" si="198"/>
        <v>#DIV/0!</v>
      </c>
      <c r="W308" s="6" t="e">
        <f t="shared" si="198"/>
        <v>#DIV/0!</v>
      </c>
      <c r="X308" s="6" t="e">
        <f t="shared" si="198"/>
        <v>#DIV/0!</v>
      </c>
      <c r="Y308" s="6" t="e">
        <f t="shared" si="198"/>
        <v>#DIV/0!</v>
      </c>
      <c r="Z308" s="6" t="e">
        <f t="shared" si="198"/>
        <v>#DIV/0!</v>
      </c>
    </row>
    <row r="309" spans="1:26" x14ac:dyDescent="0.2">
      <c r="A309" s="7" t="s">
        <v>147</v>
      </c>
      <c r="B309" s="6">
        <f t="shared" si="154"/>
        <v>8</v>
      </c>
      <c r="C309" s="7" t="s">
        <v>158</v>
      </c>
      <c r="D309" s="69">
        <v>70</v>
      </c>
      <c r="E309" s="69">
        <v>0</v>
      </c>
      <c r="F309" s="66">
        <f t="shared" si="152"/>
        <v>0</v>
      </c>
      <c r="G309" s="61" t="e">
        <f t="shared" si="155"/>
        <v>#DIV/0!</v>
      </c>
      <c r="H309" s="66" t="e">
        <f t="shared" si="196"/>
        <v>#DIV/0!</v>
      </c>
      <c r="I309" s="66" t="e">
        <f t="shared" si="196"/>
        <v>#DIV/0!</v>
      </c>
      <c r="J309" s="66" t="e">
        <f t="shared" si="196"/>
        <v>#DIV/0!</v>
      </c>
      <c r="K309" s="70">
        <v>6000</v>
      </c>
      <c r="L309" s="70">
        <f>'Monitoramento Acumulado Geral'!Q309</f>
        <v>0</v>
      </c>
      <c r="M309" s="6">
        <f>(SUM(L302:L309))/K308</f>
        <v>0</v>
      </c>
      <c r="N309" s="35" t="str">
        <f t="shared" si="156"/>
        <v>Desempenho Médio</v>
      </c>
      <c r="O309" s="6">
        <f t="shared" si="197"/>
        <v>0.42046470140126019</v>
      </c>
      <c r="P309" s="6">
        <f t="shared" si="197"/>
        <v>0.84574683442734511</v>
      </c>
      <c r="Q309" s="6">
        <f t="shared" si="197"/>
        <v>-4.8174316248247306E-3</v>
      </c>
      <c r="R309" s="70">
        <v>35</v>
      </c>
      <c r="S309" s="70">
        <v>0</v>
      </c>
      <c r="T309" s="6">
        <f t="shared" si="153"/>
        <v>0</v>
      </c>
      <c r="U309" s="35" t="e">
        <f t="shared" si="157"/>
        <v>#DIV/0!</v>
      </c>
      <c r="V309" s="6" t="e">
        <f t="shared" si="198"/>
        <v>#DIV/0!</v>
      </c>
      <c r="W309" s="6" t="e">
        <f t="shared" si="198"/>
        <v>#DIV/0!</v>
      </c>
      <c r="X309" s="6" t="e">
        <f t="shared" si="198"/>
        <v>#DIV/0!</v>
      </c>
      <c r="Y309" s="6" t="e">
        <f t="shared" si="198"/>
        <v>#DIV/0!</v>
      </c>
      <c r="Z309" s="6" t="e">
        <f t="shared" si="198"/>
        <v>#DIV/0!</v>
      </c>
    </row>
    <row r="310" spans="1:26" x14ac:dyDescent="0.2">
      <c r="A310" s="7" t="s">
        <v>147</v>
      </c>
      <c r="B310" s="6">
        <f t="shared" si="154"/>
        <v>9</v>
      </c>
      <c r="C310" s="7" t="s">
        <v>159</v>
      </c>
      <c r="D310" s="69">
        <v>70</v>
      </c>
      <c r="E310" s="69">
        <v>0</v>
      </c>
      <c r="F310" s="66">
        <f t="shared" si="152"/>
        <v>0</v>
      </c>
      <c r="G310" s="61" t="e">
        <f t="shared" si="155"/>
        <v>#DIV/0!</v>
      </c>
      <c r="H310" s="66" t="e">
        <f t="shared" si="196"/>
        <v>#DIV/0!</v>
      </c>
      <c r="I310" s="66" t="e">
        <f t="shared" si="196"/>
        <v>#DIV/0!</v>
      </c>
      <c r="J310" s="66" t="e">
        <f t="shared" si="196"/>
        <v>#DIV/0!</v>
      </c>
      <c r="K310" s="70">
        <v>6000</v>
      </c>
      <c r="L310" s="70">
        <f>'Monitoramento Acumulado Geral'!Q310</f>
        <v>0</v>
      </c>
      <c r="M310" s="6">
        <f>(SUM(L302:L310))/K309</f>
        <v>0</v>
      </c>
      <c r="N310" s="35" t="str">
        <f t="shared" si="156"/>
        <v>Desempenho Médio</v>
      </c>
      <c r="O310" s="6">
        <f t="shared" si="197"/>
        <v>0.42046470140126019</v>
      </c>
      <c r="P310" s="6">
        <f t="shared" si="197"/>
        <v>0.84574683442734511</v>
      </c>
      <c r="Q310" s="6">
        <f t="shared" si="197"/>
        <v>-4.8174316248247306E-3</v>
      </c>
      <c r="R310" s="70">
        <v>35</v>
      </c>
      <c r="S310" s="70">
        <v>0</v>
      </c>
      <c r="T310" s="6">
        <f t="shared" si="153"/>
        <v>0</v>
      </c>
      <c r="U310" s="35" t="e">
        <f t="shared" si="157"/>
        <v>#DIV/0!</v>
      </c>
      <c r="V310" s="6" t="e">
        <f t="shared" si="198"/>
        <v>#DIV/0!</v>
      </c>
      <c r="W310" s="6" t="e">
        <f t="shared" si="198"/>
        <v>#DIV/0!</v>
      </c>
      <c r="X310" s="6" t="e">
        <f t="shared" si="198"/>
        <v>#DIV/0!</v>
      </c>
      <c r="Y310" s="6" t="e">
        <f t="shared" si="198"/>
        <v>#DIV/0!</v>
      </c>
      <c r="Z310" s="6" t="e">
        <f t="shared" si="198"/>
        <v>#DIV/0!</v>
      </c>
    </row>
    <row r="311" spans="1:26" x14ac:dyDescent="0.2">
      <c r="A311" s="7" t="s">
        <v>147</v>
      </c>
      <c r="B311" s="6">
        <f t="shared" si="154"/>
        <v>10</v>
      </c>
      <c r="C311" s="7" t="s">
        <v>160</v>
      </c>
      <c r="D311" s="69">
        <v>70</v>
      </c>
      <c r="E311" s="69">
        <v>0</v>
      </c>
      <c r="F311" s="66">
        <f t="shared" si="152"/>
        <v>0</v>
      </c>
      <c r="G311" s="61" t="e">
        <f t="shared" si="155"/>
        <v>#DIV/0!</v>
      </c>
      <c r="H311" s="66" t="e">
        <f t="shared" si="196"/>
        <v>#DIV/0!</v>
      </c>
      <c r="I311" s="66" t="e">
        <f t="shared" si="196"/>
        <v>#DIV/0!</v>
      </c>
      <c r="J311" s="66" t="e">
        <f t="shared" si="196"/>
        <v>#DIV/0!</v>
      </c>
      <c r="K311" s="70">
        <v>6000</v>
      </c>
      <c r="L311" s="70">
        <f>'Monitoramento Acumulado Geral'!Q311</f>
        <v>0</v>
      </c>
      <c r="M311" s="6">
        <f>(SUM(L302:L311))/K310</f>
        <v>0</v>
      </c>
      <c r="N311" s="35" t="str">
        <f t="shared" si="156"/>
        <v>Desempenho Médio</v>
      </c>
      <c r="O311" s="6">
        <f t="shared" si="197"/>
        <v>0.42046470140126019</v>
      </c>
      <c r="P311" s="6">
        <f t="shared" si="197"/>
        <v>0.84574683442734511</v>
      </c>
      <c r="Q311" s="6">
        <f t="shared" si="197"/>
        <v>-4.8174316248247306E-3</v>
      </c>
      <c r="R311" s="70">
        <v>35</v>
      </c>
      <c r="S311" s="70">
        <v>0</v>
      </c>
      <c r="T311" s="6">
        <f t="shared" si="153"/>
        <v>0</v>
      </c>
      <c r="U311" s="35" t="e">
        <f t="shared" si="157"/>
        <v>#DIV/0!</v>
      </c>
      <c r="V311" s="6" t="e">
        <f t="shared" si="198"/>
        <v>#DIV/0!</v>
      </c>
      <c r="W311" s="6" t="e">
        <f t="shared" si="198"/>
        <v>#DIV/0!</v>
      </c>
      <c r="X311" s="6" t="e">
        <f t="shared" si="198"/>
        <v>#DIV/0!</v>
      </c>
      <c r="Y311" s="6" t="e">
        <f t="shared" si="198"/>
        <v>#DIV/0!</v>
      </c>
      <c r="Z311" s="6" t="e">
        <f t="shared" si="198"/>
        <v>#DIV/0!</v>
      </c>
    </row>
    <row r="312" spans="1:26" x14ac:dyDescent="0.2">
      <c r="A312" s="7" t="s">
        <v>147</v>
      </c>
      <c r="B312" s="6">
        <f t="shared" si="154"/>
        <v>11</v>
      </c>
      <c r="C312" s="7" t="s">
        <v>161</v>
      </c>
      <c r="D312" s="69">
        <v>70</v>
      </c>
      <c r="E312" s="69">
        <v>0</v>
      </c>
      <c r="F312" s="66">
        <f t="shared" si="152"/>
        <v>0</v>
      </c>
      <c r="G312" s="61" t="e">
        <f t="shared" si="155"/>
        <v>#DIV/0!</v>
      </c>
      <c r="H312" s="66" t="e">
        <f t="shared" si="196"/>
        <v>#DIV/0!</v>
      </c>
      <c r="I312" s="66" t="e">
        <f t="shared" si="196"/>
        <v>#DIV/0!</v>
      </c>
      <c r="J312" s="66" t="e">
        <f t="shared" si="196"/>
        <v>#DIV/0!</v>
      </c>
      <c r="K312" s="70">
        <v>6000</v>
      </c>
      <c r="L312" s="70">
        <f>'Monitoramento Acumulado Geral'!Q312</f>
        <v>0</v>
      </c>
      <c r="M312" s="6">
        <f>(SUM(L302:L312))/K311</f>
        <v>0</v>
      </c>
      <c r="N312" s="35" t="str">
        <f t="shared" si="156"/>
        <v>Desempenho Médio</v>
      </c>
      <c r="O312" s="6">
        <f t="shared" si="197"/>
        <v>0.42046470140126019</v>
      </c>
      <c r="P312" s="6">
        <f t="shared" si="197"/>
        <v>0.84574683442734511</v>
      </c>
      <c r="Q312" s="6">
        <f t="shared" si="197"/>
        <v>-4.8174316248247306E-3</v>
      </c>
      <c r="R312" s="70">
        <v>35</v>
      </c>
      <c r="S312" s="70">
        <v>0</v>
      </c>
      <c r="T312" s="6">
        <f t="shared" si="153"/>
        <v>0</v>
      </c>
      <c r="U312" s="35" t="e">
        <f t="shared" si="157"/>
        <v>#DIV/0!</v>
      </c>
      <c r="V312" s="6" t="e">
        <f t="shared" si="198"/>
        <v>#DIV/0!</v>
      </c>
      <c r="W312" s="6" t="e">
        <f t="shared" si="198"/>
        <v>#DIV/0!</v>
      </c>
      <c r="X312" s="6" t="e">
        <f t="shared" si="198"/>
        <v>#DIV/0!</v>
      </c>
      <c r="Y312" s="6" t="e">
        <f t="shared" si="198"/>
        <v>#DIV/0!</v>
      </c>
      <c r="Z312" s="6" t="e">
        <f t="shared" si="198"/>
        <v>#DIV/0!</v>
      </c>
    </row>
    <row r="313" spans="1:26" x14ac:dyDescent="0.2">
      <c r="A313" s="7" t="s">
        <v>147</v>
      </c>
      <c r="B313" s="6">
        <f t="shared" si="154"/>
        <v>12</v>
      </c>
      <c r="C313" s="7" t="s">
        <v>162</v>
      </c>
      <c r="D313" s="69">
        <v>70</v>
      </c>
      <c r="E313" s="69">
        <v>0</v>
      </c>
      <c r="F313" s="66">
        <f t="shared" si="152"/>
        <v>0</v>
      </c>
      <c r="G313" s="61" t="e">
        <f t="shared" si="155"/>
        <v>#DIV/0!</v>
      </c>
      <c r="H313" s="66" t="e">
        <f t="shared" si="196"/>
        <v>#DIV/0!</v>
      </c>
      <c r="I313" s="66" t="e">
        <f t="shared" si="196"/>
        <v>#DIV/0!</v>
      </c>
      <c r="J313" s="66" t="e">
        <f t="shared" si="196"/>
        <v>#DIV/0!</v>
      </c>
      <c r="K313" s="70">
        <v>6000</v>
      </c>
      <c r="L313" s="70">
        <f>'Monitoramento Acumulado Geral'!Q313</f>
        <v>0</v>
      </c>
      <c r="M313" s="6">
        <f>(SUM(L302:L313))/K312</f>
        <v>0</v>
      </c>
      <c r="N313" s="35" t="str">
        <f t="shared" si="156"/>
        <v>Desempenho Médio</v>
      </c>
      <c r="O313" s="6">
        <f t="shared" si="197"/>
        <v>0.41824651958307835</v>
      </c>
      <c r="P313" s="6">
        <f t="shared" si="197"/>
        <v>0.84510274859297763</v>
      </c>
      <c r="Q313" s="6">
        <f t="shared" si="197"/>
        <v>-8.6097094268208774E-3</v>
      </c>
      <c r="R313" s="70">
        <v>35</v>
      </c>
      <c r="S313" s="70">
        <v>0</v>
      </c>
      <c r="T313" s="6">
        <f t="shared" si="153"/>
        <v>0</v>
      </c>
      <c r="U313" s="35" t="e">
        <f t="shared" si="157"/>
        <v>#DIV/0!</v>
      </c>
      <c r="V313" s="6" t="e">
        <f t="shared" si="198"/>
        <v>#DIV/0!</v>
      </c>
      <c r="W313" s="6" t="e">
        <f t="shared" si="198"/>
        <v>#DIV/0!</v>
      </c>
      <c r="X313" s="6" t="e">
        <f t="shared" si="198"/>
        <v>#DIV/0!</v>
      </c>
      <c r="Y313" s="6" t="e">
        <f t="shared" si="198"/>
        <v>#DIV/0!</v>
      </c>
      <c r="Z313" s="6" t="e">
        <f t="shared" si="198"/>
        <v>#DIV/0!</v>
      </c>
    </row>
    <row r="314" spans="1:26" x14ac:dyDescent="0.2">
      <c r="A314" s="7" t="s">
        <v>71</v>
      </c>
      <c r="B314" s="6">
        <f t="shared" si="154"/>
        <v>1</v>
      </c>
      <c r="C314" s="7" t="s">
        <v>151</v>
      </c>
      <c r="D314" s="69">
        <v>60</v>
      </c>
      <c r="E314" s="69">
        <v>0</v>
      </c>
      <c r="F314" s="66">
        <f t="shared" si="152"/>
        <v>0</v>
      </c>
      <c r="G314" s="61" t="e">
        <f t="shared" si="155"/>
        <v>#DIV/0!</v>
      </c>
      <c r="H314" s="66" t="e">
        <f t="shared" ref="H314:J370" si="199">H302</f>
        <v>#DIV/0!</v>
      </c>
      <c r="I314" s="66" t="e">
        <f t="shared" si="199"/>
        <v>#DIV/0!</v>
      </c>
      <c r="J314" s="66" t="e">
        <f t="shared" si="199"/>
        <v>#DIV/0!</v>
      </c>
      <c r="K314" s="70">
        <v>10000</v>
      </c>
      <c r="L314" s="70">
        <f>'Monitoramento Acumulado Geral'!Q314</f>
        <v>0</v>
      </c>
      <c r="M314" s="6">
        <f>L314/K314</f>
        <v>0</v>
      </c>
      <c r="N314" s="35" t="str">
        <f t="shared" si="156"/>
        <v>Desempenho Médio</v>
      </c>
      <c r="O314" s="6">
        <f t="shared" ref="O314:Q329" si="200">O302</f>
        <v>3.4274647562211005E-2</v>
      </c>
      <c r="P314" s="6">
        <f t="shared" si="200"/>
        <v>0.10289217685709087</v>
      </c>
      <c r="Q314" s="6">
        <f t="shared" si="200"/>
        <v>-3.4342881732668862E-2</v>
      </c>
      <c r="R314" s="70">
        <v>67</v>
      </c>
      <c r="S314" s="70">
        <v>0</v>
      </c>
      <c r="T314" s="6">
        <f t="shared" si="153"/>
        <v>0</v>
      </c>
      <c r="U314" s="35" t="e">
        <f t="shared" si="157"/>
        <v>#DIV/0!</v>
      </c>
      <c r="V314" s="6" t="e">
        <f t="shared" ref="V314:Z322" si="201">V302</f>
        <v>#DIV/0!</v>
      </c>
      <c r="W314" s="6" t="e">
        <f t="shared" si="201"/>
        <v>#DIV/0!</v>
      </c>
      <c r="X314" s="6" t="e">
        <f t="shared" si="201"/>
        <v>#DIV/0!</v>
      </c>
      <c r="Y314" s="6" t="e">
        <f t="shared" si="201"/>
        <v>#DIV/0!</v>
      </c>
      <c r="Z314" s="6" t="e">
        <f t="shared" si="201"/>
        <v>#DIV/0!</v>
      </c>
    </row>
    <row r="315" spans="1:26" x14ac:dyDescent="0.2">
      <c r="A315" s="7" t="s">
        <v>71</v>
      </c>
      <c r="B315" s="6">
        <f t="shared" si="154"/>
        <v>2</v>
      </c>
      <c r="C315" s="7" t="s">
        <v>152</v>
      </c>
      <c r="D315" s="69">
        <v>60</v>
      </c>
      <c r="E315" s="69">
        <v>0</v>
      </c>
      <c r="F315" s="66">
        <f t="shared" si="152"/>
        <v>0</v>
      </c>
      <c r="G315" s="61" t="e">
        <f t="shared" si="155"/>
        <v>#DIV/0!</v>
      </c>
      <c r="H315" s="66" t="e">
        <f t="shared" si="199"/>
        <v>#DIV/0!</v>
      </c>
      <c r="I315" s="66" t="e">
        <f t="shared" si="199"/>
        <v>#DIV/0!</v>
      </c>
      <c r="J315" s="66" t="e">
        <f t="shared" si="199"/>
        <v>#DIV/0!</v>
      </c>
      <c r="K315" s="70">
        <v>10000</v>
      </c>
      <c r="L315" s="70">
        <f>'Monitoramento Acumulado Geral'!Q315</f>
        <v>0</v>
      </c>
      <c r="M315" s="6">
        <f>(SUM(L314:L315))/K314</f>
        <v>0</v>
      </c>
      <c r="N315" s="35" t="str">
        <f t="shared" si="156"/>
        <v>Desempenho Médio</v>
      </c>
      <c r="O315" s="6">
        <f t="shared" si="200"/>
        <v>8.1815188943147363E-2</v>
      </c>
      <c r="P315" s="6">
        <f t="shared" si="200"/>
        <v>0.20623883252423067</v>
      </c>
      <c r="Q315" s="6">
        <f t="shared" si="200"/>
        <v>-4.2608454637935944E-2</v>
      </c>
      <c r="R315" s="70">
        <v>67</v>
      </c>
      <c r="S315" s="70">
        <v>0</v>
      </c>
      <c r="T315" s="6">
        <f t="shared" si="153"/>
        <v>0</v>
      </c>
      <c r="U315" s="35" t="e">
        <f t="shared" si="157"/>
        <v>#DIV/0!</v>
      </c>
      <c r="V315" s="6" t="e">
        <f t="shared" si="201"/>
        <v>#DIV/0!</v>
      </c>
      <c r="W315" s="6" t="e">
        <f t="shared" si="201"/>
        <v>#DIV/0!</v>
      </c>
      <c r="X315" s="6" t="e">
        <f t="shared" si="201"/>
        <v>#DIV/0!</v>
      </c>
      <c r="Y315" s="6" t="e">
        <f t="shared" si="201"/>
        <v>#DIV/0!</v>
      </c>
      <c r="Z315" s="6" t="e">
        <f t="shared" si="201"/>
        <v>#DIV/0!</v>
      </c>
    </row>
    <row r="316" spans="1:26" x14ac:dyDescent="0.2">
      <c r="A316" s="7" t="s">
        <v>71</v>
      </c>
      <c r="B316" s="6">
        <f t="shared" si="154"/>
        <v>3</v>
      </c>
      <c r="C316" s="7" t="s">
        <v>153</v>
      </c>
      <c r="D316" s="69">
        <v>60</v>
      </c>
      <c r="E316" s="69">
        <v>24</v>
      </c>
      <c r="F316" s="66">
        <f t="shared" si="152"/>
        <v>0.4</v>
      </c>
      <c r="G316" s="61" t="e">
        <f t="shared" si="155"/>
        <v>#DIV/0!</v>
      </c>
      <c r="H316" s="66" t="e">
        <f t="shared" si="199"/>
        <v>#DIV/0!</v>
      </c>
      <c r="I316" s="66" t="e">
        <f t="shared" si="199"/>
        <v>#DIV/0!</v>
      </c>
      <c r="J316" s="66" t="e">
        <f t="shared" si="199"/>
        <v>#DIV/0!</v>
      </c>
      <c r="K316" s="70">
        <v>10000</v>
      </c>
      <c r="L316" s="70">
        <f>'Monitoramento Acumulado Geral'!Q316</f>
        <v>1855</v>
      </c>
      <c r="M316" s="6">
        <f>(SUM(L314:L316))/K315</f>
        <v>0.1855</v>
      </c>
      <c r="N316" s="35" t="str">
        <f t="shared" si="156"/>
        <v>Desempenho Bom</v>
      </c>
      <c r="O316" s="6">
        <f t="shared" si="200"/>
        <v>0.13411292471649494</v>
      </c>
      <c r="P316" s="6">
        <f t="shared" si="200"/>
        <v>0.29721906787058483</v>
      </c>
      <c r="Q316" s="6">
        <f t="shared" si="200"/>
        <v>-2.899321843759492E-2</v>
      </c>
      <c r="R316" s="70">
        <v>67</v>
      </c>
      <c r="S316" s="70">
        <v>0</v>
      </c>
      <c r="T316" s="6">
        <f t="shared" si="153"/>
        <v>0</v>
      </c>
      <c r="U316" s="35" t="e">
        <f t="shared" si="157"/>
        <v>#DIV/0!</v>
      </c>
      <c r="V316" s="6" t="e">
        <f t="shared" si="201"/>
        <v>#DIV/0!</v>
      </c>
      <c r="W316" s="6" t="e">
        <f t="shared" si="201"/>
        <v>#DIV/0!</v>
      </c>
      <c r="X316" s="6" t="e">
        <f t="shared" si="201"/>
        <v>#DIV/0!</v>
      </c>
      <c r="Y316" s="6" t="e">
        <f t="shared" si="201"/>
        <v>#DIV/0!</v>
      </c>
      <c r="Z316" s="6" t="e">
        <f t="shared" si="201"/>
        <v>#DIV/0!</v>
      </c>
    </row>
    <row r="317" spans="1:26" x14ac:dyDescent="0.2">
      <c r="A317" s="7" t="s">
        <v>71</v>
      </c>
      <c r="B317" s="6">
        <f t="shared" si="154"/>
        <v>4</v>
      </c>
      <c r="C317" s="7" t="s">
        <v>154</v>
      </c>
      <c r="D317" s="69">
        <v>60</v>
      </c>
      <c r="E317" s="69">
        <v>33</v>
      </c>
      <c r="F317" s="66">
        <f t="shared" si="152"/>
        <v>0.55000000000000004</v>
      </c>
      <c r="G317" s="61" t="e">
        <f t="shared" si="155"/>
        <v>#DIV/0!</v>
      </c>
      <c r="H317" s="66" t="e">
        <f t="shared" si="199"/>
        <v>#DIV/0!</v>
      </c>
      <c r="I317" s="66" t="e">
        <f t="shared" si="199"/>
        <v>#DIV/0!</v>
      </c>
      <c r="J317" s="66" t="e">
        <f t="shared" si="199"/>
        <v>#DIV/0!</v>
      </c>
      <c r="K317" s="70">
        <v>10000</v>
      </c>
      <c r="L317" s="70">
        <f>'Monitoramento Acumulado Geral'!Q317</f>
        <v>2655</v>
      </c>
      <c r="M317" s="6">
        <f>(SUM(L314:L317))/K316</f>
        <v>0.45100000000000001</v>
      </c>
      <c r="N317" s="35" t="str">
        <f t="shared" si="156"/>
        <v>Desempenho Ótimo</v>
      </c>
      <c r="O317" s="6">
        <f t="shared" si="200"/>
        <v>0.15392483870093213</v>
      </c>
      <c r="P317" s="6">
        <f t="shared" si="200"/>
        <v>0.32772007016950033</v>
      </c>
      <c r="Q317" s="6">
        <f t="shared" si="200"/>
        <v>-1.9870392767636053E-2</v>
      </c>
      <c r="R317" s="70">
        <v>67</v>
      </c>
      <c r="S317" s="70">
        <v>0</v>
      </c>
      <c r="T317" s="6">
        <f t="shared" si="153"/>
        <v>0</v>
      </c>
      <c r="U317" s="35" t="e">
        <f t="shared" si="157"/>
        <v>#DIV/0!</v>
      </c>
      <c r="V317" s="6" t="e">
        <f t="shared" si="201"/>
        <v>#DIV/0!</v>
      </c>
      <c r="W317" s="6" t="e">
        <f t="shared" si="201"/>
        <v>#DIV/0!</v>
      </c>
      <c r="X317" s="6" t="e">
        <f t="shared" si="201"/>
        <v>#DIV/0!</v>
      </c>
      <c r="Y317" s="6" t="e">
        <f t="shared" si="201"/>
        <v>#DIV/0!</v>
      </c>
      <c r="Z317" s="6" t="e">
        <f t="shared" si="201"/>
        <v>#DIV/0!</v>
      </c>
    </row>
    <row r="318" spans="1:26" x14ac:dyDescent="0.2">
      <c r="A318" s="7" t="s">
        <v>71</v>
      </c>
      <c r="B318" s="6">
        <f t="shared" si="154"/>
        <v>5</v>
      </c>
      <c r="C318" s="7" t="s">
        <v>155</v>
      </c>
      <c r="D318" s="69">
        <v>60</v>
      </c>
      <c r="E318" s="69">
        <v>48</v>
      </c>
      <c r="F318" s="66">
        <f t="shared" si="152"/>
        <v>0.8</v>
      </c>
      <c r="G318" s="61" t="e">
        <f t="shared" si="155"/>
        <v>#DIV/0!</v>
      </c>
      <c r="H318" s="66" t="e">
        <f t="shared" si="199"/>
        <v>#DIV/0!</v>
      </c>
      <c r="I318" s="66" t="e">
        <f t="shared" si="199"/>
        <v>#DIV/0!</v>
      </c>
      <c r="J318" s="66" t="e">
        <f t="shared" si="199"/>
        <v>#DIV/0!</v>
      </c>
      <c r="K318" s="70">
        <v>10000</v>
      </c>
      <c r="L318" s="70">
        <f>'Monitoramento Acumulado Geral'!Q318</f>
        <v>1</v>
      </c>
      <c r="M318" s="6">
        <f>(SUM(L314:L318))/K317</f>
        <v>0.4511</v>
      </c>
      <c r="N318" s="35" t="str">
        <f t="shared" si="156"/>
        <v>Desempenho Ótimo</v>
      </c>
      <c r="O318" s="6">
        <f t="shared" si="200"/>
        <v>0.21139287248463789</v>
      </c>
      <c r="P318" s="6">
        <f t="shared" si="200"/>
        <v>0.43680804416292918</v>
      </c>
      <c r="Q318" s="6">
        <f t="shared" si="200"/>
        <v>-1.4022299193653387E-2</v>
      </c>
      <c r="R318" s="70">
        <v>67</v>
      </c>
      <c r="S318" s="70">
        <v>0</v>
      </c>
      <c r="T318" s="6">
        <f t="shared" si="153"/>
        <v>0</v>
      </c>
      <c r="U318" s="35" t="e">
        <f t="shared" si="157"/>
        <v>#DIV/0!</v>
      </c>
      <c r="V318" s="6" t="e">
        <f t="shared" si="201"/>
        <v>#DIV/0!</v>
      </c>
      <c r="W318" s="6" t="e">
        <f t="shared" si="201"/>
        <v>#DIV/0!</v>
      </c>
      <c r="X318" s="6" t="e">
        <f t="shared" si="201"/>
        <v>#DIV/0!</v>
      </c>
      <c r="Y318" s="6" t="e">
        <f t="shared" si="201"/>
        <v>#DIV/0!</v>
      </c>
      <c r="Z318" s="6" t="e">
        <f t="shared" si="201"/>
        <v>#DIV/0!</v>
      </c>
    </row>
    <row r="319" spans="1:26" x14ac:dyDescent="0.2">
      <c r="A319" s="7" t="s">
        <v>71</v>
      </c>
      <c r="B319" s="6">
        <f t="shared" si="154"/>
        <v>6</v>
      </c>
      <c r="C319" s="7" t="s">
        <v>156</v>
      </c>
      <c r="D319" s="69">
        <v>60</v>
      </c>
      <c r="E319" s="69">
        <v>48</v>
      </c>
      <c r="F319" s="66">
        <f t="shared" si="152"/>
        <v>0.8</v>
      </c>
      <c r="G319" s="61" t="e">
        <f t="shared" si="155"/>
        <v>#DIV/0!</v>
      </c>
      <c r="H319" s="66" t="e">
        <f t="shared" si="199"/>
        <v>#DIV/0!</v>
      </c>
      <c r="I319" s="66" t="e">
        <f t="shared" si="199"/>
        <v>#DIV/0!</v>
      </c>
      <c r="J319" s="66" t="e">
        <f t="shared" si="199"/>
        <v>#DIV/0!</v>
      </c>
      <c r="K319" s="70">
        <v>10000</v>
      </c>
      <c r="L319" s="70">
        <f>'Monitoramento Acumulado Geral'!Q319</f>
        <v>0</v>
      </c>
      <c r="M319" s="6">
        <f>(SUM(L314:L319))/K318</f>
        <v>0.4511</v>
      </c>
      <c r="N319" s="35" t="str">
        <f t="shared" si="156"/>
        <v>Desempenho Bom</v>
      </c>
      <c r="O319" s="6">
        <f t="shared" si="200"/>
        <v>0.28403291059934432</v>
      </c>
      <c r="P319" s="6">
        <f t="shared" si="200"/>
        <v>0.56118246348434164</v>
      </c>
      <c r="Q319" s="6">
        <f t="shared" si="200"/>
        <v>6.8833577143469493E-3</v>
      </c>
      <c r="R319" s="70">
        <v>67</v>
      </c>
      <c r="S319" s="70">
        <v>0</v>
      </c>
      <c r="T319" s="6">
        <f t="shared" si="153"/>
        <v>0</v>
      </c>
      <c r="U319" s="35" t="e">
        <f t="shared" si="157"/>
        <v>#DIV/0!</v>
      </c>
      <c r="V319" s="6" t="e">
        <f t="shared" si="201"/>
        <v>#DIV/0!</v>
      </c>
      <c r="W319" s="6" t="e">
        <f t="shared" si="201"/>
        <v>#DIV/0!</v>
      </c>
      <c r="X319" s="6" t="e">
        <f t="shared" si="201"/>
        <v>#DIV/0!</v>
      </c>
      <c r="Y319" s="6" t="e">
        <f t="shared" si="201"/>
        <v>#DIV/0!</v>
      </c>
      <c r="Z319" s="6" t="e">
        <f t="shared" si="201"/>
        <v>#DIV/0!</v>
      </c>
    </row>
    <row r="320" spans="1:26" x14ac:dyDescent="0.2">
      <c r="A320" s="7" t="s">
        <v>71</v>
      </c>
      <c r="B320" s="6">
        <f t="shared" si="154"/>
        <v>7</v>
      </c>
      <c r="C320" s="7" t="s">
        <v>157</v>
      </c>
      <c r="D320" s="69">
        <v>60</v>
      </c>
      <c r="E320" s="69">
        <v>48</v>
      </c>
      <c r="F320" s="66">
        <f t="shared" si="152"/>
        <v>0.8</v>
      </c>
      <c r="G320" s="61" t="e">
        <f t="shared" si="155"/>
        <v>#DIV/0!</v>
      </c>
      <c r="H320" s="66" t="e">
        <f t="shared" si="199"/>
        <v>#DIV/0!</v>
      </c>
      <c r="I320" s="66" t="e">
        <f t="shared" si="199"/>
        <v>#DIV/0!</v>
      </c>
      <c r="J320" s="66" t="e">
        <f t="shared" si="199"/>
        <v>#DIV/0!</v>
      </c>
      <c r="K320" s="70">
        <v>10000</v>
      </c>
      <c r="L320" s="70">
        <f>'Monitoramento Acumulado Geral'!Q320</f>
        <v>0</v>
      </c>
      <c r="M320" s="6">
        <f>(SUM(L314:L320))/K319</f>
        <v>0.4511</v>
      </c>
      <c r="N320" s="35" t="str">
        <f t="shared" si="156"/>
        <v>Desempenho Bom</v>
      </c>
      <c r="O320" s="6">
        <f t="shared" si="200"/>
        <v>0.42046470140126019</v>
      </c>
      <c r="P320" s="6">
        <f t="shared" si="200"/>
        <v>0.84574683442734511</v>
      </c>
      <c r="Q320" s="6">
        <f t="shared" si="200"/>
        <v>-4.8174316248247306E-3</v>
      </c>
      <c r="R320" s="70">
        <v>67</v>
      </c>
      <c r="S320" s="70">
        <v>0</v>
      </c>
      <c r="T320" s="6">
        <f t="shared" si="153"/>
        <v>0</v>
      </c>
      <c r="U320" s="35" t="e">
        <f t="shared" si="157"/>
        <v>#DIV/0!</v>
      </c>
      <c r="V320" s="6" t="e">
        <f t="shared" si="201"/>
        <v>#DIV/0!</v>
      </c>
      <c r="W320" s="6" t="e">
        <f t="shared" si="201"/>
        <v>#DIV/0!</v>
      </c>
      <c r="X320" s="6" t="e">
        <f t="shared" si="201"/>
        <v>#DIV/0!</v>
      </c>
      <c r="Y320" s="6" t="e">
        <f t="shared" si="201"/>
        <v>#DIV/0!</v>
      </c>
      <c r="Z320" s="6" t="e">
        <f t="shared" si="201"/>
        <v>#DIV/0!</v>
      </c>
    </row>
    <row r="321" spans="1:26" x14ac:dyDescent="0.2">
      <c r="A321" s="7" t="s">
        <v>71</v>
      </c>
      <c r="B321" s="6">
        <f t="shared" si="154"/>
        <v>8</v>
      </c>
      <c r="C321" s="7" t="s">
        <v>158</v>
      </c>
      <c r="D321" s="69">
        <v>60</v>
      </c>
      <c r="E321" s="69">
        <v>0</v>
      </c>
      <c r="F321" s="66">
        <f t="shared" si="152"/>
        <v>0</v>
      </c>
      <c r="G321" s="61" t="e">
        <f t="shared" si="155"/>
        <v>#DIV/0!</v>
      </c>
      <c r="H321" s="66" t="e">
        <f t="shared" si="199"/>
        <v>#DIV/0!</v>
      </c>
      <c r="I321" s="66" t="e">
        <f t="shared" si="199"/>
        <v>#DIV/0!</v>
      </c>
      <c r="J321" s="66" t="e">
        <f t="shared" si="199"/>
        <v>#DIV/0!</v>
      </c>
      <c r="K321" s="70">
        <v>10000</v>
      </c>
      <c r="L321" s="70">
        <f>'Monitoramento Acumulado Geral'!Q321</f>
        <v>0</v>
      </c>
      <c r="M321" s="6">
        <f>(SUM(L314:L321))/K320</f>
        <v>0.4511</v>
      </c>
      <c r="N321" s="35" t="str">
        <f t="shared" si="156"/>
        <v>Desempenho Bom</v>
      </c>
      <c r="O321" s="6">
        <f t="shared" si="200"/>
        <v>0.42046470140126019</v>
      </c>
      <c r="P321" s="6">
        <f t="shared" si="200"/>
        <v>0.84574683442734511</v>
      </c>
      <c r="Q321" s="6">
        <f t="shared" si="200"/>
        <v>-4.8174316248247306E-3</v>
      </c>
      <c r="R321" s="70">
        <v>67</v>
      </c>
      <c r="S321" s="70">
        <v>0</v>
      </c>
      <c r="T321" s="6">
        <f t="shared" si="153"/>
        <v>0</v>
      </c>
      <c r="U321" s="35" t="e">
        <f t="shared" si="157"/>
        <v>#DIV/0!</v>
      </c>
      <c r="V321" s="6" t="e">
        <f t="shared" si="201"/>
        <v>#DIV/0!</v>
      </c>
      <c r="W321" s="6" t="e">
        <f t="shared" si="201"/>
        <v>#DIV/0!</v>
      </c>
      <c r="X321" s="6" t="e">
        <f t="shared" si="201"/>
        <v>#DIV/0!</v>
      </c>
      <c r="Y321" s="6" t="e">
        <f t="shared" si="201"/>
        <v>#DIV/0!</v>
      </c>
      <c r="Z321" s="6" t="e">
        <f t="shared" si="201"/>
        <v>#DIV/0!</v>
      </c>
    </row>
    <row r="322" spans="1:26" x14ac:dyDescent="0.2">
      <c r="A322" s="7" t="s">
        <v>71</v>
      </c>
      <c r="B322" s="6">
        <f t="shared" si="154"/>
        <v>9</v>
      </c>
      <c r="C322" s="7" t="s">
        <v>159</v>
      </c>
      <c r="D322" s="69">
        <v>60</v>
      </c>
      <c r="E322" s="69">
        <v>0</v>
      </c>
      <c r="F322" s="66">
        <f t="shared" si="152"/>
        <v>0</v>
      </c>
      <c r="G322" s="61" t="e">
        <f t="shared" si="155"/>
        <v>#DIV/0!</v>
      </c>
      <c r="H322" s="66" t="e">
        <f t="shared" si="199"/>
        <v>#DIV/0!</v>
      </c>
      <c r="I322" s="66" t="e">
        <f t="shared" si="199"/>
        <v>#DIV/0!</v>
      </c>
      <c r="J322" s="66" t="e">
        <f t="shared" si="199"/>
        <v>#DIV/0!</v>
      </c>
      <c r="K322" s="70">
        <v>10000</v>
      </c>
      <c r="L322" s="70">
        <f>'Monitoramento Acumulado Geral'!Q322</f>
        <v>0</v>
      </c>
      <c r="M322" s="6">
        <f>(SUM(L314:L322))/K321</f>
        <v>0.4511</v>
      </c>
      <c r="N322" s="35" t="str">
        <f t="shared" si="156"/>
        <v>Desempenho Bom</v>
      </c>
      <c r="O322" s="6">
        <f t="shared" si="200"/>
        <v>0.42046470140126019</v>
      </c>
      <c r="P322" s="6">
        <f t="shared" si="200"/>
        <v>0.84574683442734511</v>
      </c>
      <c r="Q322" s="6">
        <f t="shared" si="200"/>
        <v>-4.8174316248247306E-3</v>
      </c>
      <c r="R322" s="70">
        <v>67</v>
      </c>
      <c r="S322" s="70">
        <v>0</v>
      </c>
      <c r="T322" s="6">
        <f t="shared" si="153"/>
        <v>0</v>
      </c>
      <c r="U322" s="35" t="e">
        <f t="shared" si="157"/>
        <v>#DIV/0!</v>
      </c>
      <c r="V322" s="6" t="e">
        <f t="shared" si="201"/>
        <v>#DIV/0!</v>
      </c>
      <c r="W322" s="6" t="e">
        <f t="shared" si="201"/>
        <v>#DIV/0!</v>
      </c>
      <c r="X322" s="6" t="e">
        <f t="shared" si="201"/>
        <v>#DIV/0!</v>
      </c>
      <c r="Y322" s="6" t="e">
        <f t="shared" si="201"/>
        <v>#DIV/0!</v>
      </c>
      <c r="Z322" s="6" t="e">
        <f t="shared" si="201"/>
        <v>#DIV/0!</v>
      </c>
    </row>
    <row r="323" spans="1:26" x14ac:dyDescent="0.2">
      <c r="A323" s="7" t="s">
        <v>71</v>
      </c>
      <c r="B323" s="6">
        <f t="shared" si="154"/>
        <v>10</v>
      </c>
      <c r="C323" s="7" t="s">
        <v>160</v>
      </c>
      <c r="D323" s="69">
        <v>60</v>
      </c>
      <c r="E323" s="69">
        <v>0</v>
      </c>
      <c r="F323" s="66">
        <f t="shared" si="152"/>
        <v>0</v>
      </c>
      <c r="G323" s="61" t="e">
        <f t="shared" si="155"/>
        <v>#DIV/0!</v>
      </c>
      <c r="H323" s="66" t="e">
        <f t="shared" si="199"/>
        <v>#DIV/0!</v>
      </c>
      <c r="I323" s="66" t="e">
        <f t="shared" si="199"/>
        <v>#DIV/0!</v>
      </c>
      <c r="J323" s="66" t="e">
        <f t="shared" si="199"/>
        <v>#DIV/0!</v>
      </c>
      <c r="K323" s="70">
        <v>10000</v>
      </c>
      <c r="L323" s="70">
        <f>'Monitoramento Acumulado Geral'!Q323</f>
        <v>0</v>
      </c>
      <c r="M323" s="6">
        <f>(SUM(L314:L323))/K322</f>
        <v>0.4511</v>
      </c>
      <c r="N323" s="35" t="str">
        <f t="shared" si="156"/>
        <v>Desempenho Bom</v>
      </c>
      <c r="O323" s="6">
        <f t="shared" si="200"/>
        <v>0.42046470140126019</v>
      </c>
      <c r="P323" s="6">
        <f t="shared" si="200"/>
        <v>0.84574683442734511</v>
      </c>
      <c r="Q323" s="6">
        <f t="shared" si="200"/>
        <v>-4.8174316248247306E-3</v>
      </c>
      <c r="R323" s="70">
        <v>67</v>
      </c>
      <c r="S323" s="70">
        <v>0</v>
      </c>
      <c r="T323" s="6">
        <f t="shared" si="153"/>
        <v>0</v>
      </c>
      <c r="U323" s="35" t="e">
        <f t="shared" si="157"/>
        <v>#DIV/0!</v>
      </c>
      <c r="V323" s="6" t="e">
        <f t="shared" ref="V323:Z338" si="202">V311</f>
        <v>#DIV/0!</v>
      </c>
      <c r="W323" s="6" t="e">
        <f t="shared" si="202"/>
        <v>#DIV/0!</v>
      </c>
      <c r="X323" s="6" t="e">
        <f t="shared" si="202"/>
        <v>#DIV/0!</v>
      </c>
      <c r="Y323" s="6" t="e">
        <f t="shared" si="202"/>
        <v>#DIV/0!</v>
      </c>
      <c r="Z323" s="6" t="e">
        <f t="shared" si="202"/>
        <v>#DIV/0!</v>
      </c>
    </row>
    <row r="324" spans="1:26" x14ac:dyDescent="0.2">
      <c r="A324" s="7" t="s">
        <v>71</v>
      </c>
      <c r="B324" s="6">
        <f t="shared" si="154"/>
        <v>11</v>
      </c>
      <c r="C324" s="7" t="s">
        <v>161</v>
      </c>
      <c r="D324" s="69">
        <v>60</v>
      </c>
      <c r="E324" s="69">
        <v>0</v>
      </c>
      <c r="F324" s="66">
        <f t="shared" si="152"/>
        <v>0</v>
      </c>
      <c r="G324" s="61" t="e">
        <f t="shared" si="155"/>
        <v>#DIV/0!</v>
      </c>
      <c r="H324" s="66" t="e">
        <f t="shared" si="199"/>
        <v>#DIV/0!</v>
      </c>
      <c r="I324" s="66" t="e">
        <f t="shared" si="199"/>
        <v>#DIV/0!</v>
      </c>
      <c r="J324" s="66" t="e">
        <f t="shared" si="199"/>
        <v>#DIV/0!</v>
      </c>
      <c r="K324" s="70">
        <v>10000</v>
      </c>
      <c r="L324" s="70">
        <f>'Monitoramento Acumulado Geral'!Q324</f>
        <v>0</v>
      </c>
      <c r="M324" s="6">
        <f>(SUM(L314:L324))/K323</f>
        <v>0.4511</v>
      </c>
      <c r="N324" s="35" t="str">
        <f t="shared" si="156"/>
        <v>Desempenho Bom</v>
      </c>
      <c r="O324" s="6">
        <f t="shared" si="200"/>
        <v>0.42046470140126019</v>
      </c>
      <c r="P324" s="6">
        <f t="shared" si="200"/>
        <v>0.84574683442734511</v>
      </c>
      <c r="Q324" s="6">
        <f t="shared" si="200"/>
        <v>-4.8174316248247306E-3</v>
      </c>
      <c r="R324" s="70">
        <v>67</v>
      </c>
      <c r="S324" s="70">
        <v>0</v>
      </c>
      <c r="T324" s="6">
        <f t="shared" si="153"/>
        <v>0</v>
      </c>
      <c r="U324" s="35" t="e">
        <f t="shared" si="157"/>
        <v>#DIV/0!</v>
      </c>
      <c r="V324" s="6" t="e">
        <f t="shared" si="202"/>
        <v>#DIV/0!</v>
      </c>
      <c r="W324" s="6" t="e">
        <f t="shared" si="202"/>
        <v>#DIV/0!</v>
      </c>
      <c r="X324" s="6" t="e">
        <f t="shared" si="202"/>
        <v>#DIV/0!</v>
      </c>
      <c r="Y324" s="6" t="e">
        <f t="shared" si="202"/>
        <v>#DIV/0!</v>
      </c>
      <c r="Z324" s="6" t="e">
        <f t="shared" si="202"/>
        <v>#DIV/0!</v>
      </c>
    </row>
    <row r="325" spans="1:26" x14ac:dyDescent="0.2">
      <c r="A325" s="7" t="s">
        <v>71</v>
      </c>
      <c r="B325" s="6">
        <f t="shared" si="154"/>
        <v>12</v>
      </c>
      <c r="C325" s="7" t="s">
        <v>162</v>
      </c>
      <c r="D325" s="69">
        <v>60</v>
      </c>
      <c r="E325" s="69">
        <v>0</v>
      </c>
      <c r="F325" s="66">
        <f t="shared" si="152"/>
        <v>0</v>
      </c>
      <c r="G325" s="61" t="e">
        <f t="shared" si="155"/>
        <v>#DIV/0!</v>
      </c>
      <c r="H325" s="66" t="e">
        <f t="shared" si="199"/>
        <v>#DIV/0!</v>
      </c>
      <c r="I325" s="66" t="e">
        <f t="shared" si="199"/>
        <v>#DIV/0!</v>
      </c>
      <c r="J325" s="66" t="e">
        <f t="shared" si="199"/>
        <v>#DIV/0!</v>
      </c>
      <c r="K325" s="70">
        <v>10000</v>
      </c>
      <c r="L325" s="70">
        <f>'Monitoramento Acumulado Geral'!Q325</f>
        <v>0</v>
      </c>
      <c r="M325" s="6">
        <f>(SUM(L314:L325))/K324</f>
        <v>0.4511</v>
      </c>
      <c r="N325" s="35" t="str">
        <f t="shared" si="156"/>
        <v>Desempenho Bom</v>
      </c>
      <c r="O325" s="6">
        <f t="shared" si="200"/>
        <v>0.41824651958307835</v>
      </c>
      <c r="P325" s="6">
        <f t="shared" si="200"/>
        <v>0.84510274859297763</v>
      </c>
      <c r="Q325" s="6">
        <f t="shared" si="200"/>
        <v>-8.6097094268208774E-3</v>
      </c>
      <c r="R325" s="70">
        <v>67</v>
      </c>
      <c r="S325" s="70">
        <v>0</v>
      </c>
      <c r="T325" s="6">
        <f t="shared" si="153"/>
        <v>0</v>
      </c>
      <c r="U325" s="35" t="e">
        <f t="shared" si="157"/>
        <v>#DIV/0!</v>
      </c>
      <c r="V325" s="6" t="e">
        <f t="shared" si="202"/>
        <v>#DIV/0!</v>
      </c>
      <c r="W325" s="6" t="e">
        <f t="shared" si="202"/>
        <v>#DIV/0!</v>
      </c>
      <c r="X325" s="6" t="e">
        <f t="shared" si="202"/>
        <v>#DIV/0!</v>
      </c>
      <c r="Y325" s="6" t="e">
        <f t="shared" si="202"/>
        <v>#DIV/0!</v>
      </c>
      <c r="Z325" s="6" t="e">
        <f t="shared" si="202"/>
        <v>#DIV/0!</v>
      </c>
    </row>
    <row r="326" spans="1:26" x14ac:dyDescent="0.2">
      <c r="A326" s="7" t="s">
        <v>75</v>
      </c>
      <c r="B326" s="6">
        <f t="shared" si="154"/>
        <v>1</v>
      </c>
      <c r="C326" s="7" t="s">
        <v>151</v>
      </c>
      <c r="D326" s="69">
        <v>75</v>
      </c>
      <c r="E326" s="69">
        <v>13</v>
      </c>
      <c r="F326" s="66">
        <f t="shared" si="152"/>
        <v>0.17333333333333334</v>
      </c>
      <c r="G326" s="61" t="e">
        <f t="shared" si="155"/>
        <v>#DIV/0!</v>
      </c>
      <c r="H326" s="66" t="e">
        <f t="shared" si="199"/>
        <v>#DIV/0!</v>
      </c>
      <c r="I326" s="66" t="e">
        <f t="shared" si="199"/>
        <v>#DIV/0!</v>
      </c>
      <c r="J326" s="66" t="e">
        <f t="shared" si="199"/>
        <v>#DIV/0!</v>
      </c>
      <c r="K326" s="70">
        <v>36000</v>
      </c>
      <c r="L326" s="70">
        <f>'Monitoramento Acumulado Geral'!Q326</f>
        <v>541</v>
      </c>
      <c r="M326" s="6">
        <f>L326/K326</f>
        <v>1.5027777777777777E-2</v>
      </c>
      <c r="N326" s="35" t="str">
        <f t="shared" si="156"/>
        <v>Desempenho Médio</v>
      </c>
      <c r="O326" s="6">
        <f t="shared" si="200"/>
        <v>3.4274647562211005E-2</v>
      </c>
      <c r="P326" s="6">
        <f t="shared" si="200"/>
        <v>0.10289217685709087</v>
      </c>
      <c r="Q326" s="6">
        <f t="shared" si="200"/>
        <v>-3.4342881732668862E-2</v>
      </c>
      <c r="R326" s="70">
        <v>79</v>
      </c>
      <c r="S326" s="70">
        <v>0</v>
      </c>
      <c r="T326" s="6">
        <f t="shared" si="153"/>
        <v>0</v>
      </c>
      <c r="U326" s="35" t="e">
        <f t="shared" si="157"/>
        <v>#DIV/0!</v>
      </c>
      <c r="V326" s="6" t="e">
        <f t="shared" si="202"/>
        <v>#DIV/0!</v>
      </c>
      <c r="W326" s="6" t="e">
        <f t="shared" si="202"/>
        <v>#DIV/0!</v>
      </c>
      <c r="X326" s="6" t="e">
        <f t="shared" si="202"/>
        <v>#DIV/0!</v>
      </c>
      <c r="Y326" s="6" t="e">
        <f t="shared" si="202"/>
        <v>#DIV/0!</v>
      </c>
      <c r="Z326" s="6" t="e">
        <f t="shared" si="202"/>
        <v>#DIV/0!</v>
      </c>
    </row>
    <row r="327" spans="1:26" x14ac:dyDescent="0.2">
      <c r="A327" s="7" t="s">
        <v>75</v>
      </c>
      <c r="B327" s="6">
        <f t="shared" si="154"/>
        <v>2</v>
      </c>
      <c r="C327" s="7" t="s">
        <v>152</v>
      </c>
      <c r="D327" s="69">
        <v>75</v>
      </c>
      <c r="E327" s="69">
        <v>21</v>
      </c>
      <c r="F327" s="66">
        <f t="shared" si="152"/>
        <v>0.28000000000000003</v>
      </c>
      <c r="G327" s="61" t="e">
        <f t="shared" si="155"/>
        <v>#DIV/0!</v>
      </c>
      <c r="H327" s="66" t="e">
        <f t="shared" si="199"/>
        <v>#DIV/0!</v>
      </c>
      <c r="I327" s="66" t="e">
        <f t="shared" si="199"/>
        <v>#DIV/0!</v>
      </c>
      <c r="J327" s="66" t="e">
        <f t="shared" si="199"/>
        <v>#DIV/0!</v>
      </c>
      <c r="K327" s="70">
        <v>36000</v>
      </c>
      <c r="L327" s="70">
        <f>'Monitoramento Acumulado Geral'!Q327</f>
        <v>3499.8</v>
      </c>
      <c r="M327" s="6">
        <f>(SUM(L326:L327))/K326</f>
        <v>0.11224444444444445</v>
      </c>
      <c r="N327" s="35" t="str">
        <f t="shared" si="156"/>
        <v>Desempenho Bom</v>
      </c>
      <c r="O327" s="6">
        <f t="shared" si="200"/>
        <v>8.1815188943147363E-2</v>
      </c>
      <c r="P327" s="6">
        <f t="shared" si="200"/>
        <v>0.20623883252423067</v>
      </c>
      <c r="Q327" s="6">
        <f t="shared" si="200"/>
        <v>-4.2608454637935944E-2</v>
      </c>
      <c r="R327" s="70">
        <v>79</v>
      </c>
      <c r="S327" s="70">
        <v>0</v>
      </c>
      <c r="T327" s="6">
        <f t="shared" si="153"/>
        <v>0</v>
      </c>
      <c r="U327" s="35" t="e">
        <f t="shared" si="157"/>
        <v>#DIV/0!</v>
      </c>
      <c r="V327" s="6" t="e">
        <f t="shared" si="202"/>
        <v>#DIV/0!</v>
      </c>
      <c r="W327" s="6" t="e">
        <f t="shared" si="202"/>
        <v>#DIV/0!</v>
      </c>
      <c r="X327" s="6" t="e">
        <f t="shared" si="202"/>
        <v>#DIV/0!</v>
      </c>
      <c r="Y327" s="6" t="e">
        <f t="shared" si="202"/>
        <v>#DIV/0!</v>
      </c>
      <c r="Z327" s="6" t="e">
        <f t="shared" si="202"/>
        <v>#DIV/0!</v>
      </c>
    </row>
    <row r="328" spans="1:26" x14ac:dyDescent="0.2">
      <c r="A328" s="7" t="s">
        <v>75</v>
      </c>
      <c r="B328" s="6">
        <f t="shared" si="154"/>
        <v>3</v>
      </c>
      <c r="C328" s="7" t="s">
        <v>153</v>
      </c>
      <c r="D328" s="69">
        <v>75</v>
      </c>
      <c r="E328" s="69">
        <v>28</v>
      </c>
      <c r="F328" s="66">
        <f t="shared" si="152"/>
        <v>0.37333333333333335</v>
      </c>
      <c r="G328" s="61" t="e">
        <f t="shared" si="155"/>
        <v>#DIV/0!</v>
      </c>
      <c r="H328" s="66" t="e">
        <f t="shared" si="199"/>
        <v>#DIV/0!</v>
      </c>
      <c r="I328" s="66" t="e">
        <f t="shared" si="199"/>
        <v>#DIV/0!</v>
      </c>
      <c r="J328" s="66" t="e">
        <f t="shared" si="199"/>
        <v>#DIV/0!</v>
      </c>
      <c r="K328" s="70">
        <v>36000</v>
      </c>
      <c r="L328" s="70">
        <f>'Monitoramento Acumulado Geral'!Q328</f>
        <v>2744</v>
      </c>
      <c r="M328" s="6">
        <f>(SUM(L326:L328))/K327</f>
        <v>0.18846666666666667</v>
      </c>
      <c r="N328" s="35" t="str">
        <f t="shared" si="156"/>
        <v>Desempenho Bom</v>
      </c>
      <c r="O328" s="6">
        <f t="shared" si="200"/>
        <v>0.13411292471649494</v>
      </c>
      <c r="P328" s="6">
        <f t="shared" si="200"/>
        <v>0.29721906787058483</v>
      </c>
      <c r="Q328" s="6">
        <f t="shared" si="200"/>
        <v>-2.899321843759492E-2</v>
      </c>
      <c r="R328" s="70">
        <v>79</v>
      </c>
      <c r="S328" s="70">
        <v>0</v>
      </c>
      <c r="T328" s="6">
        <f t="shared" si="153"/>
        <v>0</v>
      </c>
      <c r="U328" s="35" t="e">
        <f t="shared" si="157"/>
        <v>#DIV/0!</v>
      </c>
      <c r="V328" s="6" t="e">
        <f t="shared" si="202"/>
        <v>#DIV/0!</v>
      </c>
      <c r="W328" s="6" t="e">
        <f t="shared" si="202"/>
        <v>#DIV/0!</v>
      </c>
      <c r="X328" s="6" t="e">
        <f t="shared" si="202"/>
        <v>#DIV/0!</v>
      </c>
      <c r="Y328" s="6" t="e">
        <f t="shared" si="202"/>
        <v>#DIV/0!</v>
      </c>
      <c r="Z328" s="6" t="e">
        <f t="shared" si="202"/>
        <v>#DIV/0!</v>
      </c>
    </row>
    <row r="329" spans="1:26" x14ac:dyDescent="0.2">
      <c r="A329" s="7" t="s">
        <v>75</v>
      </c>
      <c r="B329" s="6">
        <f t="shared" si="154"/>
        <v>4</v>
      </c>
      <c r="C329" s="7" t="s">
        <v>154</v>
      </c>
      <c r="D329" s="69">
        <v>75</v>
      </c>
      <c r="E329" s="69">
        <v>46</v>
      </c>
      <c r="F329" s="66">
        <f t="shared" si="152"/>
        <v>0.61333333333333329</v>
      </c>
      <c r="G329" s="61" t="e">
        <f t="shared" si="155"/>
        <v>#DIV/0!</v>
      </c>
      <c r="H329" s="66" t="e">
        <f t="shared" si="199"/>
        <v>#DIV/0!</v>
      </c>
      <c r="I329" s="66" t="e">
        <f t="shared" si="199"/>
        <v>#DIV/0!</v>
      </c>
      <c r="J329" s="66" t="e">
        <f t="shared" si="199"/>
        <v>#DIV/0!</v>
      </c>
      <c r="K329" s="70">
        <v>36000</v>
      </c>
      <c r="L329" s="70">
        <f>'Monitoramento Acumulado Geral'!Q329</f>
        <v>4745</v>
      </c>
      <c r="M329" s="6">
        <f>(SUM(L326:L329))/K328</f>
        <v>0.32027222222222218</v>
      </c>
      <c r="N329" s="35" t="str">
        <f t="shared" si="156"/>
        <v>Desempenho Bom</v>
      </c>
      <c r="O329" s="6">
        <f t="shared" si="200"/>
        <v>0.15392483870093213</v>
      </c>
      <c r="P329" s="6">
        <f t="shared" si="200"/>
        <v>0.32772007016950033</v>
      </c>
      <c r="Q329" s="6">
        <f t="shared" si="200"/>
        <v>-1.9870392767636053E-2</v>
      </c>
      <c r="R329" s="70">
        <v>79</v>
      </c>
      <c r="S329" s="70">
        <v>0</v>
      </c>
      <c r="T329" s="6">
        <f t="shared" si="153"/>
        <v>0</v>
      </c>
      <c r="U329" s="35" t="e">
        <f t="shared" si="157"/>
        <v>#DIV/0!</v>
      </c>
      <c r="V329" s="6" t="e">
        <f t="shared" si="202"/>
        <v>#DIV/0!</v>
      </c>
      <c r="W329" s="6" t="e">
        <f t="shared" si="202"/>
        <v>#DIV/0!</v>
      </c>
      <c r="X329" s="6" t="e">
        <f t="shared" si="202"/>
        <v>#DIV/0!</v>
      </c>
      <c r="Y329" s="6" t="e">
        <f t="shared" si="202"/>
        <v>#DIV/0!</v>
      </c>
      <c r="Z329" s="6" t="e">
        <f t="shared" si="202"/>
        <v>#DIV/0!</v>
      </c>
    </row>
    <row r="330" spans="1:26" x14ac:dyDescent="0.2">
      <c r="A330" s="7" t="s">
        <v>75</v>
      </c>
      <c r="B330" s="6">
        <f t="shared" si="154"/>
        <v>5</v>
      </c>
      <c r="C330" s="7" t="s">
        <v>155</v>
      </c>
      <c r="D330" s="69">
        <v>75</v>
      </c>
      <c r="E330" s="69">
        <v>75</v>
      </c>
      <c r="F330" s="66">
        <f t="shared" si="152"/>
        <v>1</v>
      </c>
      <c r="G330" s="61" t="e">
        <f t="shared" si="155"/>
        <v>#DIV/0!</v>
      </c>
      <c r="H330" s="66" t="e">
        <f t="shared" si="199"/>
        <v>#DIV/0!</v>
      </c>
      <c r="I330" s="66" t="e">
        <f t="shared" si="199"/>
        <v>#DIV/0!</v>
      </c>
      <c r="J330" s="66" t="e">
        <f t="shared" si="199"/>
        <v>#DIV/0!</v>
      </c>
      <c r="K330" s="70">
        <v>36000</v>
      </c>
      <c r="L330" s="70">
        <f>'Monitoramento Acumulado Geral'!Q330</f>
        <v>4251</v>
      </c>
      <c r="M330" s="6">
        <f>(SUM(L326:L330))/K329</f>
        <v>0.43835555555555555</v>
      </c>
      <c r="N330" s="35" t="str">
        <f t="shared" si="156"/>
        <v>Desempenho Ótimo</v>
      </c>
      <c r="O330" s="6">
        <f t="shared" ref="O330:Q345" si="203">O318</f>
        <v>0.21139287248463789</v>
      </c>
      <c r="P330" s="6">
        <f t="shared" si="203"/>
        <v>0.43680804416292918</v>
      </c>
      <c r="Q330" s="6">
        <f t="shared" si="203"/>
        <v>-1.4022299193653387E-2</v>
      </c>
      <c r="R330" s="70">
        <v>79</v>
      </c>
      <c r="S330" s="70">
        <v>0</v>
      </c>
      <c r="T330" s="6">
        <f t="shared" si="153"/>
        <v>0</v>
      </c>
      <c r="U330" s="35" t="e">
        <f t="shared" si="157"/>
        <v>#DIV/0!</v>
      </c>
      <c r="V330" s="6" t="e">
        <f t="shared" si="202"/>
        <v>#DIV/0!</v>
      </c>
      <c r="W330" s="6" t="e">
        <f t="shared" si="202"/>
        <v>#DIV/0!</v>
      </c>
      <c r="X330" s="6" t="e">
        <f t="shared" si="202"/>
        <v>#DIV/0!</v>
      </c>
      <c r="Y330" s="6" t="e">
        <f t="shared" si="202"/>
        <v>#DIV/0!</v>
      </c>
      <c r="Z330" s="6" t="e">
        <f t="shared" si="202"/>
        <v>#DIV/0!</v>
      </c>
    </row>
    <row r="331" spans="1:26" x14ac:dyDescent="0.2">
      <c r="A331" s="7" t="s">
        <v>75</v>
      </c>
      <c r="B331" s="6">
        <f t="shared" si="154"/>
        <v>6</v>
      </c>
      <c r="C331" s="7" t="s">
        <v>156</v>
      </c>
      <c r="D331" s="69">
        <v>75</v>
      </c>
      <c r="E331" s="69">
        <v>83</v>
      </c>
      <c r="F331" s="66">
        <f t="shared" si="152"/>
        <v>1.1066666666666667</v>
      </c>
      <c r="G331" s="61" t="e">
        <f t="shared" si="155"/>
        <v>#DIV/0!</v>
      </c>
      <c r="H331" s="66" t="e">
        <f t="shared" si="199"/>
        <v>#DIV/0!</v>
      </c>
      <c r="I331" s="66" t="e">
        <f t="shared" si="199"/>
        <v>#DIV/0!</v>
      </c>
      <c r="J331" s="66" t="e">
        <f t="shared" si="199"/>
        <v>#DIV/0!</v>
      </c>
      <c r="K331" s="70">
        <v>36000</v>
      </c>
      <c r="L331" s="70">
        <f>'Monitoramento Acumulado Geral'!Q331</f>
        <v>1501</v>
      </c>
      <c r="M331" s="6">
        <f>(SUM(L326:L331))/K330</f>
        <v>0.48004999999999998</v>
      </c>
      <c r="N331" s="35" t="str">
        <f t="shared" si="156"/>
        <v>Desempenho Bom</v>
      </c>
      <c r="O331" s="6">
        <f t="shared" si="203"/>
        <v>0.28403291059934432</v>
      </c>
      <c r="P331" s="6">
        <f t="shared" si="203"/>
        <v>0.56118246348434164</v>
      </c>
      <c r="Q331" s="6">
        <f t="shared" si="203"/>
        <v>6.8833577143469493E-3</v>
      </c>
      <c r="R331" s="70">
        <v>79</v>
      </c>
      <c r="S331" s="70">
        <v>0</v>
      </c>
      <c r="T331" s="6">
        <f t="shared" si="153"/>
        <v>0</v>
      </c>
      <c r="U331" s="35" t="e">
        <f t="shared" si="157"/>
        <v>#DIV/0!</v>
      </c>
      <c r="V331" s="6" t="e">
        <f t="shared" si="202"/>
        <v>#DIV/0!</v>
      </c>
      <c r="W331" s="6" t="e">
        <f t="shared" si="202"/>
        <v>#DIV/0!</v>
      </c>
      <c r="X331" s="6" t="e">
        <f t="shared" si="202"/>
        <v>#DIV/0!</v>
      </c>
      <c r="Y331" s="6" t="e">
        <f t="shared" si="202"/>
        <v>#DIV/0!</v>
      </c>
      <c r="Z331" s="6" t="e">
        <f t="shared" si="202"/>
        <v>#DIV/0!</v>
      </c>
    </row>
    <row r="332" spans="1:26" x14ac:dyDescent="0.2">
      <c r="A332" s="7" t="s">
        <v>75</v>
      </c>
      <c r="B332" s="6">
        <f t="shared" si="154"/>
        <v>7</v>
      </c>
      <c r="C332" s="7" t="s">
        <v>157</v>
      </c>
      <c r="D332" s="69">
        <v>75</v>
      </c>
      <c r="E332" s="69">
        <v>88</v>
      </c>
      <c r="F332" s="66">
        <f t="shared" si="152"/>
        <v>1.1733333333333333</v>
      </c>
      <c r="G332" s="61" t="e">
        <f t="shared" si="155"/>
        <v>#DIV/0!</v>
      </c>
      <c r="H332" s="66" t="e">
        <f t="shared" si="199"/>
        <v>#DIV/0!</v>
      </c>
      <c r="I332" s="66" t="e">
        <f t="shared" si="199"/>
        <v>#DIV/0!</v>
      </c>
      <c r="J332" s="66" t="e">
        <f t="shared" si="199"/>
        <v>#DIV/0!</v>
      </c>
      <c r="K332" s="70">
        <v>36000</v>
      </c>
      <c r="L332" s="70">
        <f>'Monitoramento Acumulado Geral'!Q332</f>
        <v>9204.7999999999993</v>
      </c>
      <c r="M332" s="6">
        <f>(SUM(L326:L332))/K331</f>
        <v>0.73573888888888883</v>
      </c>
      <c r="N332" s="35" t="str">
        <f t="shared" si="156"/>
        <v>Desempenho Bom</v>
      </c>
      <c r="O332" s="6">
        <f t="shared" si="203"/>
        <v>0.42046470140126019</v>
      </c>
      <c r="P332" s="6">
        <f t="shared" si="203"/>
        <v>0.84574683442734511</v>
      </c>
      <c r="Q332" s="6">
        <f t="shared" si="203"/>
        <v>-4.8174316248247306E-3</v>
      </c>
      <c r="R332" s="70">
        <v>79</v>
      </c>
      <c r="S332" s="70">
        <v>0</v>
      </c>
      <c r="T332" s="6">
        <f t="shared" si="153"/>
        <v>0</v>
      </c>
      <c r="U332" s="35" t="e">
        <f t="shared" si="157"/>
        <v>#DIV/0!</v>
      </c>
      <c r="V332" s="6" t="e">
        <f t="shared" si="202"/>
        <v>#DIV/0!</v>
      </c>
      <c r="W332" s="6" t="e">
        <f t="shared" si="202"/>
        <v>#DIV/0!</v>
      </c>
      <c r="X332" s="6" t="e">
        <f t="shared" si="202"/>
        <v>#DIV/0!</v>
      </c>
      <c r="Y332" s="6" t="e">
        <f t="shared" si="202"/>
        <v>#DIV/0!</v>
      </c>
      <c r="Z332" s="6" t="e">
        <f t="shared" si="202"/>
        <v>#DIV/0!</v>
      </c>
    </row>
    <row r="333" spans="1:26" x14ac:dyDescent="0.2">
      <c r="A333" s="7" t="s">
        <v>75</v>
      </c>
      <c r="B333" s="6">
        <f t="shared" si="154"/>
        <v>8</v>
      </c>
      <c r="C333" s="7" t="s">
        <v>158</v>
      </c>
      <c r="D333" s="69">
        <v>75</v>
      </c>
      <c r="E333" s="69">
        <v>0</v>
      </c>
      <c r="F333" s="66">
        <f t="shared" si="152"/>
        <v>0</v>
      </c>
      <c r="G333" s="61" t="e">
        <f t="shared" si="155"/>
        <v>#DIV/0!</v>
      </c>
      <c r="H333" s="66" t="e">
        <f t="shared" si="199"/>
        <v>#DIV/0!</v>
      </c>
      <c r="I333" s="66" t="e">
        <f t="shared" si="199"/>
        <v>#DIV/0!</v>
      </c>
      <c r="J333" s="66" t="e">
        <f t="shared" si="199"/>
        <v>#DIV/0!</v>
      </c>
      <c r="K333" s="70">
        <v>36000</v>
      </c>
      <c r="L333" s="70">
        <f>'Monitoramento Acumulado Geral'!Q333</f>
        <v>0</v>
      </c>
      <c r="M333" s="6">
        <f>(SUM(L326:L333))/K332</f>
        <v>0.73573888888888883</v>
      </c>
      <c r="N333" s="35" t="str">
        <f t="shared" si="156"/>
        <v>Desempenho Bom</v>
      </c>
      <c r="O333" s="6">
        <f t="shared" si="203"/>
        <v>0.42046470140126019</v>
      </c>
      <c r="P333" s="6">
        <f t="shared" si="203"/>
        <v>0.84574683442734511</v>
      </c>
      <c r="Q333" s="6">
        <f t="shared" si="203"/>
        <v>-4.8174316248247306E-3</v>
      </c>
      <c r="R333" s="70">
        <v>79</v>
      </c>
      <c r="S333" s="70">
        <v>0</v>
      </c>
      <c r="T333" s="6">
        <f t="shared" si="153"/>
        <v>0</v>
      </c>
      <c r="U333" s="35" t="e">
        <f t="shared" si="157"/>
        <v>#DIV/0!</v>
      </c>
      <c r="V333" s="6" t="e">
        <f t="shared" si="202"/>
        <v>#DIV/0!</v>
      </c>
      <c r="W333" s="6" t="e">
        <f t="shared" si="202"/>
        <v>#DIV/0!</v>
      </c>
      <c r="X333" s="6" t="e">
        <f t="shared" si="202"/>
        <v>#DIV/0!</v>
      </c>
      <c r="Y333" s="6" t="e">
        <f t="shared" si="202"/>
        <v>#DIV/0!</v>
      </c>
      <c r="Z333" s="6" t="e">
        <f t="shared" si="202"/>
        <v>#DIV/0!</v>
      </c>
    </row>
    <row r="334" spans="1:26" x14ac:dyDescent="0.2">
      <c r="A334" s="7" t="s">
        <v>75</v>
      </c>
      <c r="B334" s="6">
        <f t="shared" si="154"/>
        <v>9</v>
      </c>
      <c r="C334" s="7" t="s">
        <v>159</v>
      </c>
      <c r="D334" s="69">
        <v>75</v>
      </c>
      <c r="E334" s="69">
        <v>0</v>
      </c>
      <c r="F334" s="66">
        <f t="shared" si="152"/>
        <v>0</v>
      </c>
      <c r="G334" s="61" t="e">
        <f t="shared" si="155"/>
        <v>#DIV/0!</v>
      </c>
      <c r="H334" s="66" t="e">
        <f t="shared" si="199"/>
        <v>#DIV/0!</v>
      </c>
      <c r="I334" s="66" t="e">
        <f t="shared" si="199"/>
        <v>#DIV/0!</v>
      </c>
      <c r="J334" s="66" t="e">
        <f t="shared" si="199"/>
        <v>#DIV/0!</v>
      </c>
      <c r="K334" s="70">
        <v>36000</v>
      </c>
      <c r="L334" s="70">
        <f>'Monitoramento Acumulado Geral'!Q334</f>
        <v>0</v>
      </c>
      <c r="M334" s="6">
        <f>(SUM(L326:L334))/K333</f>
        <v>0.73573888888888883</v>
      </c>
      <c r="N334" s="35" t="str">
        <f t="shared" si="156"/>
        <v>Desempenho Bom</v>
      </c>
      <c r="O334" s="6">
        <f t="shared" si="203"/>
        <v>0.42046470140126019</v>
      </c>
      <c r="P334" s="6">
        <f t="shared" si="203"/>
        <v>0.84574683442734511</v>
      </c>
      <c r="Q334" s="6">
        <f t="shared" si="203"/>
        <v>-4.8174316248247306E-3</v>
      </c>
      <c r="R334" s="70">
        <v>79</v>
      </c>
      <c r="S334" s="70">
        <v>0</v>
      </c>
      <c r="T334" s="6">
        <f t="shared" si="153"/>
        <v>0</v>
      </c>
      <c r="U334" s="35" t="e">
        <f t="shared" si="157"/>
        <v>#DIV/0!</v>
      </c>
      <c r="V334" s="6" t="e">
        <f t="shared" si="202"/>
        <v>#DIV/0!</v>
      </c>
      <c r="W334" s="6" t="e">
        <f t="shared" si="202"/>
        <v>#DIV/0!</v>
      </c>
      <c r="X334" s="6" t="e">
        <f t="shared" si="202"/>
        <v>#DIV/0!</v>
      </c>
      <c r="Y334" s="6" t="e">
        <f t="shared" si="202"/>
        <v>#DIV/0!</v>
      </c>
      <c r="Z334" s="6" t="e">
        <f t="shared" si="202"/>
        <v>#DIV/0!</v>
      </c>
    </row>
    <row r="335" spans="1:26" x14ac:dyDescent="0.2">
      <c r="A335" s="7" t="s">
        <v>75</v>
      </c>
      <c r="B335" s="6">
        <f t="shared" si="154"/>
        <v>10</v>
      </c>
      <c r="C335" s="7" t="s">
        <v>160</v>
      </c>
      <c r="D335" s="69">
        <v>75</v>
      </c>
      <c r="E335" s="69">
        <v>0</v>
      </c>
      <c r="F335" s="66">
        <f t="shared" si="152"/>
        <v>0</v>
      </c>
      <c r="G335" s="61" t="e">
        <f t="shared" si="155"/>
        <v>#DIV/0!</v>
      </c>
      <c r="H335" s="66" t="e">
        <f t="shared" si="199"/>
        <v>#DIV/0!</v>
      </c>
      <c r="I335" s="66" t="e">
        <f t="shared" si="199"/>
        <v>#DIV/0!</v>
      </c>
      <c r="J335" s="66" t="e">
        <f t="shared" si="199"/>
        <v>#DIV/0!</v>
      </c>
      <c r="K335" s="70">
        <v>36000</v>
      </c>
      <c r="L335" s="70">
        <f>'Monitoramento Acumulado Geral'!Q335</f>
        <v>0</v>
      </c>
      <c r="M335" s="6">
        <f>(SUM(L326:L335))/K334</f>
        <v>0.73573888888888883</v>
      </c>
      <c r="N335" s="35" t="str">
        <f t="shared" si="156"/>
        <v>Desempenho Bom</v>
      </c>
      <c r="O335" s="6">
        <f t="shared" si="203"/>
        <v>0.42046470140126019</v>
      </c>
      <c r="P335" s="6">
        <f t="shared" si="203"/>
        <v>0.84574683442734511</v>
      </c>
      <c r="Q335" s="6">
        <f t="shared" si="203"/>
        <v>-4.8174316248247306E-3</v>
      </c>
      <c r="R335" s="70">
        <v>79</v>
      </c>
      <c r="S335" s="70">
        <v>0</v>
      </c>
      <c r="T335" s="6">
        <f t="shared" si="153"/>
        <v>0</v>
      </c>
      <c r="U335" s="35" t="e">
        <f t="shared" si="157"/>
        <v>#DIV/0!</v>
      </c>
      <c r="V335" s="6" t="e">
        <f t="shared" si="202"/>
        <v>#DIV/0!</v>
      </c>
      <c r="W335" s="6" t="e">
        <f t="shared" si="202"/>
        <v>#DIV/0!</v>
      </c>
      <c r="X335" s="6" t="e">
        <f t="shared" si="202"/>
        <v>#DIV/0!</v>
      </c>
      <c r="Y335" s="6" t="e">
        <f t="shared" si="202"/>
        <v>#DIV/0!</v>
      </c>
      <c r="Z335" s="6" t="e">
        <f t="shared" si="202"/>
        <v>#DIV/0!</v>
      </c>
    </row>
    <row r="336" spans="1:26" x14ac:dyDescent="0.2">
      <c r="A336" s="7" t="s">
        <v>75</v>
      </c>
      <c r="B336" s="6">
        <f t="shared" si="154"/>
        <v>11</v>
      </c>
      <c r="C336" s="7" t="s">
        <v>161</v>
      </c>
      <c r="D336" s="69">
        <v>75</v>
      </c>
      <c r="E336" s="69">
        <v>0</v>
      </c>
      <c r="F336" s="66">
        <f t="shared" si="152"/>
        <v>0</v>
      </c>
      <c r="G336" s="61" t="e">
        <f t="shared" si="155"/>
        <v>#DIV/0!</v>
      </c>
      <c r="H336" s="66" t="e">
        <f t="shared" si="199"/>
        <v>#DIV/0!</v>
      </c>
      <c r="I336" s="66" t="e">
        <f t="shared" si="199"/>
        <v>#DIV/0!</v>
      </c>
      <c r="J336" s="66" t="e">
        <f t="shared" si="199"/>
        <v>#DIV/0!</v>
      </c>
      <c r="K336" s="70">
        <v>36000</v>
      </c>
      <c r="L336" s="70">
        <f>'Monitoramento Acumulado Geral'!Q336</f>
        <v>0</v>
      </c>
      <c r="M336" s="6">
        <f>(SUM(L326:L336))/K335</f>
        <v>0.73573888888888883</v>
      </c>
      <c r="N336" s="35" t="str">
        <f t="shared" si="156"/>
        <v>Desempenho Bom</v>
      </c>
      <c r="O336" s="6">
        <f t="shared" si="203"/>
        <v>0.42046470140126019</v>
      </c>
      <c r="P336" s="6">
        <f t="shared" si="203"/>
        <v>0.84574683442734511</v>
      </c>
      <c r="Q336" s="6">
        <f t="shared" si="203"/>
        <v>-4.8174316248247306E-3</v>
      </c>
      <c r="R336" s="70">
        <v>79</v>
      </c>
      <c r="S336" s="70">
        <v>0</v>
      </c>
      <c r="T336" s="6">
        <f t="shared" si="153"/>
        <v>0</v>
      </c>
      <c r="U336" s="35" t="e">
        <f t="shared" si="157"/>
        <v>#DIV/0!</v>
      </c>
      <c r="V336" s="6" t="e">
        <f t="shared" si="202"/>
        <v>#DIV/0!</v>
      </c>
      <c r="W336" s="6" t="e">
        <f t="shared" si="202"/>
        <v>#DIV/0!</v>
      </c>
      <c r="X336" s="6" t="e">
        <f t="shared" si="202"/>
        <v>#DIV/0!</v>
      </c>
      <c r="Y336" s="6" t="e">
        <f t="shared" si="202"/>
        <v>#DIV/0!</v>
      </c>
      <c r="Z336" s="6" t="e">
        <f t="shared" si="202"/>
        <v>#DIV/0!</v>
      </c>
    </row>
    <row r="337" spans="1:26" x14ac:dyDescent="0.2">
      <c r="A337" s="7" t="s">
        <v>75</v>
      </c>
      <c r="B337" s="6">
        <f t="shared" si="154"/>
        <v>12</v>
      </c>
      <c r="C337" s="7" t="s">
        <v>162</v>
      </c>
      <c r="D337" s="69">
        <v>75</v>
      </c>
      <c r="E337" s="69">
        <v>0</v>
      </c>
      <c r="F337" s="66">
        <f t="shared" si="152"/>
        <v>0</v>
      </c>
      <c r="G337" s="61" t="e">
        <f t="shared" si="155"/>
        <v>#DIV/0!</v>
      </c>
      <c r="H337" s="66" t="e">
        <f t="shared" si="199"/>
        <v>#DIV/0!</v>
      </c>
      <c r="I337" s="66" t="e">
        <f t="shared" si="199"/>
        <v>#DIV/0!</v>
      </c>
      <c r="J337" s="66" t="e">
        <f t="shared" si="199"/>
        <v>#DIV/0!</v>
      </c>
      <c r="K337" s="70">
        <v>36000</v>
      </c>
      <c r="L337" s="70">
        <f>'Monitoramento Acumulado Geral'!Q337</f>
        <v>0</v>
      </c>
      <c r="M337" s="6">
        <f>(SUM(L326:L337))/K336</f>
        <v>0.73573888888888883</v>
      </c>
      <c r="N337" s="35" t="str">
        <f t="shared" si="156"/>
        <v>Desempenho Bom</v>
      </c>
      <c r="O337" s="6">
        <f t="shared" si="203"/>
        <v>0.41824651958307835</v>
      </c>
      <c r="P337" s="6">
        <f t="shared" si="203"/>
        <v>0.84510274859297763</v>
      </c>
      <c r="Q337" s="6">
        <f t="shared" si="203"/>
        <v>-8.6097094268208774E-3</v>
      </c>
      <c r="R337" s="70">
        <v>79</v>
      </c>
      <c r="S337" s="70">
        <v>0</v>
      </c>
      <c r="T337" s="6">
        <f t="shared" si="153"/>
        <v>0</v>
      </c>
      <c r="U337" s="35" t="e">
        <f t="shared" si="157"/>
        <v>#DIV/0!</v>
      </c>
      <c r="V337" s="6" t="e">
        <f t="shared" si="202"/>
        <v>#DIV/0!</v>
      </c>
      <c r="W337" s="6" t="e">
        <f t="shared" si="202"/>
        <v>#DIV/0!</v>
      </c>
      <c r="X337" s="6" t="e">
        <f t="shared" si="202"/>
        <v>#DIV/0!</v>
      </c>
      <c r="Y337" s="6" t="e">
        <f t="shared" si="202"/>
        <v>#DIV/0!</v>
      </c>
      <c r="Z337" s="6" t="e">
        <f t="shared" si="202"/>
        <v>#DIV/0!</v>
      </c>
    </row>
    <row r="338" spans="1:26" x14ac:dyDescent="0.2">
      <c r="A338" s="7" t="s">
        <v>46</v>
      </c>
      <c r="B338" s="6">
        <f t="shared" si="154"/>
        <v>1</v>
      </c>
      <c r="C338" s="7" t="s">
        <v>151</v>
      </c>
      <c r="D338" s="69">
        <v>75</v>
      </c>
      <c r="E338" s="69">
        <v>0</v>
      </c>
      <c r="F338" s="66">
        <f t="shared" si="152"/>
        <v>0</v>
      </c>
      <c r="G338" s="61" t="e">
        <f t="shared" si="155"/>
        <v>#DIV/0!</v>
      </c>
      <c r="H338" s="66" t="e">
        <f t="shared" si="199"/>
        <v>#DIV/0!</v>
      </c>
      <c r="I338" s="66" t="e">
        <f t="shared" si="199"/>
        <v>#DIV/0!</v>
      </c>
      <c r="J338" s="66" t="e">
        <f t="shared" si="199"/>
        <v>#DIV/0!</v>
      </c>
      <c r="K338" s="70">
        <v>10000</v>
      </c>
      <c r="L338" s="70">
        <f>'Monitoramento Acumulado Geral'!Q338</f>
        <v>0</v>
      </c>
      <c r="M338" s="6">
        <f>L338/K338</f>
        <v>0</v>
      </c>
      <c r="N338" s="35" t="str">
        <f t="shared" si="156"/>
        <v>Desempenho Médio</v>
      </c>
      <c r="O338" s="6">
        <f t="shared" si="203"/>
        <v>3.4274647562211005E-2</v>
      </c>
      <c r="P338" s="6">
        <f t="shared" si="203"/>
        <v>0.10289217685709087</v>
      </c>
      <c r="Q338" s="6">
        <f t="shared" si="203"/>
        <v>-3.4342881732668862E-2</v>
      </c>
      <c r="R338" s="70">
        <v>51</v>
      </c>
      <c r="S338" s="70">
        <v>0</v>
      </c>
      <c r="T338" s="6">
        <f t="shared" si="153"/>
        <v>0</v>
      </c>
      <c r="U338" s="35" t="e">
        <f t="shared" si="157"/>
        <v>#DIV/0!</v>
      </c>
      <c r="V338" s="6" t="e">
        <f t="shared" si="202"/>
        <v>#DIV/0!</v>
      </c>
      <c r="W338" s="6" t="e">
        <f t="shared" si="202"/>
        <v>#DIV/0!</v>
      </c>
      <c r="X338" s="6" t="e">
        <f t="shared" si="202"/>
        <v>#DIV/0!</v>
      </c>
      <c r="Y338" s="6" t="e">
        <f t="shared" si="202"/>
        <v>#DIV/0!</v>
      </c>
      <c r="Z338" s="6" t="e">
        <f t="shared" si="202"/>
        <v>#DIV/0!</v>
      </c>
    </row>
    <row r="339" spans="1:26" x14ac:dyDescent="0.2">
      <c r="A339" s="7" t="s">
        <v>46</v>
      </c>
      <c r="B339" s="6">
        <f t="shared" si="154"/>
        <v>2</v>
      </c>
      <c r="C339" s="7" t="s">
        <v>152</v>
      </c>
      <c r="D339" s="69">
        <v>75</v>
      </c>
      <c r="E339" s="69">
        <v>0</v>
      </c>
      <c r="F339" s="66">
        <f t="shared" si="152"/>
        <v>0</v>
      </c>
      <c r="G339" s="61" t="e">
        <f t="shared" si="155"/>
        <v>#DIV/0!</v>
      </c>
      <c r="H339" s="66" t="e">
        <f t="shared" si="199"/>
        <v>#DIV/0!</v>
      </c>
      <c r="I339" s="66" t="e">
        <f t="shared" si="199"/>
        <v>#DIV/0!</v>
      </c>
      <c r="J339" s="66" t="e">
        <f t="shared" si="199"/>
        <v>#DIV/0!</v>
      </c>
      <c r="K339" s="70">
        <v>10000</v>
      </c>
      <c r="L339" s="70">
        <f>'Monitoramento Acumulado Geral'!Q339</f>
        <v>0</v>
      </c>
      <c r="M339" s="6">
        <f>(SUM(L338:L339))/K338</f>
        <v>0</v>
      </c>
      <c r="N339" s="35" t="str">
        <f t="shared" si="156"/>
        <v>Desempenho Médio</v>
      </c>
      <c r="O339" s="6">
        <f t="shared" si="203"/>
        <v>8.1815188943147363E-2</v>
      </c>
      <c r="P339" s="6">
        <f t="shared" si="203"/>
        <v>0.20623883252423067</v>
      </c>
      <c r="Q339" s="6">
        <f t="shared" si="203"/>
        <v>-4.2608454637935944E-2</v>
      </c>
      <c r="R339" s="70">
        <v>51</v>
      </c>
      <c r="S339" s="70">
        <v>0</v>
      </c>
      <c r="T339" s="6">
        <f t="shared" si="153"/>
        <v>0</v>
      </c>
      <c r="U339" s="35" t="e">
        <f t="shared" si="157"/>
        <v>#DIV/0!</v>
      </c>
      <c r="V339" s="6" t="e">
        <f t="shared" ref="V339:Z354" si="204">V327</f>
        <v>#DIV/0!</v>
      </c>
      <c r="W339" s="6" t="e">
        <f t="shared" si="204"/>
        <v>#DIV/0!</v>
      </c>
      <c r="X339" s="6" t="e">
        <f t="shared" si="204"/>
        <v>#DIV/0!</v>
      </c>
      <c r="Y339" s="6" t="e">
        <f t="shared" si="204"/>
        <v>#DIV/0!</v>
      </c>
      <c r="Z339" s="6" t="e">
        <f t="shared" si="204"/>
        <v>#DIV/0!</v>
      </c>
    </row>
    <row r="340" spans="1:26" x14ac:dyDescent="0.2">
      <c r="A340" s="7" t="s">
        <v>46</v>
      </c>
      <c r="B340" s="6">
        <f t="shared" si="154"/>
        <v>3</v>
      </c>
      <c r="C340" s="7" t="s">
        <v>153</v>
      </c>
      <c r="D340" s="69">
        <v>75</v>
      </c>
      <c r="E340" s="69">
        <v>0</v>
      </c>
      <c r="F340" s="66">
        <f t="shared" si="152"/>
        <v>0</v>
      </c>
      <c r="G340" s="61" t="e">
        <f t="shared" si="155"/>
        <v>#DIV/0!</v>
      </c>
      <c r="H340" s="66" t="e">
        <f t="shared" si="199"/>
        <v>#DIV/0!</v>
      </c>
      <c r="I340" s="66" t="e">
        <f t="shared" si="199"/>
        <v>#DIV/0!</v>
      </c>
      <c r="J340" s="66" t="e">
        <f t="shared" si="199"/>
        <v>#DIV/0!</v>
      </c>
      <c r="K340" s="70">
        <v>10000</v>
      </c>
      <c r="L340" s="70">
        <f>'Monitoramento Acumulado Geral'!Q340</f>
        <v>0</v>
      </c>
      <c r="M340" s="6">
        <f>(SUM(L338:L340))/K339</f>
        <v>0</v>
      </c>
      <c r="N340" s="35" t="str">
        <f t="shared" si="156"/>
        <v>Desempenho Médio</v>
      </c>
      <c r="O340" s="6">
        <f t="shared" si="203"/>
        <v>0.13411292471649494</v>
      </c>
      <c r="P340" s="6">
        <f t="shared" si="203"/>
        <v>0.29721906787058483</v>
      </c>
      <c r="Q340" s="6">
        <f t="shared" si="203"/>
        <v>-2.899321843759492E-2</v>
      </c>
      <c r="R340" s="70">
        <v>51</v>
      </c>
      <c r="S340" s="70">
        <v>0</v>
      </c>
      <c r="T340" s="6">
        <f t="shared" si="153"/>
        <v>0</v>
      </c>
      <c r="U340" s="35" t="e">
        <f t="shared" si="157"/>
        <v>#DIV/0!</v>
      </c>
      <c r="V340" s="6" t="e">
        <f t="shared" si="204"/>
        <v>#DIV/0!</v>
      </c>
      <c r="W340" s="6" t="e">
        <f t="shared" si="204"/>
        <v>#DIV/0!</v>
      </c>
      <c r="X340" s="6" t="e">
        <f t="shared" si="204"/>
        <v>#DIV/0!</v>
      </c>
      <c r="Y340" s="6" t="e">
        <f t="shared" si="204"/>
        <v>#DIV/0!</v>
      </c>
      <c r="Z340" s="6" t="e">
        <f t="shared" si="204"/>
        <v>#DIV/0!</v>
      </c>
    </row>
    <row r="341" spans="1:26" x14ac:dyDescent="0.2">
      <c r="A341" s="7" t="s">
        <v>46</v>
      </c>
      <c r="B341" s="6">
        <f t="shared" si="154"/>
        <v>4</v>
      </c>
      <c r="C341" s="7" t="s">
        <v>154</v>
      </c>
      <c r="D341" s="69">
        <v>75</v>
      </c>
      <c r="E341" s="69">
        <v>0</v>
      </c>
      <c r="F341" s="66">
        <f t="shared" si="152"/>
        <v>0</v>
      </c>
      <c r="G341" s="61" t="e">
        <f t="shared" si="155"/>
        <v>#DIV/0!</v>
      </c>
      <c r="H341" s="66" t="e">
        <f t="shared" si="199"/>
        <v>#DIV/0!</v>
      </c>
      <c r="I341" s="66" t="e">
        <f t="shared" si="199"/>
        <v>#DIV/0!</v>
      </c>
      <c r="J341" s="66" t="e">
        <f t="shared" si="199"/>
        <v>#DIV/0!</v>
      </c>
      <c r="K341" s="70">
        <v>10000</v>
      </c>
      <c r="L341" s="70">
        <f>'Monitoramento Acumulado Geral'!Q341</f>
        <v>0</v>
      </c>
      <c r="M341" s="6">
        <f>(SUM(L338:L341))/K340</f>
        <v>0</v>
      </c>
      <c r="N341" s="35" t="str">
        <f t="shared" si="156"/>
        <v>Desempenho Médio</v>
      </c>
      <c r="O341" s="6">
        <f t="shared" si="203"/>
        <v>0.15392483870093213</v>
      </c>
      <c r="P341" s="6">
        <f t="shared" si="203"/>
        <v>0.32772007016950033</v>
      </c>
      <c r="Q341" s="6">
        <f t="shared" si="203"/>
        <v>-1.9870392767636053E-2</v>
      </c>
      <c r="R341" s="70">
        <v>51</v>
      </c>
      <c r="S341" s="70">
        <v>0</v>
      </c>
      <c r="T341" s="6">
        <f t="shared" si="153"/>
        <v>0</v>
      </c>
      <c r="U341" s="35" t="e">
        <f t="shared" si="157"/>
        <v>#DIV/0!</v>
      </c>
      <c r="V341" s="6" t="e">
        <f t="shared" si="204"/>
        <v>#DIV/0!</v>
      </c>
      <c r="W341" s="6" t="e">
        <f t="shared" si="204"/>
        <v>#DIV/0!</v>
      </c>
      <c r="X341" s="6" t="e">
        <f t="shared" si="204"/>
        <v>#DIV/0!</v>
      </c>
      <c r="Y341" s="6" t="e">
        <f t="shared" si="204"/>
        <v>#DIV/0!</v>
      </c>
      <c r="Z341" s="6" t="e">
        <f t="shared" si="204"/>
        <v>#DIV/0!</v>
      </c>
    </row>
    <row r="342" spans="1:26" x14ac:dyDescent="0.2">
      <c r="A342" s="7" t="s">
        <v>46</v>
      </c>
      <c r="B342" s="6">
        <f t="shared" si="154"/>
        <v>5</v>
      </c>
      <c r="C342" s="7" t="s">
        <v>155</v>
      </c>
      <c r="D342" s="69">
        <v>75</v>
      </c>
      <c r="E342" s="69">
        <v>0</v>
      </c>
      <c r="F342" s="66">
        <f t="shared" si="152"/>
        <v>0</v>
      </c>
      <c r="G342" s="61" t="e">
        <f t="shared" si="155"/>
        <v>#DIV/0!</v>
      </c>
      <c r="H342" s="66" t="e">
        <f t="shared" si="199"/>
        <v>#DIV/0!</v>
      </c>
      <c r="I342" s="66" t="e">
        <f t="shared" si="199"/>
        <v>#DIV/0!</v>
      </c>
      <c r="J342" s="66" t="e">
        <f t="shared" si="199"/>
        <v>#DIV/0!</v>
      </c>
      <c r="K342" s="70">
        <v>10000</v>
      </c>
      <c r="L342" s="70">
        <f>'Monitoramento Acumulado Geral'!Q342</f>
        <v>0</v>
      </c>
      <c r="M342" s="6">
        <f>(SUM(L338:L342))/K341</f>
        <v>0</v>
      </c>
      <c r="N342" s="35" t="str">
        <f t="shared" si="156"/>
        <v>Desempenho Médio</v>
      </c>
      <c r="O342" s="6">
        <f t="shared" si="203"/>
        <v>0.21139287248463789</v>
      </c>
      <c r="P342" s="6">
        <f t="shared" si="203"/>
        <v>0.43680804416292918</v>
      </c>
      <c r="Q342" s="6">
        <f t="shared" si="203"/>
        <v>-1.4022299193653387E-2</v>
      </c>
      <c r="R342" s="70">
        <v>51</v>
      </c>
      <c r="S342" s="70">
        <v>0</v>
      </c>
      <c r="T342" s="6">
        <f t="shared" si="153"/>
        <v>0</v>
      </c>
      <c r="U342" s="35" t="e">
        <f t="shared" si="157"/>
        <v>#DIV/0!</v>
      </c>
      <c r="V342" s="6" t="e">
        <f t="shared" si="204"/>
        <v>#DIV/0!</v>
      </c>
      <c r="W342" s="6" t="e">
        <f t="shared" si="204"/>
        <v>#DIV/0!</v>
      </c>
      <c r="X342" s="6" t="e">
        <f t="shared" si="204"/>
        <v>#DIV/0!</v>
      </c>
      <c r="Y342" s="6" t="e">
        <f t="shared" si="204"/>
        <v>#DIV/0!</v>
      </c>
      <c r="Z342" s="6" t="e">
        <f t="shared" si="204"/>
        <v>#DIV/0!</v>
      </c>
    </row>
    <row r="343" spans="1:26" x14ac:dyDescent="0.2">
      <c r="A343" s="7" t="s">
        <v>46</v>
      </c>
      <c r="B343" s="6">
        <f t="shared" si="154"/>
        <v>6</v>
      </c>
      <c r="C343" s="7" t="s">
        <v>156</v>
      </c>
      <c r="D343" s="69">
        <v>75</v>
      </c>
      <c r="E343" s="69">
        <v>0</v>
      </c>
      <c r="F343" s="66">
        <f t="shared" si="152"/>
        <v>0</v>
      </c>
      <c r="G343" s="61" t="e">
        <f t="shared" si="155"/>
        <v>#DIV/0!</v>
      </c>
      <c r="H343" s="66" t="e">
        <f t="shared" si="199"/>
        <v>#DIV/0!</v>
      </c>
      <c r="I343" s="66" t="e">
        <f t="shared" si="199"/>
        <v>#DIV/0!</v>
      </c>
      <c r="J343" s="66" t="e">
        <f t="shared" si="199"/>
        <v>#DIV/0!</v>
      </c>
      <c r="K343" s="70">
        <v>10000</v>
      </c>
      <c r="L343" s="70">
        <f>'Monitoramento Acumulado Geral'!Q343</f>
        <v>0</v>
      </c>
      <c r="M343" s="6">
        <f>(SUM(L338:L343))/K342</f>
        <v>0</v>
      </c>
      <c r="N343" s="35" t="str">
        <f t="shared" si="156"/>
        <v>Desempenho Deficitário</v>
      </c>
      <c r="O343" s="6">
        <f t="shared" si="203"/>
        <v>0.28403291059934432</v>
      </c>
      <c r="P343" s="6">
        <f t="shared" si="203"/>
        <v>0.56118246348434164</v>
      </c>
      <c r="Q343" s="6">
        <f t="shared" si="203"/>
        <v>6.8833577143469493E-3</v>
      </c>
      <c r="R343" s="70">
        <v>51</v>
      </c>
      <c r="S343" s="70">
        <v>0</v>
      </c>
      <c r="T343" s="6">
        <f t="shared" si="153"/>
        <v>0</v>
      </c>
      <c r="U343" s="35" t="e">
        <f t="shared" si="157"/>
        <v>#DIV/0!</v>
      </c>
      <c r="V343" s="6" t="e">
        <f t="shared" si="204"/>
        <v>#DIV/0!</v>
      </c>
      <c r="W343" s="6" t="e">
        <f t="shared" si="204"/>
        <v>#DIV/0!</v>
      </c>
      <c r="X343" s="6" t="e">
        <f t="shared" si="204"/>
        <v>#DIV/0!</v>
      </c>
      <c r="Y343" s="6" t="e">
        <f t="shared" si="204"/>
        <v>#DIV/0!</v>
      </c>
      <c r="Z343" s="6" t="e">
        <f t="shared" si="204"/>
        <v>#DIV/0!</v>
      </c>
    </row>
    <row r="344" spans="1:26" x14ac:dyDescent="0.2">
      <c r="A344" s="7" t="s">
        <v>46</v>
      </c>
      <c r="B344" s="6">
        <f t="shared" si="154"/>
        <v>7</v>
      </c>
      <c r="C344" s="7" t="s">
        <v>157</v>
      </c>
      <c r="D344" s="69">
        <v>75</v>
      </c>
      <c r="E344" s="69">
        <v>0</v>
      </c>
      <c r="F344" s="66">
        <f t="shared" si="152"/>
        <v>0</v>
      </c>
      <c r="G344" s="61" t="e">
        <f t="shared" si="155"/>
        <v>#DIV/0!</v>
      </c>
      <c r="H344" s="66" t="e">
        <f t="shared" si="199"/>
        <v>#DIV/0!</v>
      </c>
      <c r="I344" s="66" t="e">
        <f t="shared" si="199"/>
        <v>#DIV/0!</v>
      </c>
      <c r="J344" s="66" t="e">
        <f t="shared" si="199"/>
        <v>#DIV/0!</v>
      </c>
      <c r="K344" s="70">
        <v>10000</v>
      </c>
      <c r="L344" s="70">
        <f>'Monitoramento Acumulado Geral'!Q344</f>
        <v>0</v>
      </c>
      <c r="M344" s="6">
        <f>(SUM(L338:L344))/K343</f>
        <v>0</v>
      </c>
      <c r="N344" s="35" t="str">
        <f t="shared" si="156"/>
        <v>Desempenho Médio</v>
      </c>
      <c r="O344" s="6">
        <f t="shared" si="203"/>
        <v>0.42046470140126019</v>
      </c>
      <c r="P344" s="6">
        <f t="shared" si="203"/>
        <v>0.84574683442734511</v>
      </c>
      <c r="Q344" s="6">
        <f t="shared" si="203"/>
        <v>-4.8174316248247306E-3</v>
      </c>
      <c r="R344" s="70">
        <v>51</v>
      </c>
      <c r="S344" s="70">
        <v>0</v>
      </c>
      <c r="T344" s="6">
        <f t="shared" si="153"/>
        <v>0</v>
      </c>
      <c r="U344" s="35" t="e">
        <f t="shared" si="157"/>
        <v>#DIV/0!</v>
      </c>
      <c r="V344" s="6" t="e">
        <f t="shared" si="204"/>
        <v>#DIV/0!</v>
      </c>
      <c r="W344" s="6" t="e">
        <f t="shared" si="204"/>
        <v>#DIV/0!</v>
      </c>
      <c r="X344" s="6" t="e">
        <f t="shared" si="204"/>
        <v>#DIV/0!</v>
      </c>
      <c r="Y344" s="6" t="e">
        <f t="shared" si="204"/>
        <v>#DIV/0!</v>
      </c>
      <c r="Z344" s="6" t="e">
        <f t="shared" si="204"/>
        <v>#DIV/0!</v>
      </c>
    </row>
    <row r="345" spans="1:26" x14ac:dyDescent="0.2">
      <c r="A345" s="7" t="s">
        <v>46</v>
      </c>
      <c r="B345" s="6">
        <f t="shared" si="154"/>
        <v>8</v>
      </c>
      <c r="C345" s="7" t="s">
        <v>158</v>
      </c>
      <c r="D345" s="69">
        <v>75</v>
      </c>
      <c r="E345" s="69">
        <v>0</v>
      </c>
      <c r="F345" s="66">
        <f t="shared" si="152"/>
        <v>0</v>
      </c>
      <c r="G345" s="61" t="e">
        <f t="shared" si="155"/>
        <v>#DIV/0!</v>
      </c>
      <c r="H345" s="66" t="e">
        <f t="shared" si="199"/>
        <v>#DIV/0!</v>
      </c>
      <c r="I345" s="66" t="e">
        <f t="shared" si="199"/>
        <v>#DIV/0!</v>
      </c>
      <c r="J345" s="66" t="e">
        <f t="shared" si="199"/>
        <v>#DIV/0!</v>
      </c>
      <c r="K345" s="70">
        <v>10000</v>
      </c>
      <c r="L345" s="70">
        <f>'Monitoramento Acumulado Geral'!Q345</f>
        <v>0</v>
      </c>
      <c r="M345" s="6">
        <f>(SUM(L338:L345))/K344</f>
        <v>0</v>
      </c>
      <c r="N345" s="35" t="str">
        <f t="shared" si="156"/>
        <v>Desempenho Médio</v>
      </c>
      <c r="O345" s="6">
        <f t="shared" si="203"/>
        <v>0.42046470140126019</v>
      </c>
      <c r="P345" s="6">
        <f t="shared" si="203"/>
        <v>0.84574683442734511</v>
      </c>
      <c r="Q345" s="6">
        <f t="shared" si="203"/>
        <v>-4.8174316248247306E-3</v>
      </c>
      <c r="R345" s="70">
        <v>51</v>
      </c>
      <c r="S345" s="70">
        <v>0</v>
      </c>
      <c r="T345" s="6">
        <f t="shared" si="153"/>
        <v>0</v>
      </c>
      <c r="U345" s="35" t="e">
        <f t="shared" si="157"/>
        <v>#DIV/0!</v>
      </c>
      <c r="V345" s="6" t="e">
        <f t="shared" si="204"/>
        <v>#DIV/0!</v>
      </c>
      <c r="W345" s="6" t="e">
        <f t="shared" si="204"/>
        <v>#DIV/0!</v>
      </c>
      <c r="X345" s="6" t="e">
        <f t="shared" si="204"/>
        <v>#DIV/0!</v>
      </c>
      <c r="Y345" s="6" t="e">
        <f t="shared" si="204"/>
        <v>#DIV/0!</v>
      </c>
      <c r="Z345" s="6" t="e">
        <f t="shared" si="204"/>
        <v>#DIV/0!</v>
      </c>
    </row>
    <row r="346" spans="1:26" x14ac:dyDescent="0.2">
      <c r="A346" s="7" t="s">
        <v>46</v>
      </c>
      <c r="B346" s="6">
        <f t="shared" si="154"/>
        <v>9</v>
      </c>
      <c r="C346" s="7" t="s">
        <v>159</v>
      </c>
      <c r="D346" s="69">
        <v>75</v>
      </c>
      <c r="E346" s="69">
        <v>0</v>
      </c>
      <c r="F346" s="66">
        <f t="shared" si="152"/>
        <v>0</v>
      </c>
      <c r="G346" s="61" t="e">
        <f t="shared" si="155"/>
        <v>#DIV/0!</v>
      </c>
      <c r="H346" s="66" t="e">
        <f t="shared" si="199"/>
        <v>#DIV/0!</v>
      </c>
      <c r="I346" s="66" t="e">
        <f t="shared" si="199"/>
        <v>#DIV/0!</v>
      </c>
      <c r="J346" s="66" t="e">
        <f t="shared" si="199"/>
        <v>#DIV/0!</v>
      </c>
      <c r="K346" s="70">
        <v>10000</v>
      </c>
      <c r="L346" s="70">
        <f>'Monitoramento Acumulado Geral'!Q346</f>
        <v>0</v>
      </c>
      <c r="M346" s="6">
        <f>(SUM(L338:L346))/K345</f>
        <v>0</v>
      </c>
      <c r="N346" s="35" t="str">
        <f t="shared" si="156"/>
        <v>Desempenho Médio</v>
      </c>
      <c r="O346" s="6">
        <f t="shared" ref="O346:Q361" si="205">O334</f>
        <v>0.42046470140126019</v>
      </c>
      <c r="P346" s="6">
        <f t="shared" si="205"/>
        <v>0.84574683442734511</v>
      </c>
      <c r="Q346" s="6">
        <f t="shared" si="205"/>
        <v>-4.8174316248247306E-3</v>
      </c>
      <c r="R346" s="70">
        <v>51</v>
      </c>
      <c r="S346" s="70">
        <v>0</v>
      </c>
      <c r="T346" s="6">
        <f t="shared" si="153"/>
        <v>0</v>
      </c>
      <c r="U346" s="35" t="e">
        <f t="shared" si="157"/>
        <v>#DIV/0!</v>
      </c>
      <c r="V346" s="6" t="e">
        <f t="shared" si="204"/>
        <v>#DIV/0!</v>
      </c>
      <c r="W346" s="6" t="e">
        <f t="shared" si="204"/>
        <v>#DIV/0!</v>
      </c>
      <c r="X346" s="6" t="e">
        <f t="shared" si="204"/>
        <v>#DIV/0!</v>
      </c>
      <c r="Y346" s="6" t="e">
        <f t="shared" si="204"/>
        <v>#DIV/0!</v>
      </c>
      <c r="Z346" s="6" t="e">
        <f t="shared" si="204"/>
        <v>#DIV/0!</v>
      </c>
    </row>
    <row r="347" spans="1:26" x14ac:dyDescent="0.2">
      <c r="A347" s="7" t="s">
        <v>46</v>
      </c>
      <c r="B347" s="6">
        <f t="shared" si="154"/>
        <v>10</v>
      </c>
      <c r="C347" s="7" t="s">
        <v>160</v>
      </c>
      <c r="D347" s="69">
        <v>75</v>
      </c>
      <c r="E347" s="69">
        <v>0</v>
      </c>
      <c r="F347" s="66">
        <f t="shared" si="152"/>
        <v>0</v>
      </c>
      <c r="G347" s="61" t="e">
        <f t="shared" si="155"/>
        <v>#DIV/0!</v>
      </c>
      <c r="H347" s="66" t="e">
        <f t="shared" si="199"/>
        <v>#DIV/0!</v>
      </c>
      <c r="I347" s="66" t="e">
        <f t="shared" si="199"/>
        <v>#DIV/0!</v>
      </c>
      <c r="J347" s="66" t="e">
        <f t="shared" si="199"/>
        <v>#DIV/0!</v>
      </c>
      <c r="K347" s="70">
        <v>10000</v>
      </c>
      <c r="L347" s="70">
        <f>'Monitoramento Acumulado Geral'!Q347</f>
        <v>0</v>
      </c>
      <c r="M347" s="6">
        <f>(SUM(L338:L347))/K346</f>
        <v>0</v>
      </c>
      <c r="N347" s="35" t="str">
        <f t="shared" si="156"/>
        <v>Desempenho Médio</v>
      </c>
      <c r="O347" s="6">
        <f t="shared" si="205"/>
        <v>0.42046470140126019</v>
      </c>
      <c r="P347" s="6">
        <f t="shared" si="205"/>
        <v>0.84574683442734511</v>
      </c>
      <c r="Q347" s="6">
        <f t="shared" si="205"/>
        <v>-4.8174316248247306E-3</v>
      </c>
      <c r="R347" s="70">
        <v>51</v>
      </c>
      <c r="S347" s="70">
        <v>0</v>
      </c>
      <c r="T347" s="6">
        <f t="shared" si="153"/>
        <v>0</v>
      </c>
      <c r="U347" s="35" t="e">
        <f t="shared" si="157"/>
        <v>#DIV/0!</v>
      </c>
      <c r="V347" s="6" t="e">
        <f t="shared" si="204"/>
        <v>#DIV/0!</v>
      </c>
      <c r="W347" s="6" t="e">
        <f t="shared" si="204"/>
        <v>#DIV/0!</v>
      </c>
      <c r="X347" s="6" t="e">
        <f t="shared" si="204"/>
        <v>#DIV/0!</v>
      </c>
      <c r="Y347" s="6" t="e">
        <f t="shared" si="204"/>
        <v>#DIV/0!</v>
      </c>
      <c r="Z347" s="6" t="e">
        <f t="shared" si="204"/>
        <v>#DIV/0!</v>
      </c>
    </row>
    <row r="348" spans="1:26" x14ac:dyDescent="0.2">
      <c r="A348" s="7" t="s">
        <v>46</v>
      </c>
      <c r="B348" s="6">
        <f t="shared" si="154"/>
        <v>11</v>
      </c>
      <c r="C348" s="7" t="s">
        <v>161</v>
      </c>
      <c r="D348" s="69">
        <v>75</v>
      </c>
      <c r="E348" s="69">
        <v>0</v>
      </c>
      <c r="F348" s="66">
        <f t="shared" si="152"/>
        <v>0</v>
      </c>
      <c r="G348" s="61" t="e">
        <f t="shared" si="155"/>
        <v>#DIV/0!</v>
      </c>
      <c r="H348" s="66" t="e">
        <f t="shared" si="199"/>
        <v>#DIV/0!</v>
      </c>
      <c r="I348" s="66" t="e">
        <f t="shared" si="199"/>
        <v>#DIV/0!</v>
      </c>
      <c r="J348" s="66" t="e">
        <f t="shared" si="199"/>
        <v>#DIV/0!</v>
      </c>
      <c r="K348" s="70">
        <v>10000</v>
      </c>
      <c r="L348" s="70">
        <f>'Monitoramento Acumulado Geral'!Q348</f>
        <v>0</v>
      </c>
      <c r="M348" s="6">
        <f>(SUM(L338:L348))/K347</f>
        <v>0</v>
      </c>
      <c r="N348" s="35" t="str">
        <f t="shared" si="156"/>
        <v>Desempenho Médio</v>
      </c>
      <c r="O348" s="6">
        <f t="shared" si="205"/>
        <v>0.42046470140126019</v>
      </c>
      <c r="P348" s="6">
        <f t="shared" si="205"/>
        <v>0.84574683442734511</v>
      </c>
      <c r="Q348" s="6">
        <f t="shared" si="205"/>
        <v>-4.8174316248247306E-3</v>
      </c>
      <c r="R348" s="70">
        <v>51</v>
      </c>
      <c r="S348" s="70">
        <v>0</v>
      </c>
      <c r="T348" s="6">
        <f t="shared" si="153"/>
        <v>0</v>
      </c>
      <c r="U348" s="35" t="e">
        <f t="shared" si="157"/>
        <v>#DIV/0!</v>
      </c>
      <c r="V348" s="6" t="e">
        <f t="shared" si="204"/>
        <v>#DIV/0!</v>
      </c>
      <c r="W348" s="6" t="e">
        <f t="shared" si="204"/>
        <v>#DIV/0!</v>
      </c>
      <c r="X348" s="6" t="e">
        <f t="shared" si="204"/>
        <v>#DIV/0!</v>
      </c>
      <c r="Y348" s="6" t="e">
        <f t="shared" si="204"/>
        <v>#DIV/0!</v>
      </c>
      <c r="Z348" s="6" t="e">
        <f t="shared" si="204"/>
        <v>#DIV/0!</v>
      </c>
    </row>
    <row r="349" spans="1:26" x14ac:dyDescent="0.2">
      <c r="A349" s="7" t="s">
        <v>46</v>
      </c>
      <c r="B349" s="6">
        <f t="shared" si="154"/>
        <v>12</v>
      </c>
      <c r="C349" s="7" t="s">
        <v>162</v>
      </c>
      <c r="D349" s="69">
        <v>75</v>
      </c>
      <c r="E349" s="69">
        <v>0</v>
      </c>
      <c r="F349" s="66">
        <f t="shared" si="152"/>
        <v>0</v>
      </c>
      <c r="G349" s="61" t="e">
        <f t="shared" si="155"/>
        <v>#DIV/0!</v>
      </c>
      <c r="H349" s="66" t="e">
        <f t="shared" si="199"/>
        <v>#DIV/0!</v>
      </c>
      <c r="I349" s="66" t="e">
        <f t="shared" si="199"/>
        <v>#DIV/0!</v>
      </c>
      <c r="J349" s="66" t="e">
        <f t="shared" si="199"/>
        <v>#DIV/0!</v>
      </c>
      <c r="K349" s="70">
        <v>10000</v>
      </c>
      <c r="L349" s="70">
        <f>'Monitoramento Acumulado Geral'!Q349</f>
        <v>0</v>
      </c>
      <c r="M349" s="6">
        <f>(SUM(L338:L349))/K348</f>
        <v>0</v>
      </c>
      <c r="N349" s="35" t="str">
        <f t="shared" si="156"/>
        <v>Desempenho Médio</v>
      </c>
      <c r="O349" s="6">
        <f t="shared" si="205"/>
        <v>0.41824651958307835</v>
      </c>
      <c r="P349" s="6">
        <f t="shared" si="205"/>
        <v>0.84510274859297763</v>
      </c>
      <c r="Q349" s="6">
        <f t="shared" si="205"/>
        <v>-8.6097094268208774E-3</v>
      </c>
      <c r="R349" s="70">
        <v>51</v>
      </c>
      <c r="S349" s="70">
        <v>0</v>
      </c>
      <c r="T349" s="6">
        <f t="shared" si="153"/>
        <v>0</v>
      </c>
      <c r="U349" s="35" t="e">
        <f t="shared" si="157"/>
        <v>#DIV/0!</v>
      </c>
      <c r="V349" s="6" t="e">
        <f t="shared" si="204"/>
        <v>#DIV/0!</v>
      </c>
      <c r="W349" s="6" t="e">
        <f t="shared" si="204"/>
        <v>#DIV/0!</v>
      </c>
      <c r="X349" s="6" t="e">
        <f t="shared" si="204"/>
        <v>#DIV/0!</v>
      </c>
      <c r="Y349" s="6" t="e">
        <f t="shared" si="204"/>
        <v>#DIV/0!</v>
      </c>
      <c r="Z349" s="6" t="e">
        <f t="shared" si="204"/>
        <v>#DIV/0!</v>
      </c>
    </row>
    <row r="350" spans="1:26" x14ac:dyDescent="0.2">
      <c r="A350" s="7" t="s">
        <v>36</v>
      </c>
      <c r="B350" s="6">
        <f t="shared" si="154"/>
        <v>1</v>
      </c>
      <c r="C350" s="7" t="s">
        <v>151</v>
      </c>
      <c r="D350" s="69">
        <v>75</v>
      </c>
      <c r="E350" s="69">
        <v>0</v>
      </c>
      <c r="F350" s="66">
        <f t="shared" si="152"/>
        <v>0</v>
      </c>
      <c r="G350" s="61" t="e">
        <f t="shared" si="155"/>
        <v>#DIV/0!</v>
      </c>
      <c r="H350" s="66" t="e">
        <f t="shared" si="199"/>
        <v>#DIV/0!</v>
      </c>
      <c r="I350" s="66" t="e">
        <f t="shared" si="199"/>
        <v>#DIV/0!</v>
      </c>
      <c r="J350" s="66" t="e">
        <f t="shared" si="199"/>
        <v>#DIV/0!</v>
      </c>
      <c r="K350" s="70">
        <v>21600</v>
      </c>
      <c r="L350" s="70">
        <f>'Monitoramento Acumulado Geral'!Q350</f>
        <v>0</v>
      </c>
      <c r="M350" s="6">
        <f>L350/K350</f>
        <v>0</v>
      </c>
      <c r="N350" s="35" t="str">
        <f t="shared" si="156"/>
        <v>Desempenho Médio</v>
      </c>
      <c r="O350" s="6">
        <f t="shared" si="205"/>
        <v>3.4274647562211005E-2</v>
      </c>
      <c r="P350" s="6">
        <f t="shared" si="205"/>
        <v>0.10289217685709087</v>
      </c>
      <c r="Q350" s="6">
        <f t="shared" si="205"/>
        <v>-3.4342881732668862E-2</v>
      </c>
      <c r="R350" s="70">
        <v>70</v>
      </c>
      <c r="S350" s="70">
        <v>0</v>
      </c>
      <c r="T350" s="6">
        <f t="shared" si="153"/>
        <v>0</v>
      </c>
      <c r="U350" s="35" t="e">
        <f t="shared" si="157"/>
        <v>#DIV/0!</v>
      </c>
      <c r="V350" s="6" t="e">
        <f t="shared" si="204"/>
        <v>#DIV/0!</v>
      </c>
      <c r="W350" s="6" t="e">
        <f t="shared" si="204"/>
        <v>#DIV/0!</v>
      </c>
      <c r="X350" s="6" t="e">
        <f t="shared" si="204"/>
        <v>#DIV/0!</v>
      </c>
      <c r="Y350" s="6" t="e">
        <f t="shared" si="204"/>
        <v>#DIV/0!</v>
      </c>
      <c r="Z350" s="6" t="e">
        <f t="shared" si="204"/>
        <v>#DIV/0!</v>
      </c>
    </row>
    <row r="351" spans="1:26" x14ac:dyDescent="0.2">
      <c r="A351" s="7" t="s">
        <v>36</v>
      </c>
      <c r="B351" s="6">
        <f t="shared" si="154"/>
        <v>2</v>
      </c>
      <c r="C351" s="7" t="s">
        <v>152</v>
      </c>
      <c r="D351" s="69">
        <v>75</v>
      </c>
      <c r="E351" s="69">
        <v>0</v>
      </c>
      <c r="F351" s="66">
        <f t="shared" si="152"/>
        <v>0</v>
      </c>
      <c r="G351" s="61" t="e">
        <f t="shared" si="155"/>
        <v>#DIV/0!</v>
      </c>
      <c r="H351" s="66" t="e">
        <f t="shared" si="199"/>
        <v>#DIV/0!</v>
      </c>
      <c r="I351" s="66" t="e">
        <f t="shared" si="199"/>
        <v>#DIV/0!</v>
      </c>
      <c r="J351" s="66" t="e">
        <f t="shared" si="199"/>
        <v>#DIV/0!</v>
      </c>
      <c r="K351" s="70">
        <v>21600</v>
      </c>
      <c r="L351" s="70">
        <f>'Monitoramento Acumulado Geral'!Q351</f>
        <v>0</v>
      </c>
      <c r="M351" s="6">
        <f>(SUM(L350:L351))/K350</f>
        <v>0</v>
      </c>
      <c r="N351" s="35" t="str">
        <f t="shared" si="156"/>
        <v>Desempenho Médio</v>
      </c>
      <c r="O351" s="6">
        <f t="shared" si="205"/>
        <v>8.1815188943147363E-2</v>
      </c>
      <c r="P351" s="6">
        <f t="shared" si="205"/>
        <v>0.20623883252423067</v>
      </c>
      <c r="Q351" s="6">
        <f t="shared" si="205"/>
        <v>-4.2608454637935944E-2</v>
      </c>
      <c r="R351" s="70">
        <v>70</v>
      </c>
      <c r="S351" s="70">
        <v>0</v>
      </c>
      <c r="T351" s="6">
        <f t="shared" si="153"/>
        <v>0</v>
      </c>
      <c r="U351" s="35" t="e">
        <f t="shared" si="157"/>
        <v>#DIV/0!</v>
      </c>
      <c r="V351" s="6" t="e">
        <f t="shared" si="204"/>
        <v>#DIV/0!</v>
      </c>
      <c r="W351" s="6" t="e">
        <f t="shared" si="204"/>
        <v>#DIV/0!</v>
      </c>
      <c r="X351" s="6" t="e">
        <f t="shared" si="204"/>
        <v>#DIV/0!</v>
      </c>
      <c r="Y351" s="6" t="e">
        <f t="shared" si="204"/>
        <v>#DIV/0!</v>
      </c>
      <c r="Z351" s="6" t="e">
        <f t="shared" si="204"/>
        <v>#DIV/0!</v>
      </c>
    </row>
    <row r="352" spans="1:26" x14ac:dyDescent="0.2">
      <c r="A352" s="7" t="s">
        <v>36</v>
      </c>
      <c r="B352" s="6">
        <f t="shared" si="154"/>
        <v>3</v>
      </c>
      <c r="C352" s="7" t="s">
        <v>153</v>
      </c>
      <c r="D352" s="69">
        <v>75</v>
      </c>
      <c r="E352" s="69">
        <v>0</v>
      </c>
      <c r="F352" s="66">
        <f t="shared" si="152"/>
        <v>0</v>
      </c>
      <c r="G352" s="61" t="e">
        <f t="shared" si="155"/>
        <v>#DIV/0!</v>
      </c>
      <c r="H352" s="66" t="e">
        <f t="shared" si="199"/>
        <v>#DIV/0!</v>
      </c>
      <c r="I352" s="66" t="e">
        <f t="shared" si="199"/>
        <v>#DIV/0!</v>
      </c>
      <c r="J352" s="66" t="e">
        <f t="shared" si="199"/>
        <v>#DIV/0!</v>
      </c>
      <c r="K352" s="70">
        <v>21600</v>
      </c>
      <c r="L352" s="70">
        <f>'Monitoramento Acumulado Geral'!Q352</f>
        <v>0</v>
      </c>
      <c r="M352" s="6">
        <f>(SUM(L350:L352))/K351</f>
        <v>0</v>
      </c>
      <c r="N352" s="35" t="str">
        <f t="shared" si="156"/>
        <v>Desempenho Médio</v>
      </c>
      <c r="O352" s="6">
        <f t="shared" si="205"/>
        <v>0.13411292471649494</v>
      </c>
      <c r="P352" s="6">
        <f t="shared" si="205"/>
        <v>0.29721906787058483</v>
      </c>
      <c r="Q352" s="6">
        <f t="shared" si="205"/>
        <v>-2.899321843759492E-2</v>
      </c>
      <c r="R352" s="70">
        <v>70</v>
      </c>
      <c r="S352" s="70">
        <v>0</v>
      </c>
      <c r="T352" s="6">
        <f t="shared" si="153"/>
        <v>0</v>
      </c>
      <c r="U352" s="35" t="e">
        <f t="shared" si="157"/>
        <v>#DIV/0!</v>
      </c>
      <c r="V352" s="6" t="e">
        <f t="shared" si="204"/>
        <v>#DIV/0!</v>
      </c>
      <c r="W352" s="6" t="e">
        <f t="shared" si="204"/>
        <v>#DIV/0!</v>
      </c>
      <c r="X352" s="6" t="e">
        <f t="shared" si="204"/>
        <v>#DIV/0!</v>
      </c>
      <c r="Y352" s="6" t="e">
        <f t="shared" si="204"/>
        <v>#DIV/0!</v>
      </c>
      <c r="Z352" s="6" t="e">
        <f t="shared" si="204"/>
        <v>#DIV/0!</v>
      </c>
    </row>
    <row r="353" spans="1:26" x14ac:dyDescent="0.2">
      <c r="A353" s="7" t="s">
        <v>36</v>
      </c>
      <c r="B353" s="6">
        <f t="shared" si="154"/>
        <v>4</v>
      </c>
      <c r="C353" s="7" t="s">
        <v>154</v>
      </c>
      <c r="D353" s="69">
        <v>75</v>
      </c>
      <c r="E353" s="69">
        <v>0</v>
      </c>
      <c r="F353" s="66">
        <f t="shared" si="152"/>
        <v>0</v>
      </c>
      <c r="G353" s="61" t="e">
        <f t="shared" si="155"/>
        <v>#DIV/0!</v>
      </c>
      <c r="H353" s="66" t="e">
        <f t="shared" si="199"/>
        <v>#DIV/0!</v>
      </c>
      <c r="I353" s="66" t="e">
        <f t="shared" si="199"/>
        <v>#DIV/0!</v>
      </c>
      <c r="J353" s="66" t="e">
        <f t="shared" si="199"/>
        <v>#DIV/0!</v>
      </c>
      <c r="K353" s="70">
        <v>21600</v>
      </c>
      <c r="L353" s="70">
        <f>'Monitoramento Acumulado Geral'!Q353</f>
        <v>0</v>
      </c>
      <c r="M353" s="6">
        <f>(SUM(L350:L353))/K352</f>
        <v>0</v>
      </c>
      <c r="N353" s="35" t="str">
        <f t="shared" si="156"/>
        <v>Desempenho Médio</v>
      </c>
      <c r="O353" s="6">
        <f t="shared" si="205"/>
        <v>0.15392483870093213</v>
      </c>
      <c r="P353" s="6">
        <f t="shared" si="205"/>
        <v>0.32772007016950033</v>
      </c>
      <c r="Q353" s="6">
        <f t="shared" si="205"/>
        <v>-1.9870392767636053E-2</v>
      </c>
      <c r="R353" s="70">
        <v>70</v>
      </c>
      <c r="S353" s="70">
        <v>0</v>
      </c>
      <c r="T353" s="6">
        <f t="shared" si="153"/>
        <v>0</v>
      </c>
      <c r="U353" s="35" t="e">
        <f t="shared" si="157"/>
        <v>#DIV/0!</v>
      </c>
      <c r="V353" s="6" t="e">
        <f t="shared" si="204"/>
        <v>#DIV/0!</v>
      </c>
      <c r="W353" s="6" t="e">
        <f t="shared" si="204"/>
        <v>#DIV/0!</v>
      </c>
      <c r="X353" s="6" t="e">
        <f t="shared" si="204"/>
        <v>#DIV/0!</v>
      </c>
      <c r="Y353" s="6" t="e">
        <f t="shared" si="204"/>
        <v>#DIV/0!</v>
      </c>
      <c r="Z353" s="6" t="e">
        <f t="shared" si="204"/>
        <v>#DIV/0!</v>
      </c>
    </row>
    <row r="354" spans="1:26" x14ac:dyDescent="0.2">
      <c r="A354" s="7" t="s">
        <v>36</v>
      </c>
      <c r="B354" s="6">
        <f t="shared" si="154"/>
        <v>5</v>
      </c>
      <c r="C354" s="7" t="s">
        <v>155</v>
      </c>
      <c r="D354" s="69">
        <v>75</v>
      </c>
      <c r="E354" s="69">
        <v>0</v>
      </c>
      <c r="F354" s="66">
        <f t="shared" si="152"/>
        <v>0</v>
      </c>
      <c r="G354" s="61" t="e">
        <f t="shared" si="155"/>
        <v>#DIV/0!</v>
      </c>
      <c r="H354" s="66" t="e">
        <f t="shared" si="199"/>
        <v>#DIV/0!</v>
      </c>
      <c r="I354" s="66" t="e">
        <f t="shared" si="199"/>
        <v>#DIV/0!</v>
      </c>
      <c r="J354" s="66" t="e">
        <f t="shared" si="199"/>
        <v>#DIV/0!</v>
      </c>
      <c r="K354" s="70">
        <v>21600</v>
      </c>
      <c r="L354" s="70">
        <f>'Monitoramento Acumulado Geral'!Q354</f>
        <v>0</v>
      </c>
      <c r="M354" s="6">
        <f>(SUM(L350:L354))/K353</f>
        <v>0</v>
      </c>
      <c r="N354" s="35" t="str">
        <f t="shared" si="156"/>
        <v>Desempenho Médio</v>
      </c>
      <c r="O354" s="6">
        <f t="shared" si="205"/>
        <v>0.21139287248463789</v>
      </c>
      <c r="P354" s="6">
        <f t="shared" si="205"/>
        <v>0.43680804416292918</v>
      </c>
      <c r="Q354" s="6">
        <f t="shared" si="205"/>
        <v>-1.4022299193653387E-2</v>
      </c>
      <c r="R354" s="70">
        <v>70</v>
      </c>
      <c r="S354" s="70">
        <v>0</v>
      </c>
      <c r="T354" s="6">
        <f t="shared" si="153"/>
        <v>0</v>
      </c>
      <c r="U354" s="35" t="e">
        <f t="shared" si="157"/>
        <v>#DIV/0!</v>
      </c>
      <c r="V354" s="6" t="e">
        <f t="shared" si="204"/>
        <v>#DIV/0!</v>
      </c>
      <c r="W354" s="6" t="e">
        <f t="shared" si="204"/>
        <v>#DIV/0!</v>
      </c>
      <c r="X354" s="6" t="e">
        <f t="shared" si="204"/>
        <v>#DIV/0!</v>
      </c>
      <c r="Y354" s="6" t="e">
        <f t="shared" si="204"/>
        <v>#DIV/0!</v>
      </c>
      <c r="Z354" s="6" t="e">
        <f t="shared" si="204"/>
        <v>#DIV/0!</v>
      </c>
    </row>
    <row r="355" spans="1:26" x14ac:dyDescent="0.2">
      <c r="A355" s="7" t="s">
        <v>36</v>
      </c>
      <c r="B355" s="6">
        <f t="shared" si="154"/>
        <v>6</v>
      </c>
      <c r="C355" s="7" t="s">
        <v>156</v>
      </c>
      <c r="D355" s="69">
        <v>75</v>
      </c>
      <c r="E355" s="69">
        <v>0</v>
      </c>
      <c r="F355" s="66">
        <f t="shared" si="152"/>
        <v>0</v>
      </c>
      <c r="G355" s="61" t="e">
        <f t="shared" si="155"/>
        <v>#DIV/0!</v>
      </c>
      <c r="H355" s="66" t="e">
        <f t="shared" si="199"/>
        <v>#DIV/0!</v>
      </c>
      <c r="I355" s="66" t="e">
        <f t="shared" si="199"/>
        <v>#DIV/0!</v>
      </c>
      <c r="J355" s="66" t="e">
        <f t="shared" si="199"/>
        <v>#DIV/0!</v>
      </c>
      <c r="K355" s="70">
        <v>21600</v>
      </c>
      <c r="L355" s="70">
        <f>'Monitoramento Acumulado Geral'!Q355</f>
        <v>0</v>
      </c>
      <c r="M355" s="6">
        <f>(SUM(L350:L355))/K354</f>
        <v>0</v>
      </c>
      <c r="N355" s="35" t="str">
        <f t="shared" si="156"/>
        <v>Desempenho Deficitário</v>
      </c>
      <c r="O355" s="6">
        <f t="shared" si="205"/>
        <v>0.28403291059934432</v>
      </c>
      <c r="P355" s="6">
        <f t="shared" si="205"/>
        <v>0.56118246348434164</v>
      </c>
      <c r="Q355" s="6">
        <f t="shared" si="205"/>
        <v>6.8833577143469493E-3</v>
      </c>
      <c r="R355" s="70">
        <v>70</v>
      </c>
      <c r="S355" s="70">
        <v>0</v>
      </c>
      <c r="T355" s="6">
        <f t="shared" si="153"/>
        <v>0</v>
      </c>
      <c r="U355" s="35" t="e">
        <f t="shared" si="157"/>
        <v>#DIV/0!</v>
      </c>
      <c r="V355" s="6" t="e">
        <f t="shared" ref="V355:Z370" si="206">V343</f>
        <v>#DIV/0!</v>
      </c>
      <c r="W355" s="6" t="e">
        <f t="shared" si="206"/>
        <v>#DIV/0!</v>
      </c>
      <c r="X355" s="6" t="e">
        <f t="shared" si="206"/>
        <v>#DIV/0!</v>
      </c>
      <c r="Y355" s="6" t="e">
        <f t="shared" si="206"/>
        <v>#DIV/0!</v>
      </c>
      <c r="Z355" s="6" t="e">
        <f t="shared" si="206"/>
        <v>#DIV/0!</v>
      </c>
    </row>
    <row r="356" spans="1:26" x14ac:dyDescent="0.2">
      <c r="A356" s="7" t="s">
        <v>36</v>
      </c>
      <c r="B356" s="6">
        <f t="shared" si="154"/>
        <v>7</v>
      </c>
      <c r="C356" s="7" t="s">
        <v>157</v>
      </c>
      <c r="D356" s="69">
        <v>75</v>
      </c>
      <c r="E356" s="69">
        <v>0</v>
      </c>
      <c r="F356" s="66">
        <f t="shared" si="152"/>
        <v>0</v>
      </c>
      <c r="G356" s="61" t="e">
        <f t="shared" si="155"/>
        <v>#DIV/0!</v>
      </c>
      <c r="H356" s="66" t="e">
        <f t="shared" si="199"/>
        <v>#DIV/0!</v>
      </c>
      <c r="I356" s="66" t="e">
        <f t="shared" si="199"/>
        <v>#DIV/0!</v>
      </c>
      <c r="J356" s="66" t="e">
        <f t="shared" si="199"/>
        <v>#DIV/0!</v>
      </c>
      <c r="K356" s="70">
        <v>21600</v>
      </c>
      <c r="L356" s="70">
        <f>'Monitoramento Acumulado Geral'!Q356</f>
        <v>0</v>
      </c>
      <c r="M356" s="6">
        <f>(SUM(L350:L356))/K355</f>
        <v>0</v>
      </c>
      <c r="N356" s="35" t="str">
        <f t="shared" si="156"/>
        <v>Desempenho Médio</v>
      </c>
      <c r="O356" s="6">
        <f t="shared" si="205"/>
        <v>0.42046470140126019</v>
      </c>
      <c r="P356" s="6">
        <f t="shared" si="205"/>
        <v>0.84574683442734511</v>
      </c>
      <c r="Q356" s="6">
        <f t="shared" si="205"/>
        <v>-4.8174316248247306E-3</v>
      </c>
      <c r="R356" s="70">
        <v>70</v>
      </c>
      <c r="S356" s="70">
        <v>0</v>
      </c>
      <c r="T356" s="6">
        <f t="shared" si="153"/>
        <v>0</v>
      </c>
      <c r="U356" s="35" t="e">
        <f t="shared" si="157"/>
        <v>#DIV/0!</v>
      </c>
      <c r="V356" s="6" t="e">
        <f t="shared" si="206"/>
        <v>#DIV/0!</v>
      </c>
      <c r="W356" s="6" t="e">
        <f t="shared" si="206"/>
        <v>#DIV/0!</v>
      </c>
      <c r="X356" s="6" t="e">
        <f t="shared" si="206"/>
        <v>#DIV/0!</v>
      </c>
      <c r="Y356" s="6" t="e">
        <f t="shared" si="206"/>
        <v>#DIV/0!</v>
      </c>
      <c r="Z356" s="6" t="e">
        <f t="shared" si="206"/>
        <v>#DIV/0!</v>
      </c>
    </row>
    <row r="357" spans="1:26" x14ac:dyDescent="0.2">
      <c r="A357" s="7" t="s">
        <v>36</v>
      </c>
      <c r="B357" s="6">
        <f t="shared" si="154"/>
        <v>8</v>
      </c>
      <c r="C357" s="7" t="s">
        <v>158</v>
      </c>
      <c r="D357" s="69">
        <v>75</v>
      </c>
      <c r="E357" s="69">
        <v>0</v>
      </c>
      <c r="F357" s="66">
        <f t="shared" si="152"/>
        <v>0</v>
      </c>
      <c r="G357" s="61" t="e">
        <f t="shared" si="155"/>
        <v>#DIV/0!</v>
      </c>
      <c r="H357" s="66" t="e">
        <f t="shared" si="199"/>
        <v>#DIV/0!</v>
      </c>
      <c r="I357" s="66" t="e">
        <f t="shared" si="199"/>
        <v>#DIV/0!</v>
      </c>
      <c r="J357" s="66" t="e">
        <f t="shared" si="199"/>
        <v>#DIV/0!</v>
      </c>
      <c r="K357" s="70">
        <v>21600</v>
      </c>
      <c r="L357" s="70">
        <f>'Monitoramento Acumulado Geral'!Q357</f>
        <v>0</v>
      </c>
      <c r="M357" s="6">
        <f>(SUM(L350:L357))/K356</f>
        <v>0</v>
      </c>
      <c r="N357" s="35" t="str">
        <f t="shared" si="156"/>
        <v>Desempenho Médio</v>
      </c>
      <c r="O357" s="6">
        <f t="shared" si="205"/>
        <v>0.42046470140126019</v>
      </c>
      <c r="P357" s="6">
        <f t="shared" si="205"/>
        <v>0.84574683442734511</v>
      </c>
      <c r="Q357" s="6">
        <f t="shared" si="205"/>
        <v>-4.8174316248247306E-3</v>
      </c>
      <c r="R357" s="70">
        <v>70</v>
      </c>
      <c r="S357" s="70">
        <v>0</v>
      </c>
      <c r="T357" s="6">
        <f t="shared" si="153"/>
        <v>0</v>
      </c>
      <c r="U357" s="35" t="e">
        <f t="shared" si="157"/>
        <v>#DIV/0!</v>
      </c>
      <c r="V357" s="6" t="e">
        <f t="shared" si="206"/>
        <v>#DIV/0!</v>
      </c>
      <c r="W357" s="6" t="e">
        <f t="shared" si="206"/>
        <v>#DIV/0!</v>
      </c>
      <c r="X357" s="6" t="e">
        <f t="shared" si="206"/>
        <v>#DIV/0!</v>
      </c>
      <c r="Y357" s="6" t="e">
        <f t="shared" si="206"/>
        <v>#DIV/0!</v>
      </c>
      <c r="Z357" s="6" t="e">
        <f t="shared" si="206"/>
        <v>#DIV/0!</v>
      </c>
    </row>
    <row r="358" spans="1:26" x14ac:dyDescent="0.2">
      <c r="A358" s="7" t="s">
        <v>36</v>
      </c>
      <c r="B358" s="6">
        <f t="shared" si="154"/>
        <v>9</v>
      </c>
      <c r="C358" s="7" t="s">
        <v>159</v>
      </c>
      <c r="D358" s="69">
        <v>75</v>
      </c>
      <c r="E358" s="69">
        <v>0</v>
      </c>
      <c r="F358" s="66">
        <f t="shared" ref="F358:F421" si="207">E358/D358</f>
        <v>0</v>
      </c>
      <c r="G358" s="61" t="e">
        <f t="shared" si="155"/>
        <v>#DIV/0!</v>
      </c>
      <c r="H358" s="66" t="e">
        <f t="shared" si="199"/>
        <v>#DIV/0!</v>
      </c>
      <c r="I358" s="66" t="e">
        <f t="shared" si="199"/>
        <v>#DIV/0!</v>
      </c>
      <c r="J358" s="66" t="e">
        <f t="shared" si="199"/>
        <v>#DIV/0!</v>
      </c>
      <c r="K358" s="70">
        <v>21600</v>
      </c>
      <c r="L358" s="70">
        <f>'Monitoramento Acumulado Geral'!Q358</f>
        <v>0</v>
      </c>
      <c r="M358" s="6">
        <f>(SUM(L350:L358))/K357</f>
        <v>0</v>
      </c>
      <c r="N358" s="35" t="str">
        <f t="shared" si="156"/>
        <v>Desempenho Médio</v>
      </c>
      <c r="O358" s="6">
        <f t="shared" si="205"/>
        <v>0.42046470140126019</v>
      </c>
      <c r="P358" s="6">
        <f t="shared" si="205"/>
        <v>0.84574683442734511</v>
      </c>
      <c r="Q358" s="6">
        <f t="shared" si="205"/>
        <v>-4.8174316248247306E-3</v>
      </c>
      <c r="R358" s="70">
        <v>70</v>
      </c>
      <c r="S358" s="70">
        <v>0</v>
      </c>
      <c r="T358" s="6">
        <f t="shared" ref="T358:T421" si="208">S358/R358</f>
        <v>0</v>
      </c>
      <c r="U358" s="35" t="e">
        <f t="shared" si="157"/>
        <v>#DIV/0!</v>
      </c>
      <c r="V358" s="6" t="e">
        <f t="shared" si="206"/>
        <v>#DIV/0!</v>
      </c>
      <c r="W358" s="6" t="e">
        <f t="shared" si="206"/>
        <v>#DIV/0!</v>
      </c>
      <c r="X358" s="6" t="e">
        <f t="shared" si="206"/>
        <v>#DIV/0!</v>
      </c>
      <c r="Y358" s="6" t="e">
        <f t="shared" si="206"/>
        <v>#DIV/0!</v>
      </c>
      <c r="Z358" s="6" t="e">
        <f t="shared" si="206"/>
        <v>#DIV/0!</v>
      </c>
    </row>
    <row r="359" spans="1:26" x14ac:dyDescent="0.2">
      <c r="A359" s="7" t="s">
        <v>36</v>
      </c>
      <c r="B359" s="6">
        <f t="shared" ref="B359:B422" si="209">_xlfn.IFS(C359="Janeiro",1,C359="Fevereiro",2,C359="Março",3,C359="Abril",4,C359="Maio",5,C359="Junho",6,C359="Julho",7,C359="Agosto",8,C359="Setembro",9,C359="Outubro",10,C359="Novembro",11,C359="Dezembro",12,TRUE,0)</f>
        <v>10</v>
      </c>
      <c r="C359" s="7" t="s">
        <v>160</v>
      </c>
      <c r="D359" s="69">
        <v>75</v>
      </c>
      <c r="E359" s="69">
        <v>0</v>
      </c>
      <c r="F359" s="66">
        <f t="shared" si="207"/>
        <v>0</v>
      </c>
      <c r="G359" s="61" t="e">
        <f t="shared" ref="G359:G422" si="210">IF(F359&gt;=I359,"Desempenho Ótimo",(IF(F359&gt;H359,"Desempenho Bom",(IF(F359&gt;J359,"Desempenho Médio",IF(F359&lt;=J359,"Desempenho Deficitário",0))))))</f>
        <v>#DIV/0!</v>
      </c>
      <c r="H359" s="66" t="e">
        <f t="shared" si="199"/>
        <v>#DIV/0!</v>
      </c>
      <c r="I359" s="66" t="e">
        <f t="shared" si="199"/>
        <v>#DIV/0!</v>
      </c>
      <c r="J359" s="66" t="e">
        <f t="shared" si="199"/>
        <v>#DIV/0!</v>
      </c>
      <c r="K359" s="70">
        <v>21600</v>
      </c>
      <c r="L359" s="70">
        <f>'Monitoramento Acumulado Geral'!Q359</f>
        <v>0</v>
      </c>
      <c r="M359" s="6">
        <f>(SUM(L350:L359))/K358</f>
        <v>0</v>
      </c>
      <c r="N359" s="35" t="str">
        <f t="shared" ref="N359:N422" si="211">IF(M359&gt;=P359,"Desempenho Ótimo",(IF(M359&gt;O359,"Desempenho Bom",(IF(M359&gt;Q359,"Desempenho Médio",IF(M359&lt;=Q359,"Desempenho Deficitário",0))))))</f>
        <v>Desempenho Médio</v>
      </c>
      <c r="O359" s="6">
        <f t="shared" si="205"/>
        <v>0.42046470140126019</v>
      </c>
      <c r="P359" s="6">
        <f t="shared" si="205"/>
        <v>0.84574683442734511</v>
      </c>
      <c r="Q359" s="6">
        <f t="shared" si="205"/>
        <v>-4.8174316248247306E-3</v>
      </c>
      <c r="R359" s="70">
        <v>70</v>
      </c>
      <c r="S359" s="70">
        <v>0</v>
      </c>
      <c r="T359" s="6">
        <f t="shared" si="208"/>
        <v>0</v>
      </c>
      <c r="U359" s="35" t="e">
        <f t="shared" ref="U359:U422" si="212">IF(T359&gt;=W359,"Desempenho Ótimo",(IF(T359&gt;V359,"Desempenho Bom",(IF(T359&gt;X359,"Desempenho Médio",IF(T359&lt;=X359,"Desempenho Deficitário",0))))))</f>
        <v>#DIV/0!</v>
      </c>
      <c r="V359" s="6" t="e">
        <f t="shared" si="206"/>
        <v>#DIV/0!</v>
      </c>
      <c r="W359" s="6" t="e">
        <f t="shared" si="206"/>
        <v>#DIV/0!</v>
      </c>
      <c r="X359" s="6" t="e">
        <f t="shared" si="206"/>
        <v>#DIV/0!</v>
      </c>
      <c r="Y359" s="6" t="e">
        <f t="shared" si="206"/>
        <v>#DIV/0!</v>
      </c>
      <c r="Z359" s="6" t="e">
        <f t="shared" si="206"/>
        <v>#DIV/0!</v>
      </c>
    </row>
    <row r="360" spans="1:26" x14ac:dyDescent="0.2">
      <c r="A360" s="7" t="s">
        <v>36</v>
      </c>
      <c r="B360" s="6">
        <f t="shared" si="209"/>
        <v>11</v>
      </c>
      <c r="C360" s="7" t="s">
        <v>161</v>
      </c>
      <c r="D360" s="69">
        <v>75</v>
      </c>
      <c r="E360" s="69">
        <v>0</v>
      </c>
      <c r="F360" s="66">
        <f t="shared" si="207"/>
        <v>0</v>
      </c>
      <c r="G360" s="61" t="e">
        <f t="shared" si="210"/>
        <v>#DIV/0!</v>
      </c>
      <c r="H360" s="66" t="e">
        <f t="shared" si="199"/>
        <v>#DIV/0!</v>
      </c>
      <c r="I360" s="66" t="e">
        <f t="shared" si="199"/>
        <v>#DIV/0!</v>
      </c>
      <c r="J360" s="66" t="e">
        <f t="shared" si="199"/>
        <v>#DIV/0!</v>
      </c>
      <c r="K360" s="70">
        <v>21600</v>
      </c>
      <c r="L360" s="70">
        <f>'Monitoramento Acumulado Geral'!Q360</f>
        <v>0</v>
      </c>
      <c r="M360" s="6">
        <f>(SUM(L350:L360))/K359</f>
        <v>0</v>
      </c>
      <c r="N360" s="35" t="str">
        <f t="shared" si="211"/>
        <v>Desempenho Médio</v>
      </c>
      <c r="O360" s="6">
        <f t="shared" si="205"/>
        <v>0.42046470140126019</v>
      </c>
      <c r="P360" s="6">
        <f t="shared" si="205"/>
        <v>0.84574683442734511</v>
      </c>
      <c r="Q360" s="6">
        <f t="shared" si="205"/>
        <v>-4.8174316248247306E-3</v>
      </c>
      <c r="R360" s="70">
        <v>70</v>
      </c>
      <c r="S360" s="70">
        <v>0</v>
      </c>
      <c r="T360" s="6">
        <f t="shared" si="208"/>
        <v>0</v>
      </c>
      <c r="U360" s="35" t="e">
        <f t="shared" si="212"/>
        <v>#DIV/0!</v>
      </c>
      <c r="V360" s="6" t="e">
        <f t="shared" si="206"/>
        <v>#DIV/0!</v>
      </c>
      <c r="W360" s="6" t="e">
        <f t="shared" si="206"/>
        <v>#DIV/0!</v>
      </c>
      <c r="X360" s="6" t="e">
        <f t="shared" si="206"/>
        <v>#DIV/0!</v>
      </c>
      <c r="Y360" s="6" t="e">
        <f t="shared" si="206"/>
        <v>#DIV/0!</v>
      </c>
      <c r="Z360" s="6" t="e">
        <f t="shared" si="206"/>
        <v>#DIV/0!</v>
      </c>
    </row>
    <row r="361" spans="1:26" x14ac:dyDescent="0.2">
      <c r="A361" s="7" t="s">
        <v>36</v>
      </c>
      <c r="B361" s="6">
        <f t="shared" si="209"/>
        <v>12</v>
      </c>
      <c r="C361" s="7" t="s">
        <v>162</v>
      </c>
      <c r="D361" s="69">
        <v>75</v>
      </c>
      <c r="E361" s="69">
        <v>0</v>
      </c>
      <c r="F361" s="66">
        <f t="shared" si="207"/>
        <v>0</v>
      </c>
      <c r="G361" s="61" t="e">
        <f t="shared" si="210"/>
        <v>#DIV/0!</v>
      </c>
      <c r="H361" s="66" t="e">
        <f t="shared" si="199"/>
        <v>#DIV/0!</v>
      </c>
      <c r="I361" s="66" t="e">
        <f t="shared" si="199"/>
        <v>#DIV/0!</v>
      </c>
      <c r="J361" s="66" t="e">
        <f t="shared" si="199"/>
        <v>#DIV/0!</v>
      </c>
      <c r="K361" s="70">
        <v>21600</v>
      </c>
      <c r="L361" s="70">
        <f>'Monitoramento Acumulado Geral'!Q361</f>
        <v>0</v>
      </c>
      <c r="M361" s="6">
        <f>(SUM(L350:L361))/K360</f>
        <v>0</v>
      </c>
      <c r="N361" s="35" t="str">
        <f t="shared" si="211"/>
        <v>Desempenho Médio</v>
      </c>
      <c r="O361" s="6">
        <f t="shared" si="205"/>
        <v>0.41824651958307835</v>
      </c>
      <c r="P361" s="6">
        <f t="shared" si="205"/>
        <v>0.84510274859297763</v>
      </c>
      <c r="Q361" s="6">
        <f t="shared" si="205"/>
        <v>-8.6097094268208774E-3</v>
      </c>
      <c r="R361" s="70">
        <v>70</v>
      </c>
      <c r="S361" s="70">
        <v>0</v>
      </c>
      <c r="T361" s="6">
        <f t="shared" si="208"/>
        <v>0</v>
      </c>
      <c r="U361" s="35" t="e">
        <f t="shared" si="212"/>
        <v>#DIV/0!</v>
      </c>
      <c r="V361" s="6" t="e">
        <f t="shared" si="206"/>
        <v>#DIV/0!</v>
      </c>
      <c r="W361" s="6" t="e">
        <f t="shared" si="206"/>
        <v>#DIV/0!</v>
      </c>
      <c r="X361" s="6" t="e">
        <f t="shared" si="206"/>
        <v>#DIV/0!</v>
      </c>
      <c r="Y361" s="6" t="e">
        <f t="shared" si="206"/>
        <v>#DIV/0!</v>
      </c>
      <c r="Z361" s="6" t="e">
        <f t="shared" si="206"/>
        <v>#DIV/0!</v>
      </c>
    </row>
    <row r="362" spans="1:26" x14ac:dyDescent="0.2">
      <c r="A362" s="7" t="s">
        <v>82</v>
      </c>
      <c r="B362" s="6">
        <f t="shared" si="209"/>
        <v>1</v>
      </c>
      <c r="C362" s="7" t="s">
        <v>151</v>
      </c>
      <c r="D362" s="69">
        <v>75</v>
      </c>
      <c r="E362" s="69">
        <v>0</v>
      </c>
      <c r="F362" s="66">
        <f t="shared" si="207"/>
        <v>0</v>
      </c>
      <c r="G362" s="61" t="e">
        <f t="shared" si="210"/>
        <v>#DIV/0!</v>
      </c>
      <c r="H362" s="66" t="e">
        <f t="shared" si="199"/>
        <v>#DIV/0!</v>
      </c>
      <c r="I362" s="66" t="e">
        <f t="shared" si="199"/>
        <v>#DIV/0!</v>
      </c>
      <c r="J362" s="66" t="e">
        <f t="shared" si="199"/>
        <v>#DIV/0!</v>
      </c>
      <c r="K362" s="70">
        <v>21000</v>
      </c>
      <c r="L362" s="70">
        <f>'Monitoramento Acumulado Geral'!Q362</f>
        <v>0</v>
      </c>
      <c r="M362" s="6">
        <f>L362/K362</f>
        <v>0</v>
      </c>
      <c r="N362" s="35" t="str">
        <f t="shared" si="211"/>
        <v>Desempenho Médio</v>
      </c>
      <c r="O362" s="6">
        <f t="shared" ref="O362:Q377" si="213">O350</f>
        <v>3.4274647562211005E-2</v>
      </c>
      <c r="P362" s="6">
        <f t="shared" si="213"/>
        <v>0.10289217685709087</v>
      </c>
      <c r="Q362" s="6">
        <f t="shared" si="213"/>
        <v>-3.4342881732668862E-2</v>
      </c>
      <c r="R362" s="70">
        <v>74</v>
      </c>
      <c r="S362" s="70">
        <v>0</v>
      </c>
      <c r="T362" s="6">
        <f t="shared" si="208"/>
        <v>0</v>
      </c>
      <c r="U362" s="35" t="e">
        <f t="shared" si="212"/>
        <v>#DIV/0!</v>
      </c>
      <c r="V362" s="6" t="e">
        <f t="shared" si="206"/>
        <v>#DIV/0!</v>
      </c>
      <c r="W362" s="6" t="e">
        <f t="shared" si="206"/>
        <v>#DIV/0!</v>
      </c>
      <c r="X362" s="6" t="e">
        <f t="shared" si="206"/>
        <v>#DIV/0!</v>
      </c>
      <c r="Y362" s="6" t="e">
        <f t="shared" si="206"/>
        <v>#DIV/0!</v>
      </c>
      <c r="Z362" s="6" t="e">
        <f t="shared" si="206"/>
        <v>#DIV/0!</v>
      </c>
    </row>
    <row r="363" spans="1:26" x14ac:dyDescent="0.2">
      <c r="A363" s="7" t="s">
        <v>82</v>
      </c>
      <c r="B363" s="6">
        <f t="shared" si="209"/>
        <v>2</v>
      </c>
      <c r="C363" s="7" t="s">
        <v>152</v>
      </c>
      <c r="D363" s="69">
        <v>75</v>
      </c>
      <c r="E363" s="69">
        <v>0</v>
      </c>
      <c r="F363" s="66">
        <f t="shared" si="207"/>
        <v>0</v>
      </c>
      <c r="G363" s="61" t="e">
        <f t="shared" si="210"/>
        <v>#DIV/0!</v>
      </c>
      <c r="H363" s="66" t="e">
        <f t="shared" si="199"/>
        <v>#DIV/0!</v>
      </c>
      <c r="I363" s="66" t="e">
        <f t="shared" si="199"/>
        <v>#DIV/0!</v>
      </c>
      <c r="J363" s="66" t="e">
        <f t="shared" si="199"/>
        <v>#DIV/0!</v>
      </c>
      <c r="K363" s="70">
        <v>21000</v>
      </c>
      <c r="L363" s="70">
        <f>'Monitoramento Acumulado Geral'!Q363</f>
        <v>0</v>
      </c>
      <c r="M363" s="6">
        <f>(SUM(L362:L363))/K362</f>
        <v>0</v>
      </c>
      <c r="N363" s="35" t="str">
        <f t="shared" si="211"/>
        <v>Desempenho Médio</v>
      </c>
      <c r="O363" s="6">
        <f t="shared" si="213"/>
        <v>8.1815188943147363E-2</v>
      </c>
      <c r="P363" s="6">
        <f t="shared" si="213"/>
        <v>0.20623883252423067</v>
      </c>
      <c r="Q363" s="6">
        <f t="shared" si="213"/>
        <v>-4.2608454637935944E-2</v>
      </c>
      <c r="R363" s="70">
        <v>74</v>
      </c>
      <c r="S363" s="70">
        <v>0</v>
      </c>
      <c r="T363" s="6">
        <f t="shared" si="208"/>
        <v>0</v>
      </c>
      <c r="U363" s="35" t="e">
        <f t="shared" si="212"/>
        <v>#DIV/0!</v>
      </c>
      <c r="V363" s="6" t="e">
        <f t="shared" si="206"/>
        <v>#DIV/0!</v>
      </c>
      <c r="W363" s="6" t="e">
        <f t="shared" si="206"/>
        <v>#DIV/0!</v>
      </c>
      <c r="X363" s="6" t="e">
        <f t="shared" si="206"/>
        <v>#DIV/0!</v>
      </c>
      <c r="Y363" s="6" t="e">
        <f t="shared" si="206"/>
        <v>#DIV/0!</v>
      </c>
      <c r="Z363" s="6" t="e">
        <f t="shared" si="206"/>
        <v>#DIV/0!</v>
      </c>
    </row>
    <row r="364" spans="1:26" x14ac:dyDescent="0.2">
      <c r="A364" s="7" t="s">
        <v>82</v>
      </c>
      <c r="B364" s="6">
        <f t="shared" si="209"/>
        <v>3</v>
      </c>
      <c r="C364" s="7" t="s">
        <v>153</v>
      </c>
      <c r="D364" s="69">
        <v>75</v>
      </c>
      <c r="E364" s="69">
        <v>57</v>
      </c>
      <c r="F364" s="66">
        <f t="shared" si="207"/>
        <v>0.76</v>
      </c>
      <c r="G364" s="61" t="e">
        <f t="shared" si="210"/>
        <v>#DIV/0!</v>
      </c>
      <c r="H364" s="66" t="e">
        <f t="shared" si="199"/>
        <v>#DIV/0!</v>
      </c>
      <c r="I364" s="66" t="e">
        <f t="shared" si="199"/>
        <v>#DIV/0!</v>
      </c>
      <c r="J364" s="66" t="e">
        <f t="shared" si="199"/>
        <v>#DIV/0!</v>
      </c>
      <c r="K364" s="70">
        <v>21000</v>
      </c>
      <c r="L364" s="70">
        <f>'Monitoramento Acumulado Geral'!Q364</f>
        <v>1800</v>
      </c>
      <c r="M364" s="6">
        <f>(SUM(L362:L364))/K363</f>
        <v>8.5714285714285715E-2</v>
      </c>
      <c r="N364" s="35" t="str">
        <f t="shared" si="211"/>
        <v>Desempenho Médio</v>
      </c>
      <c r="O364" s="6">
        <f t="shared" si="213"/>
        <v>0.13411292471649494</v>
      </c>
      <c r="P364" s="6">
        <f t="shared" si="213"/>
        <v>0.29721906787058483</v>
      </c>
      <c r="Q364" s="6">
        <f t="shared" si="213"/>
        <v>-2.899321843759492E-2</v>
      </c>
      <c r="R364" s="70">
        <v>74</v>
      </c>
      <c r="S364" s="70">
        <v>0</v>
      </c>
      <c r="T364" s="6">
        <f t="shared" si="208"/>
        <v>0</v>
      </c>
      <c r="U364" s="35" t="e">
        <f t="shared" si="212"/>
        <v>#DIV/0!</v>
      </c>
      <c r="V364" s="6" t="e">
        <f t="shared" si="206"/>
        <v>#DIV/0!</v>
      </c>
      <c r="W364" s="6" t="e">
        <f t="shared" si="206"/>
        <v>#DIV/0!</v>
      </c>
      <c r="X364" s="6" t="e">
        <f t="shared" si="206"/>
        <v>#DIV/0!</v>
      </c>
      <c r="Y364" s="6" t="e">
        <f t="shared" si="206"/>
        <v>#DIV/0!</v>
      </c>
      <c r="Z364" s="6" t="e">
        <f t="shared" si="206"/>
        <v>#DIV/0!</v>
      </c>
    </row>
    <row r="365" spans="1:26" x14ac:dyDescent="0.2">
      <c r="A365" s="7" t="s">
        <v>82</v>
      </c>
      <c r="B365" s="6">
        <f t="shared" si="209"/>
        <v>4</v>
      </c>
      <c r="C365" s="7" t="s">
        <v>154</v>
      </c>
      <c r="D365" s="69">
        <v>75</v>
      </c>
      <c r="E365" s="69">
        <v>57</v>
      </c>
      <c r="F365" s="66">
        <f t="shared" si="207"/>
        <v>0.76</v>
      </c>
      <c r="G365" s="61" t="e">
        <f t="shared" si="210"/>
        <v>#DIV/0!</v>
      </c>
      <c r="H365" s="66" t="e">
        <f t="shared" si="199"/>
        <v>#DIV/0!</v>
      </c>
      <c r="I365" s="66" t="e">
        <f t="shared" si="199"/>
        <v>#DIV/0!</v>
      </c>
      <c r="J365" s="66" t="e">
        <f t="shared" si="199"/>
        <v>#DIV/0!</v>
      </c>
      <c r="K365" s="70">
        <v>21000</v>
      </c>
      <c r="L365" s="70">
        <f>'Monitoramento Acumulado Geral'!Q365</f>
        <v>0</v>
      </c>
      <c r="M365" s="6">
        <f>(SUM(L362:L365))/K364</f>
        <v>8.5714285714285715E-2</v>
      </c>
      <c r="N365" s="35" t="str">
        <f t="shared" si="211"/>
        <v>Desempenho Médio</v>
      </c>
      <c r="O365" s="6">
        <f t="shared" si="213"/>
        <v>0.15392483870093213</v>
      </c>
      <c r="P365" s="6">
        <f t="shared" si="213"/>
        <v>0.32772007016950033</v>
      </c>
      <c r="Q365" s="6">
        <f t="shared" si="213"/>
        <v>-1.9870392767636053E-2</v>
      </c>
      <c r="R365" s="70">
        <v>74</v>
      </c>
      <c r="S365" s="70">
        <v>0</v>
      </c>
      <c r="T365" s="6">
        <f t="shared" si="208"/>
        <v>0</v>
      </c>
      <c r="U365" s="35" t="e">
        <f t="shared" si="212"/>
        <v>#DIV/0!</v>
      </c>
      <c r="V365" s="6" t="e">
        <f t="shared" si="206"/>
        <v>#DIV/0!</v>
      </c>
      <c r="W365" s="6" t="e">
        <f t="shared" si="206"/>
        <v>#DIV/0!</v>
      </c>
      <c r="X365" s="6" t="e">
        <f t="shared" si="206"/>
        <v>#DIV/0!</v>
      </c>
      <c r="Y365" s="6" t="e">
        <f t="shared" si="206"/>
        <v>#DIV/0!</v>
      </c>
      <c r="Z365" s="6" t="e">
        <f t="shared" si="206"/>
        <v>#DIV/0!</v>
      </c>
    </row>
    <row r="366" spans="1:26" x14ac:dyDescent="0.2">
      <c r="A366" s="7" t="s">
        <v>82</v>
      </c>
      <c r="B366" s="6">
        <f t="shared" si="209"/>
        <v>5</v>
      </c>
      <c r="C366" s="7" t="s">
        <v>155</v>
      </c>
      <c r="D366" s="69">
        <v>75</v>
      </c>
      <c r="E366" s="69">
        <v>57</v>
      </c>
      <c r="F366" s="66">
        <f t="shared" si="207"/>
        <v>0.76</v>
      </c>
      <c r="G366" s="61" t="e">
        <f t="shared" si="210"/>
        <v>#DIV/0!</v>
      </c>
      <c r="H366" s="66" t="e">
        <f t="shared" si="199"/>
        <v>#DIV/0!</v>
      </c>
      <c r="I366" s="66" t="e">
        <f t="shared" si="199"/>
        <v>#DIV/0!</v>
      </c>
      <c r="J366" s="66" t="e">
        <f t="shared" si="199"/>
        <v>#DIV/0!</v>
      </c>
      <c r="K366" s="70">
        <v>21000</v>
      </c>
      <c r="L366" s="70">
        <f>'Monitoramento Acumulado Geral'!Q366</f>
        <v>0</v>
      </c>
      <c r="M366" s="6">
        <f>(SUM(L362:L366))/K365</f>
        <v>8.5714285714285715E-2</v>
      </c>
      <c r="N366" s="35" t="str">
        <f t="shared" si="211"/>
        <v>Desempenho Médio</v>
      </c>
      <c r="O366" s="6">
        <f t="shared" si="213"/>
        <v>0.21139287248463789</v>
      </c>
      <c r="P366" s="6">
        <f t="shared" si="213"/>
        <v>0.43680804416292918</v>
      </c>
      <c r="Q366" s="6">
        <f t="shared" si="213"/>
        <v>-1.4022299193653387E-2</v>
      </c>
      <c r="R366" s="70">
        <v>74</v>
      </c>
      <c r="S366" s="70">
        <v>0</v>
      </c>
      <c r="T366" s="6">
        <f t="shared" si="208"/>
        <v>0</v>
      </c>
      <c r="U366" s="35" t="e">
        <f t="shared" si="212"/>
        <v>#DIV/0!</v>
      </c>
      <c r="V366" s="6" t="e">
        <f t="shared" si="206"/>
        <v>#DIV/0!</v>
      </c>
      <c r="W366" s="6" t="e">
        <f t="shared" si="206"/>
        <v>#DIV/0!</v>
      </c>
      <c r="X366" s="6" t="e">
        <f t="shared" si="206"/>
        <v>#DIV/0!</v>
      </c>
      <c r="Y366" s="6" t="e">
        <f t="shared" si="206"/>
        <v>#DIV/0!</v>
      </c>
      <c r="Z366" s="6" t="e">
        <f t="shared" si="206"/>
        <v>#DIV/0!</v>
      </c>
    </row>
    <row r="367" spans="1:26" x14ac:dyDescent="0.2">
      <c r="A367" s="7" t="s">
        <v>82</v>
      </c>
      <c r="B367" s="6">
        <f t="shared" si="209"/>
        <v>6</v>
      </c>
      <c r="C367" s="7" t="s">
        <v>156</v>
      </c>
      <c r="D367" s="69">
        <v>75</v>
      </c>
      <c r="E367" s="69">
        <v>75</v>
      </c>
      <c r="F367" s="66">
        <f t="shared" si="207"/>
        <v>1</v>
      </c>
      <c r="G367" s="61" t="e">
        <f t="shared" si="210"/>
        <v>#DIV/0!</v>
      </c>
      <c r="H367" s="66" t="e">
        <f t="shared" si="199"/>
        <v>#DIV/0!</v>
      </c>
      <c r="I367" s="66" t="e">
        <f t="shared" si="199"/>
        <v>#DIV/0!</v>
      </c>
      <c r="J367" s="66" t="e">
        <f t="shared" si="199"/>
        <v>#DIV/0!</v>
      </c>
      <c r="K367" s="70">
        <v>21000</v>
      </c>
      <c r="L367" s="70">
        <f>'Monitoramento Acumulado Geral'!Q367</f>
        <v>5320</v>
      </c>
      <c r="M367" s="6">
        <f>(SUM(L362:L367))/K366</f>
        <v>0.33904761904761904</v>
      </c>
      <c r="N367" s="35" t="str">
        <f t="shared" si="211"/>
        <v>Desempenho Bom</v>
      </c>
      <c r="O367" s="6">
        <f t="shared" si="213"/>
        <v>0.28403291059934432</v>
      </c>
      <c r="P367" s="6">
        <f t="shared" si="213"/>
        <v>0.56118246348434164</v>
      </c>
      <c r="Q367" s="6">
        <f t="shared" si="213"/>
        <v>6.8833577143469493E-3</v>
      </c>
      <c r="R367" s="70">
        <v>74</v>
      </c>
      <c r="S367" s="70">
        <v>0</v>
      </c>
      <c r="T367" s="6">
        <f t="shared" si="208"/>
        <v>0</v>
      </c>
      <c r="U367" s="35" t="e">
        <f t="shared" si="212"/>
        <v>#DIV/0!</v>
      </c>
      <c r="V367" s="6" t="e">
        <f t="shared" si="206"/>
        <v>#DIV/0!</v>
      </c>
      <c r="W367" s="6" t="e">
        <f t="shared" si="206"/>
        <v>#DIV/0!</v>
      </c>
      <c r="X367" s="6" t="e">
        <f t="shared" si="206"/>
        <v>#DIV/0!</v>
      </c>
      <c r="Y367" s="6" t="e">
        <f t="shared" si="206"/>
        <v>#DIV/0!</v>
      </c>
      <c r="Z367" s="6" t="e">
        <f t="shared" si="206"/>
        <v>#DIV/0!</v>
      </c>
    </row>
    <row r="368" spans="1:26" x14ac:dyDescent="0.2">
      <c r="A368" s="7" t="s">
        <v>82</v>
      </c>
      <c r="B368" s="6">
        <f t="shared" si="209"/>
        <v>7</v>
      </c>
      <c r="C368" s="7" t="s">
        <v>157</v>
      </c>
      <c r="D368" s="69">
        <v>75</v>
      </c>
      <c r="E368" s="69">
        <v>92</v>
      </c>
      <c r="F368" s="66">
        <f t="shared" si="207"/>
        <v>1.2266666666666666</v>
      </c>
      <c r="G368" s="61" t="e">
        <f t="shared" si="210"/>
        <v>#DIV/0!</v>
      </c>
      <c r="H368" s="66" t="e">
        <f t="shared" si="199"/>
        <v>#DIV/0!</v>
      </c>
      <c r="I368" s="66" t="e">
        <f t="shared" si="199"/>
        <v>#DIV/0!</v>
      </c>
      <c r="J368" s="66" t="e">
        <f t="shared" si="199"/>
        <v>#DIV/0!</v>
      </c>
      <c r="K368" s="70">
        <v>21000</v>
      </c>
      <c r="L368" s="70">
        <f>'Monitoramento Acumulado Geral'!Q368</f>
        <v>34618.230000000003</v>
      </c>
      <c r="M368" s="6">
        <f>(SUM(L362:L368))/K367</f>
        <v>1.9875347619047621</v>
      </c>
      <c r="N368" s="35" t="str">
        <f t="shared" si="211"/>
        <v>Desempenho Ótimo</v>
      </c>
      <c r="O368" s="6">
        <f t="shared" si="213"/>
        <v>0.42046470140126019</v>
      </c>
      <c r="P368" s="6">
        <f t="shared" si="213"/>
        <v>0.84574683442734511</v>
      </c>
      <c r="Q368" s="6">
        <f t="shared" si="213"/>
        <v>-4.8174316248247306E-3</v>
      </c>
      <c r="R368" s="70">
        <v>74</v>
      </c>
      <c r="S368" s="70">
        <v>0</v>
      </c>
      <c r="T368" s="6">
        <f t="shared" si="208"/>
        <v>0</v>
      </c>
      <c r="U368" s="35" t="e">
        <f t="shared" si="212"/>
        <v>#DIV/0!</v>
      </c>
      <c r="V368" s="6" t="e">
        <f t="shared" si="206"/>
        <v>#DIV/0!</v>
      </c>
      <c r="W368" s="6" t="e">
        <f t="shared" si="206"/>
        <v>#DIV/0!</v>
      </c>
      <c r="X368" s="6" t="e">
        <f t="shared" si="206"/>
        <v>#DIV/0!</v>
      </c>
      <c r="Y368" s="6" t="e">
        <f t="shared" si="206"/>
        <v>#DIV/0!</v>
      </c>
      <c r="Z368" s="6" t="e">
        <f t="shared" si="206"/>
        <v>#DIV/0!</v>
      </c>
    </row>
    <row r="369" spans="1:26" x14ac:dyDescent="0.2">
      <c r="A369" s="7" t="s">
        <v>82</v>
      </c>
      <c r="B369" s="6">
        <f t="shared" si="209"/>
        <v>8</v>
      </c>
      <c r="C369" s="7" t="s">
        <v>158</v>
      </c>
      <c r="D369" s="69">
        <v>75</v>
      </c>
      <c r="E369" s="69">
        <v>0</v>
      </c>
      <c r="F369" s="66">
        <f t="shared" si="207"/>
        <v>0</v>
      </c>
      <c r="G369" s="61" t="e">
        <f t="shared" si="210"/>
        <v>#DIV/0!</v>
      </c>
      <c r="H369" s="66" t="e">
        <f t="shared" si="199"/>
        <v>#DIV/0!</v>
      </c>
      <c r="I369" s="66" t="e">
        <f t="shared" si="199"/>
        <v>#DIV/0!</v>
      </c>
      <c r="J369" s="66" t="e">
        <f t="shared" si="199"/>
        <v>#DIV/0!</v>
      </c>
      <c r="K369" s="70">
        <v>21000</v>
      </c>
      <c r="L369" s="70">
        <f>'Monitoramento Acumulado Geral'!Q369</f>
        <v>0</v>
      </c>
      <c r="M369" s="6">
        <f>(SUM(L362:L369))/K368</f>
        <v>1.9875347619047621</v>
      </c>
      <c r="N369" s="35" t="str">
        <f t="shared" si="211"/>
        <v>Desempenho Ótimo</v>
      </c>
      <c r="O369" s="6">
        <f t="shared" si="213"/>
        <v>0.42046470140126019</v>
      </c>
      <c r="P369" s="6">
        <f t="shared" si="213"/>
        <v>0.84574683442734511</v>
      </c>
      <c r="Q369" s="6">
        <f t="shared" si="213"/>
        <v>-4.8174316248247306E-3</v>
      </c>
      <c r="R369" s="70">
        <v>74</v>
      </c>
      <c r="S369" s="70">
        <v>0</v>
      </c>
      <c r="T369" s="6">
        <f t="shared" si="208"/>
        <v>0</v>
      </c>
      <c r="U369" s="35" t="e">
        <f t="shared" si="212"/>
        <v>#DIV/0!</v>
      </c>
      <c r="V369" s="6" t="e">
        <f t="shared" si="206"/>
        <v>#DIV/0!</v>
      </c>
      <c r="W369" s="6" t="e">
        <f t="shared" si="206"/>
        <v>#DIV/0!</v>
      </c>
      <c r="X369" s="6" t="e">
        <f t="shared" si="206"/>
        <v>#DIV/0!</v>
      </c>
      <c r="Y369" s="6" t="e">
        <f t="shared" si="206"/>
        <v>#DIV/0!</v>
      </c>
      <c r="Z369" s="6" t="e">
        <f t="shared" si="206"/>
        <v>#DIV/0!</v>
      </c>
    </row>
    <row r="370" spans="1:26" x14ac:dyDescent="0.2">
      <c r="A370" s="7" t="s">
        <v>82</v>
      </c>
      <c r="B370" s="6">
        <f t="shared" si="209"/>
        <v>9</v>
      </c>
      <c r="C370" s="7" t="s">
        <v>159</v>
      </c>
      <c r="D370" s="69">
        <v>75</v>
      </c>
      <c r="E370" s="69">
        <v>0</v>
      </c>
      <c r="F370" s="66">
        <f t="shared" si="207"/>
        <v>0</v>
      </c>
      <c r="G370" s="61" t="e">
        <f t="shared" si="210"/>
        <v>#DIV/0!</v>
      </c>
      <c r="H370" s="66" t="e">
        <f t="shared" si="199"/>
        <v>#DIV/0!</v>
      </c>
      <c r="I370" s="66" t="e">
        <f t="shared" si="199"/>
        <v>#DIV/0!</v>
      </c>
      <c r="J370" s="66" t="e">
        <f t="shared" si="199"/>
        <v>#DIV/0!</v>
      </c>
      <c r="K370" s="70">
        <v>21000</v>
      </c>
      <c r="L370" s="70">
        <f>'Monitoramento Acumulado Geral'!Q370</f>
        <v>0</v>
      </c>
      <c r="M370" s="6">
        <f>(SUM(L362:L370))/K369</f>
        <v>1.9875347619047621</v>
      </c>
      <c r="N370" s="35" t="str">
        <f t="shared" si="211"/>
        <v>Desempenho Ótimo</v>
      </c>
      <c r="O370" s="6">
        <f t="shared" si="213"/>
        <v>0.42046470140126019</v>
      </c>
      <c r="P370" s="6">
        <f t="shared" si="213"/>
        <v>0.84574683442734511</v>
      </c>
      <c r="Q370" s="6">
        <f t="shared" si="213"/>
        <v>-4.8174316248247306E-3</v>
      </c>
      <c r="R370" s="70">
        <v>74</v>
      </c>
      <c r="S370" s="70">
        <v>0</v>
      </c>
      <c r="T370" s="6">
        <f t="shared" si="208"/>
        <v>0</v>
      </c>
      <c r="U370" s="35" t="e">
        <f t="shared" si="212"/>
        <v>#DIV/0!</v>
      </c>
      <c r="V370" s="6" t="e">
        <f t="shared" si="206"/>
        <v>#DIV/0!</v>
      </c>
      <c r="W370" s="6" t="e">
        <f t="shared" si="206"/>
        <v>#DIV/0!</v>
      </c>
      <c r="X370" s="6" t="e">
        <f t="shared" si="206"/>
        <v>#DIV/0!</v>
      </c>
      <c r="Y370" s="6" t="e">
        <f t="shared" si="206"/>
        <v>#DIV/0!</v>
      </c>
      <c r="Z370" s="6" t="e">
        <f t="shared" si="206"/>
        <v>#DIV/0!</v>
      </c>
    </row>
    <row r="371" spans="1:26" x14ac:dyDescent="0.2">
      <c r="A371" s="7" t="s">
        <v>82</v>
      </c>
      <c r="B371" s="6">
        <f t="shared" si="209"/>
        <v>10</v>
      </c>
      <c r="C371" s="7" t="s">
        <v>160</v>
      </c>
      <c r="D371" s="69">
        <v>75</v>
      </c>
      <c r="E371" s="69">
        <v>0</v>
      </c>
      <c r="F371" s="66">
        <f t="shared" si="207"/>
        <v>0</v>
      </c>
      <c r="G371" s="61" t="e">
        <f t="shared" si="210"/>
        <v>#DIV/0!</v>
      </c>
      <c r="H371" s="66" t="e">
        <f t="shared" ref="H371:J434" si="214">H359</f>
        <v>#DIV/0!</v>
      </c>
      <c r="I371" s="66" t="e">
        <f t="shared" si="214"/>
        <v>#DIV/0!</v>
      </c>
      <c r="J371" s="66" t="e">
        <f t="shared" si="214"/>
        <v>#DIV/0!</v>
      </c>
      <c r="K371" s="70">
        <v>21000</v>
      </c>
      <c r="L371" s="70">
        <f>'Monitoramento Acumulado Geral'!Q371</f>
        <v>0</v>
      </c>
      <c r="M371" s="6">
        <f>(SUM(L362:L371))/K370</f>
        <v>1.9875347619047621</v>
      </c>
      <c r="N371" s="35" t="str">
        <f t="shared" si="211"/>
        <v>Desempenho Ótimo</v>
      </c>
      <c r="O371" s="6">
        <f t="shared" si="213"/>
        <v>0.42046470140126019</v>
      </c>
      <c r="P371" s="6">
        <f t="shared" si="213"/>
        <v>0.84574683442734511</v>
      </c>
      <c r="Q371" s="6">
        <f t="shared" si="213"/>
        <v>-4.8174316248247306E-3</v>
      </c>
      <c r="R371" s="70">
        <v>74</v>
      </c>
      <c r="S371" s="70">
        <v>0</v>
      </c>
      <c r="T371" s="6">
        <f t="shared" si="208"/>
        <v>0</v>
      </c>
      <c r="U371" s="35" t="e">
        <f t="shared" si="212"/>
        <v>#DIV/0!</v>
      </c>
      <c r="V371" s="6" t="e">
        <f t="shared" ref="V371:Z386" si="215">V359</f>
        <v>#DIV/0!</v>
      </c>
      <c r="W371" s="6" t="e">
        <f t="shared" si="215"/>
        <v>#DIV/0!</v>
      </c>
      <c r="X371" s="6" t="e">
        <f t="shared" si="215"/>
        <v>#DIV/0!</v>
      </c>
      <c r="Y371" s="6" t="e">
        <f t="shared" si="215"/>
        <v>#DIV/0!</v>
      </c>
      <c r="Z371" s="6" t="e">
        <f t="shared" si="215"/>
        <v>#DIV/0!</v>
      </c>
    </row>
    <row r="372" spans="1:26" x14ac:dyDescent="0.2">
      <c r="A372" s="7" t="s">
        <v>82</v>
      </c>
      <c r="B372" s="6">
        <f t="shared" si="209"/>
        <v>11</v>
      </c>
      <c r="C372" s="7" t="s">
        <v>161</v>
      </c>
      <c r="D372" s="69">
        <v>75</v>
      </c>
      <c r="E372" s="69">
        <v>0</v>
      </c>
      <c r="F372" s="66">
        <f t="shared" si="207"/>
        <v>0</v>
      </c>
      <c r="G372" s="61" t="e">
        <f t="shared" si="210"/>
        <v>#DIV/0!</v>
      </c>
      <c r="H372" s="66" t="e">
        <f t="shared" si="214"/>
        <v>#DIV/0!</v>
      </c>
      <c r="I372" s="66" t="e">
        <f t="shared" si="214"/>
        <v>#DIV/0!</v>
      </c>
      <c r="J372" s="66" t="e">
        <f t="shared" si="214"/>
        <v>#DIV/0!</v>
      </c>
      <c r="K372" s="70">
        <v>21000</v>
      </c>
      <c r="L372" s="70">
        <f>'Monitoramento Acumulado Geral'!Q372</f>
        <v>0</v>
      </c>
      <c r="M372" s="6">
        <f>(SUM(L362:L372))/K371</f>
        <v>1.9875347619047621</v>
      </c>
      <c r="N372" s="35" t="str">
        <f t="shared" si="211"/>
        <v>Desempenho Ótimo</v>
      </c>
      <c r="O372" s="6">
        <f t="shared" si="213"/>
        <v>0.42046470140126019</v>
      </c>
      <c r="P372" s="6">
        <f t="shared" si="213"/>
        <v>0.84574683442734511</v>
      </c>
      <c r="Q372" s="6">
        <f t="shared" si="213"/>
        <v>-4.8174316248247306E-3</v>
      </c>
      <c r="R372" s="70">
        <v>74</v>
      </c>
      <c r="S372" s="70">
        <v>0</v>
      </c>
      <c r="T372" s="6">
        <f t="shared" si="208"/>
        <v>0</v>
      </c>
      <c r="U372" s="35" t="e">
        <f t="shared" si="212"/>
        <v>#DIV/0!</v>
      </c>
      <c r="V372" s="6" t="e">
        <f t="shared" si="215"/>
        <v>#DIV/0!</v>
      </c>
      <c r="W372" s="6" t="e">
        <f t="shared" si="215"/>
        <v>#DIV/0!</v>
      </c>
      <c r="X372" s="6" t="e">
        <f t="shared" si="215"/>
        <v>#DIV/0!</v>
      </c>
      <c r="Y372" s="6" t="e">
        <f t="shared" si="215"/>
        <v>#DIV/0!</v>
      </c>
      <c r="Z372" s="6" t="e">
        <f t="shared" si="215"/>
        <v>#DIV/0!</v>
      </c>
    </row>
    <row r="373" spans="1:26" x14ac:dyDescent="0.2">
      <c r="A373" s="7" t="s">
        <v>82</v>
      </c>
      <c r="B373" s="6">
        <f t="shared" si="209"/>
        <v>12</v>
      </c>
      <c r="C373" s="7" t="s">
        <v>162</v>
      </c>
      <c r="D373" s="69">
        <v>75</v>
      </c>
      <c r="E373" s="69">
        <v>0</v>
      </c>
      <c r="F373" s="66">
        <f t="shared" si="207"/>
        <v>0</v>
      </c>
      <c r="G373" s="61" t="e">
        <f t="shared" si="210"/>
        <v>#DIV/0!</v>
      </c>
      <c r="H373" s="66" t="e">
        <f t="shared" si="214"/>
        <v>#DIV/0!</v>
      </c>
      <c r="I373" s="66" t="e">
        <f t="shared" si="214"/>
        <v>#DIV/0!</v>
      </c>
      <c r="J373" s="66" t="e">
        <f t="shared" si="214"/>
        <v>#DIV/0!</v>
      </c>
      <c r="K373" s="70">
        <v>21000</v>
      </c>
      <c r="L373" s="70">
        <f>'Monitoramento Acumulado Geral'!Q373</f>
        <v>0</v>
      </c>
      <c r="M373" s="6">
        <f>(SUM(L362:L373))/K372</f>
        <v>1.9875347619047621</v>
      </c>
      <c r="N373" s="35" t="str">
        <f t="shared" si="211"/>
        <v>Desempenho Ótimo</v>
      </c>
      <c r="O373" s="6">
        <f t="shared" si="213"/>
        <v>0.41824651958307835</v>
      </c>
      <c r="P373" s="6">
        <f t="shared" si="213"/>
        <v>0.84510274859297763</v>
      </c>
      <c r="Q373" s="6">
        <f t="shared" si="213"/>
        <v>-8.6097094268208774E-3</v>
      </c>
      <c r="R373" s="70">
        <v>74</v>
      </c>
      <c r="S373" s="70">
        <v>0</v>
      </c>
      <c r="T373" s="6">
        <f t="shared" si="208"/>
        <v>0</v>
      </c>
      <c r="U373" s="35" t="e">
        <f t="shared" si="212"/>
        <v>#DIV/0!</v>
      </c>
      <c r="V373" s="6" t="e">
        <f t="shared" si="215"/>
        <v>#DIV/0!</v>
      </c>
      <c r="W373" s="6" t="e">
        <f t="shared" si="215"/>
        <v>#DIV/0!</v>
      </c>
      <c r="X373" s="6" t="e">
        <f t="shared" si="215"/>
        <v>#DIV/0!</v>
      </c>
      <c r="Y373" s="6" t="e">
        <f t="shared" si="215"/>
        <v>#DIV/0!</v>
      </c>
      <c r="Z373" s="6" t="e">
        <f t="shared" si="215"/>
        <v>#DIV/0!</v>
      </c>
    </row>
    <row r="374" spans="1:26" x14ac:dyDescent="0.2">
      <c r="A374" s="7" t="s">
        <v>64</v>
      </c>
      <c r="B374" s="6">
        <f t="shared" si="209"/>
        <v>1</v>
      </c>
      <c r="C374" s="7" t="s">
        <v>151</v>
      </c>
      <c r="D374" s="69">
        <v>75</v>
      </c>
      <c r="E374" s="69">
        <v>0</v>
      </c>
      <c r="F374" s="66">
        <f t="shared" si="207"/>
        <v>0</v>
      </c>
      <c r="G374" s="61" t="e">
        <f t="shared" si="210"/>
        <v>#DIV/0!</v>
      </c>
      <c r="H374" s="66" t="e">
        <f t="shared" si="214"/>
        <v>#DIV/0!</v>
      </c>
      <c r="I374" s="66" t="e">
        <f t="shared" si="214"/>
        <v>#DIV/0!</v>
      </c>
      <c r="J374" s="66" t="e">
        <f t="shared" si="214"/>
        <v>#DIV/0!</v>
      </c>
      <c r="K374" s="70">
        <v>34000</v>
      </c>
      <c r="L374" s="70">
        <f>'Monitoramento Acumulado Geral'!Q374</f>
        <v>0</v>
      </c>
      <c r="M374" s="6">
        <f>L374/K374</f>
        <v>0</v>
      </c>
      <c r="N374" s="35" t="str">
        <f t="shared" si="211"/>
        <v>Desempenho Médio</v>
      </c>
      <c r="O374" s="6">
        <f t="shared" si="213"/>
        <v>3.4274647562211005E-2</v>
      </c>
      <c r="P374" s="6">
        <f t="shared" si="213"/>
        <v>0.10289217685709087</v>
      </c>
      <c r="Q374" s="6">
        <f t="shared" si="213"/>
        <v>-3.4342881732668862E-2</v>
      </c>
      <c r="R374" s="70">
        <v>43</v>
      </c>
      <c r="S374" s="70">
        <v>0</v>
      </c>
      <c r="T374" s="6">
        <f t="shared" si="208"/>
        <v>0</v>
      </c>
      <c r="U374" s="35" t="e">
        <f t="shared" si="212"/>
        <v>#DIV/0!</v>
      </c>
      <c r="V374" s="6" t="e">
        <f t="shared" si="215"/>
        <v>#DIV/0!</v>
      </c>
      <c r="W374" s="6" t="e">
        <f t="shared" si="215"/>
        <v>#DIV/0!</v>
      </c>
      <c r="X374" s="6" t="e">
        <f t="shared" si="215"/>
        <v>#DIV/0!</v>
      </c>
      <c r="Y374" s="6" t="e">
        <f t="shared" si="215"/>
        <v>#DIV/0!</v>
      </c>
      <c r="Z374" s="6" t="e">
        <f t="shared" si="215"/>
        <v>#DIV/0!</v>
      </c>
    </row>
    <row r="375" spans="1:26" x14ac:dyDescent="0.2">
      <c r="A375" s="7" t="s">
        <v>64</v>
      </c>
      <c r="B375" s="6">
        <f t="shared" si="209"/>
        <v>2</v>
      </c>
      <c r="C375" s="7" t="s">
        <v>152</v>
      </c>
      <c r="D375" s="69">
        <v>75</v>
      </c>
      <c r="E375" s="69">
        <v>0</v>
      </c>
      <c r="F375" s="66">
        <f t="shared" si="207"/>
        <v>0</v>
      </c>
      <c r="G375" s="61" t="e">
        <f t="shared" si="210"/>
        <v>#DIV/0!</v>
      </c>
      <c r="H375" s="66" t="e">
        <f t="shared" si="214"/>
        <v>#DIV/0!</v>
      </c>
      <c r="I375" s="66" t="e">
        <f t="shared" si="214"/>
        <v>#DIV/0!</v>
      </c>
      <c r="J375" s="66" t="e">
        <f t="shared" si="214"/>
        <v>#DIV/0!</v>
      </c>
      <c r="K375" s="70">
        <v>34000</v>
      </c>
      <c r="L375" s="70">
        <f>'Monitoramento Acumulado Geral'!Q375</f>
        <v>0</v>
      </c>
      <c r="M375" s="6">
        <f>(SUM(L374:L375))/K374</f>
        <v>0</v>
      </c>
      <c r="N375" s="35" t="str">
        <f t="shared" si="211"/>
        <v>Desempenho Médio</v>
      </c>
      <c r="O375" s="6">
        <f t="shared" si="213"/>
        <v>8.1815188943147363E-2</v>
      </c>
      <c r="P375" s="6">
        <f t="shared" si="213"/>
        <v>0.20623883252423067</v>
      </c>
      <c r="Q375" s="6">
        <f t="shared" si="213"/>
        <v>-4.2608454637935944E-2</v>
      </c>
      <c r="R375" s="70">
        <v>43</v>
      </c>
      <c r="S375" s="70">
        <v>0</v>
      </c>
      <c r="T375" s="6">
        <f t="shared" si="208"/>
        <v>0</v>
      </c>
      <c r="U375" s="35" t="e">
        <f t="shared" si="212"/>
        <v>#DIV/0!</v>
      </c>
      <c r="V375" s="6" t="e">
        <f t="shared" si="215"/>
        <v>#DIV/0!</v>
      </c>
      <c r="W375" s="6" t="e">
        <f t="shared" si="215"/>
        <v>#DIV/0!</v>
      </c>
      <c r="X375" s="6" t="e">
        <f t="shared" si="215"/>
        <v>#DIV/0!</v>
      </c>
      <c r="Y375" s="6" t="e">
        <f t="shared" si="215"/>
        <v>#DIV/0!</v>
      </c>
      <c r="Z375" s="6" t="e">
        <f t="shared" si="215"/>
        <v>#DIV/0!</v>
      </c>
    </row>
    <row r="376" spans="1:26" x14ac:dyDescent="0.2">
      <c r="A376" s="7" t="s">
        <v>64</v>
      </c>
      <c r="B376" s="6">
        <f t="shared" si="209"/>
        <v>3</v>
      </c>
      <c r="C376" s="7" t="s">
        <v>153</v>
      </c>
      <c r="D376" s="69">
        <v>75</v>
      </c>
      <c r="E376" s="69">
        <v>0</v>
      </c>
      <c r="F376" s="66">
        <f t="shared" si="207"/>
        <v>0</v>
      </c>
      <c r="G376" s="61" t="e">
        <f t="shared" si="210"/>
        <v>#DIV/0!</v>
      </c>
      <c r="H376" s="66" t="e">
        <f t="shared" si="214"/>
        <v>#DIV/0!</v>
      </c>
      <c r="I376" s="66" t="e">
        <f t="shared" si="214"/>
        <v>#DIV/0!</v>
      </c>
      <c r="J376" s="66" t="e">
        <f t="shared" si="214"/>
        <v>#DIV/0!</v>
      </c>
      <c r="K376" s="70">
        <v>34000</v>
      </c>
      <c r="L376" s="70">
        <f>'Monitoramento Acumulado Geral'!Q376</f>
        <v>0</v>
      </c>
      <c r="M376" s="6">
        <f>(SUM(L374:L376))/K375</f>
        <v>0</v>
      </c>
      <c r="N376" s="35" t="str">
        <f t="shared" si="211"/>
        <v>Desempenho Médio</v>
      </c>
      <c r="O376" s="6">
        <f t="shared" si="213"/>
        <v>0.13411292471649494</v>
      </c>
      <c r="P376" s="6">
        <f t="shared" si="213"/>
        <v>0.29721906787058483</v>
      </c>
      <c r="Q376" s="6">
        <f t="shared" si="213"/>
        <v>-2.899321843759492E-2</v>
      </c>
      <c r="R376" s="70">
        <v>43</v>
      </c>
      <c r="S376" s="70">
        <v>0</v>
      </c>
      <c r="T376" s="6">
        <f t="shared" si="208"/>
        <v>0</v>
      </c>
      <c r="U376" s="35" t="e">
        <f t="shared" si="212"/>
        <v>#DIV/0!</v>
      </c>
      <c r="V376" s="6" t="e">
        <f t="shared" si="215"/>
        <v>#DIV/0!</v>
      </c>
      <c r="W376" s="6" t="e">
        <f t="shared" si="215"/>
        <v>#DIV/0!</v>
      </c>
      <c r="X376" s="6" t="e">
        <f t="shared" si="215"/>
        <v>#DIV/0!</v>
      </c>
      <c r="Y376" s="6" t="e">
        <f t="shared" si="215"/>
        <v>#DIV/0!</v>
      </c>
      <c r="Z376" s="6" t="e">
        <f t="shared" si="215"/>
        <v>#DIV/0!</v>
      </c>
    </row>
    <row r="377" spans="1:26" x14ac:dyDescent="0.2">
      <c r="A377" s="7" t="s">
        <v>64</v>
      </c>
      <c r="B377" s="6">
        <f t="shared" si="209"/>
        <v>4</v>
      </c>
      <c r="C377" s="7" t="s">
        <v>154</v>
      </c>
      <c r="D377" s="69">
        <v>75</v>
      </c>
      <c r="E377" s="69">
        <v>0</v>
      </c>
      <c r="F377" s="66">
        <f t="shared" si="207"/>
        <v>0</v>
      </c>
      <c r="G377" s="61" t="e">
        <f t="shared" si="210"/>
        <v>#DIV/0!</v>
      </c>
      <c r="H377" s="66" t="e">
        <f t="shared" si="214"/>
        <v>#DIV/0!</v>
      </c>
      <c r="I377" s="66" t="e">
        <f t="shared" si="214"/>
        <v>#DIV/0!</v>
      </c>
      <c r="J377" s="66" t="e">
        <f t="shared" si="214"/>
        <v>#DIV/0!</v>
      </c>
      <c r="K377" s="70">
        <v>34000</v>
      </c>
      <c r="L377" s="70">
        <f>'Monitoramento Acumulado Geral'!Q377</f>
        <v>0</v>
      </c>
      <c r="M377" s="6">
        <f>(SUM(L374:L377))/K376</f>
        <v>0</v>
      </c>
      <c r="N377" s="35" t="str">
        <f t="shared" si="211"/>
        <v>Desempenho Médio</v>
      </c>
      <c r="O377" s="6">
        <f t="shared" si="213"/>
        <v>0.15392483870093213</v>
      </c>
      <c r="P377" s="6">
        <f t="shared" si="213"/>
        <v>0.32772007016950033</v>
      </c>
      <c r="Q377" s="6">
        <f t="shared" si="213"/>
        <v>-1.9870392767636053E-2</v>
      </c>
      <c r="R377" s="70">
        <v>43</v>
      </c>
      <c r="S377" s="70">
        <v>0</v>
      </c>
      <c r="T377" s="6">
        <f t="shared" si="208"/>
        <v>0</v>
      </c>
      <c r="U377" s="35" t="e">
        <f t="shared" si="212"/>
        <v>#DIV/0!</v>
      </c>
      <c r="V377" s="6" t="e">
        <f t="shared" si="215"/>
        <v>#DIV/0!</v>
      </c>
      <c r="W377" s="6" t="e">
        <f t="shared" si="215"/>
        <v>#DIV/0!</v>
      </c>
      <c r="X377" s="6" t="e">
        <f t="shared" si="215"/>
        <v>#DIV/0!</v>
      </c>
      <c r="Y377" s="6" t="e">
        <f t="shared" si="215"/>
        <v>#DIV/0!</v>
      </c>
      <c r="Z377" s="6" t="e">
        <f t="shared" si="215"/>
        <v>#DIV/0!</v>
      </c>
    </row>
    <row r="378" spans="1:26" x14ac:dyDescent="0.2">
      <c r="A378" s="7" t="s">
        <v>64</v>
      </c>
      <c r="B378" s="6">
        <f t="shared" si="209"/>
        <v>5</v>
      </c>
      <c r="C378" s="7" t="s">
        <v>155</v>
      </c>
      <c r="D378" s="69">
        <v>75</v>
      </c>
      <c r="E378" s="69">
        <v>0</v>
      </c>
      <c r="F378" s="66">
        <f t="shared" si="207"/>
        <v>0</v>
      </c>
      <c r="G378" s="61" t="e">
        <f t="shared" si="210"/>
        <v>#DIV/0!</v>
      </c>
      <c r="H378" s="66" t="e">
        <f t="shared" si="214"/>
        <v>#DIV/0!</v>
      </c>
      <c r="I378" s="66" t="e">
        <f t="shared" si="214"/>
        <v>#DIV/0!</v>
      </c>
      <c r="J378" s="66" t="e">
        <f t="shared" si="214"/>
        <v>#DIV/0!</v>
      </c>
      <c r="K378" s="70">
        <v>34000</v>
      </c>
      <c r="L378" s="70">
        <f>'Monitoramento Acumulado Geral'!Q378</f>
        <v>0</v>
      </c>
      <c r="M378" s="6">
        <f>(SUM(L374:L378))/K377</f>
        <v>0</v>
      </c>
      <c r="N378" s="35" t="str">
        <f t="shared" si="211"/>
        <v>Desempenho Médio</v>
      </c>
      <c r="O378" s="6">
        <f t="shared" ref="O378:Q393" si="216">O366</f>
        <v>0.21139287248463789</v>
      </c>
      <c r="P378" s="6">
        <f t="shared" si="216"/>
        <v>0.43680804416292918</v>
      </c>
      <c r="Q378" s="6">
        <f t="shared" si="216"/>
        <v>-1.4022299193653387E-2</v>
      </c>
      <c r="R378" s="70">
        <v>43</v>
      </c>
      <c r="S378" s="70">
        <v>0</v>
      </c>
      <c r="T378" s="6">
        <f t="shared" si="208"/>
        <v>0</v>
      </c>
      <c r="U378" s="35" t="e">
        <f t="shared" si="212"/>
        <v>#DIV/0!</v>
      </c>
      <c r="V378" s="6" t="e">
        <f t="shared" si="215"/>
        <v>#DIV/0!</v>
      </c>
      <c r="W378" s="6" t="e">
        <f t="shared" si="215"/>
        <v>#DIV/0!</v>
      </c>
      <c r="X378" s="6" t="e">
        <f t="shared" si="215"/>
        <v>#DIV/0!</v>
      </c>
      <c r="Y378" s="6" t="e">
        <f t="shared" si="215"/>
        <v>#DIV/0!</v>
      </c>
      <c r="Z378" s="6" t="e">
        <f t="shared" si="215"/>
        <v>#DIV/0!</v>
      </c>
    </row>
    <row r="379" spans="1:26" x14ac:dyDescent="0.2">
      <c r="A379" s="7" t="s">
        <v>64</v>
      </c>
      <c r="B379" s="6">
        <f t="shared" si="209"/>
        <v>6</v>
      </c>
      <c r="C379" s="7" t="s">
        <v>156</v>
      </c>
      <c r="D379" s="69">
        <v>75</v>
      </c>
      <c r="E379" s="69">
        <v>0</v>
      </c>
      <c r="F379" s="66">
        <f t="shared" si="207"/>
        <v>0</v>
      </c>
      <c r="G379" s="61" t="e">
        <f t="shared" si="210"/>
        <v>#DIV/0!</v>
      </c>
      <c r="H379" s="66" t="e">
        <f t="shared" si="214"/>
        <v>#DIV/0!</v>
      </c>
      <c r="I379" s="66" t="e">
        <f t="shared" si="214"/>
        <v>#DIV/0!</v>
      </c>
      <c r="J379" s="66" t="e">
        <f t="shared" si="214"/>
        <v>#DIV/0!</v>
      </c>
      <c r="K379" s="70">
        <v>34000</v>
      </c>
      <c r="L379" s="70">
        <f>'Monitoramento Acumulado Geral'!Q379</f>
        <v>0</v>
      </c>
      <c r="M379" s="6">
        <f>(SUM(L374:L379))/K378</f>
        <v>0</v>
      </c>
      <c r="N379" s="35" t="str">
        <f t="shared" si="211"/>
        <v>Desempenho Deficitário</v>
      </c>
      <c r="O379" s="6">
        <f t="shared" si="216"/>
        <v>0.28403291059934432</v>
      </c>
      <c r="P379" s="6">
        <f t="shared" si="216"/>
        <v>0.56118246348434164</v>
      </c>
      <c r="Q379" s="6">
        <f t="shared" si="216"/>
        <v>6.8833577143469493E-3</v>
      </c>
      <c r="R379" s="70">
        <v>43</v>
      </c>
      <c r="S379" s="70">
        <v>0</v>
      </c>
      <c r="T379" s="6">
        <f t="shared" si="208"/>
        <v>0</v>
      </c>
      <c r="U379" s="35" t="e">
        <f t="shared" si="212"/>
        <v>#DIV/0!</v>
      </c>
      <c r="V379" s="6" t="e">
        <f t="shared" si="215"/>
        <v>#DIV/0!</v>
      </c>
      <c r="W379" s="6" t="e">
        <f t="shared" si="215"/>
        <v>#DIV/0!</v>
      </c>
      <c r="X379" s="6" t="e">
        <f t="shared" si="215"/>
        <v>#DIV/0!</v>
      </c>
      <c r="Y379" s="6" t="e">
        <f t="shared" si="215"/>
        <v>#DIV/0!</v>
      </c>
      <c r="Z379" s="6" t="e">
        <f t="shared" si="215"/>
        <v>#DIV/0!</v>
      </c>
    </row>
    <row r="380" spans="1:26" x14ac:dyDescent="0.2">
      <c r="A380" s="7" t="s">
        <v>64</v>
      </c>
      <c r="B380" s="6">
        <f t="shared" si="209"/>
        <v>7</v>
      </c>
      <c r="C380" s="7" t="s">
        <v>157</v>
      </c>
      <c r="D380" s="69">
        <v>75</v>
      </c>
      <c r="E380" s="69">
        <v>0</v>
      </c>
      <c r="F380" s="66">
        <f t="shared" si="207"/>
        <v>0</v>
      </c>
      <c r="G380" s="61" t="e">
        <f t="shared" si="210"/>
        <v>#DIV/0!</v>
      </c>
      <c r="H380" s="66" t="e">
        <f t="shared" si="214"/>
        <v>#DIV/0!</v>
      </c>
      <c r="I380" s="66" t="e">
        <f t="shared" si="214"/>
        <v>#DIV/0!</v>
      </c>
      <c r="J380" s="66" t="e">
        <f t="shared" si="214"/>
        <v>#DIV/0!</v>
      </c>
      <c r="K380" s="70">
        <v>34000</v>
      </c>
      <c r="L380" s="70">
        <f>'Monitoramento Acumulado Geral'!Q380</f>
        <v>0</v>
      </c>
      <c r="M380" s="6">
        <f>(SUM(L374:L380))/K379</f>
        <v>0</v>
      </c>
      <c r="N380" s="35" t="str">
        <f t="shared" si="211"/>
        <v>Desempenho Médio</v>
      </c>
      <c r="O380" s="6">
        <f t="shared" si="216"/>
        <v>0.42046470140126019</v>
      </c>
      <c r="P380" s="6">
        <f t="shared" si="216"/>
        <v>0.84574683442734511</v>
      </c>
      <c r="Q380" s="6">
        <f t="shared" si="216"/>
        <v>-4.8174316248247306E-3</v>
      </c>
      <c r="R380" s="70">
        <v>43</v>
      </c>
      <c r="S380" s="70">
        <v>0</v>
      </c>
      <c r="T380" s="6">
        <f t="shared" si="208"/>
        <v>0</v>
      </c>
      <c r="U380" s="35" t="e">
        <f t="shared" si="212"/>
        <v>#DIV/0!</v>
      </c>
      <c r="V380" s="6" t="e">
        <f t="shared" si="215"/>
        <v>#DIV/0!</v>
      </c>
      <c r="W380" s="6" t="e">
        <f t="shared" si="215"/>
        <v>#DIV/0!</v>
      </c>
      <c r="X380" s="6" t="e">
        <f t="shared" si="215"/>
        <v>#DIV/0!</v>
      </c>
      <c r="Y380" s="6" t="e">
        <f t="shared" si="215"/>
        <v>#DIV/0!</v>
      </c>
      <c r="Z380" s="6" t="e">
        <f t="shared" si="215"/>
        <v>#DIV/0!</v>
      </c>
    </row>
    <row r="381" spans="1:26" x14ac:dyDescent="0.2">
      <c r="A381" s="7" t="s">
        <v>64</v>
      </c>
      <c r="B381" s="6">
        <f t="shared" si="209"/>
        <v>8</v>
      </c>
      <c r="C381" s="7" t="s">
        <v>158</v>
      </c>
      <c r="D381" s="69">
        <v>75</v>
      </c>
      <c r="E381" s="69">
        <v>0</v>
      </c>
      <c r="F381" s="66">
        <f t="shared" si="207"/>
        <v>0</v>
      </c>
      <c r="G381" s="61" t="e">
        <f t="shared" si="210"/>
        <v>#DIV/0!</v>
      </c>
      <c r="H381" s="66" t="e">
        <f t="shared" si="214"/>
        <v>#DIV/0!</v>
      </c>
      <c r="I381" s="66" t="e">
        <f t="shared" si="214"/>
        <v>#DIV/0!</v>
      </c>
      <c r="J381" s="66" t="e">
        <f t="shared" si="214"/>
        <v>#DIV/0!</v>
      </c>
      <c r="K381" s="70">
        <v>34000</v>
      </c>
      <c r="L381" s="70">
        <f>'Monitoramento Acumulado Geral'!Q381</f>
        <v>0</v>
      </c>
      <c r="M381" s="6">
        <f>(SUM(L374:L381))/K380</f>
        <v>0</v>
      </c>
      <c r="N381" s="35" t="str">
        <f t="shared" si="211"/>
        <v>Desempenho Médio</v>
      </c>
      <c r="O381" s="6">
        <f t="shared" si="216"/>
        <v>0.42046470140126019</v>
      </c>
      <c r="P381" s="6">
        <f t="shared" si="216"/>
        <v>0.84574683442734511</v>
      </c>
      <c r="Q381" s="6">
        <f t="shared" si="216"/>
        <v>-4.8174316248247306E-3</v>
      </c>
      <c r="R381" s="70">
        <v>43</v>
      </c>
      <c r="S381" s="70">
        <v>0</v>
      </c>
      <c r="T381" s="6">
        <f t="shared" si="208"/>
        <v>0</v>
      </c>
      <c r="U381" s="35" t="e">
        <f t="shared" si="212"/>
        <v>#DIV/0!</v>
      </c>
      <c r="V381" s="6" t="e">
        <f t="shared" si="215"/>
        <v>#DIV/0!</v>
      </c>
      <c r="W381" s="6" t="e">
        <f t="shared" si="215"/>
        <v>#DIV/0!</v>
      </c>
      <c r="X381" s="6" t="e">
        <f t="shared" si="215"/>
        <v>#DIV/0!</v>
      </c>
      <c r="Y381" s="6" t="e">
        <f t="shared" si="215"/>
        <v>#DIV/0!</v>
      </c>
      <c r="Z381" s="6" t="e">
        <f t="shared" si="215"/>
        <v>#DIV/0!</v>
      </c>
    </row>
    <row r="382" spans="1:26" x14ac:dyDescent="0.2">
      <c r="A382" s="7" t="s">
        <v>64</v>
      </c>
      <c r="B382" s="6">
        <f t="shared" si="209"/>
        <v>9</v>
      </c>
      <c r="C382" s="7" t="s">
        <v>159</v>
      </c>
      <c r="D382" s="69">
        <v>75</v>
      </c>
      <c r="E382" s="69">
        <v>0</v>
      </c>
      <c r="F382" s="66">
        <f t="shared" si="207"/>
        <v>0</v>
      </c>
      <c r="G382" s="61" t="e">
        <f t="shared" si="210"/>
        <v>#DIV/0!</v>
      </c>
      <c r="H382" s="66" t="e">
        <f t="shared" si="214"/>
        <v>#DIV/0!</v>
      </c>
      <c r="I382" s="66" t="e">
        <f t="shared" si="214"/>
        <v>#DIV/0!</v>
      </c>
      <c r="J382" s="66" t="e">
        <f t="shared" si="214"/>
        <v>#DIV/0!</v>
      </c>
      <c r="K382" s="70">
        <v>34000</v>
      </c>
      <c r="L382" s="70">
        <f>'Monitoramento Acumulado Geral'!Q382</f>
        <v>0</v>
      </c>
      <c r="M382" s="6">
        <f>(SUM(L374:L382))/K381</f>
        <v>0</v>
      </c>
      <c r="N382" s="35" t="str">
        <f t="shared" si="211"/>
        <v>Desempenho Médio</v>
      </c>
      <c r="O382" s="6">
        <f t="shared" si="216"/>
        <v>0.42046470140126019</v>
      </c>
      <c r="P382" s="6">
        <f t="shared" si="216"/>
        <v>0.84574683442734511</v>
      </c>
      <c r="Q382" s="6">
        <f t="shared" si="216"/>
        <v>-4.8174316248247306E-3</v>
      </c>
      <c r="R382" s="70">
        <v>43</v>
      </c>
      <c r="S382" s="70">
        <v>0</v>
      </c>
      <c r="T382" s="6">
        <f t="shared" si="208"/>
        <v>0</v>
      </c>
      <c r="U382" s="35" t="e">
        <f t="shared" si="212"/>
        <v>#DIV/0!</v>
      </c>
      <c r="V382" s="6" t="e">
        <f t="shared" si="215"/>
        <v>#DIV/0!</v>
      </c>
      <c r="W382" s="6" t="e">
        <f t="shared" si="215"/>
        <v>#DIV/0!</v>
      </c>
      <c r="X382" s="6" t="e">
        <f t="shared" si="215"/>
        <v>#DIV/0!</v>
      </c>
      <c r="Y382" s="6" t="e">
        <f t="shared" si="215"/>
        <v>#DIV/0!</v>
      </c>
      <c r="Z382" s="6" t="e">
        <f t="shared" si="215"/>
        <v>#DIV/0!</v>
      </c>
    </row>
    <row r="383" spans="1:26" x14ac:dyDescent="0.2">
      <c r="A383" s="7" t="s">
        <v>64</v>
      </c>
      <c r="B383" s="6">
        <f t="shared" si="209"/>
        <v>10</v>
      </c>
      <c r="C383" s="7" t="s">
        <v>160</v>
      </c>
      <c r="D383" s="69">
        <v>75</v>
      </c>
      <c r="E383" s="69">
        <v>0</v>
      </c>
      <c r="F383" s="66">
        <f t="shared" si="207"/>
        <v>0</v>
      </c>
      <c r="G383" s="61" t="e">
        <f t="shared" si="210"/>
        <v>#DIV/0!</v>
      </c>
      <c r="H383" s="66" t="e">
        <f t="shared" si="214"/>
        <v>#DIV/0!</v>
      </c>
      <c r="I383" s="66" t="e">
        <f t="shared" si="214"/>
        <v>#DIV/0!</v>
      </c>
      <c r="J383" s="66" t="e">
        <f t="shared" si="214"/>
        <v>#DIV/0!</v>
      </c>
      <c r="K383" s="70">
        <v>34000</v>
      </c>
      <c r="L383" s="70">
        <f>'Monitoramento Acumulado Geral'!Q383</f>
        <v>0</v>
      </c>
      <c r="M383" s="6">
        <f>(SUM(L374:L383))/K382</f>
        <v>0</v>
      </c>
      <c r="N383" s="35" t="str">
        <f t="shared" si="211"/>
        <v>Desempenho Médio</v>
      </c>
      <c r="O383" s="6">
        <f t="shared" si="216"/>
        <v>0.42046470140126019</v>
      </c>
      <c r="P383" s="6">
        <f t="shared" si="216"/>
        <v>0.84574683442734511</v>
      </c>
      <c r="Q383" s="6">
        <f t="shared" si="216"/>
        <v>-4.8174316248247306E-3</v>
      </c>
      <c r="R383" s="70">
        <v>43</v>
      </c>
      <c r="S383" s="70">
        <v>0</v>
      </c>
      <c r="T383" s="6">
        <f t="shared" si="208"/>
        <v>0</v>
      </c>
      <c r="U383" s="35" t="e">
        <f t="shared" si="212"/>
        <v>#DIV/0!</v>
      </c>
      <c r="V383" s="6" t="e">
        <f t="shared" si="215"/>
        <v>#DIV/0!</v>
      </c>
      <c r="W383" s="6" t="e">
        <f t="shared" si="215"/>
        <v>#DIV/0!</v>
      </c>
      <c r="X383" s="6" t="e">
        <f t="shared" si="215"/>
        <v>#DIV/0!</v>
      </c>
      <c r="Y383" s="6" t="e">
        <f t="shared" si="215"/>
        <v>#DIV/0!</v>
      </c>
      <c r="Z383" s="6" t="e">
        <f t="shared" si="215"/>
        <v>#DIV/0!</v>
      </c>
    </row>
    <row r="384" spans="1:26" x14ac:dyDescent="0.2">
      <c r="A384" s="7" t="s">
        <v>64</v>
      </c>
      <c r="B384" s="6">
        <f t="shared" si="209"/>
        <v>11</v>
      </c>
      <c r="C384" s="7" t="s">
        <v>161</v>
      </c>
      <c r="D384" s="69">
        <v>75</v>
      </c>
      <c r="E384" s="69">
        <v>0</v>
      </c>
      <c r="F384" s="66">
        <f t="shared" si="207"/>
        <v>0</v>
      </c>
      <c r="G384" s="61" t="e">
        <f t="shared" si="210"/>
        <v>#DIV/0!</v>
      </c>
      <c r="H384" s="66" t="e">
        <f t="shared" si="214"/>
        <v>#DIV/0!</v>
      </c>
      <c r="I384" s="66" t="e">
        <f t="shared" si="214"/>
        <v>#DIV/0!</v>
      </c>
      <c r="J384" s="66" t="e">
        <f t="shared" si="214"/>
        <v>#DIV/0!</v>
      </c>
      <c r="K384" s="70">
        <v>34000</v>
      </c>
      <c r="L384" s="70">
        <f>'Monitoramento Acumulado Geral'!Q384</f>
        <v>0</v>
      </c>
      <c r="M384" s="6">
        <f>(SUM(L374:L384))/K383</f>
        <v>0</v>
      </c>
      <c r="N384" s="35" t="str">
        <f t="shared" si="211"/>
        <v>Desempenho Médio</v>
      </c>
      <c r="O384" s="6">
        <f t="shared" si="216"/>
        <v>0.42046470140126019</v>
      </c>
      <c r="P384" s="6">
        <f t="shared" si="216"/>
        <v>0.84574683442734511</v>
      </c>
      <c r="Q384" s="6">
        <f t="shared" si="216"/>
        <v>-4.8174316248247306E-3</v>
      </c>
      <c r="R384" s="70">
        <v>43</v>
      </c>
      <c r="S384" s="70">
        <v>0</v>
      </c>
      <c r="T384" s="6">
        <f t="shared" si="208"/>
        <v>0</v>
      </c>
      <c r="U384" s="35" t="e">
        <f t="shared" si="212"/>
        <v>#DIV/0!</v>
      </c>
      <c r="V384" s="6" t="e">
        <f t="shared" si="215"/>
        <v>#DIV/0!</v>
      </c>
      <c r="W384" s="6" t="e">
        <f t="shared" si="215"/>
        <v>#DIV/0!</v>
      </c>
      <c r="X384" s="6" t="e">
        <f t="shared" si="215"/>
        <v>#DIV/0!</v>
      </c>
      <c r="Y384" s="6" t="e">
        <f t="shared" si="215"/>
        <v>#DIV/0!</v>
      </c>
      <c r="Z384" s="6" t="e">
        <f t="shared" si="215"/>
        <v>#DIV/0!</v>
      </c>
    </row>
    <row r="385" spans="1:26" x14ac:dyDescent="0.2">
      <c r="A385" s="7" t="s">
        <v>64</v>
      </c>
      <c r="B385" s="6">
        <f t="shared" si="209"/>
        <v>12</v>
      </c>
      <c r="C385" s="7" t="s">
        <v>162</v>
      </c>
      <c r="D385" s="69">
        <v>75</v>
      </c>
      <c r="E385" s="69">
        <v>0</v>
      </c>
      <c r="F385" s="66">
        <f t="shared" si="207"/>
        <v>0</v>
      </c>
      <c r="G385" s="61" t="e">
        <f t="shared" si="210"/>
        <v>#DIV/0!</v>
      </c>
      <c r="H385" s="66" t="e">
        <f t="shared" si="214"/>
        <v>#DIV/0!</v>
      </c>
      <c r="I385" s="66" t="e">
        <f t="shared" si="214"/>
        <v>#DIV/0!</v>
      </c>
      <c r="J385" s="66" t="e">
        <f t="shared" si="214"/>
        <v>#DIV/0!</v>
      </c>
      <c r="K385" s="70">
        <v>34000</v>
      </c>
      <c r="L385" s="70">
        <f>'Monitoramento Acumulado Geral'!Q385</f>
        <v>0</v>
      </c>
      <c r="M385" s="6">
        <f>(SUM(L374:L385))/K384</f>
        <v>0</v>
      </c>
      <c r="N385" s="35" t="str">
        <f t="shared" si="211"/>
        <v>Desempenho Médio</v>
      </c>
      <c r="O385" s="6">
        <f t="shared" si="216"/>
        <v>0.41824651958307835</v>
      </c>
      <c r="P385" s="6">
        <f t="shared" si="216"/>
        <v>0.84510274859297763</v>
      </c>
      <c r="Q385" s="6">
        <f t="shared" si="216"/>
        <v>-8.6097094268208774E-3</v>
      </c>
      <c r="R385" s="70">
        <v>43</v>
      </c>
      <c r="S385" s="70">
        <v>0</v>
      </c>
      <c r="T385" s="6">
        <f t="shared" si="208"/>
        <v>0</v>
      </c>
      <c r="U385" s="35" t="e">
        <f t="shared" si="212"/>
        <v>#DIV/0!</v>
      </c>
      <c r="V385" s="6" t="e">
        <f t="shared" si="215"/>
        <v>#DIV/0!</v>
      </c>
      <c r="W385" s="6" t="e">
        <f t="shared" si="215"/>
        <v>#DIV/0!</v>
      </c>
      <c r="X385" s="6" t="e">
        <f t="shared" si="215"/>
        <v>#DIV/0!</v>
      </c>
      <c r="Y385" s="6" t="e">
        <f t="shared" si="215"/>
        <v>#DIV/0!</v>
      </c>
      <c r="Z385" s="6" t="e">
        <f t="shared" si="215"/>
        <v>#DIV/0!</v>
      </c>
    </row>
    <row r="386" spans="1:26" x14ac:dyDescent="0.2">
      <c r="A386" s="7" t="s">
        <v>135</v>
      </c>
      <c r="B386" s="6">
        <f t="shared" si="209"/>
        <v>1</v>
      </c>
      <c r="C386" s="7" t="s">
        <v>151</v>
      </c>
      <c r="D386" s="69">
        <v>37</v>
      </c>
      <c r="E386" s="69">
        <v>0</v>
      </c>
      <c r="F386" s="66">
        <f t="shared" si="207"/>
        <v>0</v>
      </c>
      <c r="G386" s="61" t="e">
        <f t="shared" si="210"/>
        <v>#DIV/0!</v>
      </c>
      <c r="H386" s="66" t="e">
        <f t="shared" si="214"/>
        <v>#DIV/0!</v>
      </c>
      <c r="I386" s="66" t="e">
        <f t="shared" si="214"/>
        <v>#DIV/0!</v>
      </c>
      <c r="J386" s="66" t="e">
        <f t="shared" si="214"/>
        <v>#DIV/0!</v>
      </c>
      <c r="K386" s="70">
        <v>7000</v>
      </c>
      <c r="L386" s="70">
        <f>'Monitoramento Acumulado Geral'!Q386</f>
        <v>0</v>
      </c>
      <c r="M386" s="6">
        <f>L386/K386</f>
        <v>0</v>
      </c>
      <c r="N386" s="35" t="str">
        <f t="shared" si="211"/>
        <v>Desempenho Médio</v>
      </c>
      <c r="O386" s="6">
        <f t="shared" si="216"/>
        <v>3.4274647562211005E-2</v>
      </c>
      <c r="P386" s="6">
        <f t="shared" si="216"/>
        <v>0.10289217685709087</v>
      </c>
      <c r="Q386" s="6">
        <f t="shared" si="216"/>
        <v>-3.4342881732668862E-2</v>
      </c>
      <c r="R386" s="70">
        <v>33</v>
      </c>
      <c r="S386" s="70">
        <v>0</v>
      </c>
      <c r="T386" s="6">
        <f t="shared" si="208"/>
        <v>0</v>
      </c>
      <c r="U386" s="35" t="e">
        <f t="shared" si="212"/>
        <v>#DIV/0!</v>
      </c>
      <c r="V386" s="6" t="e">
        <f t="shared" si="215"/>
        <v>#DIV/0!</v>
      </c>
      <c r="W386" s="6" t="e">
        <f t="shared" si="215"/>
        <v>#DIV/0!</v>
      </c>
      <c r="X386" s="6" t="e">
        <f t="shared" si="215"/>
        <v>#DIV/0!</v>
      </c>
      <c r="Y386" s="6" t="e">
        <f t="shared" si="215"/>
        <v>#DIV/0!</v>
      </c>
      <c r="Z386" s="6" t="e">
        <f t="shared" si="215"/>
        <v>#DIV/0!</v>
      </c>
    </row>
    <row r="387" spans="1:26" x14ac:dyDescent="0.2">
      <c r="A387" s="7" t="s">
        <v>135</v>
      </c>
      <c r="B387" s="6">
        <f t="shared" si="209"/>
        <v>2</v>
      </c>
      <c r="C387" s="7" t="s">
        <v>152</v>
      </c>
      <c r="D387" s="69">
        <v>37</v>
      </c>
      <c r="E387" s="69">
        <v>0</v>
      </c>
      <c r="F387" s="66">
        <f t="shared" si="207"/>
        <v>0</v>
      </c>
      <c r="G387" s="61" t="e">
        <f t="shared" si="210"/>
        <v>#DIV/0!</v>
      </c>
      <c r="H387" s="66" t="e">
        <f t="shared" si="214"/>
        <v>#DIV/0!</v>
      </c>
      <c r="I387" s="66" t="e">
        <f t="shared" si="214"/>
        <v>#DIV/0!</v>
      </c>
      <c r="J387" s="66" t="e">
        <f t="shared" si="214"/>
        <v>#DIV/0!</v>
      </c>
      <c r="K387" s="70">
        <v>7000</v>
      </c>
      <c r="L387" s="70">
        <f>'Monitoramento Acumulado Geral'!Q387</f>
        <v>0</v>
      </c>
      <c r="M387" s="6">
        <f>(SUM(L386:L387))/K386</f>
        <v>0</v>
      </c>
      <c r="N387" s="35" t="str">
        <f t="shared" si="211"/>
        <v>Desempenho Médio</v>
      </c>
      <c r="O387" s="6">
        <f t="shared" si="216"/>
        <v>8.1815188943147363E-2</v>
      </c>
      <c r="P387" s="6">
        <f t="shared" si="216"/>
        <v>0.20623883252423067</v>
      </c>
      <c r="Q387" s="6">
        <f t="shared" si="216"/>
        <v>-4.2608454637935944E-2</v>
      </c>
      <c r="R387" s="70">
        <v>33</v>
      </c>
      <c r="S387" s="70">
        <v>0</v>
      </c>
      <c r="T387" s="6">
        <f t="shared" si="208"/>
        <v>0</v>
      </c>
      <c r="U387" s="35" t="e">
        <f t="shared" si="212"/>
        <v>#DIV/0!</v>
      </c>
      <c r="V387" s="6" t="e">
        <f t="shared" ref="V387:Z402" si="217">V375</f>
        <v>#DIV/0!</v>
      </c>
      <c r="W387" s="6" t="e">
        <f t="shared" si="217"/>
        <v>#DIV/0!</v>
      </c>
      <c r="X387" s="6" t="e">
        <f t="shared" si="217"/>
        <v>#DIV/0!</v>
      </c>
      <c r="Y387" s="6" t="e">
        <f t="shared" si="217"/>
        <v>#DIV/0!</v>
      </c>
      <c r="Z387" s="6" t="e">
        <f t="shared" si="217"/>
        <v>#DIV/0!</v>
      </c>
    </row>
    <row r="388" spans="1:26" x14ac:dyDescent="0.2">
      <c r="A388" s="7" t="s">
        <v>135</v>
      </c>
      <c r="B388" s="6">
        <f t="shared" si="209"/>
        <v>3</v>
      </c>
      <c r="C388" s="7" t="s">
        <v>153</v>
      </c>
      <c r="D388" s="69">
        <v>37</v>
      </c>
      <c r="E388" s="69">
        <v>0</v>
      </c>
      <c r="F388" s="66">
        <f t="shared" si="207"/>
        <v>0</v>
      </c>
      <c r="G388" s="61" t="e">
        <f t="shared" si="210"/>
        <v>#DIV/0!</v>
      </c>
      <c r="H388" s="66" t="e">
        <f t="shared" si="214"/>
        <v>#DIV/0!</v>
      </c>
      <c r="I388" s="66" t="e">
        <f t="shared" si="214"/>
        <v>#DIV/0!</v>
      </c>
      <c r="J388" s="66" t="e">
        <f t="shared" si="214"/>
        <v>#DIV/0!</v>
      </c>
      <c r="K388" s="70">
        <v>7000</v>
      </c>
      <c r="L388" s="70">
        <f>'Monitoramento Acumulado Geral'!Q388</f>
        <v>0</v>
      </c>
      <c r="M388" s="6">
        <f>(SUM(L386:L388))/K387</f>
        <v>0</v>
      </c>
      <c r="N388" s="35" t="str">
        <f t="shared" si="211"/>
        <v>Desempenho Médio</v>
      </c>
      <c r="O388" s="6">
        <f t="shared" si="216"/>
        <v>0.13411292471649494</v>
      </c>
      <c r="P388" s="6">
        <f t="shared" si="216"/>
        <v>0.29721906787058483</v>
      </c>
      <c r="Q388" s="6">
        <f t="shared" si="216"/>
        <v>-2.899321843759492E-2</v>
      </c>
      <c r="R388" s="70">
        <v>33</v>
      </c>
      <c r="S388" s="70">
        <v>0</v>
      </c>
      <c r="T388" s="6">
        <f t="shared" si="208"/>
        <v>0</v>
      </c>
      <c r="U388" s="35" t="e">
        <f t="shared" si="212"/>
        <v>#DIV/0!</v>
      </c>
      <c r="V388" s="6" t="e">
        <f t="shared" si="217"/>
        <v>#DIV/0!</v>
      </c>
      <c r="W388" s="6" t="e">
        <f t="shared" si="217"/>
        <v>#DIV/0!</v>
      </c>
      <c r="X388" s="6" t="e">
        <f t="shared" si="217"/>
        <v>#DIV/0!</v>
      </c>
      <c r="Y388" s="6" t="e">
        <f t="shared" si="217"/>
        <v>#DIV/0!</v>
      </c>
      <c r="Z388" s="6" t="e">
        <f t="shared" si="217"/>
        <v>#DIV/0!</v>
      </c>
    </row>
    <row r="389" spans="1:26" x14ac:dyDescent="0.2">
      <c r="A389" s="7" t="s">
        <v>135</v>
      </c>
      <c r="B389" s="6">
        <f t="shared" si="209"/>
        <v>4</v>
      </c>
      <c r="C389" s="7" t="s">
        <v>154</v>
      </c>
      <c r="D389" s="69">
        <v>37</v>
      </c>
      <c r="E389" s="69">
        <v>0</v>
      </c>
      <c r="F389" s="66">
        <f t="shared" si="207"/>
        <v>0</v>
      </c>
      <c r="G389" s="61" t="e">
        <f t="shared" si="210"/>
        <v>#DIV/0!</v>
      </c>
      <c r="H389" s="66" t="e">
        <f t="shared" si="214"/>
        <v>#DIV/0!</v>
      </c>
      <c r="I389" s="66" t="e">
        <f t="shared" si="214"/>
        <v>#DIV/0!</v>
      </c>
      <c r="J389" s="66" t="e">
        <f t="shared" si="214"/>
        <v>#DIV/0!</v>
      </c>
      <c r="K389" s="70">
        <v>7000</v>
      </c>
      <c r="L389" s="70">
        <f>'Monitoramento Acumulado Geral'!Q389</f>
        <v>0</v>
      </c>
      <c r="M389" s="6">
        <f>(SUM(L386:L389))/K388</f>
        <v>0</v>
      </c>
      <c r="N389" s="35" t="str">
        <f t="shared" si="211"/>
        <v>Desempenho Médio</v>
      </c>
      <c r="O389" s="6">
        <f t="shared" si="216"/>
        <v>0.15392483870093213</v>
      </c>
      <c r="P389" s="6">
        <f t="shared" si="216"/>
        <v>0.32772007016950033</v>
      </c>
      <c r="Q389" s="6">
        <f t="shared" si="216"/>
        <v>-1.9870392767636053E-2</v>
      </c>
      <c r="R389" s="70">
        <v>33</v>
      </c>
      <c r="S389" s="70">
        <v>0</v>
      </c>
      <c r="T389" s="6">
        <f t="shared" si="208"/>
        <v>0</v>
      </c>
      <c r="U389" s="35" t="e">
        <f t="shared" si="212"/>
        <v>#DIV/0!</v>
      </c>
      <c r="V389" s="6" t="e">
        <f t="shared" si="217"/>
        <v>#DIV/0!</v>
      </c>
      <c r="W389" s="6" t="e">
        <f t="shared" si="217"/>
        <v>#DIV/0!</v>
      </c>
      <c r="X389" s="6" t="e">
        <f t="shared" si="217"/>
        <v>#DIV/0!</v>
      </c>
      <c r="Y389" s="6" t="e">
        <f t="shared" si="217"/>
        <v>#DIV/0!</v>
      </c>
      <c r="Z389" s="6" t="e">
        <f t="shared" si="217"/>
        <v>#DIV/0!</v>
      </c>
    </row>
    <row r="390" spans="1:26" x14ac:dyDescent="0.2">
      <c r="A390" s="7" t="s">
        <v>135</v>
      </c>
      <c r="B390" s="6">
        <f t="shared" si="209"/>
        <v>5</v>
      </c>
      <c r="C390" s="7" t="s">
        <v>155</v>
      </c>
      <c r="D390" s="69">
        <v>37</v>
      </c>
      <c r="E390" s="69">
        <v>83</v>
      </c>
      <c r="F390" s="66">
        <f t="shared" si="207"/>
        <v>2.2432432432432434</v>
      </c>
      <c r="G390" s="61" t="e">
        <f t="shared" si="210"/>
        <v>#DIV/0!</v>
      </c>
      <c r="H390" s="66" t="e">
        <f t="shared" si="214"/>
        <v>#DIV/0!</v>
      </c>
      <c r="I390" s="66" t="e">
        <f t="shared" si="214"/>
        <v>#DIV/0!</v>
      </c>
      <c r="J390" s="66" t="e">
        <f t="shared" si="214"/>
        <v>#DIV/0!</v>
      </c>
      <c r="K390" s="70">
        <v>7000</v>
      </c>
      <c r="L390" s="70">
        <f>'Monitoramento Acumulado Geral'!Q390</f>
        <v>1400</v>
      </c>
      <c r="M390" s="6">
        <f>(SUM(L386:L390))/K389</f>
        <v>0.2</v>
      </c>
      <c r="N390" s="35" t="str">
        <f t="shared" si="211"/>
        <v>Desempenho Médio</v>
      </c>
      <c r="O390" s="6">
        <f t="shared" si="216"/>
        <v>0.21139287248463789</v>
      </c>
      <c r="P390" s="6">
        <f t="shared" si="216"/>
        <v>0.43680804416292918</v>
      </c>
      <c r="Q390" s="6">
        <f t="shared" si="216"/>
        <v>-1.4022299193653387E-2</v>
      </c>
      <c r="R390" s="70">
        <v>33</v>
      </c>
      <c r="S390" s="70">
        <v>0</v>
      </c>
      <c r="T390" s="6">
        <f t="shared" si="208"/>
        <v>0</v>
      </c>
      <c r="U390" s="35" t="e">
        <f t="shared" si="212"/>
        <v>#DIV/0!</v>
      </c>
      <c r="V390" s="6" t="e">
        <f t="shared" si="217"/>
        <v>#DIV/0!</v>
      </c>
      <c r="W390" s="6" t="e">
        <f t="shared" si="217"/>
        <v>#DIV/0!</v>
      </c>
      <c r="X390" s="6" t="e">
        <f t="shared" si="217"/>
        <v>#DIV/0!</v>
      </c>
      <c r="Y390" s="6" t="e">
        <f t="shared" si="217"/>
        <v>#DIV/0!</v>
      </c>
      <c r="Z390" s="6" t="e">
        <f t="shared" si="217"/>
        <v>#DIV/0!</v>
      </c>
    </row>
    <row r="391" spans="1:26" x14ac:dyDescent="0.2">
      <c r="A391" s="7" t="s">
        <v>135</v>
      </c>
      <c r="B391" s="6">
        <f t="shared" si="209"/>
        <v>6</v>
      </c>
      <c r="C391" s="7" t="s">
        <v>156</v>
      </c>
      <c r="D391" s="69">
        <v>37</v>
      </c>
      <c r="E391" s="69">
        <v>100</v>
      </c>
      <c r="F391" s="66">
        <f t="shared" si="207"/>
        <v>2.7027027027027026</v>
      </c>
      <c r="G391" s="61" t="e">
        <f t="shared" si="210"/>
        <v>#DIV/0!</v>
      </c>
      <c r="H391" s="66" t="e">
        <f t="shared" si="214"/>
        <v>#DIV/0!</v>
      </c>
      <c r="I391" s="66" t="e">
        <f t="shared" si="214"/>
        <v>#DIV/0!</v>
      </c>
      <c r="J391" s="66" t="e">
        <f t="shared" si="214"/>
        <v>#DIV/0!</v>
      </c>
      <c r="K391" s="70">
        <v>7000</v>
      </c>
      <c r="L391" s="70">
        <f>'Monitoramento Acumulado Geral'!Q391</f>
        <v>1400</v>
      </c>
      <c r="M391" s="6">
        <f>(SUM(L386:L391))/K390</f>
        <v>0.4</v>
      </c>
      <c r="N391" s="35" t="str">
        <f t="shared" si="211"/>
        <v>Desempenho Bom</v>
      </c>
      <c r="O391" s="6">
        <f t="shared" si="216"/>
        <v>0.28403291059934432</v>
      </c>
      <c r="P391" s="6">
        <f t="shared" si="216"/>
        <v>0.56118246348434164</v>
      </c>
      <c r="Q391" s="6">
        <f t="shared" si="216"/>
        <v>6.8833577143469493E-3</v>
      </c>
      <c r="R391" s="70">
        <v>33</v>
      </c>
      <c r="S391" s="70">
        <v>0</v>
      </c>
      <c r="T391" s="6">
        <f t="shared" si="208"/>
        <v>0</v>
      </c>
      <c r="U391" s="35" t="e">
        <f t="shared" si="212"/>
        <v>#DIV/0!</v>
      </c>
      <c r="V391" s="6" t="e">
        <f t="shared" si="217"/>
        <v>#DIV/0!</v>
      </c>
      <c r="W391" s="6" t="e">
        <f t="shared" si="217"/>
        <v>#DIV/0!</v>
      </c>
      <c r="X391" s="6" t="e">
        <f t="shared" si="217"/>
        <v>#DIV/0!</v>
      </c>
      <c r="Y391" s="6" t="e">
        <f t="shared" si="217"/>
        <v>#DIV/0!</v>
      </c>
      <c r="Z391" s="6" t="e">
        <f t="shared" si="217"/>
        <v>#DIV/0!</v>
      </c>
    </row>
    <row r="392" spans="1:26" x14ac:dyDescent="0.2">
      <c r="A392" s="7" t="s">
        <v>135</v>
      </c>
      <c r="B392" s="6">
        <f t="shared" si="209"/>
        <v>7</v>
      </c>
      <c r="C392" s="7" t="s">
        <v>157</v>
      </c>
      <c r="D392" s="69">
        <v>37</v>
      </c>
      <c r="E392" s="69">
        <v>100</v>
      </c>
      <c r="F392" s="66">
        <f t="shared" si="207"/>
        <v>2.7027027027027026</v>
      </c>
      <c r="G392" s="61" t="e">
        <f t="shared" si="210"/>
        <v>#DIV/0!</v>
      </c>
      <c r="H392" s="66" t="e">
        <f t="shared" si="214"/>
        <v>#DIV/0!</v>
      </c>
      <c r="I392" s="66" t="e">
        <f t="shared" si="214"/>
        <v>#DIV/0!</v>
      </c>
      <c r="J392" s="66" t="e">
        <f t="shared" si="214"/>
        <v>#DIV/0!</v>
      </c>
      <c r="K392" s="70">
        <v>7000</v>
      </c>
      <c r="L392" s="70">
        <f>'Monitoramento Acumulado Geral'!Q392</f>
        <v>1200</v>
      </c>
      <c r="M392" s="6">
        <f>(SUM(L386:L392))/K391</f>
        <v>0.5714285714285714</v>
      </c>
      <c r="N392" s="35" t="str">
        <f t="shared" si="211"/>
        <v>Desempenho Bom</v>
      </c>
      <c r="O392" s="6">
        <f t="shared" si="216"/>
        <v>0.42046470140126019</v>
      </c>
      <c r="P392" s="6">
        <f t="shared" si="216"/>
        <v>0.84574683442734511</v>
      </c>
      <c r="Q392" s="6">
        <f t="shared" si="216"/>
        <v>-4.8174316248247306E-3</v>
      </c>
      <c r="R392" s="70">
        <v>33</v>
      </c>
      <c r="S392" s="70">
        <v>0</v>
      </c>
      <c r="T392" s="6">
        <f t="shared" si="208"/>
        <v>0</v>
      </c>
      <c r="U392" s="35" t="e">
        <f t="shared" si="212"/>
        <v>#DIV/0!</v>
      </c>
      <c r="V392" s="6" t="e">
        <f t="shared" si="217"/>
        <v>#DIV/0!</v>
      </c>
      <c r="W392" s="6" t="e">
        <f t="shared" si="217"/>
        <v>#DIV/0!</v>
      </c>
      <c r="X392" s="6" t="e">
        <f t="shared" si="217"/>
        <v>#DIV/0!</v>
      </c>
      <c r="Y392" s="6" t="e">
        <f t="shared" si="217"/>
        <v>#DIV/0!</v>
      </c>
      <c r="Z392" s="6" t="e">
        <f t="shared" si="217"/>
        <v>#DIV/0!</v>
      </c>
    </row>
    <row r="393" spans="1:26" x14ac:dyDescent="0.2">
      <c r="A393" s="7" t="s">
        <v>135</v>
      </c>
      <c r="B393" s="6">
        <f t="shared" si="209"/>
        <v>8</v>
      </c>
      <c r="C393" s="7" t="s">
        <v>158</v>
      </c>
      <c r="D393" s="69">
        <v>37</v>
      </c>
      <c r="E393" s="69">
        <v>0</v>
      </c>
      <c r="F393" s="66">
        <f t="shared" si="207"/>
        <v>0</v>
      </c>
      <c r="G393" s="61" t="e">
        <f t="shared" si="210"/>
        <v>#DIV/0!</v>
      </c>
      <c r="H393" s="66" t="e">
        <f t="shared" si="214"/>
        <v>#DIV/0!</v>
      </c>
      <c r="I393" s="66" t="e">
        <f t="shared" si="214"/>
        <v>#DIV/0!</v>
      </c>
      <c r="J393" s="66" t="e">
        <f t="shared" si="214"/>
        <v>#DIV/0!</v>
      </c>
      <c r="K393" s="70">
        <v>7000</v>
      </c>
      <c r="L393" s="70">
        <f>'Monitoramento Acumulado Geral'!Q393</f>
        <v>0</v>
      </c>
      <c r="M393" s="6">
        <f>(SUM(L386:L393))/K392</f>
        <v>0.5714285714285714</v>
      </c>
      <c r="N393" s="35" t="str">
        <f t="shared" si="211"/>
        <v>Desempenho Bom</v>
      </c>
      <c r="O393" s="6">
        <f t="shared" si="216"/>
        <v>0.42046470140126019</v>
      </c>
      <c r="P393" s="6">
        <f t="shared" si="216"/>
        <v>0.84574683442734511</v>
      </c>
      <c r="Q393" s="6">
        <f t="shared" si="216"/>
        <v>-4.8174316248247306E-3</v>
      </c>
      <c r="R393" s="70">
        <v>33</v>
      </c>
      <c r="S393" s="70">
        <v>0</v>
      </c>
      <c r="T393" s="6">
        <f t="shared" si="208"/>
        <v>0</v>
      </c>
      <c r="U393" s="35" t="e">
        <f t="shared" si="212"/>
        <v>#DIV/0!</v>
      </c>
      <c r="V393" s="6" t="e">
        <f t="shared" si="217"/>
        <v>#DIV/0!</v>
      </c>
      <c r="W393" s="6" t="e">
        <f t="shared" si="217"/>
        <v>#DIV/0!</v>
      </c>
      <c r="X393" s="6" t="e">
        <f t="shared" si="217"/>
        <v>#DIV/0!</v>
      </c>
      <c r="Y393" s="6" t="e">
        <f t="shared" si="217"/>
        <v>#DIV/0!</v>
      </c>
      <c r="Z393" s="6" t="e">
        <f t="shared" si="217"/>
        <v>#DIV/0!</v>
      </c>
    </row>
    <row r="394" spans="1:26" x14ac:dyDescent="0.2">
      <c r="A394" s="7" t="s">
        <v>135</v>
      </c>
      <c r="B394" s="6">
        <f t="shared" si="209"/>
        <v>9</v>
      </c>
      <c r="C394" s="7" t="s">
        <v>159</v>
      </c>
      <c r="D394" s="69">
        <v>37</v>
      </c>
      <c r="E394" s="69">
        <v>0</v>
      </c>
      <c r="F394" s="66">
        <f t="shared" si="207"/>
        <v>0</v>
      </c>
      <c r="G394" s="61" t="e">
        <f t="shared" si="210"/>
        <v>#DIV/0!</v>
      </c>
      <c r="H394" s="66" t="e">
        <f t="shared" si="214"/>
        <v>#DIV/0!</v>
      </c>
      <c r="I394" s="66" t="e">
        <f t="shared" si="214"/>
        <v>#DIV/0!</v>
      </c>
      <c r="J394" s="66" t="e">
        <f t="shared" si="214"/>
        <v>#DIV/0!</v>
      </c>
      <c r="K394" s="70">
        <v>7000</v>
      </c>
      <c r="L394" s="70">
        <f>'Monitoramento Acumulado Geral'!Q394</f>
        <v>0</v>
      </c>
      <c r="M394" s="6">
        <f>(SUM(L386:L394))/K393</f>
        <v>0.5714285714285714</v>
      </c>
      <c r="N394" s="35" t="str">
        <f t="shared" si="211"/>
        <v>Desempenho Bom</v>
      </c>
      <c r="O394" s="6">
        <f t="shared" ref="O394:Q409" si="218">O382</f>
        <v>0.42046470140126019</v>
      </c>
      <c r="P394" s="6">
        <f t="shared" si="218"/>
        <v>0.84574683442734511</v>
      </c>
      <c r="Q394" s="6">
        <f t="shared" si="218"/>
        <v>-4.8174316248247306E-3</v>
      </c>
      <c r="R394" s="70">
        <v>33</v>
      </c>
      <c r="S394" s="70">
        <v>0</v>
      </c>
      <c r="T394" s="6">
        <f t="shared" si="208"/>
        <v>0</v>
      </c>
      <c r="U394" s="35" t="e">
        <f t="shared" si="212"/>
        <v>#DIV/0!</v>
      </c>
      <c r="V394" s="6" t="e">
        <f t="shared" si="217"/>
        <v>#DIV/0!</v>
      </c>
      <c r="W394" s="6" t="e">
        <f t="shared" si="217"/>
        <v>#DIV/0!</v>
      </c>
      <c r="X394" s="6" t="e">
        <f t="shared" si="217"/>
        <v>#DIV/0!</v>
      </c>
      <c r="Y394" s="6" t="e">
        <f t="shared" si="217"/>
        <v>#DIV/0!</v>
      </c>
      <c r="Z394" s="6" t="e">
        <f t="shared" si="217"/>
        <v>#DIV/0!</v>
      </c>
    </row>
    <row r="395" spans="1:26" x14ac:dyDescent="0.2">
      <c r="A395" s="7" t="s">
        <v>135</v>
      </c>
      <c r="B395" s="6">
        <f t="shared" si="209"/>
        <v>10</v>
      </c>
      <c r="C395" s="7" t="s">
        <v>160</v>
      </c>
      <c r="D395" s="69">
        <v>37</v>
      </c>
      <c r="E395" s="69">
        <v>0</v>
      </c>
      <c r="F395" s="66">
        <f t="shared" si="207"/>
        <v>0</v>
      </c>
      <c r="G395" s="61" t="e">
        <f t="shared" si="210"/>
        <v>#DIV/0!</v>
      </c>
      <c r="H395" s="66" t="e">
        <f t="shared" si="214"/>
        <v>#DIV/0!</v>
      </c>
      <c r="I395" s="66" t="e">
        <f t="shared" si="214"/>
        <v>#DIV/0!</v>
      </c>
      <c r="J395" s="66" t="e">
        <f t="shared" si="214"/>
        <v>#DIV/0!</v>
      </c>
      <c r="K395" s="70">
        <v>7000</v>
      </c>
      <c r="L395" s="70">
        <f>'Monitoramento Acumulado Geral'!Q395</f>
        <v>0</v>
      </c>
      <c r="M395" s="6">
        <f>(SUM(L386:L395))/K394</f>
        <v>0.5714285714285714</v>
      </c>
      <c r="N395" s="35" t="str">
        <f t="shared" si="211"/>
        <v>Desempenho Bom</v>
      </c>
      <c r="O395" s="6">
        <f t="shared" si="218"/>
        <v>0.42046470140126019</v>
      </c>
      <c r="P395" s="6">
        <f t="shared" si="218"/>
        <v>0.84574683442734511</v>
      </c>
      <c r="Q395" s="6">
        <f t="shared" si="218"/>
        <v>-4.8174316248247306E-3</v>
      </c>
      <c r="R395" s="70">
        <v>33</v>
      </c>
      <c r="S395" s="70">
        <v>0</v>
      </c>
      <c r="T395" s="6">
        <f t="shared" si="208"/>
        <v>0</v>
      </c>
      <c r="U395" s="35" t="e">
        <f t="shared" si="212"/>
        <v>#DIV/0!</v>
      </c>
      <c r="V395" s="6" t="e">
        <f t="shared" si="217"/>
        <v>#DIV/0!</v>
      </c>
      <c r="W395" s="6" t="e">
        <f t="shared" si="217"/>
        <v>#DIV/0!</v>
      </c>
      <c r="X395" s="6" t="e">
        <f t="shared" si="217"/>
        <v>#DIV/0!</v>
      </c>
      <c r="Y395" s="6" t="e">
        <f t="shared" si="217"/>
        <v>#DIV/0!</v>
      </c>
      <c r="Z395" s="6" t="e">
        <f t="shared" si="217"/>
        <v>#DIV/0!</v>
      </c>
    </row>
    <row r="396" spans="1:26" x14ac:dyDescent="0.2">
      <c r="A396" s="7" t="s">
        <v>135</v>
      </c>
      <c r="B396" s="6">
        <f t="shared" si="209"/>
        <v>11</v>
      </c>
      <c r="C396" s="7" t="s">
        <v>161</v>
      </c>
      <c r="D396" s="69">
        <v>37</v>
      </c>
      <c r="E396" s="69">
        <v>0</v>
      </c>
      <c r="F396" s="66">
        <f t="shared" si="207"/>
        <v>0</v>
      </c>
      <c r="G396" s="61" t="e">
        <f t="shared" si="210"/>
        <v>#DIV/0!</v>
      </c>
      <c r="H396" s="66" t="e">
        <f t="shared" si="214"/>
        <v>#DIV/0!</v>
      </c>
      <c r="I396" s="66" t="e">
        <f t="shared" si="214"/>
        <v>#DIV/0!</v>
      </c>
      <c r="J396" s="66" t="e">
        <f t="shared" si="214"/>
        <v>#DIV/0!</v>
      </c>
      <c r="K396" s="70">
        <v>7000</v>
      </c>
      <c r="L396" s="70">
        <f>'Monitoramento Acumulado Geral'!Q396</f>
        <v>0</v>
      </c>
      <c r="M396" s="6">
        <f>(SUM(L386:L396))/K395</f>
        <v>0.5714285714285714</v>
      </c>
      <c r="N396" s="35" t="str">
        <f t="shared" si="211"/>
        <v>Desempenho Bom</v>
      </c>
      <c r="O396" s="6">
        <f t="shared" si="218"/>
        <v>0.42046470140126019</v>
      </c>
      <c r="P396" s="6">
        <f t="shared" si="218"/>
        <v>0.84574683442734511</v>
      </c>
      <c r="Q396" s="6">
        <f t="shared" si="218"/>
        <v>-4.8174316248247306E-3</v>
      </c>
      <c r="R396" s="70">
        <v>33</v>
      </c>
      <c r="S396" s="70">
        <v>0</v>
      </c>
      <c r="T396" s="6">
        <f t="shared" si="208"/>
        <v>0</v>
      </c>
      <c r="U396" s="35" t="e">
        <f t="shared" si="212"/>
        <v>#DIV/0!</v>
      </c>
      <c r="V396" s="6" t="e">
        <f t="shared" si="217"/>
        <v>#DIV/0!</v>
      </c>
      <c r="W396" s="6" t="e">
        <f t="shared" si="217"/>
        <v>#DIV/0!</v>
      </c>
      <c r="X396" s="6" t="e">
        <f t="shared" si="217"/>
        <v>#DIV/0!</v>
      </c>
      <c r="Y396" s="6" t="e">
        <f t="shared" si="217"/>
        <v>#DIV/0!</v>
      </c>
      <c r="Z396" s="6" t="e">
        <f t="shared" si="217"/>
        <v>#DIV/0!</v>
      </c>
    </row>
    <row r="397" spans="1:26" x14ac:dyDescent="0.2">
      <c r="A397" s="7" t="s">
        <v>135</v>
      </c>
      <c r="B397" s="6">
        <f t="shared" si="209"/>
        <v>12</v>
      </c>
      <c r="C397" s="7" t="s">
        <v>162</v>
      </c>
      <c r="D397" s="69">
        <v>37</v>
      </c>
      <c r="E397" s="69">
        <v>0</v>
      </c>
      <c r="F397" s="66">
        <f t="shared" si="207"/>
        <v>0</v>
      </c>
      <c r="G397" s="61" t="e">
        <f t="shared" si="210"/>
        <v>#DIV/0!</v>
      </c>
      <c r="H397" s="66" t="e">
        <f t="shared" si="214"/>
        <v>#DIV/0!</v>
      </c>
      <c r="I397" s="66" t="e">
        <f t="shared" si="214"/>
        <v>#DIV/0!</v>
      </c>
      <c r="J397" s="66" t="e">
        <f t="shared" si="214"/>
        <v>#DIV/0!</v>
      </c>
      <c r="K397" s="70">
        <v>7000</v>
      </c>
      <c r="L397" s="70">
        <f>'Monitoramento Acumulado Geral'!Q397</f>
        <v>0</v>
      </c>
      <c r="M397" s="6">
        <f>(SUM(L386:L397))/K396</f>
        <v>0.5714285714285714</v>
      </c>
      <c r="N397" s="35" t="str">
        <f t="shared" si="211"/>
        <v>Desempenho Bom</v>
      </c>
      <c r="O397" s="6">
        <f t="shared" si="218"/>
        <v>0.41824651958307835</v>
      </c>
      <c r="P397" s="6">
        <f t="shared" si="218"/>
        <v>0.84510274859297763</v>
      </c>
      <c r="Q397" s="6">
        <f t="shared" si="218"/>
        <v>-8.6097094268208774E-3</v>
      </c>
      <c r="R397" s="70">
        <v>33</v>
      </c>
      <c r="S397" s="70">
        <v>0</v>
      </c>
      <c r="T397" s="6">
        <f t="shared" si="208"/>
        <v>0</v>
      </c>
      <c r="U397" s="35" t="e">
        <f t="shared" si="212"/>
        <v>#DIV/0!</v>
      </c>
      <c r="V397" s="6" t="e">
        <f t="shared" si="217"/>
        <v>#DIV/0!</v>
      </c>
      <c r="W397" s="6" t="e">
        <f t="shared" si="217"/>
        <v>#DIV/0!</v>
      </c>
      <c r="X397" s="6" t="e">
        <f t="shared" si="217"/>
        <v>#DIV/0!</v>
      </c>
      <c r="Y397" s="6" t="e">
        <f t="shared" si="217"/>
        <v>#DIV/0!</v>
      </c>
      <c r="Z397" s="6" t="e">
        <f t="shared" si="217"/>
        <v>#DIV/0!</v>
      </c>
    </row>
    <row r="398" spans="1:26" x14ac:dyDescent="0.2">
      <c r="A398" s="7" t="s">
        <v>103</v>
      </c>
      <c r="B398" s="6">
        <f t="shared" si="209"/>
        <v>1</v>
      </c>
      <c r="C398" s="7" t="s">
        <v>151</v>
      </c>
      <c r="D398" s="69">
        <v>75</v>
      </c>
      <c r="E398" s="69">
        <v>0</v>
      </c>
      <c r="F398" s="66">
        <f t="shared" si="207"/>
        <v>0</v>
      </c>
      <c r="G398" s="61" t="e">
        <f t="shared" si="210"/>
        <v>#DIV/0!</v>
      </c>
      <c r="H398" s="66" t="e">
        <f t="shared" si="214"/>
        <v>#DIV/0!</v>
      </c>
      <c r="I398" s="66" t="e">
        <f t="shared" si="214"/>
        <v>#DIV/0!</v>
      </c>
      <c r="J398" s="66" t="e">
        <f t="shared" si="214"/>
        <v>#DIV/0!</v>
      </c>
      <c r="K398" s="70">
        <v>102000</v>
      </c>
      <c r="L398" s="70">
        <f>'Monitoramento Acumulado Geral'!Q398</f>
        <v>0</v>
      </c>
      <c r="M398" s="6">
        <f>L398/K398</f>
        <v>0</v>
      </c>
      <c r="N398" s="35" t="str">
        <f t="shared" si="211"/>
        <v>Desempenho Médio</v>
      </c>
      <c r="O398" s="6">
        <f t="shared" si="218"/>
        <v>3.4274647562211005E-2</v>
      </c>
      <c r="P398" s="6">
        <f t="shared" si="218"/>
        <v>0.10289217685709087</v>
      </c>
      <c r="Q398" s="6">
        <f t="shared" si="218"/>
        <v>-3.4342881732668862E-2</v>
      </c>
      <c r="R398" s="70">
        <v>80</v>
      </c>
      <c r="S398" s="70">
        <v>0</v>
      </c>
      <c r="T398" s="6">
        <f t="shared" si="208"/>
        <v>0</v>
      </c>
      <c r="U398" s="35" t="e">
        <f t="shared" si="212"/>
        <v>#DIV/0!</v>
      </c>
      <c r="V398" s="6" t="e">
        <f t="shared" si="217"/>
        <v>#DIV/0!</v>
      </c>
      <c r="W398" s="6" t="e">
        <f t="shared" si="217"/>
        <v>#DIV/0!</v>
      </c>
      <c r="X398" s="6" t="e">
        <f t="shared" si="217"/>
        <v>#DIV/0!</v>
      </c>
      <c r="Y398" s="6" t="e">
        <f t="shared" si="217"/>
        <v>#DIV/0!</v>
      </c>
      <c r="Z398" s="6" t="e">
        <f t="shared" si="217"/>
        <v>#DIV/0!</v>
      </c>
    </row>
    <row r="399" spans="1:26" x14ac:dyDescent="0.2">
      <c r="A399" s="7" t="s">
        <v>103</v>
      </c>
      <c r="B399" s="6">
        <f t="shared" si="209"/>
        <v>2</v>
      </c>
      <c r="C399" s="7" t="s">
        <v>152</v>
      </c>
      <c r="D399" s="69">
        <v>75</v>
      </c>
      <c r="E399" s="69">
        <v>12</v>
      </c>
      <c r="F399" s="66">
        <f t="shared" si="207"/>
        <v>0.16</v>
      </c>
      <c r="G399" s="61" t="e">
        <f t="shared" si="210"/>
        <v>#DIV/0!</v>
      </c>
      <c r="H399" s="66" t="e">
        <f t="shared" si="214"/>
        <v>#DIV/0!</v>
      </c>
      <c r="I399" s="66" t="e">
        <f t="shared" si="214"/>
        <v>#DIV/0!</v>
      </c>
      <c r="J399" s="66" t="e">
        <f t="shared" si="214"/>
        <v>#DIV/0!</v>
      </c>
      <c r="K399" s="70">
        <v>102000</v>
      </c>
      <c r="L399" s="70">
        <f>'Monitoramento Acumulado Geral'!Q399</f>
        <v>3900</v>
      </c>
      <c r="M399" s="6">
        <f>(SUM(L398:L399))/K398</f>
        <v>3.8235294117647062E-2</v>
      </c>
      <c r="N399" s="35" t="str">
        <f t="shared" si="211"/>
        <v>Desempenho Médio</v>
      </c>
      <c r="O399" s="6">
        <f t="shared" si="218"/>
        <v>8.1815188943147363E-2</v>
      </c>
      <c r="P399" s="6">
        <f t="shared" si="218"/>
        <v>0.20623883252423067</v>
      </c>
      <c r="Q399" s="6">
        <f t="shared" si="218"/>
        <v>-4.2608454637935944E-2</v>
      </c>
      <c r="R399" s="70">
        <v>80</v>
      </c>
      <c r="S399" s="70">
        <v>0</v>
      </c>
      <c r="T399" s="6">
        <f t="shared" si="208"/>
        <v>0</v>
      </c>
      <c r="U399" s="35" t="e">
        <f t="shared" si="212"/>
        <v>#DIV/0!</v>
      </c>
      <c r="V399" s="6" t="e">
        <f t="shared" si="217"/>
        <v>#DIV/0!</v>
      </c>
      <c r="W399" s="6" t="e">
        <f t="shared" si="217"/>
        <v>#DIV/0!</v>
      </c>
      <c r="X399" s="6" t="e">
        <f t="shared" si="217"/>
        <v>#DIV/0!</v>
      </c>
      <c r="Y399" s="6" t="e">
        <f t="shared" si="217"/>
        <v>#DIV/0!</v>
      </c>
      <c r="Z399" s="6" t="e">
        <f t="shared" si="217"/>
        <v>#DIV/0!</v>
      </c>
    </row>
    <row r="400" spans="1:26" x14ac:dyDescent="0.2">
      <c r="A400" s="7" t="s">
        <v>103</v>
      </c>
      <c r="B400" s="6">
        <f t="shared" si="209"/>
        <v>3</v>
      </c>
      <c r="C400" s="7" t="s">
        <v>153</v>
      </c>
      <c r="D400" s="69">
        <v>75</v>
      </c>
      <c r="E400" s="69">
        <v>28</v>
      </c>
      <c r="F400" s="66">
        <f t="shared" si="207"/>
        <v>0.37333333333333335</v>
      </c>
      <c r="G400" s="61" t="e">
        <f t="shared" si="210"/>
        <v>#DIV/0!</v>
      </c>
      <c r="H400" s="66" t="e">
        <f t="shared" si="214"/>
        <v>#DIV/0!</v>
      </c>
      <c r="I400" s="66" t="e">
        <f t="shared" si="214"/>
        <v>#DIV/0!</v>
      </c>
      <c r="J400" s="66" t="e">
        <f t="shared" si="214"/>
        <v>#DIV/0!</v>
      </c>
      <c r="K400" s="70">
        <v>102000</v>
      </c>
      <c r="L400" s="70">
        <f>'Monitoramento Acumulado Geral'!Q400</f>
        <v>8000</v>
      </c>
      <c r="M400" s="6">
        <f>(SUM(L398:L400))/K399</f>
        <v>0.11666666666666667</v>
      </c>
      <c r="N400" s="35" t="str">
        <f t="shared" si="211"/>
        <v>Desempenho Médio</v>
      </c>
      <c r="O400" s="6">
        <f t="shared" si="218"/>
        <v>0.13411292471649494</v>
      </c>
      <c r="P400" s="6">
        <f t="shared" si="218"/>
        <v>0.29721906787058483</v>
      </c>
      <c r="Q400" s="6">
        <f t="shared" si="218"/>
        <v>-2.899321843759492E-2</v>
      </c>
      <c r="R400" s="70">
        <v>80</v>
      </c>
      <c r="S400" s="70">
        <v>0</v>
      </c>
      <c r="T400" s="6">
        <f t="shared" si="208"/>
        <v>0</v>
      </c>
      <c r="U400" s="35" t="e">
        <f t="shared" si="212"/>
        <v>#DIV/0!</v>
      </c>
      <c r="V400" s="6" t="e">
        <f t="shared" si="217"/>
        <v>#DIV/0!</v>
      </c>
      <c r="W400" s="6" t="e">
        <f t="shared" si="217"/>
        <v>#DIV/0!</v>
      </c>
      <c r="X400" s="6" t="e">
        <f t="shared" si="217"/>
        <v>#DIV/0!</v>
      </c>
      <c r="Y400" s="6" t="e">
        <f t="shared" si="217"/>
        <v>#DIV/0!</v>
      </c>
      <c r="Z400" s="6" t="e">
        <f t="shared" si="217"/>
        <v>#DIV/0!</v>
      </c>
    </row>
    <row r="401" spans="1:26" x14ac:dyDescent="0.2">
      <c r="A401" s="7" t="s">
        <v>103</v>
      </c>
      <c r="B401" s="6">
        <f t="shared" si="209"/>
        <v>4</v>
      </c>
      <c r="C401" s="7" t="s">
        <v>154</v>
      </c>
      <c r="D401" s="69">
        <v>75</v>
      </c>
      <c r="E401" s="69">
        <v>28</v>
      </c>
      <c r="F401" s="66">
        <f t="shared" si="207"/>
        <v>0.37333333333333335</v>
      </c>
      <c r="G401" s="61" t="e">
        <f t="shared" si="210"/>
        <v>#DIV/0!</v>
      </c>
      <c r="H401" s="66" t="e">
        <f t="shared" si="214"/>
        <v>#DIV/0!</v>
      </c>
      <c r="I401" s="66" t="e">
        <f t="shared" si="214"/>
        <v>#DIV/0!</v>
      </c>
      <c r="J401" s="66" t="e">
        <f t="shared" si="214"/>
        <v>#DIV/0!</v>
      </c>
      <c r="K401" s="70">
        <v>102000</v>
      </c>
      <c r="L401" s="70">
        <f>'Monitoramento Acumulado Geral'!Q401</f>
        <v>0</v>
      </c>
      <c r="M401" s="6">
        <f>(SUM(L398:L401))/K400</f>
        <v>0.11666666666666667</v>
      </c>
      <c r="N401" s="35" t="str">
        <f t="shared" si="211"/>
        <v>Desempenho Médio</v>
      </c>
      <c r="O401" s="6">
        <f t="shared" si="218"/>
        <v>0.15392483870093213</v>
      </c>
      <c r="P401" s="6">
        <f t="shared" si="218"/>
        <v>0.32772007016950033</v>
      </c>
      <c r="Q401" s="6">
        <f t="shared" si="218"/>
        <v>-1.9870392767636053E-2</v>
      </c>
      <c r="R401" s="70">
        <v>80</v>
      </c>
      <c r="S401" s="70">
        <v>0</v>
      </c>
      <c r="T401" s="6">
        <f t="shared" si="208"/>
        <v>0</v>
      </c>
      <c r="U401" s="35" t="e">
        <f t="shared" si="212"/>
        <v>#DIV/0!</v>
      </c>
      <c r="V401" s="6" t="e">
        <f t="shared" si="217"/>
        <v>#DIV/0!</v>
      </c>
      <c r="W401" s="6" t="e">
        <f t="shared" si="217"/>
        <v>#DIV/0!</v>
      </c>
      <c r="X401" s="6" t="e">
        <f t="shared" si="217"/>
        <v>#DIV/0!</v>
      </c>
      <c r="Y401" s="6" t="e">
        <f t="shared" si="217"/>
        <v>#DIV/0!</v>
      </c>
      <c r="Z401" s="6" t="e">
        <f t="shared" si="217"/>
        <v>#DIV/0!</v>
      </c>
    </row>
    <row r="402" spans="1:26" x14ac:dyDescent="0.2">
      <c r="A402" s="7" t="s">
        <v>103</v>
      </c>
      <c r="B402" s="6">
        <f t="shared" si="209"/>
        <v>5</v>
      </c>
      <c r="C402" s="7" t="s">
        <v>155</v>
      </c>
      <c r="D402" s="69">
        <v>75</v>
      </c>
      <c r="E402" s="69">
        <v>28</v>
      </c>
      <c r="F402" s="66">
        <f t="shared" si="207"/>
        <v>0.37333333333333335</v>
      </c>
      <c r="G402" s="61" t="e">
        <f t="shared" si="210"/>
        <v>#DIV/0!</v>
      </c>
      <c r="H402" s="66" t="e">
        <f t="shared" si="214"/>
        <v>#DIV/0!</v>
      </c>
      <c r="I402" s="66" t="e">
        <f t="shared" si="214"/>
        <v>#DIV/0!</v>
      </c>
      <c r="J402" s="66" t="e">
        <f t="shared" si="214"/>
        <v>#DIV/0!</v>
      </c>
      <c r="K402" s="70">
        <v>102000</v>
      </c>
      <c r="L402" s="70">
        <f>'Monitoramento Acumulado Geral'!Q402</f>
        <v>0</v>
      </c>
      <c r="M402" s="6">
        <f>(SUM(L398:L402))/K401</f>
        <v>0.11666666666666667</v>
      </c>
      <c r="N402" s="35" t="str">
        <f t="shared" si="211"/>
        <v>Desempenho Médio</v>
      </c>
      <c r="O402" s="6">
        <f t="shared" si="218"/>
        <v>0.21139287248463789</v>
      </c>
      <c r="P402" s="6">
        <f t="shared" si="218"/>
        <v>0.43680804416292918</v>
      </c>
      <c r="Q402" s="6">
        <f t="shared" si="218"/>
        <v>-1.4022299193653387E-2</v>
      </c>
      <c r="R402" s="70">
        <v>80</v>
      </c>
      <c r="S402" s="70">
        <v>0</v>
      </c>
      <c r="T402" s="6">
        <f t="shared" si="208"/>
        <v>0</v>
      </c>
      <c r="U402" s="35" t="e">
        <f t="shared" si="212"/>
        <v>#DIV/0!</v>
      </c>
      <c r="V402" s="6" t="e">
        <f t="shared" si="217"/>
        <v>#DIV/0!</v>
      </c>
      <c r="W402" s="6" t="e">
        <f t="shared" si="217"/>
        <v>#DIV/0!</v>
      </c>
      <c r="X402" s="6" t="e">
        <f t="shared" si="217"/>
        <v>#DIV/0!</v>
      </c>
      <c r="Y402" s="6" t="e">
        <f t="shared" si="217"/>
        <v>#DIV/0!</v>
      </c>
      <c r="Z402" s="6" t="e">
        <f t="shared" si="217"/>
        <v>#DIV/0!</v>
      </c>
    </row>
    <row r="403" spans="1:26" x14ac:dyDescent="0.2">
      <c r="A403" s="7" t="s">
        <v>103</v>
      </c>
      <c r="B403" s="6">
        <f t="shared" si="209"/>
        <v>6</v>
      </c>
      <c r="C403" s="7" t="s">
        <v>156</v>
      </c>
      <c r="D403" s="69">
        <v>75</v>
      </c>
      <c r="E403" s="69">
        <v>28</v>
      </c>
      <c r="F403" s="66">
        <f t="shared" si="207"/>
        <v>0.37333333333333335</v>
      </c>
      <c r="G403" s="61" t="e">
        <f t="shared" si="210"/>
        <v>#DIV/0!</v>
      </c>
      <c r="H403" s="66" t="e">
        <f t="shared" si="214"/>
        <v>#DIV/0!</v>
      </c>
      <c r="I403" s="66" t="e">
        <f t="shared" si="214"/>
        <v>#DIV/0!</v>
      </c>
      <c r="J403" s="66" t="e">
        <f t="shared" si="214"/>
        <v>#DIV/0!</v>
      </c>
      <c r="K403" s="70">
        <v>102000</v>
      </c>
      <c r="L403" s="70">
        <f>'Monitoramento Acumulado Geral'!Q403</f>
        <v>0</v>
      </c>
      <c r="M403" s="6">
        <f>(SUM(L398:L403))/K402</f>
        <v>0.11666666666666667</v>
      </c>
      <c r="N403" s="35" t="str">
        <f t="shared" si="211"/>
        <v>Desempenho Médio</v>
      </c>
      <c r="O403" s="6">
        <f t="shared" si="218"/>
        <v>0.28403291059934432</v>
      </c>
      <c r="P403" s="6">
        <f t="shared" si="218"/>
        <v>0.56118246348434164</v>
      </c>
      <c r="Q403" s="6">
        <f t="shared" si="218"/>
        <v>6.8833577143469493E-3</v>
      </c>
      <c r="R403" s="70">
        <v>80</v>
      </c>
      <c r="S403" s="70">
        <v>0</v>
      </c>
      <c r="T403" s="6">
        <f t="shared" si="208"/>
        <v>0</v>
      </c>
      <c r="U403" s="35" t="e">
        <f t="shared" si="212"/>
        <v>#DIV/0!</v>
      </c>
      <c r="V403" s="6" t="e">
        <f t="shared" ref="V403:Z418" si="219">V391</f>
        <v>#DIV/0!</v>
      </c>
      <c r="W403" s="6" t="e">
        <f t="shared" si="219"/>
        <v>#DIV/0!</v>
      </c>
      <c r="X403" s="6" t="e">
        <f t="shared" si="219"/>
        <v>#DIV/0!</v>
      </c>
      <c r="Y403" s="6" t="e">
        <f t="shared" si="219"/>
        <v>#DIV/0!</v>
      </c>
      <c r="Z403" s="6" t="e">
        <f t="shared" si="219"/>
        <v>#DIV/0!</v>
      </c>
    </row>
    <row r="404" spans="1:26" x14ac:dyDescent="0.2">
      <c r="A404" s="7" t="s">
        <v>103</v>
      </c>
      <c r="B404" s="6">
        <f t="shared" si="209"/>
        <v>7</v>
      </c>
      <c r="C404" s="7" t="s">
        <v>157</v>
      </c>
      <c r="D404" s="69">
        <v>75</v>
      </c>
      <c r="E404" s="69">
        <v>28</v>
      </c>
      <c r="F404" s="66">
        <f t="shared" si="207"/>
        <v>0.37333333333333335</v>
      </c>
      <c r="G404" s="61" t="e">
        <f t="shared" si="210"/>
        <v>#DIV/0!</v>
      </c>
      <c r="H404" s="66" t="e">
        <f t="shared" si="214"/>
        <v>#DIV/0!</v>
      </c>
      <c r="I404" s="66" t="e">
        <f t="shared" si="214"/>
        <v>#DIV/0!</v>
      </c>
      <c r="J404" s="66" t="e">
        <f t="shared" si="214"/>
        <v>#DIV/0!</v>
      </c>
      <c r="K404" s="70">
        <v>102000</v>
      </c>
      <c r="L404" s="70">
        <f>'Monitoramento Acumulado Geral'!Q404</f>
        <v>0</v>
      </c>
      <c r="M404" s="6">
        <f>(SUM(L398:L404))/K403</f>
        <v>0.11666666666666667</v>
      </c>
      <c r="N404" s="35" t="str">
        <f t="shared" si="211"/>
        <v>Desempenho Médio</v>
      </c>
      <c r="O404" s="6">
        <f t="shared" si="218"/>
        <v>0.42046470140126019</v>
      </c>
      <c r="P404" s="6">
        <f t="shared" si="218"/>
        <v>0.84574683442734511</v>
      </c>
      <c r="Q404" s="6">
        <f t="shared" si="218"/>
        <v>-4.8174316248247306E-3</v>
      </c>
      <c r="R404" s="70">
        <v>80</v>
      </c>
      <c r="S404" s="70">
        <v>0</v>
      </c>
      <c r="T404" s="6">
        <f t="shared" si="208"/>
        <v>0</v>
      </c>
      <c r="U404" s="35" t="e">
        <f t="shared" si="212"/>
        <v>#DIV/0!</v>
      </c>
      <c r="V404" s="6" t="e">
        <f t="shared" si="219"/>
        <v>#DIV/0!</v>
      </c>
      <c r="W404" s="6" t="e">
        <f t="shared" si="219"/>
        <v>#DIV/0!</v>
      </c>
      <c r="X404" s="6" t="e">
        <f t="shared" si="219"/>
        <v>#DIV/0!</v>
      </c>
      <c r="Y404" s="6" t="e">
        <f t="shared" si="219"/>
        <v>#DIV/0!</v>
      </c>
      <c r="Z404" s="6" t="e">
        <f t="shared" si="219"/>
        <v>#DIV/0!</v>
      </c>
    </row>
    <row r="405" spans="1:26" x14ac:dyDescent="0.2">
      <c r="A405" s="7" t="s">
        <v>103</v>
      </c>
      <c r="B405" s="6">
        <f t="shared" si="209"/>
        <v>8</v>
      </c>
      <c r="C405" s="7" t="s">
        <v>158</v>
      </c>
      <c r="D405" s="69">
        <v>75</v>
      </c>
      <c r="E405" s="69">
        <v>0</v>
      </c>
      <c r="F405" s="66">
        <f t="shared" si="207"/>
        <v>0</v>
      </c>
      <c r="G405" s="61" t="e">
        <f t="shared" si="210"/>
        <v>#DIV/0!</v>
      </c>
      <c r="H405" s="66" t="e">
        <f t="shared" si="214"/>
        <v>#DIV/0!</v>
      </c>
      <c r="I405" s="66" t="e">
        <f t="shared" si="214"/>
        <v>#DIV/0!</v>
      </c>
      <c r="J405" s="66" t="e">
        <f t="shared" si="214"/>
        <v>#DIV/0!</v>
      </c>
      <c r="K405" s="70">
        <v>102000</v>
      </c>
      <c r="L405" s="70">
        <f>'Monitoramento Acumulado Geral'!Q405</f>
        <v>0</v>
      </c>
      <c r="M405" s="6">
        <f>(SUM(L398:L405))/K404</f>
        <v>0.11666666666666667</v>
      </c>
      <c r="N405" s="35" t="str">
        <f t="shared" si="211"/>
        <v>Desempenho Médio</v>
      </c>
      <c r="O405" s="6">
        <f t="shared" si="218"/>
        <v>0.42046470140126019</v>
      </c>
      <c r="P405" s="6">
        <f t="shared" si="218"/>
        <v>0.84574683442734511</v>
      </c>
      <c r="Q405" s="6">
        <f t="shared" si="218"/>
        <v>-4.8174316248247306E-3</v>
      </c>
      <c r="R405" s="70">
        <v>80</v>
      </c>
      <c r="S405" s="70">
        <v>0</v>
      </c>
      <c r="T405" s="6">
        <f t="shared" si="208"/>
        <v>0</v>
      </c>
      <c r="U405" s="35" t="e">
        <f t="shared" si="212"/>
        <v>#DIV/0!</v>
      </c>
      <c r="V405" s="6" t="e">
        <f t="shared" si="219"/>
        <v>#DIV/0!</v>
      </c>
      <c r="W405" s="6" t="e">
        <f t="shared" si="219"/>
        <v>#DIV/0!</v>
      </c>
      <c r="X405" s="6" t="e">
        <f t="shared" si="219"/>
        <v>#DIV/0!</v>
      </c>
      <c r="Y405" s="6" t="e">
        <f t="shared" si="219"/>
        <v>#DIV/0!</v>
      </c>
      <c r="Z405" s="6" t="e">
        <f t="shared" si="219"/>
        <v>#DIV/0!</v>
      </c>
    </row>
    <row r="406" spans="1:26" x14ac:dyDescent="0.2">
      <c r="A406" s="7" t="s">
        <v>103</v>
      </c>
      <c r="B406" s="6">
        <f t="shared" si="209"/>
        <v>9</v>
      </c>
      <c r="C406" s="7" t="s">
        <v>159</v>
      </c>
      <c r="D406" s="69">
        <v>75</v>
      </c>
      <c r="E406" s="69">
        <v>0</v>
      </c>
      <c r="F406" s="66">
        <f t="shared" si="207"/>
        <v>0</v>
      </c>
      <c r="G406" s="61" t="e">
        <f t="shared" si="210"/>
        <v>#DIV/0!</v>
      </c>
      <c r="H406" s="66" t="e">
        <f t="shared" si="214"/>
        <v>#DIV/0!</v>
      </c>
      <c r="I406" s="66" t="e">
        <f t="shared" si="214"/>
        <v>#DIV/0!</v>
      </c>
      <c r="J406" s="66" t="e">
        <f t="shared" si="214"/>
        <v>#DIV/0!</v>
      </c>
      <c r="K406" s="70">
        <v>102000</v>
      </c>
      <c r="L406" s="70">
        <f>'Monitoramento Acumulado Geral'!Q406</f>
        <v>0</v>
      </c>
      <c r="M406" s="6">
        <f>(SUM(L398:L406))/K405</f>
        <v>0.11666666666666667</v>
      </c>
      <c r="N406" s="35" t="str">
        <f t="shared" si="211"/>
        <v>Desempenho Médio</v>
      </c>
      <c r="O406" s="6">
        <f t="shared" si="218"/>
        <v>0.42046470140126019</v>
      </c>
      <c r="P406" s="6">
        <f t="shared" si="218"/>
        <v>0.84574683442734511</v>
      </c>
      <c r="Q406" s="6">
        <f t="shared" si="218"/>
        <v>-4.8174316248247306E-3</v>
      </c>
      <c r="R406" s="70">
        <v>80</v>
      </c>
      <c r="S406" s="70">
        <v>0</v>
      </c>
      <c r="T406" s="6">
        <f t="shared" si="208"/>
        <v>0</v>
      </c>
      <c r="U406" s="35" t="e">
        <f t="shared" si="212"/>
        <v>#DIV/0!</v>
      </c>
      <c r="V406" s="6" t="e">
        <f t="shared" si="219"/>
        <v>#DIV/0!</v>
      </c>
      <c r="W406" s="6" t="e">
        <f t="shared" si="219"/>
        <v>#DIV/0!</v>
      </c>
      <c r="X406" s="6" t="e">
        <f t="shared" si="219"/>
        <v>#DIV/0!</v>
      </c>
      <c r="Y406" s="6" t="e">
        <f t="shared" si="219"/>
        <v>#DIV/0!</v>
      </c>
      <c r="Z406" s="6" t="e">
        <f t="shared" si="219"/>
        <v>#DIV/0!</v>
      </c>
    </row>
    <row r="407" spans="1:26" x14ac:dyDescent="0.2">
      <c r="A407" s="7" t="s">
        <v>103</v>
      </c>
      <c r="B407" s="6">
        <f t="shared" si="209"/>
        <v>10</v>
      </c>
      <c r="C407" s="7" t="s">
        <v>160</v>
      </c>
      <c r="D407" s="69">
        <v>75</v>
      </c>
      <c r="E407" s="69">
        <v>0</v>
      </c>
      <c r="F407" s="66">
        <f t="shared" si="207"/>
        <v>0</v>
      </c>
      <c r="G407" s="61" t="e">
        <f t="shared" si="210"/>
        <v>#DIV/0!</v>
      </c>
      <c r="H407" s="66" t="e">
        <f t="shared" si="214"/>
        <v>#DIV/0!</v>
      </c>
      <c r="I407" s="66" t="e">
        <f t="shared" si="214"/>
        <v>#DIV/0!</v>
      </c>
      <c r="J407" s="66" t="e">
        <f t="shared" si="214"/>
        <v>#DIV/0!</v>
      </c>
      <c r="K407" s="70">
        <v>102000</v>
      </c>
      <c r="L407" s="70">
        <f>'Monitoramento Acumulado Geral'!Q407</f>
        <v>0</v>
      </c>
      <c r="M407" s="6">
        <f>(SUM(L398:L407))/K406</f>
        <v>0.11666666666666667</v>
      </c>
      <c r="N407" s="35" t="str">
        <f t="shared" si="211"/>
        <v>Desempenho Médio</v>
      </c>
      <c r="O407" s="6">
        <f t="shared" si="218"/>
        <v>0.42046470140126019</v>
      </c>
      <c r="P407" s="6">
        <f t="shared" si="218"/>
        <v>0.84574683442734511</v>
      </c>
      <c r="Q407" s="6">
        <f t="shared" si="218"/>
        <v>-4.8174316248247306E-3</v>
      </c>
      <c r="R407" s="70">
        <v>80</v>
      </c>
      <c r="S407" s="70">
        <v>0</v>
      </c>
      <c r="T407" s="6">
        <f t="shared" si="208"/>
        <v>0</v>
      </c>
      <c r="U407" s="35" t="e">
        <f t="shared" si="212"/>
        <v>#DIV/0!</v>
      </c>
      <c r="V407" s="6" t="e">
        <f t="shared" si="219"/>
        <v>#DIV/0!</v>
      </c>
      <c r="W407" s="6" t="e">
        <f t="shared" si="219"/>
        <v>#DIV/0!</v>
      </c>
      <c r="X407" s="6" t="e">
        <f t="shared" si="219"/>
        <v>#DIV/0!</v>
      </c>
      <c r="Y407" s="6" t="e">
        <f t="shared" si="219"/>
        <v>#DIV/0!</v>
      </c>
      <c r="Z407" s="6" t="e">
        <f t="shared" si="219"/>
        <v>#DIV/0!</v>
      </c>
    </row>
    <row r="408" spans="1:26" x14ac:dyDescent="0.2">
      <c r="A408" s="7" t="s">
        <v>103</v>
      </c>
      <c r="B408" s="6">
        <f t="shared" si="209"/>
        <v>11</v>
      </c>
      <c r="C408" s="7" t="s">
        <v>161</v>
      </c>
      <c r="D408" s="69">
        <v>75</v>
      </c>
      <c r="E408" s="69">
        <v>0</v>
      </c>
      <c r="F408" s="66">
        <f t="shared" si="207"/>
        <v>0</v>
      </c>
      <c r="G408" s="61" t="e">
        <f t="shared" si="210"/>
        <v>#DIV/0!</v>
      </c>
      <c r="H408" s="66" t="e">
        <f t="shared" si="214"/>
        <v>#DIV/0!</v>
      </c>
      <c r="I408" s="66" t="e">
        <f t="shared" si="214"/>
        <v>#DIV/0!</v>
      </c>
      <c r="J408" s="66" t="e">
        <f t="shared" si="214"/>
        <v>#DIV/0!</v>
      </c>
      <c r="K408" s="70">
        <v>102000</v>
      </c>
      <c r="L408" s="70">
        <f>'Monitoramento Acumulado Geral'!Q408</f>
        <v>0</v>
      </c>
      <c r="M408" s="6">
        <f>(SUM(L398:L408))/K407</f>
        <v>0.11666666666666667</v>
      </c>
      <c r="N408" s="35" t="str">
        <f t="shared" si="211"/>
        <v>Desempenho Médio</v>
      </c>
      <c r="O408" s="6">
        <f t="shared" si="218"/>
        <v>0.42046470140126019</v>
      </c>
      <c r="P408" s="6">
        <f t="shared" si="218"/>
        <v>0.84574683442734511</v>
      </c>
      <c r="Q408" s="6">
        <f t="shared" si="218"/>
        <v>-4.8174316248247306E-3</v>
      </c>
      <c r="R408" s="70">
        <v>80</v>
      </c>
      <c r="S408" s="70">
        <v>0</v>
      </c>
      <c r="T408" s="6">
        <f t="shared" si="208"/>
        <v>0</v>
      </c>
      <c r="U408" s="35" t="e">
        <f t="shared" si="212"/>
        <v>#DIV/0!</v>
      </c>
      <c r="V408" s="6" t="e">
        <f t="shared" si="219"/>
        <v>#DIV/0!</v>
      </c>
      <c r="W408" s="6" t="e">
        <f t="shared" si="219"/>
        <v>#DIV/0!</v>
      </c>
      <c r="X408" s="6" t="e">
        <f t="shared" si="219"/>
        <v>#DIV/0!</v>
      </c>
      <c r="Y408" s="6" t="e">
        <f t="shared" si="219"/>
        <v>#DIV/0!</v>
      </c>
      <c r="Z408" s="6" t="e">
        <f t="shared" si="219"/>
        <v>#DIV/0!</v>
      </c>
    </row>
    <row r="409" spans="1:26" x14ac:dyDescent="0.2">
      <c r="A409" s="7" t="s">
        <v>103</v>
      </c>
      <c r="B409" s="6">
        <f t="shared" si="209"/>
        <v>12</v>
      </c>
      <c r="C409" s="7" t="s">
        <v>162</v>
      </c>
      <c r="D409" s="69">
        <v>75</v>
      </c>
      <c r="E409" s="69">
        <v>0</v>
      </c>
      <c r="F409" s="66">
        <f t="shared" si="207"/>
        <v>0</v>
      </c>
      <c r="G409" s="61" t="e">
        <f t="shared" si="210"/>
        <v>#DIV/0!</v>
      </c>
      <c r="H409" s="66" t="e">
        <f t="shared" si="214"/>
        <v>#DIV/0!</v>
      </c>
      <c r="I409" s="66" t="e">
        <f t="shared" si="214"/>
        <v>#DIV/0!</v>
      </c>
      <c r="J409" s="66" t="e">
        <f t="shared" si="214"/>
        <v>#DIV/0!</v>
      </c>
      <c r="K409" s="70">
        <v>102000</v>
      </c>
      <c r="L409" s="70">
        <f>'Monitoramento Acumulado Geral'!Q409</f>
        <v>0</v>
      </c>
      <c r="M409" s="6">
        <f>(SUM(L398:L409))/K408</f>
        <v>0.11666666666666667</v>
      </c>
      <c r="N409" s="35" t="str">
        <f t="shared" si="211"/>
        <v>Desempenho Médio</v>
      </c>
      <c r="O409" s="6">
        <f t="shared" si="218"/>
        <v>0.41824651958307835</v>
      </c>
      <c r="P409" s="6">
        <f t="shared" si="218"/>
        <v>0.84510274859297763</v>
      </c>
      <c r="Q409" s="6">
        <f t="shared" si="218"/>
        <v>-8.6097094268208774E-3</v>
      </c>
      <c r="R409" s="70">
        <v>80</v>
      </c>
      <c r="S409" s="70">
        <v>0</v>
      </c>
      <c r="T409" s="6">
        <f t="shared" si="208"/>
        <v>0</v>
      </c>
      <c r="U409" s="35" t="e">
        <f t="shared" si="212"/>
        <v>#DIV/0!</v>
      </c>
      <c r="V409" s="6" t="e">
        <f t="shared" si="219"/>
        <v>#DIV/0!</v>
      </c>
      <c r="W409" s="6" t="e">
        <f t="shared" si="219"/>
        <v>#DIV/0!</v>
      </c>
      <c r="X409" s="6" t="e">
        <f t="shared" si="219"/>
        <v>#DIV/0!</v>
      </c>
      <c r="Y409" s="6" t="e">
        <f t="shared" si="219"/>
        <v>#DIV/0!</v>
      </c>
      <c r="Z409" s="6" t="e">
        <f t="shared" si="219"/>
        <v>#DIV/0!</v>
      </c>
    </row>
    <row r="410" spans="1:26" x14ac:dyDescent="0.2">
      <c r="A410" s="7" t="s">
        <v>85</v>
      </c>
      <c r="B410" s="6">
        <f t="shared" si="209"/>
        <v>1</v>
      </c>
      <c r="C410" s="7" t="s">
        <v>151</v>
      </c>
      <c r="D410" s="69">
        <v>75</v>
      </c>
      <c r="E410" s="69">
        <v>0</v>
      </c>
      <c r="F410" s="66">
        <f t="shared" si="207"/>
        <v>0</v>
      </c>
      <c r="G410" s="61" t="e">
        <f t="shared" si="210"/>
        <v>#DIV/0!</v>
      </c>
      <c r="H410" s="66" t="e">
        <f t="shared" si="214"/>
        <v>#DIV/0!</v>
      </c>
      <c r="I410" s="66" t="e">
        <f t="shared" si="214"/>
        <v>#DIV/0!</v>
      </c>
      <c r="J410" s="66" t="e">
        <f t="shared" si="214"/>
        <v>#DIV/0!</v>
      </c>
      <c r="K410" s="70">
        <v>8100</v>
      </c>
      <c r="L410" s="70">
        <f>'Monitoramento Acumulado Geral'!Q410</f>
        <v>0</v>
      </c>
      <c r="M410" s="6">
        <f>L410/K410</f>
        <v>0</v>
      </c>
      <c r="N410" s="35" t="str">
        <f t="shared" si="211"/>
        <v>Desempenho Médio</v>
      </c>
      <c r="O410" s="6">
        <f t="shared" ref="O410:Q425" si="220">O398</f>
        <v>3.4274647562211005E-2</v>
      </c>
      <c r="P410" s="6">
        <f t="shared" si="220"/>
        <v>0.10289217685709087</v>
      </c>
      <c r="Q410" s="6">
        <f t="shared" si="220"/>
        <v>-3.4342881732668862E-2</v>
      </c>
      <c r="R410" s="70">
        <v>70</v>
      </c>
      <c r="S410" s="70">
        <v>0</v>
      </c>
      <c r="T410" s="6">
        <f t="shared" si="208"/>
        <v>0</v>
      </c>
      <c r="U410" s="35" t="e">
        <f t="shared" si="212"/>
        <v>#DIV/0!</v>
      </c>
      <c r="V410" s="6" t="e">
        <f t="shared" si="219"/>
        <v>#DIV/0!</v>
      </c>
      <c r="W410" s="6" t="e">
        <f t="shared" si="219"/>
        <v>#DIV/0!</v>
      </c>
      <c r="X410" s="6" t="e">
        <f t="shared" si="219"/>
        <v>#DIV/0!</v>
      </c>
      <c r="Y410" s="6" t="e">
        <f t="shared" si="219"/>
        <v>#DIV/0!</v>
      </c>
      <c r="Z410" s="6" t="e">
        <f t="shared" si="219"/>
        <v>#DIV/0!</v>
      </c>
    </row>
    <row r="411" spans="1:26" x14ac:dyDescent="0.2">
      <c r="A411" s="7" t="s">
        <v>85</v>
      </c>
      <c r="B411" s="6">
        <f t="shared" si="209"/>
        <v>2</v>
      </c>
      <c r="C411" s="7" t="s">
        <v>152</v>
      </c>
      <c r="D411" s="69">
        <v>75</v>
      </c>
      <c r="E411" s="69">
        <v>0</v>
      </c>
      <c r="F411" s="66">
        <f t="shared" si="207"/>
        <v>0</v>
      </c>
      <c r="G411" s="61" t="e">
        <f t="shared" si="210"/>
        <v>#DIV/0!</v>
      </c>
      <c r="H411" s="66" t="e">
        <f t="shared" si="214"/>
        <v>#DIV/0!</v>
      </c>
      <c r="I411" s="66" t="e">
        <f t="shared" si="214"/>
        <v>#DIV/0!</v>
      </c>
      <c r="J411" s="66" t="e">
        <f t="shared" si="214"/>
        <v>#DIV/0!</v>
      </c>
      <c r="K411" s="70">
        <v>8100</v>
      </c>
      <c r="L411" s="70">
        <f>'Monitoramento Acumulado Geral'!Q411</f>
        <v>0</v>
      </c>
      <c r="M411" s="6">
        <f>(SUM(L410:L411))/K410</f>
        <v>0</v>
      </c>
      <c r="N411" s="35" t="str">
        <f t="shared" si="211"/>
        <v>Desempenho Médio</v>
      </c>
      <c r="O411" s="6">
        <f t="shared" si="220"/>
        <v>8.1815188943147363E-2</v>
      </c>
      <c r="P411" s="6">
        <f t="shared" si="220"/>
        <v>0.20623883252423067</v>
      </c>
      <c r="Q411" s="6">
        <f t="shared" si="220"/>
        <v>-4.2608454637935944E-2</v>
      </c>
      <c r="R411" s="70">
        <v>70</v>
      </c>
      <c r="S411" s="70">
        <v>0</v>
      </c>
      <c r="T411" s="6">
        <f t="shared" si="208"/>
        <v>0</v>
      </c>
      <c r="U411" s="35" t="e">
        <f t="shared" si="212"/>
        <v>#DIV/0!</v>
      </c>
      <c r="V411" s="6" t="e">
        <f t="shared" si="219"/>
        <v>#DIV/0!</v>
      </c>
      <c r="W411" s="6" t="e">
        <f t="shared" si="219"/>
        <v>#DIV/0!</v>
      </c>
      <c r="X411" s="6" t="e">
        <f t="shared" si="219"/>
        <v>#DIV/0!</v>
      </c>
      <c r="Y411" s="6" t="e">
        <f t="shared" si="219"/>
        <v>#DIV/0!</v>
      </c>
      <c r="Z411" s="6" t="e">
        <f t="shared" si="219"/>
        <v>#DIV/0!</v>
      </c>
    </row>
    <row r="412" spans="1:26" x14ac:dyDescent="0.2">
      <c r="A412" s="7" t="s">
        <v>85</v>
      </c>
      <c r="B412" s="6">
        <f t="shared" si="209"/>
        <v>3</v>
      </c>
      <c r="C412" s="7" t="s">
        <v>153</v>
      </c>
      <c r="D412" s="69">
        <v>75</v>
      </c>
      <c r="E412" s="69">
        <v>0</v>
      </c>
      <c r="F412" s="66">
        <f t="shared" si="207"/>
        <v>0</v>
      </c>
      <c r="G412" s="61" t="e">
        <f t="shared" si="210"/>
        <v>#DIV/0!</v>
      </c>
      <c r="H412" s="66" t="e">
        <f t="shared" si="214"/>
        <v>#DIV/0!</v>
      </c>
      <c r="I412" s="66" t="e">
        <f t="shared" si="214"/>
        <v>#DIV/0!</v>
      </c>
      <c r="J412" s="66" t="e">
        <f t="shared" si="214"/>
        <v>#DIV/0!</v>
      </c>
      <c r="K412" s="70">
        <v>8100</v>
      </c>
      <c r="L412" s="70">
        <f>'Monitoramento Acumulado Geral'!Q412</f>
        <v>0</v>
      </c>
      <c r="M412" s="6">
        <f>(SUM(L410:L412))/K411</f>
        <v>0</v>
      </c>
      <c r="N412" s="35" t="str">
        <f t="shared" si="211"/>
        <v>Desempenho Médio</v>
      </c>
      <c r="O412" s="6">
        <f t="shared" si="220"/>
        <v>0.13411292471649494</v>
      </c>
      <c r="P412" s="6">
        <f t="shared" si="220"/>
        <v>0.29721906787058483</v>
      </c>
      <c r="Q412" s="6">
        <f t="shared" si="220"/>
        <v>-2.899321843759492E-2</v>
      </c>
      <c r="R412" s="70">
        <v>70</v>
      </c>
      <c r="S412" s="70">
        <v>0</v>
      </c>
      <c r="T412" s="6">
        <f t="shared" si="208"/>
        <v>0</v>
      </c>
      <c r="U412" s="35" t="e">
        <f t="shared" si="212"/>
        <v>#DIV/0!</v>
      </c>
      <c r="V412" s="6" t="e">
        <f t="shared" si="219"/>
        <v>#DIV/0!</v>
      </c>
      <c r="W412" s="6" t="e">
        <f t="shared" si="219"/>
        <v>#DIV/0!</v>
      </c>
      <c r="X412" s="6" t="e">
        <f t="shared" si="219"/>
        <v>#DIV/0!</v>
      </c>
      <c r="Y412" s="6" t="e">
        <f t="shared" si="219"/>
        <v>#DIV/0!</v>
      </c>
      <c r="Z412" s="6" t="e">
        <f t="shared" si="219"/>
        <v>#DIV/0!</v>
      </c>
    </row>
    <row r="413" spans="1:26" x14ac:dyDescent="0.2">
      <c r="A413" s="7" t="s">
        <v>85</v>
      </c>
      <c r="B413" s="6">
        <f t="shared" si="209"/>
        <v>4</v>
      </c>
      <c r="C413" s="7" t="s">
        <v>154</v>
      </c>
      <c r="D413" s="69">
        <v>75</v>
      </c>
      <c r="E413" s="69">
        <v>0</v>
      </c>
      <c r="F413" s="66">
        <f t="shared" si="207"/>
        <v>0</v>
      </c>
      <c r="G413" s="61" t="e">
        <f t="shared" si="210"/>
        <v>#DIV/0!</v>
      </c>
      <c r="H413" s="66" t="e">
        <f t="shared" si="214"/>
        <v>#DIV/0!</v>
      </c>
      <c r="I413" s="66" t="e">
        <f t="shared" si="214"/>
        <v>#DIV/0!</v>
      </c>
      <c r="J413" s="66" t="e">
        <f t="shared" si="214"/>
        <v>#DIV/0!</v>
      </c>
      <c r="K413" s="70">
        <v>8100</v>
      </c>
      <c r="L413" s="70">
        <f>'Monitoramento Acumulado Geral'!Q413</f>
        <v>0</v>
      </c>
      <c r="M413" s="6">
        <f>(SUM(L410:L413))/K412</f>
        <v>0</v>
      </c>
      <c r="N413" s="35" t="str">
        <f t="shared" si="211"/>
        <v>Desempenho Médio</v>
      </c>
      <c r="O413" s="6">
        <f t="shared" si="220"/>
        <v>0.15392483870093213</v>
      </c>
      <c r="P413" s="6">
        <f t="shared" si="220"/>
        <v>0.32772007016950033</v>
      </c>
      <c r="Q413" s="6">
        <f t="shared" si="220"/>
        <v>-1.9870392767636053E-2</v>
      </c>
      <c r="R413" s="70">
        <v>70</v>
      </c>
      <c r="S413" s="70">
        <v>0</v>
      </c>
      <c r="T413" s="6">
        <f t="shared" si="208"/>
        <v>0</v>
      </c>
      <c r="U413" s="35" t="e">
        <f t="shared" si="212"/>
        <v>#DIV/0!</v>
      </c>
      <c r="V413" s="6" t="e">
        <f t="shared" si="219"/>
        <v>#DIV/0!</v>
      </c>
      <c r="W413" s="6" t="e">
        <f t="shared" si="219"/>
        <v>#DIV/0!</v>
      </c>
      <c r="X413" s="6" t="e">
        <f t="shared" si="219"/>
        <v>#DIV/0!</v>
      </c>
      <c r="Y413" s="6" t="e">
        <f t="shared" si="219"/>
        <v>#DIV/0!</v>
      </c>
      <c r="Z413" s="6" t="e">
        <f t="shared" si="219"/>
        <v>#DIV/0!</v>
      </c>
    </row>
    <row r="414" spans="1:26" x14ac:dyDescent="0.2">
      <c r="A414" s="7" t="s">
        <v>85</v>
      </c>
      <c r="B414" s="6">
        <f t="shared" si="209"/>
        <v>5</v>
      </c>
      <c r="C414" s="7" t="s">
        <v>155</v>
      </c>
      <c r="D414" s="69">
        <v>75</v>
      </c>
      <c r="E414" s="69">
        <v>100</v>
      </c>
      <c r="F414" s="66">
        <f t="shared" si="207"/>
        <v>1.3333333333333333</v>
      </c>
      <c r="G414" s="61" t="e">
        <f t="shared" si="210"/>
        <v>#DIV/0!</v>
      </c>
      <c r="H414" s="66" t="e">
        <f t="shared" si="214"/>
        <v>#DIV/0!</v>
      </c>
      <c r="I414" s="66" t="e">
        <f t="shared" si="214"/>
        <v>#DIV/0!</v>
      </c>
      <c r="J414" s="66" t="e">
        <f t="shared" si="214"/>
        <v>#DIV/0!</v>
      </c>
      <c r="K414" s="70">
        <v>8100</v>
      </c>
      <c r="L414" s="70">
        <f>'Monitoramento Acumulado Geral'!Q414</f>
        <v>300</v>
      </c>
      <c r="M414" s="6">
        <f>(SUM(L410:L414))/K413</f>
        <v>3.7037037037037035E-2</v>
      </c>
      <c r="N414" s="35" t="str">
        <f t="shared" si="211"/>
        <v>Desempenho Médio</v>
      </c>
      <c r="O414" s="6">
        <f t="shared" si="220"/>
        <v>0.21139287248463789</v>
      </c>
      <c r="P414" s="6">
        <f t="shared" si="220"/>
        <v>0.43680804416292918</v>
      </c>
      <c r="Q414" s="6">
        <f t="shared" si="220"/>
        <v>-1.4022299193653387E-2</v>
      </c>
      <c r="R414" s="70">
        <v>70</v>
      </c>
      <c r="S414" s="70">
        <v>0</v>
      </c>
      <c r="T414" s="6">
        <f t="shared" si="208"/>
        <v>0</v>
      </c>
      <c r="U414" s="35" t="e">
        <f t="shared" si="212"/>
        <v>#DIV/0!</v>
      </c>
      <c r="V414" s="6" t="e">
        <f t="shared" si="219"/>
        <v>#DIV/0!</v>
      </c>
      <c r="W414" s="6" t="e">
        <f t="shared" si="219"/>
        <v>#DIV/0!</v>
      </c>
      <c r="X414" s="6" t="e">
        <f t="shared" si="219"/>
        <v>#DIV/0!</v>
      </c>
      <c r="Y414" s="6" t="e">
        <f t="shared" si="219"/>
        <v>#DIV/0!</v>
      </c>
      <c r="Z414" s="6" t="e">
        <f t="shared" si="219"/>
        <v>#DIV/0!</v>
      </c>
    </row>
    <row r="415" spans="1:26" x14ac:dyDescent="0.2">
      <c r="A415" s="7" t="s">
        <v>85</v>
      </c>
      <c r="B415" s="6">
        <f t="shared" si="209"/>
        <v>6</v>
      </c>
      <c r="C415" s="7" t="s">
        <v>156</v>
      </c>
      <c r="D415" s="69">
        <v>75</v>
      </c>
      <c r="E415" s="69">
        <v>100</v>
      </c>
      <c r="F415" s="66">
        <f t="shared" si="207"/>
        <v>1.3333333333333333</v>
      </c>
      <c r="G415" s="61" t="e">
        <f t="shared" si="210"/>
        <v>#DIV/0!</v>
      </c>
      <c r="H415" s="66" t="e">
        <f t="shared" si="214"/>
        <v>#DIV/0!</v>
      </c>
      <c r="I415" s="66" t="e">
        <f t="shared" si="214"/>
        <v>#DIV/0!</v>
      </c>
      <c r="J415" s="66" t="e">
        <f t="shared" si="214"/>
        <v>#DIV/0!</v>
      </c>
      <c r="K415" s="70">
        <v>8100</v>
      </c>
      <c r="L415" s="70">
        <f>'Monitoramento Acumulado Geral'!Q415</f>
        <v>550</v>
      </c>
      <c r="M415" s="6">
        <f>(SUM(L410:L415))/K414</f>
        <v>0.10493827160493827</v>
      </c>
      <c r="N415" s="35" t="str">
        <f t="shared" si="211"/>
        <v>Desempenho Médio</v>
      </c>
      <c r="O415" s="6">
        <f t="shared" si="220"/>
        <v>0.28403291059934432</v>
      </c>
      <c r="P415" s="6">
        <f t="shared" si="220"/>
        <v>0.56118246348434164</v>
      </c>
      <c r="Q415" s="6">
        <f t="shared" si="220"/>
        <v>6.8833577143469493E-3</v>
      </c>
      <c r="R415" s="70">
        <v>70</v>
      </c>
      <c r="S415" s="70">
        <v>0</v>
      </c>
      <c r="T415" s="6">
        <f t="shared" si="208"/>
        <v>0</v>
      </c>
      <c r="U415" s="35" t="e">
        <f t="shared" si="212"/>
        <v>#DIV/0!</v>
      </c>
      <c r="V415" s="6" t="e">
        <f t="shared" si="219"/>
        <v>#DIV/0!</v>
      </c>
      <c r="W415" s="6" t="e">
        <f t="shared" si="219"/>
        <v>#DIV/0!</v>
      </c>
      <c r="X415" s="6" t="e">
        <f t="shared" si="219"/>
        <v>#DIV/0!</v>
      </c>
      <c r="Y415" s="6" t="e">
        <f t="shared" si="219"/>
        <v>#DIV/0!</v>
      </c>
      <c r="Z415" s="6" t="e">
        <f t="shared" si="219"/>
        <v>#DIV/0!</v>
      </c>
    </row>
    <row r="416" spans="1:26" x14ac:dyDescent="0.2">
      <c r="A416" s="7" t="s">
        <v>85</v>
      </c>
      <c r="B416" s="6">
        <f t="shared" si="209"/>
        <v>7</v>
      </c>
      <c r="C416" s="7" t="s">
        <v>157</v>
      </c>
      <c r="D416" s="69">
        <v>75</v>
      </c>
      <c r="E416" s="69">
        <v>100</v>
      </c>
      <c r="F416" s="66">
        <f t="shared" si="207"/>
        <v>1.3333333333333333</v>
      </c>
      <c r="G416" s="61" t="e">
        <f t="shared" si="210"/>
        <v>#DIV/0!</v>
      </c>
      <c r="H416" s="66" t="e">
        <f t="shared" si="214"/>
        <v>#DIV/0!</v>
      </c>
      <c r="I416" s="66" t="e">
        <f t="shared" si="214"/>
        <v>#DIV/0!</v>
      </c>
      <c r="J416" s="66" t="e">
        <f t="shared" si="214"/>
        <v>#DIV/0!</v>
      </c>
      <c r="K416" s="70">
        <v>8100</v>
      </c>
      <c r="L416" s="70">
        <f>'Monitoramento Acumulado Geral'!Q416</f>
        <v>3100</v>
      </c>
      <c r="M416" s="6">
        <f>(SUM(L410:L416))/K415</f>
        <v>0.48765432098765432</v>
      </c>
      <c r="N416" s="35" t="str">
        <f t="shared" si="211"/>
        <v>Desempenho Bom</v>
      </c>
      <c r="O416" s="6">
        <f t="shared" si="220"/>
        <v>0.42046470140126019</v>
      </c>
      <c r="P416" s="6">
        <f t="shared" si="220"/>
        <v>0.84574683442734511</v>
      </c>
      <c r="Q416" s="6">
        <f t="shared" si="220"/>
        <v>-4.8174316248247306E-3</v>
      </c>
      <c r="R416" s="70">
        <v>70</v>
      </c>
      <c r="S416" s="70">
        <v>0</v>
      </c>
      <c r="T416" s="6">
        <f t="shared" si="208"/>
        <v>0</v>
      </c>
      <c r="U416" s="35" t="e">
        <f t="shared" si="212"/>
        <v>#DIV/0!</v>
      </c>
      <c r="V416" s="6" t="e">
        <f t="shared" si="219"/>
        <v>#DIV/0!</v>
      </c>
      <c r="W416" s="6" t="e">
        <f t="shared" si="219"/>
        <v>#DIV/0!</v>
      </c>
      <c r="X416" s="6" t="e">
        <f t="shared" si="219"/>
        <v>#DIV/0!</v>
      </c>
      <c r="Y416" s="6" t="e">
        <f t="shared" si="219"/>
        <v>#DIV/0!</v>
      </c>
      <c r="Z416" s="6" t="e">
        <f t="shared" si="219"/>
        <v>#DIV/0!</v>
      </c>
    </row>
    <row r="417" spans="1:26" x14ac:dyDescent="0.2">
      <c r="A417" s="7" t="s">
        <v>85</v>
      </c>
      <c r="B417" s="6">
        <f t="shared" si="209"/>
        <v>8</v>
      </c>
      <c r="C417" s="7" t="s">
        <v>158</v>
      </c>
      <c r="D417" s="69">
        <v>75</v>
      </c>
      <c r="E417" s="69">
        <v>0</v>
      </c>
      <c r="F417" s="66">
        <f t="shared" si="207"/>
        <v>0</v>
      </c>
      <c r="G417" s="61" t="e">
        <f t="shared" si="210"/>
        <v>#DIV/0!</v>
      </c>
      <c r="H417" s="66" t="e">
        <f t="shared" si="214"/>
        <v>#DIV/0!</v>
      </c>
      <c r="I417" s="66" t="e">
        <f t="shared" si="214"/>
        <v>#DIV/0!</v>
      </c>
      <c r="J417" s="66" t="e">
        <f t="shared" si="214"/>
        <v>#DIV/0!</v>
      </c>
      <c r="K417" s="70">
        <v>8100</v>
      </c>
      <c r="L417" s="70">
        <f>'Monitoramento Acumulado Geral'!Q417</f>
        <v>0</v>
      </c>
      <c r="M417" s="6">
        <f>(SUM(L410:L417))/K416</f>
        <v>0.48765432098765432</v>
      </c>
      <c r="N417" s="35" t="str">
        <f t="shared" si="211"/>
        <v>Desempenho Bom</v>
      </c>
      <c r="O417" s="6">
        <f t="shared" si="220"/>
        <v>0.42046470140126019</v>
      </c>
      <c r="P417" s="6">
        <f t="shared" si="220"/>
        <v>0.84574683442734511</v>
      </c>
      <c r="Q417" s="6">
        <f t="shared" si="220"/>
        <v>-4.8174316248247306E-3</v>
      </c>
      <c r="R417" s="70">
        <v>70</v>
      </c>
      <c r="S417" s="70">
        <v>0</v>
      </c>
      <c r="T417" s="6">
        <f t="shared" si="208"/>
        <v>0</v>
      </c>
      <c r="U417" s="35" t="e">
        <f t="shared" si="212"/>
        <v>#DIV/0!</v>
      </c>
      <c r="V417" s="6" t="e">
        <f t="shared" si="219"/>
        <v>#DIV/0!</v>
      </c>
      <c r="W417" s="6" t="e">
        <f t="shared" si="219"/>
        <v>#DIV/0!</v>
      </c>
      <c r="X417" s="6" t="e">
        <f t="shared" si="219"/>
        <v>#DIV/0!</v>
      </c>
      <c r="Y417" s="6" t="e">
        <f t="shared" si="219"/>
        <v>#DIV/0!</v>
      </c>
      <c r="Z417" s="6" t="e">
        <f t="shared" si="219"/>
        <v>#DIV/0!</v>
      </c>
    </row>
    <row r="418" spans="1:26" x14ac:dyDescent="0.2">
      <c r="A418" s="7" t="s">
        <v>85</v>
      </c>
      <c r="B418" s="6">
        <f t="shared" si="209"/>
        <v>9</v>
      </c>
      <c r="C418" s="7" t="s">
        <v>159</v>
      </c>
      <c r="D418" s="69">
        <v>75</v>
      </c>
      <c r="E418" s="69">
        <v>0</v>
      </c>
      <c r="F418" s="66">
        <f t="shared" si="207"/>
        <v>0</v>
      </c>
      <c r="G418" s="61" t="e">
        <f t="shared" si="210"/>
        <v>#DIV/0!</v>
      </c>
      <c r="H418" s="66" t="e">
        <f t="shared" si="214"/>
        <v>#DIV/0!</v>
      </c>
      <c r="I418" s="66" t="e">
        <f t="shared" si="214"/>
        <v>#DIV/0!</v>
      </c>
      <c r="J418" s="66" t="e">
        <f t="shared" si="214"/>
        <v>#DIV/0!</v>
      </c>
      <c r="K418" s="70">
        <v>8100</v>
      </c>
      <c r="L418" s="70">
        <f>'Monitoramento Acumulado Geral'!Q418</f>
        <v>0</v>
      </c>
      <c r="M418" s="6">
        <f>(SUM(L410:L418))/K417</f>
        <v>0.48765432098765432</v>
      </c>
      <c r="N418" s="35" t="str">
        <f t="shared" si="211"/>
        <v>Desempenho Bom</v>
      </c>
      <c r="O418" s="6">
        <f t="shared" si="220"/>
        <v>0.42046470140126019</v>
      </c>
      <c r="P418" s="6">
        <f t="shared" si="220"/>
        <v>0.84574683442734511</v>
      </c>
      <c r="Q418" s="6">
        <f t="shared" si="220"/>
        <v>-4.8174316248247306E-3</v>
      </c>
      <c r="R418" s="70">
        <v>70</v>
      </c>
      <c r="S418" s="70">
        <v>0</v>
      </c>
      <c r="T418" s="6">
        <f t="shared" si="208"/>
        <v>0</v>
      </c>
      <c r="U418" s="35" t="e">
        <f t="shared" si="212"/>
        <v>#DIV/0!</v>
      </c>
      <c r="V418" s="6" t="e">
        <f t="shared" si="219"/>
        <v>#DIV/0!</v>
      </c>
      <c r="W418" s="6" t="e">
        <f t="shared" si="219"/>
        <v>#DIV/0!</v>
      </c>
      <c r="X418" s="6" t="e">
        <f t="shared" si="219"/>
        <v>#DIV/0!</v>
      </c>
      <c r="Y418" s="6" t="e">
        <f t="shared" si="219"/>
        <v>#DIV/0!</v>
      </c>
      <c r="Z418" s="6" t="e">
        <f t="shared" si="219"/>
        <v>#DIV/0!</v>
      </c>
    </row>
    <row r="419" spans="1:26" x14ac:dyDescent="0.2">
      <c r="A419" s="7" t="s">
        <v>85</v>
      </c>
      <c r="B419" s="6">
        <f t="shared" si="209"/>
        <v>10</v>
      </c>
      <c r="C419" s="7" t="s">
        <v>160</v>
      </c>
      <c r="D419" s="69">
        <v>75</v>
      </c>
      <c r="E419" s="69">
        <v>0</v>
      </c>
      <c r="F419" s="66">
        <f t="shared" si="207"/>
        <v>0</v>
      </c>
      <c r="G419" s="61" t="e">
        <f t="shared" si="210"/>
        <v>#DIV/0!</v>
      </c>
      <c r="H419" s="66" t="e">
        <f t="shared" si="214"/>
        <v>#DIV/0!</v>
      </c>
      <c r="I419" s="66" t="e">
        <f t="shared" si="214"/>
        <v>#DIV/0!</v>
      </c>
      <c r="J419" s="66" t="e">
        <f t="shared" si="214"/>
        <v>#DIV/0!</v>
      </c>
      <c r="K419" s="70">
        <v>8100</v>
      </c>
      <c r="L419" s="70">
        <f>'Monitoramento Acumulado Geral'!Q419</f>
        <v>0</v>
      </c>
      <c r="M419" s="6">
        <f>(SUM(L410:L419))/K418</f>
        <v>0.48765432098765432</v>
      </c>
      <c r="N419" s="35" t="str">
        <f t="shared" si="211"/>
        <v>Desempenho Bom</v>
      </c>
      <c r="O419" s="6">
        <f t="shared" si="220"/>
        <v>0.42046470140126019</v>
      </c>
      <c r="P419" s="6">
        <f t="shared" si="220"/>
        <v>0.84574683442734511</v>
      </c>
      <c r="Q419" s="6">
        <f t="shared" si="220"/>
        <v>-4.8174316248247306E-3</v>
      </c>
      <c r="R419" s="70">
        <v>70</v>
      </c>
      <c r="S419" s="70">
        <v>0</v>
      </c>
      <c r="T419" s="6">
        <f t="shared" si="208"/>
        <v>0</v>
      </c>
      <c r="U419" s="35" t="e">
        <f t="shared" si="212"/>
        <v>#DIV/0!</v>
      </c>
      <c r="V419" s="6" t="e">
        <f t="shared" ref="V419:Z434" si="221">V407</f>
        <v>#DIV/0!</v>
      </c>
      <c r="W419" s="6" t="e">
        <f t="shared" si="221"/>
        <v>#DIV/0!</v>
      </c>
      <c r="X419" s="6" t="e">
        <f t="shared" si="221"/>
        <v>#DIV/0!</v>
      </c>
      <c r="Y419" s="6" t="e">
        <f t="shared" si="221"/>
        <v>#DIV/0!</v>
      </c>
      <c r="Z419" s="6" t="e">
        <f t="shared" si="221"/>
        <v>#DIV/0!</v>
      </c>
    </row>
    <row r="420" spans="1:26" x14ac:dyDescent="0.2">
      <c r="A420" s="7" t="s">
        <v>85</v>
      </c>
      <c r="B420" s="6">
        <f t="shared" si="209"/>
        <v>11</v>
      </c>
      <c r="C420" s="7" t="s">
        <v>161</v>
      </c>
      <c r="D420" s="69">
        <v>75</v>
      </c>
      <c r="E420" s="69">
        <v>0</v>
      </c>
      <c r="F420" s="66">
        <f t="shared" si="207"/>
        <v>0</v>
      </c>
      <c r="G420" s="61" t="e">
        <f t="shared" si="210"/>
        <v>#DIV/0!</v>
      </c>
      <c r="H420" s="66" t="e">
        <f t="shared" si="214"/>
        <v>#DIV/0!</v>
      </c>
      <c r="I420" s="66" t="e">
        <f t="shared" si="214"/>
        <v>#DIV/0!</v>
      </c>
      <c r="J420" s="66" t="e">
        <f t="shared" si="214"/>
        <v>#DIV/0!</v>
      </c>
      <c r="K420" s="70">
        <v>8100</v>
      </c>
      <c r="L420" s="70">
        <f>'Monitoramento Acumulado Geral'!Q420</f>
        <v>0</v>
      </c>
      <c r="M420" s="6">
        <f>(SUM(L410:L420))/K419</f>
        <v>0.48765432098765432</v>
      </c>
      <c r="N420" s="35" t="str">
        <f t="shared" si="211"/>
        <v>Desempenho Bom</v>
      </c>
      <c r="O420" s="6">
        <f t="shared" si="220"/>
        <v>0.42046470140126019</v>
      </c>
      <c r="P420" s="6">
        <f t="shared" si="220"/>
        <v>0.84574683442734511</v>
      </c>
      <c r="Q420" s="6">
        <f t="shared" si="220"/>
        <v>-4.8174316248247306E-3</v>
      </c>
      <c r="R420" s="70">
        <v>70</v>
      </c>
      <c r="S420" s="70">
        <v>0</v>
      </c>
      <c r="T420" s="6">
        <f t="shared" si="208"/>
        <v>0</v>
      </c>
      <c r="U420" s="35" t="e">
        <f t="shared" si="212"/>
        <v>#DIV/0!</v>
      </c>
      <c r="V420" s="6" t="e">
        <f t="shared" si="221"/>
        <v>#DIV/0!</v>
      </c>
      <c r="W420" s="6" t="e">
        <f t="shared" si="221"/>
        <v>#DIV/0!</v>
      </c>
      <c r="X420" s="6" t="e">
        <f t="shared" si="221"/>
        <v>#DIV/0!</v>
      </c>
      <c r="Y420" s="6" t="e">
        <f t="shared" si="221"/>
        <v>#DIV/0!</v>
      </c>
      <c r="Z420" s="6" t="e">
        <f t="shared" si="221"/>
        <v>#DIV/0!</v>
      </c>
    </row>
    <row r="421" spans="1:26" x14ac:dyDescent="0.2">
      <c r="A421" s="7" t="s">
        <v>85</v>
      </c>
      <c r="B421" s="6">
        <f t="shared" si="209"/>
        <v>12</v>
      </c>
      <c r="C421" s="7" t="s">
        <v>162</v>
      </c>
      <c r="D421" s="69">
        <v>75</v>
      </c>
      <c r="E421" s="69">
        <v>0</v>
      </c>
      <c r="F421" s="66">
        <f t="shared" si="207"/>
        <v>0</v>
      </c>
      <c r="G421" s="61" t="e">
        <f t="shared" si="210"/>
        <v>#DIV/0!</v>
      </c>
      <c r="H421" s="66" t="e">
        <f t="shared" si="214"/>
        <v>#DIV/0!</v>
      </c>
      <c r="I421" s="66" t="e">
        <f t="shared" si="214"/>
        <v>#DIV/0!</v>
      </c>
      <c r="J421" s="66" t="e">
        <f t="shared" si="214"/>
        <v>#DIV/0!</v>
      </c>
      <c r="K421" s="70">
        <v>8100</v>
      </c>
      <c r="L421" s="70">
        <f>'Monitoramento Acumulado Geral'!Q421</f>
        <v>0</v>
      </c>
      <c r="M421" s="6">
        <f>(SUM(L410:L421))/K420</f>
        <v>0.48765432098765432</v>
      </c>
      <c r="N421" s="35" t="str">
        <f t="shared" si="211"/>
        <v>Desempenho Bom</v>
      </c>
      <c r="O421" s="6">
        <f t="shared" si="220"/>
        <v>0.41824651958307835</v>
      </c>
      <c r="P421" s="6">
        <f t="shared" si="220"/>
        <v>0.84510274859297763</v>
      </c>
      <c r="Q421" s="6">
        <f t="shared" si="220"/>
        <v>-8.6097094268208774E-3</v>
      </c>
      <c r="R421" s="70">
        <v>70</v>
      </c>
      <c r="S421" s="70">
        <v>0</v>
      </c>
      <c r="T421" s="6">
        <f t="shared" si="208"/>
        <v>0</v>
      </c>
      <c r="U421" s="35" t="e">
        <f t="shared" si="212"/>
        <v>#DIV/0!</v>
      </c>
      <c r="V421" s="6" t="e">
        <f t="shared" si="221"/>
        <v>#DIV/0!</v>
      </c>
      <c r="W421" s="6" t="e">
        <f t="shared" si="221"/>
        <v>#DIV/0!</v>
      </c>
      <c r="X421" s="6" t="e">
        <f t="shared" si="221"/>
        <v>#DIV/0!</v>
      </c>
      <c r="Y421" s="6" t="e">
        <f t="shared" si="221"/>
        <v>#DIV/0!</v>
      </c>
      <c r="Z421" s="6" t="e">
        <f t="shared" si="221"/>
        <v>#DIV/0!</v>
      </c>
    </row>
    <row r="422" spans="1:26" x14ac:dyDescent="0.2">
      <c r="A422" s="7" t="s">
        <v>121</v>
      </c>
      <c r="B422" s="6">
        <f t="shared" si="209"/>
        <v>1</v>
      </c>
      <c r="C422" s="7" t="s">
        <v>151</v>
      </c>
      <c r="D422" s="69">
        <v>75</v>
      </c>
      <c r="E422" s="69">
        <v>16</v>
      </c>
      <c r="F422" s="66">
        <f t="shared" ref="F422:F485" si="222">E422/D422</f>
        <v>0.21333333333333335</v>
      </c>
      <c r="G422" s="61" t="e">
        <f t="shared" si="210"/>
        <v>#DIV/0!</v>
      </c>
      <c r="H422" s="66" t="e">
        <f t="shared" si="214"/>
        <v>#DIV/0!</v>
      </c>
      <c r="I422" s="66" t="e">
        <f t="shared" si="214"/>
        <v>#DIV/0!</v>
      </c>
      <c r="J422" s="66" t="e">
        <f t="shared" si="214"/>
        <v>#DIV/0!</v>
      </c>
      <c r="K422" s="70">
        <v>125346</v>
      </c>
      <c r="L422" s="70">
        <f>'Monitoramento Acumulado Geral'!Q422</f>
        <v>9000</v>
      </c>
      <c r="M422" s="6">
        <f>L422/K422</f>
        <v>7.1801254128572106E-2</v>
      </c>
      <c r="N422" s="35" t="str">
        <f t="shared" si="211"/>
        <v>Desempenho Bom</v>
      </c>
      <c r="O422" s="6">
        <f t="shared" si="220"/>
        <v>3.4274647562211005E-2</v>
      </c>
      <c r="P422" s="6">
        <f t="shared" si="220"/>
        <v>0.10289217685709087</v>
      </c>
      <c r="Q422" s="6">
        <f t="shared" si="220"/>
        <v>-3.4342881732668862E-2</v>
      </c>
      <c r="R422" s="70">
        <v>75</v>
      </c>
      <c r="S422" s="70">
        <v>0</v>
      </c>
      <c r="T422" s="6">
        <f t="shared" ref="T422:T485" si="223">S422/R422</f>
        <v>0</v>
      </c>
      <c r="U422" s="35" t="e">
        <f t="shared" si="212"/>
        <v>#DIV/0!</v>
      </c>
      <c r="V422" s="6" t="e">
        <f t="shared" si="221"/>
        <v>#DIV/0!</v>
      </c>
      <c r="W422" s="6" t="e">
        <f t="shared" si="221"/>
        <v>#DIV/0!</v>
      </c>
      <c r="X422" s="6" t="e">
        <f t="shared" si="221"/>
        <v>#DIV/0!</v>
      </c>
      <c r="Y422" s="6" t="e">
        <f t="shared" si="221"/>
        <v>#DIV/0!</v>
      </c>
      <c r="Z422" s="6" t="e">
        <f t="shared" si="221"/>
        <v>#DIV/0!</v>
      </c>
    </row>
    <row r="423" spans="1:26" x14ac:dyDescent="0.2">
      <c r="A423" s="7" t="s">
        <v>121</v>
      </c>
      <c r="B423" s="6">
        <f t="shared" ref="B423:B486" si="224">_xlfn.IFS(C423="Janeiro",1,C423="Fevereiro",2,C423="Março",3,C423="Abril",4,C423="Maio",5,C423="Junho",6,C423="Julho",7,C423="Agosto",8,C423="Setembro",9,C423="Outubro",10,C423="Novembro",11,C423="Dezembro",12,TRUE,0)</f>
        <v>2</v>
      </c>
      <c r="C423" s="7" t="s">
        <v>152</v>
      </c>
      <c r="D423" s="69">
        <v>75</v>
      </c>
      <c r="E423" s="69">
        <v>32</v>
      </c>
      <c r="F423" s="66">
        <f t="shared" si="222"/>
        <v>0.42666666666666669</v>
      </c>
      <c r="G423" s="61" t="e">
        <f t="shared" ref="G423:G486" si="225">IF(F423&gt;=I423,"Desempenho Ótimo",(IF(F423&gt;H423,"Desempenho Bom",(IF(F423&gt;J423,"Desempenho Médio",IF(F423&lt;=J423,"Desempenho Deficitário",0))))))</f>
        <v>#DIV/0!</v>
      </c>
      <c r="H423" s="66" t="e">
        <f t="shared" si="214"/>
        <v>#DIV/0!</v>
      </c>
      <c r="I423" s="66" t="e">
        <f t="shared" si="214"/>
        <v>#DIV/0!</v>
      </c>
      <c r="J423" s="66" t="e">
        <f t="shared" si="214"/>
        <v>#DIV/0!</v>
      </c>
      <c r="K423" s="70">
        <v>125346</v>
      </c>
      <c r="L423" s="70">
        <f>'Monitoramento Acumulado Geral'!Q423</f>
        <v>4600</v>
      </c>
      <c r="M423" s="6">
        <f>(SUM(L422:L423))/K422</f>
        <v>0.10849967290539786</v>
      </c>
      <c r="N423" s="35" t="str">
        <f t="shared" ref="N423:N486" si="226">IF(M423&gt;=P423,"Desempenho Ótimo",(IF(M423&gt;O423,"Desempenho Bom",(IF(M423&gt;Q423,"Desempenho Médio",IF(M423&lt;=Q423,"Desempenho Deficitário",0))))))</f>
        <v>Desempenho Bom</v>
      </c>
      <c r="O423" s="6">
        <f t="shared" si="220"/>
        <v>8.1815188943147363E-2</v>
      </c>
      <c r="P423" s="6">
        <f t="shared" si="220"/>
        <v>0.20623883252423067</v>
      </c>
      <c r="Q423" s="6">
        <f t="shared" si="220"/>
        <v>-4.2608454637935944E-2</v>
      </c>
      <c r="R423" s="70">
        <v>75</v>
      </c>
      <c r="S423" s="70">
        <v>0</v>
      </c>
      <c r="T423" s="6">
        <f t="shared" si="223"/>
        <v>0</v>
      </c>
      <c r="U423" s="35" t="e">
        <f t="shared" ref="U423:U486" si="227">IF(T423&gt;=W423,"Desempenho Ótimo",(IF(T423&gt;V423,"Desempenho Bom",(IF(T423&gt;X423,"Desempenho Médio",IF(T423&lt;=X423,"Desempenho Deficitário",0))))))</f>
        <v>#DIV/0!</v>
      </c>
      <c r="V423" s="6" t="e">
        <f t="shared" si="221"/>
        <v>#DIV/0!</v>
      </c>
      <c r="W423" s="6" t="e">
        <f t="shared" si="221"/>
        <v>#DIV/0!</v>
      </c>
      <c r="X423" s="6" t="e">
        <f t="shared" si="221"/>
        <v>#DIV/0!</v>
      </c>
      <c r="Y423" s="6" t="e">
        <f t="shared" si="221"/>
        <v>#DIV/0!</v>
      </c>
      <c r="Z423" s="6" t="e">
        <f t="shared" si="221"/>
        <v>#DIV/0!</v>
      </c>
    </row>
    <row r="424" spans="1:26" x14ac:dyDescent="0.2">
      <c r="A424" s="7" t="s">
        <v>121</v>
      </c>
      <c r="B424" s="6">
        <f t="shared" si="224"/>
        <v>3</v>
      </c>
      <c r="C424" s="7" t="s">
        <v>153</v>
      </c>
      <c r="D424" s="69">
        <v>75</v>
      </c>
      <c r="E424" s="69">
        <v>44</v>
      </c>
      <c r="F424" s="66">
        <f t="shared" si="222"/>
        <v>0.58666666666666667</v>
      </c>
      <c r="G424" s="61" t="e">
        <f t="shared" si="225"/>
        <v>#DIV/0!</v>
      </c>
      <c r="H424" s="66" t="e">
        <f t="shared" si="214"/>
        <v>#DIV/0!</v>
      </c>
      <c r="I424" s="66" t="e">
        <f t="shared" si="214"/>
        <v>#DIV/0!</v>
      </c>
      <c r="J424" s="66" t="e">
        <f t="shared" si="214"/>
        <v>#DIV/0!</v>
      </c>
      <c r="K424" s="70">
        <v>125346</v>
      </c>
      <c r="L424" s="70">
        <f>'Monitoramento Acumulado Geral'!Q424</f>
        <v>19880</v>
      </c>
      <c r="M424" s="6">
        <f>(SUM(L422:L424))/K423</f>
        <v>0.26710066535828825</v>
      </c>
      <c r="N424" s="35" t="str">
        <f t="shared" si="226"/>
        <v>Desempenho Bom</v>
      </c>
      <c r="O424" s="6">
        <f t="shared" si="220"/>
        <v>0.13411292471649494</v>
      </c>
      <c r="P424" s="6">
        <f t="shared" si="220"/>
        <v>0.29721906787058483</v>
      </c>
      <c r="Q424" s="6">
        <f t="shared" si="220"/>
        <v>-2.899321843759492E-2</v>
      </c>
      <c r="R424" s="70">
        <v>75</v>
      </c>
      <c r="S424" s="70">
        <v>0</v>
      </c>
      <c r="T424" s="6">
        <f t="shared" si="223"/>
        <v>0</v>
      </c>
      <c r="U424" s="35" t="e">
        <f t="shared" si="227"/>
        <v>#DIV/0!</v>
      </c>
      <c r="V424" s="6" t="e">
        <f t="shared" si="221"/>
        <v>#DIV/0!</v>
      </c>
      <c r="W424" s="6" t="e">
        <f t="shared" si="221"/>
        <v>#DIV/0!</v>
      </c>
      <c r="X424" s="6" t="e">
        <f t="shared" si="221"/>
        <v>#DIV/0!</v>
      </c>
      <c r="Y424" s="6" t="e">
        <f t="shared" si="221"/>
        <v>#DIV/0!</v>
      </c>
      <c r="Z424" s="6" t="e">
        <f t="shared" si="221"/>
        <v>#DIV/0!</v>
      </c>
    </row>
    <row r="425" spans="1:26" x14ac:dyDescent="0.2">
      <c r="A425" s="7" t="s">
        <v>121</v>
      </c>
      <c r="B425" s="6">
        <f t="shared" si="224"/>
        <v>4</v>
      </c>
      <c r="C425" s="7" t="s">
        <v>154</v>
      </c>
      <c r="D425" s="69">
        <v>75</v>
      </c>
      <c r="E425" s="69">
        <v>44</v>
      </c>
      <c r="F425" s="66">
        <f t="shared" si="222"/>
        <v>0.58666666666666667</v>
      </c>
      <c r="G425" s="61" t="e">
        <f t="shared" si="225"/>
        <v>#DIV/0!</v>
      </c>
      <c r="H425" s="66" t="e">
        <f t="shared" si="214"/>
        <v>#DIV/0!</v>
      </c>
      <c r="I425" s="66" t="e">
        <f t="shared" si="214"/>
        <v>#DIV/0!</v>
      </c>
      <c r="J425" s="66" t="e">
        <f t="shared" si="214"/>
        <v>#DIV/0!</v>
      </c>
      <c r="K425" s="70">
        <v>125346</v>
      </c>
      <c r="L425" s="70">
        <f>'Monitoramento Acumulado Geral'!Q425</f>
        <v>12880</v>
      </c>
      <c r="M425" s="6">
        <f>(SUM(L422:L425))/K424</f>
        <v>0.36985623793340033</v>
      </c>
      <c r="N425" s="35" t="str">
        <f t="shared" si="226"/>
        <v>Desempenho Ótimo</v>
      </c>
      <c r="O425" s="6">
        <f t="shared" si="220"/>
        <v>0.15392483870093213</v>
      </c>
      <c r="P425" s="6">
        <f t="shared" si="220"/>
        <v>0.32772007016950033</v>
      </c>
      <c r="Q425" s="6">
        <f t="shared" si="220"/>
        <v>-1.9870392767636053E-2</v>
      </c>
      <c r="R425" s="70">
        <v>75</v>
      </c>
      <c r="S425" s="70">
        <v>0</v>
      </c>
      <c r="T425" s="6">
        <f t="shared" si="223"/>
        <v>0</v>
      </c>
      <c r="U425" s="35" t="e">
        <f t="shared" si="227"/>
        <v>#DIV/0!</v>
      </c>
      <c r="V425" s="6" t="e">
        <f t="shared" si="221"/>
        <v>#DIV/0!</v>
      </c>
      <c r="W425" s="6" t="e">
        <f t="shared" si="221"/>
        <v>#DIV/0!</v>
      </c>
      <c r="X425" s="6" t="e">
        <f t="shared" si="221"/>
        <v>#DIV/0!</v>
      </c>
      <c r="Y425" s="6" t="e">
        <f t="shared" si="221"/>
        <v>#DIV/0!</v>
      </c>
      <c r="Z425" s="6" t="e">
        <f t="shared" si="221"/>
        <v>#DIV/0!</v>
      </c>
    </row>
    <row r="426" spans="1:26" x14ac:dyDescent="0.2">
      <c r="A426" s="7" t="s">
        <v>121</v>
      </c>
      <c r="B426" s="6">
        <f t="shared" si="224"/>
        <v>5</v>
      </c>
      <c r="C426" s="7" t="s">
        <v>155</v>
      </c>
      <c r="D426" s="69">
        <v>75</v>
      </c>
      <c r="E426" s="69">
        <v>44</v>
      </c>
      <c r="F426" s="66">
        <f t="shared" si="222"/>
        <v>0.58666666666666667</v>
      </c>
      <c r="G426" s="61" t="e">
        <f t="shared" si="225"/>
        <v>#DIV/0!</v>
      </c>
      <c r="H426" s="66" t="e">
        <f t="shared" si="214"/>
        <v>#DIV/0!</v>
      </c>
      <c r="I426" s="66" t="e">
        <f t="shared" si="214"/>
        <v>#DIV/0!</v>
      </c>
      <c r="J426" s="66" t="e">
        <f t="shared" si="214"/>
        <v>#DIV/0!</v>
      </c>
      <c r="K426" s="70">
        <v>125346</v>
      </c>
      <c r="L426" s="70">
        <f>'Monitoramento Acumulado Geral'!Q426</f>
        <v>0</v>
      </c>
      <c r="M426" s="6">
        <f>(SUM(L422:L426))/K425</f>
        <v>0.36985623793340033</v>
      </c>
      <c r="N426" s="35" t="str">
        <f t="shared" si="226"/>
        <v>Desempenho Bom</v>
      </c>
      <c r="O426" s="6">
        <f t="shared" ref="O426:Q441" si="228">O414</f>
        <v>0.21139287248463789</v>
      </c>
      <c r="P426" s="6">
        <f t="shared" si="228"/>
        <v>0.43680804416292918</v>
      </c>
      <c r="Q426" s="6">
        <f t="shared" si="228"/>
        <v>-1.4022299193653387E-2</v>
      </c>
      <c r="R426" s="70">
        <v>75</v>
      </c>
      <c r="S426" s="70">
        <v>0</v>
      </c>
      <c r="T426" s="6">
        <f t="shared" si="223"/>
        <v>0</v>
      </c>
      <c r="U426" s="35" t="e">
        <f t="shared" si="227"/>
        <v>#DIV/0!</v>
      </c>
      <c r="V426" s="6" t="e">
        <f t="shared" si="221"/>
        <v>#DIV/0!</v>
      </c>
      <c r="W426" s="6" t="e">
        <f t="shared" si="221"/>
        <v>#DIV/0!</v>
      </c>
      <c r="X426" s="6" t="e">
        <f t="shared" si="221"/>
        <v>#DIV/0!</v>
      </c>
      <c r="Y426" s="6" t="e">
        <f t="shared" si="221"/>
        <v>#DIV/0!</v>
      </c>
      <c r="Z426" s="6" t="e">
        <f t="shared" si="221"/>
        <v>#DIV/0!</v>
      </c>
    </row>
    <row r="427" spans="1:26" x14ac:dyDescent="0.2">
      <c r="A427" s="7" t="s">
        <v>121</v>
      </c>
      <c r="B427" s="6">
        <f t="shared" si="224"/>
        <v>6</v>
      </c>
      <c r="C427" s="7" t="s">
        <v>156</v>
      </c>
      <c r="D427" s="69">
        <v>75</v>
      </c>
      <c r="E427" s="69">
        <v>44</v>
      </c>
      <c r="F427" s="66">
        <f t="shared" si="222"/>
        <v>0.58666666666666667</v>
      </c>
      <c r="G427" s="61" t="e">
        <f t="shared" si="225"/>
        <v>#DIV/0!</v>
      </c>
      <c r="H427" s="66" t="e">
        <f t="shared" si="214"/>
        <v>#DIV/0!</v>
      </c>
      <c r="I427" s="66" t="e">
        <f t="shared" si="214"/>
        <v>#DIV/0!</v>
      </c>
      <c r="J427" s="66" t="e">
        <f t="shared" si="214"/>
        <v>#DIV/0!</v>
      </c>
      <c r="K427" s="70">
        <v>125346</v>
      </c>
      <c r="L427" s="70">
        <f>'Monitoramento Acumulado Geral'!Q427</f>
        <v>296.39999999999998</v>
      </c>
      <c r="M427" s="6">
        <f>(SUM(L422:L427))/K426</f>
        <v>0.37222089256936802</v>
      </c>
      <c r="N427" s="35" t="str">
        <f t="shared" si="226"/>
        <v>Desempenho Bom</v>
      </c>
      <c r="O427" s="6">
        <f t="shared" si="228"/>
        <v>0.28403291059934432</v>
      </c>
      <c r="P427" s="6">
        <f t="shared" si="228"/>
        <v>0.56118246348434164</v>
      </c>
      <c r="Q427" s="6">
        <f t="shared" si="228"/>
        <v>6.8833577143469493E-3</v>
      </c>
      <c r="R427" s="70">
        <v>75</v>
      </c>
      <c r="S427" s="70">
        <v>0</v>
      </c>
      <c r="T427" s="6">
        <f t="shared" si="223"/>
        <v>0</v>
      </c>
      <c r="U427" s="35" t="e">
        <f t="shared" si="227"/>
        <v>#DIV/0!</v>
      </c>
      <c r="V427" s="6" t="e">
        <f t="shared" si="221"/>
        <v>#DIV/0!</v>
      </c>
      <c r="W427" s="6" t="e">
        <f t="shared" si="221"/>
        <v>#DIV/0!</v>
      </c>
      <c r="X427" s="6" t="e">
        <f t="shared" si="221"/>
        <v>#DIV/0!</v>
      </c>
      <c r="Y427" s="6" t="e">
        <f t="shared" si="221"/>
        <v>#DIV/0!</v>
      </c>
      <c r="Z427" s="6" t="e">
        <f t="shared" si="221"/>
        <v>#DIV/0!</v>
      </c>
    </row>
    <row r="428" spans="1:26" x14ac:dyDescent="0.2">
      <c r="A428" s="7" t="s">
        <v>121</v>
      </c>
      <c r="B428" s="6">
        <f t="shared" si="224"/>
        <v>7</v>
      </c>
      <c r="C428" s="7" t="s">
        <v>157</v>
      </c>
      <c r="D428" s="69">
        <v>75</v>
      </c>
      <c r="E428" s="69">
        <v>60</v>
      </c>
      <c r="F428" s="66">
        <f t="shared" si="222"/>
        <v>0.8</v>
      </c>
      <c r="G428" s="61" t="e">
        <f t="shared" si="225"/>
        <v>#DIV/0!</v>
      </c>
      <c r="H428" s="66" t="e">
        <f t="shared" si="214"/>
        <v>#DIV/0!</v>
      </c>
      <c r="I428" s="66" t="e">
        <f t="shared" si="214"/>
        <v>#DIV/0!</v>
      </c>
      <c r="J428" s="66" t="e">
        <f t="shared" si="214"/>
        <v>#DIV/0!</v>
      </c>
      <c r="K428" s="70">
        <v>125346</v>
      </c>
      <c r="L428" s="70">
        <f>'Monitoramento Acumulado Geral'!Q428</f>
        <v>34618.230000000003</v>
      </c>
      <c r="M428" s="6">
        <f>(SUM(L422:L428))/K427</f>
        <v>0.64840226253729683</v>
      </c>
      <c r="N428" s="35" t="str">
        <f t="shared" si="226"/>
        <v>Desempenho Bom</v>
      </c>
      <c r="O428" s="6">
        <f t="shared" si="228"/>
        <v>0.42046470140126019</v>
      </c>
      <c r="P428" s="6">
        <f t="shared" si="228"/>
        <v>0.84574683442734511</v>
      </c>
      <c r="Q428" s="6">
        <f t="shared" si="228"/>
        <v>-4.8174316248247306E-3</v>
      </c>
      <c r="R428" s="70">
        <v>75</v>
      </c>
      <c r="S428" s="70">
        <v>0</v>
      </c>
      <c r="T428" s="6">
        <f t="shared" si="223"/>
        <v>0</v>
      </c>
      <c r="U428" s="35" t="e">
        <f t="shared" si="227"/>
        <v>#DIV/0!</v>
      </c>
      <c r="V428" s="6" t="e">
        <f t="shared" si="221"/>
        <v>#DIV/0!</v>
      </c>
      <c r="W428" s="6" t="e">
        <f t="shared" si="221"/>
        <v>#DIV/0!</v>
      </c>
      <c r="X428" s="6" t="e">
        <f t="shared" si="221"/>
        <v>#DIV/0!</v>
      </c>
      <c r="Y428" s="6" t="e">
        <f t="shared" si="221"/>
        <v>#DIV/0!</v>
      </c>
      <c r="Z428" s="6" t="e">
        <f t="shared" si="221"/>
        <v>#DIV/0!</v>
      </c>
    </row>
    <row r="429" spans="1:26" x14ac:dyDescent="0.2">
      <c r="A429" s="7" t="s">
        <v>121</v>
      </c>
      <c r="B429" s="6">
        <f t="shared" si="224"/>
        <v>8</v>
      </c>
      <c r="C429" s="7" t="s">
        <v>158</v>
      </c>
      <c r="D429" s="69">
        <v>75</v>
      </c>
      <c r="E429" s="69">
        <v>0</v>
      </c>
      <c r="F429" s="66">
        <f t="shared" si="222"/>
        <v>0</v>
      </c>
      <c r="G429" s="61" t="e">
        <f t="shared" si="225"/>
        <v>#DIV/0!</v>
      </c>
      <c r="H429" s="66" t="e">
        <f t="shared" si="214"/>
        <v>#DIV/0!</v>
      </c>
      <c r="I429" s="66" t="e">
        <f t="shared" si="214"/>
        <v>#DIV/0!</v>
      </c>
      <c r="J429" s="66" t="e">
        <f t="shared" si="214"/>
        <v>#DIV/0!</v>
      </c>
      <c r="K429" s="70">
        <v>125346</v>
      </c>
      <c r="L429" s="70">
        <f>'Monitoramento Acumulado Geral'!Q429</f>
        <v>0</v>
      </c>
      <c r="M429" s="6">
        <f>(SUM(L422:L429))/K428</f>
        <v>0.64840226253729683</v>
      </c>
      <c r="N429" s="35" t="str">
        <f t="shared" si="226"/>
        <v>Desempenho Bom</v>
      </c>
      <c r="O429" s="6">
        <f t="shared" si="228"/>
        <v>0.42046470140126019</v>
      </c>
      <c r="P429" s="6">
        <f t="shared" si="228"/>
        <v>0.84574683442734511</v>
      </c>
      <c r="Q429" s="6">
        <f t="shared" si="228"/>
        <v>-4.8174316248247306E-3</v>
      </c>
      <c r="R429" s="70">
        <v>75</v>
      </c>
      <c r="S429" s="70">
        <v>0</v>
      </c>
      <c r="T429" s="6">
        <f t="shared" si="223"/>
        <v>0</v>
      </c>
      <c r="U429" s="35" t="e">
        <f t="shared" si="227"/>
        <v>#DIV/0!</v>
      </c>
      <c r="V429" s="6" t="e">
        <f t="shared" si="221"/>
        <v>#DIV/0!</v>
      </c>
      <c r="W429" s="6" t="e">
        <f t="shared" si="221"/>
        <v>#DIV/0!</v>
      </c>
      <c r="X429" s="6" t="e">
        <f t="shared" si="221"/>
        <v>#DIV/0!</v>
      </c>
      <c r="Y429" s="6" t="e">
        <f t="shared" si="221"/>
        <v>#DIV/0!</v>
      </c>
      <c r="Z429" s="6" t="e">
        <f t="shared" si="221"/>
        <v>#DIV/0!</v>
      </c>
    </row>
    <row r="430" spans="1:26" x14ac:dyDescent="0.2">
      <c r="A430" s="7" t="s">
        <v>121</v>
      </c>
      <c r="B430" s="6">
        <f t="shared" si="224"/>
        <v>9</v>
      </c>
      <c r="C430" s="7" t="s">
        <v>159</v>
      </c>
      <c r="D430" s="69">
        <v>75</v>
      </c>
      <c r="E430" s="69">
        <v>0</v>
      </c>
      <c r="F430" s="66">
        <f t="shared" si="222"/>
        <v>0</v>
      </c>
      <c r="G430" s="61" t="e">
        <f t="shared" si="225"/>
        <v>#DIV/0!</v>
      </c>
      <c r="H430" s="66" t="e">
        <f t="shared" si="214"/>
        <v>#DIV/0!</v>
      </c>
      <c r="I430" s="66" t="e">
        <f t="shared" si="214"/>
        <v>#DIV/0!</v>
      </c>
      <c r="J430" s="66" t="e">
        <f t="shared" si="214"/>
        <v>#DIV/0!</v>
      </c>
      <c r="K430" s="70">
        <v>125346</v>
      </c>
      <c r="L430" s="70">
        <f>'Monitoramento Acumulado Geral'!Q430</f>
        <v>0</v>
      </c>
      <c r="M430" s="6">
        <f>(SUM(L422:L430))/K429</f>
        <v>0.64840226253729683</v>
      </c>
      <c r="N430" s="35" t="str">
        <f t="shared" si="226"/>
        <v>Desempenho Bom</v>
      </c>
      <c r="O430" s="6">
        <f t="shared" si="228"/>
        <v>0.42046470140126019</v>
      </c>
      <c r="P430" s="6">
        <f t="shared" si="228"/>
        <v>0.84574683442734511</v>
      </c>
      <c r="Q430" s="6">
        <f t="shared" si="228"/>
        <v>-4.8174316248247306E-3</v>
      </c>
      <c r="R430" s="70">
        <v>75</v>
      </c>
      <c r="S430" s="70">
        <v>0</v>
      </c>
      <c r="T430" s="6">
        <f t="shared" si="223"/>
        <v>0</v>
      </c>
      <c r="U430" s="35" t="e">
        <f t="shared" si="227"/>
        <v>#DIV/0!</v>
      </c>
      <c r="V430" s="6" t="e">
        <f t="shared" si="221"/>
        <v>#DIV/0!</v>
      </c>
      <c r="W430" s="6" t="e">
        <f t="shared" si="221"/>
        <v>#DIV/0!</v>
      </c>
      <c r="X430" s="6" t="e">
        <f t="shared" si="221"/>
        <v>#DIV/0!</v>
      </c>
      <c r="Y430" s="6" t="e">
        <f t="shared" si="221"/>
        <v>#DIV/0!</v>
      </c>
      <c r="Z430" s="6" t="e">
        <f t="shared" si="221"/>
        <v>#DIV/0!</v>
      </c>
    </row>
    <row r="431" spans="1:26" x14ac:dyDescent="0.2">
      <c r="A431" s="7" t="s">
        <v>121</v>
      </c>
      <c r="B431" s="6">
        <f t="shared" si="224"/>
        <v>10</v>
      </c>
      <c r="C431" s="7" t="s">
        <v>160</v>
      </c>
      <c r="D431" s="69">
        <v>75</v>
      </c>
      <c r="E431" s="69">
        <v>0</v>
      </c>
      <c r="F431" s="66">
        <f t="shared" si="222"/>
        <v>0</v>
      </c>
      <c r="G431" s="61" t="e">
        <f t="shared" si="225"/>
        <v>#DIV/0!</v>
      </c>
      <c r="H431" s="66" t="e">
        <f t="shared" si="214"/>
        <v>#DIV/0!</v>
      </c>
      <c r="I431" s="66" t="e">
        <f t="shared" si="214"/>
        <v>#DIV/0!</v>
      </c>
      <c r="J431" s="66" t="e">
        <f t="shared" si="214"/>
        <v>#DIV/0!</v>
      </c>
      <c r="K431" s="70">
        <v>125346</v>
      </c>
      <c r="L431" s="70">
        <f>'Monitoramento Acumulado Geral'!Q431</f>
        <v>0</v>
      </c>
      <c r="M431" s="6">
        <f>(SUM(L422:L431))/K430</f>
        <v>0.64840226253729683</v>
      </c>
      <c r="N431" s="35" t="str">
        <f t="shared" si="226"/>
        <v>Desempenho Bom</v>
      </c>
      <c r="O431" s="6">
        <f t="shared" si="228"/>
        <v>0.42046470140126019</v>
      </c>
      <c r="P431" s="6">
        <f t="shared" si="228"/>
        <v>0.84574683442734511</v>
      </c>
      <c r="Q431" s="6">
        <f t="shared" si="228"/>
        <v>-4.8174316248247306E-3</v>
      </c>
      <c r="R431" s="70">
        <v>75</v>
      </c>
      <c r="S431" s="70">
        <v>0</v>
      </c>
      <c r="T431" s="6">
        <f t="shared" si="223"/>
        <v>0</v>
      </c>
      <c r="U431" s="35" t="e">
        <f t="shared" si="227"/>
        <v>#DIV/0!</v>
      </c>
      <c r="V431" s="6" t="e">
        <f t="shared" si="221"/>
        <v>#DIV/0!</v>
      </c>
      <c r="W431" s="6" t="e">
        <f t="shared" si="221"/>
        <v>#DIV/0!</v>
      </c>
      <c r="X431" s="6" t="e">
        <f t="shared" si="221"/>
        <v>#DIV/0!</v>
      </c>
      <c r="Y431" s="6" t="e">
        <f t="shared" si="221"/>
        <v>#DIV/0!</v>
      </c>
      <c r="Z431" s="6" t="e">
        <f t="shared" si="221"/>
        <v>#DIV/0!</v>
      </c>
    </row>
    <row r="432" spans="1:26" x14ac:dyDescent="0.2">
      <c r="A432" s="7" t="s">
        <v>121</v>
      </c>
      <c r="B432" s="6">
        <f t="shared" si="224"/>
        <v>11</v>
      </c>
      <c r="C432" s="7" t="s">
        <v>161</v>
      </c>
      <c r="D432" s="69">
        <v>75</v>
      </c>
      <c r="E432" s="69">
        <v>0</v>
      </c>
      <c r="F432" s="66">
        <f t="shared" si="222"/>
        <v>0</v>
      </c>
      <c r="G432" s="61" t="e">
        <f t="shared" si="225"/>
        <v>#DIV/0!</v>
      </c>
      <c r="H432" s="66" t="e">
        <f t="shared" si="214"/>
        <v>#DIV/0!</v>
      </c>
      <c r="I432" s="66" t="e">
        <f t="shared" si="214"/>
        <v>#DIV/0!</v>
      </c>
      <c r="J432" s="66" t="e">
        <f t="shared" si="214"/>
        <v>#DIV/0!</v>
      </c>
      <c r="K432" s="70">
        <v>125346</v>
      </c>
      <c r="L432" s="70">
        <f>'Monitoramento Acumulado Geral'!Q432</f>
        <v>0</v>
      </c>
      <c r="M432" s="6">
        <f>(SUM(L422:L432))/K431</f>
        <v>0.64840226253729683</v>
      </c>
      <c r="N432" s="35" t="str">
        <f t="shared" si="226"/>
        <v>Desempenho Bom</v>
      </c>
      <c r="O432" s="6">
        <f t="shared" si="228"/>
        <v>0.42046470140126019</v>
      </c>
      <c r="P432" s="6">
        <f t="shared" si="228"/>
        <v>0.84574683442734511</v>
      </c>
      <c r="Q432" s="6">
        <f t="shared" si="228"/>
        <v>-4.8174316248247306E-3</v>
      </c>
      <c r="R432" s="70">
        <v>75</v>
      </c>
      <c r="S432" s="70">
        <v>0</v>
      </c>
      <c r="T432" s="6">
        <f t="shared" si="223"/>
        <v>0</v>
      </c>
      <c r="U432" s="35" t="e">
        <f t="shared" si="227"/>
        <v>#DIV/0!</v>
      </c>
      <c r="V432" s="6" t="e">
        <f t="shared" si="221"/>
        <v>#DIV/0!</v>
      </c>
      <c r="W432" s="6" t="e">
        <f t="shared" si="221"/>
        <v>#DIV/0!</v>
      </c>
      <c r="X432" s="6" t="e">
        <f t="shared" si="221"/>
        <v>#DIV/0!</v>
      </c>
      <c r="Y432" s="6" t="e">
        <f t="shared" si="221"/>
        <v>#DIV/0!</v>
      </c>
      <c r="Z432" s="6" t="e">
        <f t="shared" si="221"/>
        <v>#DIV/0!</v>
      </c>
    </row>
    <row r="433" spans="1:26" x14ac:dyDescent="0.2">
      <c r="A433" s="7" t="s">
        <v>121</v>
      </c>
      <c r="B433" s="6">
        <f t="shared" si="224"/>
        <v>12</v>
      </c>
      <c r="C433" s="7" t="s">
        <v>162</v>
      </c>
      <c r="D433" s="69">
        <v>75</v>
      </c>
      <c r="E433" s="69">
        <v>0</v>
      </c>
      <c r="F433" s="66">
        <f t="shared" si="222"/>
        <v>0</v>
      </c>
      <c r="G433" s="61" t="e">
        <f t="shared" si="225"/>
        <v>#DIV/0!</v>
      </c>
      <c r="H433" s="66" t="e">
        <f t="shared" si="214"/>
        <v>#DIV/0!</v>
      </c>
      <c r="I433" s="66" t="e">
        <f t="shared" si="214"/>
        <v>#DIV/0!</v>
      </c>
      <c r="J433" s="66" t="e">
        <f t="shared" si="214"/>
        <v>#DIV/0!</v>
      </c>
      <c r="K433" s="70">
        <v>125346</v>
      </c>
      <c r="L433" s="70">
        <f>'Monitoramento Acumulado Geral'!Q433</f>
        <v>0</v>
      </c>
      <c r="M433" s="6">
        <f>(SUM(L422:L433))/K432</f>
        <v>0.64840226253729683</v>
      </c>
      <c r="N433" s="35" t="str">
        <f t="shared" si="226"/>
        <v>Desempenho Bom</v>
      </c>
      <c r="O433" s="6">
        <f t="shared" si="228"/>
        <v>0.41824651958307835</v>
      </c>
      <c r="P433" s="6">
        <f t="shared" si="228"/>
        <v>0.84510274859297763</v>
      </c>
      <c r="Q433" s="6">
        <f t="shared" si="228"/>
        <v>-8.6097094268208774E-3</v>
      </c>
      <c r="R433" s="70">
        <v>75</v>
      </c>
      <c r="S433" s="70">
        <v>0</v>
      </c>
      <c r="T433" s="6">
        <f t="shared" si="223"/>
        <v>0</v>
      </c>
      <c r="U433" s="35" t="e">
        <f t="shared" si="227"/>
        <v>#DIV/0!</v>
      </c>
      <c r="V433" s="6" t="e">
        <f t="shared" si="221"/>
        <v>#DIV/0!</v>
      </c>
      <c r="W433" s="6" t="e">
        <f t="shared" si="221"/>
        <v>#DIV/0!</v>
      </c>
      <c r="X433" s="6" t="e">
        <f t="shared" si="221"/>
        <v>#DIV/0!</v>
      </c>
      <c r="Y433" s="6" t="e">
        <f t="shared" si="221"/>
        <v>#DIV/0!</v>
      </c>
      <c r="Z433" s="6" t="e">
        <f t="shared" si="221"/>
        <v>#DIV/0!</v>
      </c>
    </row>
    <row r="434" spans="1:26" x14ac:dyDescent="0.2">
      <c r="A434" s="7" t="s">
        <v>116</v>
      </c>
      <c r="B434" s="6">
        <f t="shared" si="224"/>
        <v>1</v>
      </c>
      <c r="C434" s="7" t="s">
        <v>151</v>
      </c>
      <c r="D434" s="69">
        <v>75</v>
      </c>
      <c r="E434" s="69">
        <v>6</v>
      </c>
      <c r="F434" s="66">
        <f t="shared" si="222"/>
        <v>0.08</v>
      </c>
      <c r="G434" s="61" t="e">
        <f t="shared" si="225"/>
        <v>#DIV/0!</v>
      </c>
      <c r="H434" s="66" t="e">
        <f t="shared" si="214"/>
        <v>#DIV/0!</v>
      </c>
      <c r="I434" s="66" t="e">
        <f t="shared" si="214"/>
        <v>#DIV/0!</v>
      </c>
      <c r="J434" s="66" t="e">
        <f t="shared" si="214"/>
        <v>#DIV/0!</v>
      </c>
      <c r="K434" s="70">
        <v>17674.88</v>
      </c>
      <c r="L434" s="70">
        <f>'Monitoramento Acumulado Geral'!Q434</f>
        <v>10</v>
      </c>
      <c r="M434" s="6">
        <f>L434/K434</f>
        <v>5.6577470398667484E-4</v>
      </c>
      <c r="N434" s="35" t="str">
        <f t="shared" si="226"/>
        <v>Desempenho Médio</v>
      </c>
      <c r="O434" s="6">
        <f t="shared" si="228"/>
        <v>3.4274647562211005E-2</v>
      </c>
      <c r="P434" s="6">
        <f t="shared" si="228"/>
        <v>0.10289217685709087</v>
      </c>
      <c r="Q434" s="6">
        <f t="shared" si="228"/>
        <v>-3.4342881732668862E-2</v>
      </c>
      <c r="R434" s="70">
        <v>80</v>
      </c>
      <c r="S434" s="70">
        <v>0</v>
      </c>
      <c r="T434" s="6">
        <f t="shared" si="223"/>
        <v>0</v>
      </c>
      <c r="U434" s="35" t="e">
        <f t="shared" si="227"/>
        <v>#DIV/0!</v>
      </c>
      <c r="V434" s="6" t="e">
        <f t="shared" si="221"/>
        <v>#DIV/0!</v>
      </c>
      <c r="W434" s="6" t="e">
        <f t="shared" si="221"/>
        <v>#DIV/0!</v>
      </c>
      <c r="X434" s="6" t="e">
        <f t="shared" si="221"/>
        <v>#DIV/0!</v>
      </c>
      <c r="Y434" s="6" t="e">
        <f t="shared" si="221"/>
        <v>#DIV/0!</v>
      </c>
      <c r="Z434" s="6" t="e">
        <f t="shared" si="221"/>
        <v>#DIV/0!</v>
      </c>
    </row>
    <row r="435" spans="1:26" x14ac:dyDescent="0.2">
      <c r="A435" s="7" t="s">
        <v>116</v>
      </c>
      <c r="B435" s="6">
        <f t="shared" si="224"/>
        <v>2</v>
      </c>
      <c r="C435" s="7" t="s">
        <v>152</v>
      </c>
      <c r="D435" s="69">
        <v>75</v>
      </c>
      <c r="E435" s="69">
        <v>6</v>
      </c>
      <c r="F435" s="66">
        <f t="shared" si="222"/>
        <v>0.08</v>
      </c>
      <c r="G435" s="61" t="e">
        <f t="shared" si="225"/>
        <v>#DIV/0!</v>
      </c>
      <c r="H435" s="66" t="e">
        <f t="shared" ref="H435:J498" si="229">H423</f>
        <v>#DIV/0!</v>
      </c>
      <c r="I435" s="66" t="e">
        <f t="shared" si="229"/>
        <v>#DIV/0!</v>
      </c>
      <c r="J435" s="66" t="e">
        <f t="shared" si="229"/>
        <v>#DIV/0!</v>
      </c>
      <c r="K435" s="70">
        <v>17674.88</v>
      </c>
      <c r="L435" s="70">
        <f>'Monitoramento Acumulado Geral'!Q435</f>
        <v>0</v>
      </c>
      <c r="M435" s="6">
        <f>(SUM(L434:L435))/K434</f>
        <v>5.6577470398667484E-4</v>
      </c>
      <c r="N435" s="35" t="str">
        <f t="shared" si="226"/>
        <v>Desempenho Médio</v>
      </c>
      <c r="O435" s="6">
        <f t="shared" si="228"/>
        <v>8.1815188943147363E-2</v>
      </c>
      <c r="P435" s="6">
        <f t="shared" si="228"/>
        <v>0.20623883252423067</v>
      </c>
      <c r="Q435" s="6">
        <f t="shared" si="228"/>
        <v>-4.2608454637935944E-2</v>
      </c>
      <c r="R435" s="70">
        <v>80</v>
      </c>
      <c r="S435" s="70">
        <v>0</v>
      </c>
      <c r="T435" s="6">
        <f t="shared" si="223"/>
        <v>0</v>
      </c>
      <c r="U435" s="35" t="e">
        <f t="shared" si="227"/>
        <v>#DIV/0!</v>
      </c>
      <c r="V435" s="6" t="e">
        <f t="shared" ref="V435:Z450" si="230">V423</f>
        <v>#DIV/0!</v>
      </c>
      <c r="W435" s="6" t="e">
        <f t="shared" si="230"/>
        <v>#DIV/0!</v>
      </c>
      <c r="X435" s="6" t="e">
        <f t="shared" si="230"/>
        <v>#DIV/0!</v>
      </c>
      <c r="Y435" s="6" t="e">
        <f t="shared" si="230"/>
        <v>#DIV/0!</v>
      </c>
      <c r="Z435" s="6" t="e">
        <f t="shared" si="230"/>
        <v>#DIV/0!</v>
      </c>
    </row>
    <row r="436" spans="1:26" x14ac:dyDescent="0.2">
      <c r="A436" s="7" t="s">
        <v>116</v>
      </c>
      <c r="B436" s="6">
        <f t="shared" si="224"/>
        <v>3</v>
      </c>
      <c r="C436" s="7" t="s">
        <v>153</v>
      </c>
      <c r="D436" s="69">
        <v>75</v>
      </c>
      <c r="E436" s="69">
        <v>6</v>
      </c>
      <c r="F436" s="66">
        <f t="shared" si="222"/>
        <v>0.08</v>
      </c>
      <c r="G436" s="61" t="e">
        <f t="shared" si="225"/>
        <v>#DIV/0!</v>
      </c>
      <c r="H436" s="66" t="e">
        <f t="shared" si="229"/>
        <v>#DIV/0!</v>
      </c>
      <c r="I436" s="66" t="e">
        <f t="shared" si="229"/>
        <v>#DIV/0!</v>
      </c>
      <c r="J436" s="66" t="e">
        <f t="shared" si="229"/>
        <v>#DIV/0!</v>
      </c>
      <c r="K436" s="70">
        <v>17674.88</v>
      </c>
      <c r="L436" s="70">
        <f>'Monitoramento Acumulado Geral'!Q436</f>
        <v>0</v>
      </c>
      <c r="M436" s="6">
        <f>(SUM(L434:L436))/K435</f>
        <v>5.6577470398667484E-4</v>
      </c>
      <c r="N436" s="35" t="str">
        <f t="shared" si="226"/>
        <v>Desempenho Médio</v>
      </c>
      <c r="O436" s="6">
        <f t="shared" si="228"/>
        <v>0.13411292471649494</v>
      </c>
      <c r="P436" s="6">
        <f t="shared" si="228"/>
        <v>0.29721906787058483</v>
      </c>
      <c r="Q436" s="6">
        <f t="shared" si="228"/>
        <v>-2.899321843759492E-2</v>
      </c>
      <c r="R436" s="70">
        <v>80</v>
      </c>
      <c r="S436" s="70">
        <v>0</v>
      </c>
      <c r="T436" s="6">
        <f t="shared" si="223"/>
        <v>0</v>
      </c>
      <c r="U436" s="35" t="e">
        <f t="shared" si="227"/>
        <v>#DIV/0!</v>
      </c>
      <c r="V436" s="6" t="e">
        <f t="shared" si="230"/>
        <v>#DIV/0!</v>
      </c>
      <c r="W436" s="6" t="e">
        <f t="shared" si="230"/>
        <v>#DIV/0!</v>
      </c>
      <c r="X436" s="6" t="e">
        <f t="shared" si="230"/>
        <v>#DIV/0!</v>
      </c>
      <c r="Y436" s="6" t="e">
        <f t="shared" si="230"/>
        <v>#DIV/0!</v>
      </c>
      <c r="Z436" s="6" t="e">
        <f t="shared" si="230"/>
        <v>#DIV/0!</v>
      </c>
    </row>
    <row r="437" spans="1:26" x14ac:dyDescent="0.2">
      <c r="A437" s="7" t="s">
        <v>116</v>
      </c>
      <c r="B437" s="6">
        <f t="shared" si="224"/>
        <v>4</v>
      </c>
      <c r="C437" s="7" t="s">
        <v>154</v>
      </c>
      <c r="D437" s="69">
        <v>75</v>
      </c>
      <c r="E437" s="69">
        <v>6</v>
      </c>
      <c r="F437" s="66">
        <f t="shared" si="222"/>
        <v>0.08</v>
      </c>
      <c r="G437" s="61" t="e">
        <f t="shared" si="225"/>
        <v>#DIV/0!</v>
      </c>
      <c r="H437" s="66" t="e">
        <f t="shared" si="229"/>
        <v>#DIV/0!</v>
      </c>
      <c r="I437" s="66" t="e">
        <f t="shared" si="229"/>
        <v>#DIV/0!</v>
      </c>
      <c r="J437" s="66" t="e">
        <f t="shared" si="229"/>
        <v>#DIV/0!</v>
      </c>
      <c r="K437" s="70">
        <v>17674.88</v>
      </c>
      <c r="L437" s="70">
        <f>'Monitoramento Acumulado Geral'!Q437</f>
        <v>0</v>
      </c>
      <c r="M437" s="6">
        <f>(SUM(L434:L437))/K436</f>
        <v>5.6577470398667484E-4</v>
      </c>
      <c r="N437" s="35" t="str">
        <f t="shared" si="226"/>
        <v>Desempenho Médio</v>
      </c>
      <c r="O437" s="6">
        <f t="shared" si="228"/>
        <v>0.15392483870093213</v>
      </c>
      <c r="P437" s="6">
        <f t="shared" si="228"/>
        <v>0.32772007016950033</v>
      </c>
      <c r="Q437" s="6">
        <f t="shared" si="228"/>
        <v>-1.9870392767636053E-2</v>
      </c>
      <c r="R437" s="70">
        <v>80</v>
      </c>
      <c r="S437" s="70">
        <v>0</v>
      </c>
      <c r="T437" s="6">
        <f t="shared" si="223"/>
        <v>0</v>
      </c>
      <c r="U437" s="35" t="e">
        <f t="shared" si="227"/>
        <v>#DIV/0!</v>
      </c>
      <c r="V437" s="6" t="e">
        <f t="shared" si="230"/>
        <v>#DIV/0!</v>
      </c>
      <c r="W437" s="6" t="e">
        <f t="shared" si="230"/>
        <v>#DIV/0!</v>
      </c>
      <c r="X437" s="6" t="e">
        <f t="shared" si="230"/>
        <v>#DIV/0!</v>
      </c>
      <c r="Y437" s="6" t="e">
        <f t="shared" si="230"/>
        <v>#DIV/0!</v>
      </c>
      <c r="Z437" s="6" t="e">
        <f t="shared" si="230"/>
        <v>#DIV/0!</v>
      </c>
    </row>
    <row r="438" spans="1:26" x14ac:dyDescent="0.2">
      <c r="A438" s="7" t="s">
        <v>116</v>
      </c>
      <c r="B438" s="6">
        <f t="shared" si="224"/>
        <v>5</v>
      </c>
      <c r="C438" s="7" t="s">
        <v>155</v>
      </c>
      <c r="D438" s="69">
        <v>75</v>
      </c>
      <c r="E438" s="69">
        <v>13</v>
      </c>
      <c r="F438" s="66">
        <f t="shared" si="222"/>
        <v>0.17333333333333334</v>
      </c>
      <c r="G438" s="61" t="e">
        <f t="shared" si="225"/>
        <v>#DIV/0!</v>
      </c>
      <c r="H438" s="66" t="e">
        <f t="shared" si="229"/>
        <v>#DIV/0!</v>
      </c>
      <c r="I438" s="66" t="e">
        <f t="shared" si="229"/>
        <v>#DIV/0!</v>
      </c>
      <c r="J438" s="66" t="e">
        <f t="shared" si="229"/>
        <v>#DIV/0!</v>
      </c>
      <c r="K438" s="70">
        <v>17674.88</v>
      </c>
      <c r="L438" s="70">
        <f>'Monitoramento Acumulado Geral'!Q438</f>
        <v>144</v>
      </c>
      <c r="M438" s="6">
        <f>(SUM(L434:L438))/K437</f>
        <v>8.7129304413947929E-3</v>
      </c>
      <c r="N438" s="35" t="str">
        <f t="shared" si="226"/>
        <v>Desempenho Médio</v>
      </c>
      <c r="O438" s="6">
        <f t="shared" si="228"/>
        <v>0.21139287248463789</v>
      </c>
      <c r="P438" s="6">
        <f t="shared" si="228"/>
        <v>0.43680804416292918</v>
      </c>
      <c r="Q438" s="6">
        <f t="shared" si="228"/>
        <v>-1.4022299193653387E-2</v>
      </c>
      <c r="R438" s="70">
        <v>80</v>
      </c>
      <c r="S438" s="70">
        <v>0</v>
      </c>
      <c r="T438" s="6">
        <f t="shared" si="223"/>
        <v>0</v>
      </c>
      <c r="U438" s="35" t="e">
        <f t="shared" si="227"/>
        <v>#DIV/0!</v>
      </c>
      <c r="V438" s="6" t="e">
        <f t="shared" si="230"/>
        <v>#DIV/0!</v>
      </c>
      <c r="W438" s="6" t="e">
        <f t="shared" si="230"/>
        <v>#DIV/0!</v>
      </c>
      <c r="X438" s="6" t="e">
        <f t="shared" si="230"/>
        <v>#DIV/0!</v>
      </c>
      <c r="Y438" s="6" t="e">
        <f t="shared" si="230"/>
        <v>#DIV/0!</v>
      </c>
      <c r="Z438" s="6" t="e">
        <f t="shared" si="230"/>
        <v>#DIV/0!</v>
      </c>
    </row>
    <row r="439" spans="1:26" x14ac:dyDescent="0.2">
      <c r="A439" s="7" t="s">
        <v>116</v>
      </c>
      <c r="B439" s="6">
        <f t="shared" si="224"/>
        <v>6</v>
      </c>
      <c r="C439" s="7" t="s">
        <v>156</v>
      </c>
      <c r="D439" s="69">
        <v>75</v>
      </c>
      <c r="E439" s="69">
        <v>13</v>
      </c>
      <c r="F439" s="66">
        <f t="shared" si="222"/>
        <v>0.17333333333333334</v>
      </c>
      <c r="G439" s="61" t="e">
        <f t="shared" si="225"/>
        <v>#DIV/0!</v>
      </c>
      <c r="H439" s="66" t="e">
        <f t="shared" si="229"/>
        <v>#DIV/0!</v>
      </c>
      <c r="I439" s="66" t="e">
        <f t="shared" si="229"/>
        <v>#DIV/0!</v>
      </c>
      <c r="J439" s="66" t="e">
        <f t="shared" si="229"/>
        <v>#DIV/0!</v>
      </c>
      <c r="K439" s="70">
        <v>17674.88</v>
      </c>
      <c r="L439" s="70">
        <f>'Monitoramento Acumulado Geral'!Q439</f>
        <v>60</v>
      </c>
      <c r="M439" s="6">
        <f>(SUM(L434:L439))/K438</f>
        <v>1.2107578665314842E-2</v>
      </c>
      <c r="N439" s="35" t="str">
        <f t="shared" si="226"/>
        <v>Desempenho Médio</v>
      </c>
      <c r="O439" s="6">
        <f t="shared" si="228"/>
        <v>0.28403291059934432</v>
      </c>
      <c r="P439" s="6">
        <f t="shared" si="228"/>
        <v>0.56118246348434164</v>
      </c>
      <c r="Q439" s="6">
        <f t="shared" si="228"/>
        <v>6.8833577143469493E-3</v>
      </c>
      <c r="R439" s="70">
        <v>80</v>
      </c>
      <c r="S439" s="70">
        <v>0</v>
      </c>
      <c r="T439" s="6">
        <f t="shared" si="223"/>
        <v>0</v>
      </c>
      <c r="U439" s="35" t="e">
        <f t="shared" si="227"/>
        <v>#DIV/0!</v>
      </c>
      <c r="V439" s="6" t="e">
        <f t="shared" si="230"/>
        <v>#DIV/0!</v>
      </c>
      <c r="W439" s="6" t="e">
        <f t="shared" si="230"/>
        <v>#DIV/0!</v>
      </c>
      <c r="X439" s="6" t="e">
        <f t="shared" si="230"/>
        <v>#DIV/0!</v>
      </c>
      <c r="Y439" s="6" t="e">
        <f t="shared" si="230"/>
        <v>#DIV/0!</v>
      </c>
      <c r="Z439" s="6" t="e">
        <f t="shared" si="230"/>
        <v>#DIV/0!</v>
      </c>
    </row>
    <row r="440" spans="1:26" x14ac:dyDescent="0.2">
      <c r="A440" s="7" t="s">
        <v>116</v>
      </c>
      <c r="B440" s="6">
        <f t="shared" si="224"/>
        <v>7</v>
      </c>
      <c r="C440" s="7" t="s">
        <v>157</v>
      </c>
      <c r="D440" s="69">
        <v>75</v>
      </c>
      <c r="E440" s="69">
        <v>13</v>
      </c>
      <c r="F440" s="66">
        <f t="shared" si="222"/>
        <v>0.17333333333333334</v>
      </c>
      <c r="G440" s="61" t="e">
        <f t="shared" si="225"/>
        <v>#DIV/0!</v>
      </c>
      <c r="H440" s="66" t="e">
        <f t="shared" si="229"/>
        <v>#DIV/0!</v>
      </c>
      <c r="I440" s="66" t="e">
        <f t="shared" si="229"/>
        <v>#DIV/0!</v>
      </c>
      <c r="J440" s="66" t="e">
        <f t="shared" si="229"/>
        <v>#DIV/0!</v>
      </c>
      <c r="K440" s="70">
        <v>17674.88</v>
      </c>
      <c r="L440" s="70">
        <f>'Monitoramento Acumulado Geral'!Q440</f>
        <v>0</v>
      </c>
      <c r="M440" s="6">
        <f>(SUM(L434:L440))/K439</f>
        <v>1.2107578665314842E-2</v>
      </c>
      <c r="N440" s="35" t="str">
        <f t="shared" si="226"/>
        <v>Desempenho Médio</v>
      </c>
      <c r="O440" s="6">
        <f t="shared" si="228"/>
        <v>0.42046470140126019</v>
      </c>
      <c r="P440" s="6">
        <f t="shared" si="228"/>
        <v>0.84574683442734511</v>
      </c>
      <c r="Q440" s="6">
        <f t="shared" si="228"/>
        <v>-4.8174316248247306E-3</v>
      </c>
      <c r="R440" s="70">
        <v>80</v>
      </c>
      <c r="S440" s="70">
        <v>0</v>
      </c>
      <c r="T440" s="6">
        <f t="shared" si="223"/>
        <v>0</v>
      </c>
      <c r="U440" s="35" t="e">
        <f t="shared" si="227"/>
        <v>#DIV/0!</v>
      </c>
      <c r="V440" s="6" t="e">
        <f t="shared" si="230"/>
        <v>#DIV/0!</v>
      </c>
      <c r="W440" s="6" t="e">
        <f t="shared" si="230"/>
        <v>#DIV/0!</v>
      </c>
      <c r="X440" s="6" t="e">
        <f t="shared" si="230"/>
        <v>#DIV/0!</v>
      </c>
      <c r="Y440" s="6" t="e">
        <f t="shared" si="230"/>
        <v>#DIV/0!</v>
      </c>
      <c r="Z440" s="6" t="e">
        <f t="shared" si="230"/>
        <v>#DIV/0!</v>
      </c>
    </row>
    <row r="441" spans="1:26" x14ac:dyDescent="0.2">
      <c r="A441" s="7" t="s">
        <v>116</v>
      </c>
      <c r="B441" s="6">
        <f t="shared" si="224"/>
        <v>8</v>
      </c>
      <c r="C441" s="7" t="s">
        <v>158</v>
      </c>
      <c r="D441" s="69">
        <v>75</v>
      </c>
      <c r="E441" s="69">
        <v>0</v>
      </c>
      <c r="F441" s="66">
        <f t="shared" si="222"/>
        <v>0</v>
      </c>
      <c r="G441" s="61" t="e">
        <f t="shared" si="225"/>
        <v>#DIV/0!</v>
      </c>
      <c r="H441" s="66" t="e">
        <f t="shared" si="229"/>
        <v>#DIV/0!</v>
      </c>
      <c r="I441" s="66" t="e">
        <f t="shared" si="229"/>
        <v>#DIV/0!</v>
      </c>
      <c r="J441" s="66" t="e">
        <f t="shared" si="229"/>
        <v>#DIV/0!</v>
      </c>
      <c r="K441" s="70">
        <v>17674.88</v>
      </c>
      <c r="L441" s="70">
        <f>'Monitoramento Acumulado Geral'!Q441</f>
        <v>0</v>
      </c>
      <c r="M441" s="6">
        <f>(SUM(L434:L441))/K440</f>
        <v>1.2107578665314842E-2</v>
      </c>
      <c r="N441" s="35" t="str">
        <f t="shared" si="226"/>
        <v>Desempenho Médio</v>
      </c>
      <c r="O441" s="6">
        <f t="shared" si="228"/>
        <v>0.42046470140126019</v>
      </c>
      <c r="P441" s="6">
        <f t="shared" si="228"/>
        <v>0.84574683442734511</v>
      </c>
      <c r="Q441" s="6">
        <f t="shared" si="228"/>
        <v>-4.8174316248247306E-3</v>
      </c>
      <c r="R441" s="70">
        <v>80</v>
      </c>
      <c r="S441" s="70">
        <v>0</v>
      </c>
      <c r="T441" s="6">
        <f t="shared" si="223"/>
        <v>0</v>
      </c>
      <c r="U441" s="35" t="e">
        <f t="shared" si="227"/>
        <v>#DIV/0!</v>
      </c>
      <c r="V441" s="6" t="e">
        <f t="shared" si="230"/>
        <v>#DIV/0!</v>
      </c>
      <c r="W441" s="6" t="e">
        <f t="shared" si="230"/>
        <v>#DIV/0!</v>
      </c>
      <c r="X441" s="6" t="e">
        <f t="shared" si="230"/>
        <v>#DIV/0!</v>
      </c>
      <c r="Y441" s="6" t="e">
        <f t="shared" si="230"/>
        <v>#DIV/0!</v>
      </c>
      <c r="Z441" s="6" t="e">
        <f t="shared" si="230"/>
        <v>#DIV/0!</v>
      </c>
    </row>
    <row r="442" spans="1:26" x14ac:dyDescent="0.2">
      <c r="A442" s="7" t="s">
        <v>116</v>
      </c>
      <c r="B442" s="6">
        <f t="shared" si="224"/>
        <v>9</v>
      </c>
      <c r="C442" s="7" t="s">
        <v>159</v>
      </c>
      <c r="D442" s="69">
        <v>75</v>
      </c>
      <c r="E442" s="69">
        <v>0</v>
      </c>
      <c r="F442" s="66">
        <f t="shared" si="222"/>
        <v>0</v>
      </c>
      <c r="G442" s="61" t="e">
        <f t="shared" si="225"/>
        <v>#DIV/0!</v>
      </c>
      <c r="H442" s="66" t="e">
        <f t="shared" si="229"/>
        <v>#DIV/0!</v>
      </c>
      <c r="I442" s="66" t="e">
        <f t="shared" si="229"/>
        <v>#DIV/0!</v>
      </c>
      <c r="J442" s="66" t="e">
        <f t="shared" si="229"/>
        <v>#DIV/0!</v>
      </c>
      <c r="K442" s="70">
        <v>17674.88</v>
      </c>
      <c r="L442" s="70">
        <f>'Monitoramento Acumulado Geral'!Q442</f>
        <v>0</v>
      </c>
      <c r="M442" s="6">
        <f>(SUM(L434:L442))/K441</f>
        <v>1.2107578665314842E-2</v>
      </c>
      <c r="N442" s="35" t="str">
        <f t="shared" si="226"/>
        <v>Desempenho Médio</v>
      </c>
      <c r="O442" s="6">
        <f t="shared" ref="O442:Q457" si="231">O430</f>
        <v>0.42046470140126019</v>
      </c>
      <c r="P442" s="6">
        <f t="shared" si="231"/>
        <v>0.84574683442734511</v>
      </c>
      <c r="Q442" s="6">
        <f t="shared" si="231"/>
        <v>-4.8174316248247306E-3</v>
      </c>
      <c r="R442" s="70">
        <v>80</v>
      </c>
      <c r="S442" s="70">
        <v>0</v>
      </c>
      <c r="T442" s="6">
        <f t="shared" si="223"/>
        <v>0</v>
      </c>
      <c r="U442" s="35" t="e">
        <f t="shared" si="227"/>
        <v>#DIV/0!</v>
      </c>
      <c r="V442" s="6" t="e">
        <f t="shared" si="230"/>
        <v>#DIV/0!</v>
      </c>
      <c r="W442" s="6" t="e">
        <f t="shared" si="230"/>
        <v>#DIV/0!</v>
      </c>
      <c r="X442" s="6" t="e">
        <f t="shared" si="230"/>
        <v>#DIV/0!</v>
      </c>
      <c r="Y442" s="6" t="e">
        <f t="shared" si="230"/>
        <v>#DIV/0!</v>
      </c>
      <c r="Z442" s="6" t="e">
        <f t="shared" si="230"/>
        <v>#DIV/0!</v>
      </c>
    </row>
    <row r="443" spans="1:26" x14ac:dyDescent="0.2">
      <c r="A443" s="7" t="s">
        <v>116</v>
      </c>
      <c r="B443" s="6">
        <f t="shared" si="224"/>
        <v>10</v>
      </c>
      <c r="C443" s="7" t="s">
        <v>160</v>
      </c>
      <c r="D443" s="69">
        <v>75</v>
      </c>
      <c r="E443" s="69">
        <v>0</v>
      </c>
      <c r="F443" s="66">
        <f t="shared" si="222"/>
        <v>0</v>
      </c>
      <c r="G443" s="61" t="e">
        <f t="shared" si="225"/>
        <v>#DIV/0!</v>
      </c>
      <c r="H443" s="66" t="e">
        <f t="shared" si="229"/>
        <v>#DIV/0!</v>
      </c>
      <c r="I443" s="66" t="e">
        <f t="shared" si="229"/>
        <v>#DIV/0!</v>
      </c>
      <c r="J443" s="66" t="e">
        <f t="shared" si="229"/>
        <v>#DIV/0!</v>
      </c>
      <c r="K443" s="70">
        <v>17674.88</v>
      </c>
      <c r="L443" s="70">
        <f>'Monitoramento Acumulado Geral'!Q443</f>
        <v>0</v>
      </c>
      <c r="M443" s="6">
        <f>(SUM(L434:L443))/K442</f>
        <v>1.2107578665314842E-2</v>
      </c>
      <c r="N443" s="35" t="str">
        <f t="shared" si="226"/>
        <v>Desempenho Médio</v>
      </c>
      <c r="O443" s="6">
        <f t="shared" si="231"/>
        <v>0.42046470140126019</v>
      </c>
      <c r="P443" s="6">
        <f t="shared" si="231"/>
        <v>0.84574683442734511</v>
      </c>
      <c r="Q443" s="6">
        <f t="shared" si="231"/>
        <v>-4.8174316248247306E-3</v>
      </c>
      <c r="R443" s="70">
        <v>80</v>
      </c>
      <c r="S443" s="70">
        <v>0</v>
      </c>
      <c r="T443" s="6">
        <f t="shared" si="223"/>
        <v>0</v>
      </c>
      <c r="U443" s="35" t="e">
        <f t="shared" si="227"/>
        <v>#DIV/0!</v>
      </c>
      <c r="V443" s="6" t="e">
        <f t="shared" si="230"/>
        <v>#DIV/0!</v>
      </c>
      <c r="W443" s="6" t="e">
        <f t="shared" si="230"/>
        <v>#DIV/0!</v>
      </c>
      <c r="X443" s="6" t="e">
        <f t="shared" si="230"/>
        <v>#DIV/0!</v>
      </c>
      <c r="Y443" s="6" t="e">
        <f t="shared" si="230"/>
        <v>#DIV/0!</v>
      </c>
      <c r="Z443" s="6" t="e">
        <f t="shared" si="230"/>
        <v>#DIV/0!</v>
      </c>
    </row>
    <row r="444" spans="1:26" x14ac:dyDescent="0.2">
      <c r="A444" s="7" t="s">
        <v>116</v>
      </c>
      <c r="B444" s="6">
        <f t="shared" si="224"/>
        <v>11</v>
      </c>
      <c r="C444" s="7" t="s">
        <v>161</v>
      </c>
      <c r="D444" s="69">
        <v>75</v>
      </c>
      <c r="E444" s="69">
        <v>0</v>
      </c>
      <c r="F444" s="66">
        <f t="shared" si="222"/>
        <v>0</v>
      </c>
      <c r="G444" s="61" t="e">
        <f t="shared" si="225"/>
        <v>#DIV/0!</v>
      </c>
      <c r="H444" s="66" t="e">
        <f t="shared" si="229"/>
        <v>#DIV/0!</v>
      </c>
      <c r="I444" s="66" t="e">
        <f t="shared" si="229"/>
        <v>#DIV/0!</v>
      </c>
      <c r="J444" s="66" t="e">
        <f t="shared" si="229"/>
        <v>#DIV/0!</v>
      </c>
      <c r="K444" s="70">
        <v>17674.88</v>
      </c>
      <c r="L444" s="70">
        <f>'Monitoramento Acumulado Geral'!Q444</f>
        <v>0</v>
      </c>
      <c r="M444" s="6">
        <f>(SUM(L434:L444))/K443</f>
        <v>1.2107578665314842E-2</v>
      </c>
      <c r="N444" s="35" t="str">
        <f t="shared" si="226"/>
        <v>Desempenho Médio</v>
      </c>
      <c r="O444" s="6">
        <f t="shared" si="231"/>
        <v>0.42046470140126019</v>
      </c>
      <c r="P444" s="6">
        <f t="shared" si="231"/>
        <v>0.84574683442734511</v>
      </c>
      <c r="Q444" s="6">
        <f t="shared" si="231"/>
        <v>-4.8174316248247306E-3</v>
      </c>
      <c r="R444" s="70">
        <v>80</v>
      </c>
      <c r="S444" s="70">
        <v>0</v>
      </c>
      <c r="T444" s="6">
        <f t="shared" si="223"/>
        <v>0</v>
      </c>
      <c r="U444" s="35" t="e">
        <f t="shared" si="227"/>
        <v>#DIV/0!</v>
      </c>
      <c r="V444" s="6" t="e">
        <f t="shared" si="230"/>
        <v>#DIV/0!</v>
      </c>
      <c r="W444" s="6" t="e">
        <f t="shared" si="230"/>
        <v>#DIV/0!</v>
      </c>
      <c r="X444" s="6" t="e">
        <f t="shared" si="230"/>
        <v>#DIV/0!</v>
      </c>
      <c r="Y444" s="6" t="e">
        <f t="shared" si="230"/>
        <v>#DIV/0!</v>
      </c>
      <c r="Z444" s="6" t="e">
        <f t="shared" si="230"/>
        <v>#DIV/0!</v>
      </c>
    </row>
    <row r="445" spans="1:26" x14ac:dyDescent="0.2">
      <c r="A445" s="7" t="s">
        <v>116</v>
      </c>
      <c r="B445" s="6">
        <f t="shared" si="224"/>
        <v>12</v>
      </c>
      <c r="C445" s="7" t="s">
        <v>162</v>
      </c>
      <c r="D445" s="69">
        <v>75</v>
      </c>
      <c r="E445" s="69">
        <v>0</v>
      </c>
      <c r="F445" s="66">
        <f t="shared" si="222"/>
        <v>0</v>
      </c>
      <c r="G445" s="61" t="e">
        <f t="shared" si="225"/>
        <v>#DIV/0!</v>
      </c>
      <c r="H445" s="66" t="e">
        <f t="shared" si="229"/>
        <v>#DIV/0!</v>
      </c>
      <c r="I445" s="66" t="e">
        <f t="shared" si="229"/>
        <v>#DIV/0!</v>
      </c>
      <c r="J445" s="66" t="e">
        <f t="shared" si="229"/>
        <v>#DIV/0!</v>
      </c>
      <c r="K445" s="70">
        <v>17674.88</v>
      </c>
      <c r="L445" s="70">
        <f>'Monitoramento Acumulado Geral'!Q445</f>
        <v>0</v>
      </c>
      <c r="M445" s="6">
        <f>(SUM(L434:L445))/K444</f>
        <v>1.2107578665314842E-2</v>
      </c>
      <c r="N445" s="35" t="str">
        <f t="shared" si="226"/>
        <v>Desempenho Médio</v>
      </c>
      <c r="O445" s="6">
        <f t="shared" si="231"/>
        <v>0.41824651958307835</v>
      </c>
      <c r="P445" s="6">
        <f t="shared" si="231"/>
        <v>0.84510274859297763</v>
      </c>
      <c r="Q445" s="6">
        <f t="shared" si="231"/>
        <v>-8.6097094268208774E-3</v>
      </c>
      <c r="R445" s="70">
        <v>80</v>
      </c>
      <c r="S445" s="70">
        <v>0</v>
      </c>
      <c r="T445" s="6">
        <f t="shared" si="223"/>
        <v>0</v>
      </c>
      <c r="U445" s="35" t="e">
        <f t="shared" si="227"/>
        <v>#DIV/0!</v>
      </c>
      <c r="V445" s="6" t="e">
        <f t="shared" si="230"/>
        <v>#DIV/0!</v>
      </c>
      <c r="W445" s="6" t="e">
        <f t="shared" si="230"/>
        <v>#DIV/0!</v>
      </c>
      <c r="X445" s="6" t="e">
        <f t="shared" si="230"/>
        <v>#DIV/0!</v>
      </c>
      <c r="Y445" s="6" t="e">
        <f t="shared" si="230"/>
        <v>#DIV/0!</v>
      </c>
      <c r="Z445" s="6" t="e">
        <f t="shared" si="230"/>
        <v>#DIV/0!</v>
      </c>
    </row>
    <row r="446" spans="1:26" x14ac:dyDescent="0.2">
      <c r="A446" s="7" t="s">
        <v>86</v>
      </c>
      <c r="B446" s="6">
        <f t="shared" si="224"/>
        <v>1</v>
      </c>
      <c r="C446" s="7" t="s">
        <v>151</v>
      </c>
      <c r="D446" s="69">
        <v>72</v>
      </c>
      <c r="E446" s="69">
        <v>0</v>
      </c>
      <c r="F446" s="66">
        <f t="shared" si="222"/>
        <v>0</v>
      </c>
      <c r="G446" s="61" t="e">
        <f t="shared" si="225"/>
        <v>#DIV/0!</v>
      </c>
      <c r="H446" s="66" t="e">
        <f t="shared" si="229"/>
        <v>#DIV/0!</v>
      </c>
      <c r="I446" s="66" t="e">
        <f t="shared" si="229"/>
        <v>#DIV/0!</v>
      </c>
      <c r="J446" s="66" t="e">
        <f t="shared" si="229"/>
        <v>#DIV/0!</v>
      </c>
      <c r="K446" s="70">
        <v>1000</v>
      </c>
      <c r="L446" s="70">
        <f>'Monitoramento Acumulado Geral'!Q446</f>
        <v>0</v>
      </c>
      <c r="M446" s="6">
        <f>L446/K446</f>
        <v>0</v>
      </c>
      <c r="N446" s="35" t="str">
        <f t="shared" si="226"/>
        <v>Desempenho Médio</v>
      </c>
      <c r="O446" s="6">
        <f t="shared" si="231"/>
        <v>3.4274647562211005E-2</v>
      </c>
      <c r="P446" s="6">
        <f t="shared" si="231"/>
        <v>0.10289217685709087</v>
      </c>
      <c r="Q446" s="6">
        <f t="shared" si="231"/>
        <v>-3.4342881732668862E-2</v>
      </c>
      <c r="R446" s="70">
        <v>33</v>
      </c>
      <c r="S446" s="70">
        <v>0</v>
      </c>
      <c r="T446" s="6">
        <f t="shared" si="223"/>
        <v>0</v>
      </c>
      <c r="U446" s="35" t="e">
        <f t="shared" si="227"/>
        <v>#DIV/0!</v>
      </c>
      <c r="V446" s="6" t="e">
        <f t="shared" si="230"/>
        <v>#DIV/0!</v>
      </c>
      <c r="W446" s="6" t="e">
        <f t="shared" si="230"/>
        <v>#DIV/0!</v>
      </c>
      <c r="X446" s="6" t="e">
        <f t="shared" si="230"/>
        <v>#DIV/0!</v>
      </c>
      <c r="Y446" s="6" t="e">
        <f t="shared" si="230"/>
        <v>#DIV/0!</v>
      </c>
      <c r="Z446" s="6" t="e">
        <f t="shared" si="230"/>
        <v>#DIV/0!</v>
      </c>
    </row>
    <row r="447" spans="1:26" x14ac:dyDescent="0.2">
      <c r="A447" s="7" t="s">
        <v>86</v>
      </c>
      <c r="B447" s="6">
        <f t="shared" si="224"/>
        <v>2</v>
      </c>
      <c r="C447" s="7" t="s">
        <v>152</v>
      </c>
      <c r="D447" s="69">
        <v>72</v>
      </c>
      <c r="E447" s="69">
        <v>0</v>
      </c>
      <c r="F447" s="66">
        <f t="shared" si="222"/>
        <v>0</v>
      </c>
      <c r="G447" s="61" t="e">
        <f t="shared" si="225"/>
        <v>#DIV/0!</v>
      </c>
      <c r="H447" s="66" t="e">
        <f t="shared" si="229"/>
        <v>#DIV/0!</v>
      </c>
      <c r="I447" s="66" t="e">
        <f t="shared" si="229"/>
        <v>#DIV/0!</v>
      </c>
      <c r="J447" s="66" t="e">
        <f t="shared" si="229"/>
        <v>#DIV/0!</v>
      </c>
      <c r="K447" s="70">
        <v>1000</v>
      </c>
      <c r="L447" s="70">
        <f>'Monitoramento Acumulado Geral'!Q447</f>
        <v>0</v>
      </c>
      <c r="M447" s="6">
        <f>(SUM(L446:L447))/K446</f>
        <v>0</v>
      </c>
      <c r="N447" s="35" t="str">
        <f t="shared" si="226"/>
        <v>Desempenho Médio</v>
      </c>
      <c r="O447" s="6">
        <f t="shared" si="231"/>
        <v>8.1815188943147363E-2</v>
      </c>
      <c r="P447" s="6">
        <f t="shared" si="231"/>
        <v>0.20623883252423067</v>
      </c>
      <c r="Q447" s="6">
        <f t="shared" si="231"/>
        <v>-4.2608454637935944E-2</v>
      </c>
      <c r="R447" s="70">
        <v>33</v>
      </c>
      <c r="S447" s="70">
        <v>0</v>
      </c>
      <c r="T447" s="6">
        <f t="shared" si="223"/>
        <v>0</v>
      </c>
      <c r="U447" s="35" t="e">
        <f t="shared" si="227"/>
        <v>#DIV/0!</v>
      </c>
      <c r="V447" s="6" t="e">
        <f t="shared" si="230"/>
        <v>#DIV/0!</v>
      </c>
      <c r="W447" s="6" t="e">
        <f t="shared" si="230"/>
        <v>#DIV/0!</v>
      </c>
      <c r="X447" s="6" t="e">
        <f t="shared" si="230"/>
        <v>#DIV/0!</v>
      </c>
      <c r="Y447" s="6" t="e">
        <f t="shared" si="230"/>
        <v>#DIV/0!</v>
      </c>
      <c r="Z447" s="6" t="e">
        <f t="shared" si="230"/>
        <v>#DIV/0!</v>
      </c>
    </row>
    <row r="448" spans="1:26" x14ac:dyDescent="0.2">
      <c r="A448" s="7" t="s">
        <v>86</v>
      </c>
      <c r="B448" s="6">
        <f t="shared" si="224"/>
        <v>3</v>
      </c>
      <c r="C448" s="7" t="s">
        <v>153</v>
      </c>
      <c r="D448" s="69">
        <v>72</v>
      </c>
      <c r="E448" s="69">
        <v>0</v>
      </c>
      <c r="F448" s="66">
        <f t="shared" si="222"/>
        <v>0</v>
      </c>
      <c r="G448" s="61" t="e">
        <f t="shared" si="225"/>
        <v>#DIV/0!</v>
      </c>
      <c r="H448" s="66" t="e">
        <f t="shared" si="229"/>
        <v>#DIV/0!</v>
      </c>
      <c r="I448" s="66" t="e">
        <f t="shared" si="229"/>
        <v>#DIV/0!</v>
      </c>
      <c r="J448" s="66" t="e">
        <f t="shared" si="229"/>
        <v>#DIV/0!</v>
      </c>
      <c r="K448" s="70">
        <v>1000</v>
      </c>
      <c r="L448" s="70">
        <f>'Monitoramento Acumulado Geral'!Q448</f>
        <v>0</v>
      </c>
      <c r="M448" s="6">
        <f>(SUM(L446:L448))/K447</f>
        <v>0</v>
      </c>
      <c r="N448" s="35" t="str">
        <f t="shared" si="226"/>
        <v>Desempenho Médio</v>
      </c>
      <c r="O448" s="6">
        <f t="shared" si="231"/>
        <v>0.13411292471649494</v>
      </c>
      <c r="P448" s="6">
        <f t="shared" si="231"/>
        <v>0.29721906787058483</v>
      </c>
      <c r="Q448" s="6">
        <f t="shared" si="231"/>
        <v>-2.899321843759492E-2</v>
      </c>
      <c r="R448" s="70">
        <v>33</v>
      </c>
      <c r="S448" s="70">
        <v>0</v>
      </c>
      <c r="T448" s="6">
        <f t="shared" si="223"/>
        <v>0</v>
      </c>
      <c r="U448" s="35" t="e">
        <f t="shared" si="227"/>
        <v>#DIV/0!</v>
      </c>
      <c r="V448" s="6" t="e">
        <f t="shared" si="230"/>
        <v>#DIV/0!</v>
      </c>
      <c r="W448" s="6" t="e">
        <f t="shared" si="230"/>
        <v>#DIV/0!</v>
      </c>
      <c r="X448" s="6" t="e">
        <f t="shared" si="230"/>
        <v>#DIV/0!</v>
      </c>
      <c r="Y448" s="6" t="e">
        <f t="shared" si="230"/>
        <v>#DIV/0!</v>
      </c>
      <c r="Z448" s="6" t="e">
        <f t="shared" si="230"/>
        <v>#DIV/0!</v>
      </c>
    </row>
    <row r="449" spans="1:26" x14ac:dyDescent="0.2">
      <c r="A449" s="7" t="s">
        <v>86</v>
      </c>
      <c r="B449" s="6">
        <f t="shared" si="224"/>
        <v>4</v>
      </c>
      <c r="C449" s="7" t="s">
        <v>154</v>
      </c>
      <c r="D449" s="69">
        <v>72</v>
      </c>
      <c r="E449" s="69">
        <v>0</v>
      </c>
      <c r="F449" s="66">
        <f t="shared" si="222"/>
        <v>0</v>
      </c>
      <c r="G449" s="61" t="e">
        <f t="shared" si="225"/>
        <v>#DIV/0!</v>
      </c>
      <c r="H449" s="66" t="e">
        <f t="shared" si="229"/>
        <v>#DIV/0!</v>
      </c>
      <c r="I449" s="66" t="e">
        <f t="shared" si="229"/>
        <v>#DIV/0!</v>
      </c>
      <c r="J449" s="66" t="e">
        <f t="shared" si="229"/>
        <v>#DIV/0!</v>
      </c>
      <c r="K449" s="70">
        <v>1000</v>
      </c>
      <c r="L449" s="70">
        <f>'Monitoramento Acumulado Geral'!Q449</f>
        <v>0</v>
      </c>
      <c r="M449" s="6">
        <f>(SUM(L446:L449))/K448</f>
        <v>0</v>
      </c>
      <c r="N449" s="35" t="str">
        <f t="shared" si="226"/>
        <v>Desempenho Médio</v>
      </c>
      <c r="O449" s="6">
        <f t="shared" si="231"/>
        <v>0.15392483870093213</v>
      </c>
      <c r="P449" s="6">
        <f t="shared" si="231"/>
        <v>0.32772007016950033</v>
      </c>
      <c r="Q449" s="6">
        <f t="shared" si="231"/>
        <v>-1.9870392767636053E-2</v>
      </c>
      <c r="R449" s="70">
        <v>33</v>
      </c>
      <c r="S449" s="70">
        <v>0</v>
      </c>
      <c r="T449" s="6">
        <f t="shared" si="223"/>
        <v>0</v>
      </c>
      <c r="U449" s="35" t="e">
        <f t="shared" si="227"/>
        <v>#DIV/0!</v>
      </c>
      <c r="V449" s="6" t="e">
        <f t="shared" si="230"/>
        <v>#DIV/0!</v>
      </c>
      <c r="W449" s="6" t="e">
        <f t="shared" si="230"/>
        <v>#DIV/0!</v>
      </c>
      <c r="X449" s="6" t="e">
        <f t="shared" si="230"/>
        <v>#DIV/0!</v>
      </c>
      <c r="Y449" s="6" t="e">
        <f t="shared" si="230"/>
        <v>#DIV/0!</v>
      </c>
      <c r="Z449" s="6" t="e">
        <f t="shared" si="230"/>
        <v>#DIV/0!</v>
      </c>
    </row>
    <row r="450" spans="1:26" x14ac:dyDescent="0.2">
      <c r="A450" s="7" t="s">
        <v>86</v>
      </c>
      <c r="B450" s="6">
        <f t="shared" si="224"/>
        <v>5</v>
      </c>
      <c r="C450" s="7" t="s">
        <v>155</v>
      </c>
      <c r="D450" s="69">
        <v>72</v>
      </c>
      <c r="E450" s="69">
        <v>0</v>
      </c>
      <c r="F450" s="66">
        <f t="shared" si="222"/>
        <v>0</v>
      </c>
      <c r="G450" s="61" t="e">
        <f t="shared" si="225"/>
        <v>#DIV/0!</v>
      </c>
      <c r="H450" s="66" t="e">
        <f t="shared" si="229"/>
        <v>#DIV/0!</v>
      </c>
      <c r="I450" s="66" t="e">
        <f t="shared" si="229"/>
        <v>#DIV/0!</v>
      </c>
      <c r="J450" s="66" t="e">
        <f t="shared" si="229"/>
        <v>#DIV/0!</v>
      </c>
      <c r="K450" s="70">
        <v>1000</v>
      </c>
      <c r="L450" s="70">
        <f>'Monitoramento Acumulado Geral'!Q450</f>
        <v>0</v>
      </c>
      <c r="M450" s="6">
        <f>(SUM(L446:L450))/K449</f>
        <v>0</v>
      </c>
      <c r="N450" s="35" t="str">
        <f t="shared" si="226"/>
        <v>Desempenho Médio</v>
      </c>
      <c r="O450" s="6">
        <f t="shared" si="231"/>
        <v>0.21139287248463789</v>
      </c>
      <c r="P450" s="6">
        <f t="shared" si="231"/>
        <v>0.43680804416292918</v>
      </c>
      <c r="Q450" s="6">
        <f t="shared" si="231"/>
        <v>-1.4022299193653387E-2</v>
      </c>
      <c r="R450" s="70">
        <v>33</v>
      </c>
      <c r="S450" s="70">
        <v>0</v>
      </c>
      <c r="T450" s="6">
        <f t="shared" si="223"/>
        <v>0</v>
      </c>
      <c r="U450" s="35" t="e">
        <f t="shared" si="227"/>
        <v>#DIV/0!</v>
      </c>
      <c r="V450" s="6" t="e">
        <f t="shared" si="230"/>
        <v>#DIV/0!</v>
      </c>
      <c r="W450" s="6" t="e">
        <f t="shared" si="230"/>
        <v>#DIV/0!</v>
      </c>
      <c r="X450" s="6" t="e">
        <f t="shared" si="230"/>
        <v>#DIV/0!</v>
      </c>
      <c r="Y450" s="6" t="e">
        <f t="shared" si="230"/>
        <v>#DIV/0!</v>
      </c>
      <c r="Z450" s="6" t="e">
        <f t="shared" si="230"/>
        <v>#DIV/0!</v>
      </c>
    </row>
    <row r="451" spans="1:26" x14ac:dyDescent="0.2">
      <c r="A451" s="7" t="s">
        <v>86</v>
      </c>
      <c r="B451" s="6">
        <f t="shared" si="224"/>
        <v>6</v>
      </c>
      <c r="C451" s="7" t="s">
        <v>156</v>
      </c>
      <c r="D451" s="69">
        <v>72</v>
      </c>
      <c r="E451" s="69">
        <v>0</v>
      </c>
      <c r="F451" s="66">
        <f t="shared" si="222"/>
        <v>0</v>
      </c>
      <c r="G451" s="61" t="e">
        <f t="shared" si="225"/>
        <v>#DIV/0!</v>
      </c>
      <c r="H451" s="66" t="e">
        <f t="shared" si="229"/>
        <v>#DIV/0!</v>
      </c>
      <c r="I451" s="66" t="e">
        <f t="shared" si="229"/>
        <v>#DIV/0!</v>
      </c>
      <c r="J451" s="66" t="e">
        <f t="shared" si="229"/>
        <v>#DIV/0!</v>
      </c>
      <c r="K451" s="70">
        <v>1000</v>
      </c>
      <c r="L451" s="70">
        <f>'Monitoramento Acumulado Geral'!Q451</f>
        <v>0</v>
      </c>
      <c r="M451" s="6">
        <f>(SUM(L446:L451))/K450</f>
        <v>0</v>
      </c>
      <c r="N451" s="35" t="str">
        <f t="shared" si="226"/>
        <v>Desempenho Deficitário</v>
      </c>
      <c r="O451" s="6">
        <f t="shared" si="231"/>
        <v>0.28403291059934432</v>
      </c>
      <c r="P451" s="6">
        <f t="shared" si="231"/>
        <v>0.56118246348434164</v>
      </c>
      <c r="Q451" s="6">
        <f t="shared" si="231"/>
        <v>6.8833577143469493E-3</v>
      </c>
      <c r="R451" s="70">
        <v>33</v>
      </c>
      <c r="S451" s="70">
        <v>0</v>
      </c>
      <c r="T451" s="6">
        <f t="shared" si="223"/>
        <v>0</v>
      </c>
      <c r="U451" s="35" t="e">
        <f t="shared" si="227"/>
        <v>#DIV/0!</v>
      </c>
      <c r="V451" s="6" t="e">
        <f t="shared" ref="V451:Z466" si="232">V439</f>
        <v>#DIV/0!</v>
      </c>
      <c r="W451" s="6" t="e">
        <f t="shared" si="232"/>
        <v>#DIV/0!</v>
      </c>
      <c r="X451" s="6" t="e">
        <f t="shared" si="232"/>
        <v>#DIV/0!</v>
      </c>
      <c r="Y451" s="6" t="e">
        <f t="shared" si="232"/>
        <v>#DIV/0!</v>
      </c>
      <c r="Z451" s="6" t="e">
        <f t="shared" si="232"/>
        <v>#DIV/0!</v>
      </c>
    </row>
    <row r="452" spans="1:26" x14ac:dyDescent="0.2">
      <c r="A452" s="7" t="s">
        <v>86</v>
      </c>
      <c r="B452" s="6">
        <f t="shared" si="224"/>
        <v>7</v>
      </c>
      <c r="C452" s="7" t="s">
        <v>157</v>
      </c>
      <c r="D452" s="69">
        <v>72</v>
      </c>
      <c r="E452" s="69">
        <v>0</v>
      </c>
      <c r="F452" s="66">
        <f t="shared" si="222"/>
        <v>0</v>
      </c>
      <c r="G452" s="61" t="e">
        <f t="shared" si="225"/>
        <v>#DIV/0!</v>
      </c>
      <c r="H452" s="66" t="e">
        <f t="shared" si="229"/>
        <v>#DIV/0!</v>
      </c>
      <c r="I452" s="66" t="e">
        <f t="shared" si="229"/>
        <v>#DIV/0!</v>
      </c>
      <c r="J452" s="66" t="e">
        <f t="shared" si="229"/>
        <v>#DIV/0!</v>
      </c>
      <c r="K452" s="70">
        <v>1000</v>
      </c>
      <c r="L452" s="70">
        <f>'Monitoramento Acumulado Geral'!Q452</f>
        <v>0</v>
      </c>
      <c r="M452" s="6">
        <f>(SUM(L446:L452))/K451</f>
        <v>0</v>
      </c>
      <c r="N452" s="35" t="str">
        <f t="shared" si="226"/>
        <v>Desempenho Médio</v>
      </c>
      <c r="O452" s="6">
        <f t="shared" si="231"/>
        <v>0.42046470140126019</v>
      </c>
      <c r="P452" s="6">
        <f t="shared" si="231"/>
        <v>0.84574683442734511</v>
      </c>
      <c r="Q452" s="6">
        <f t="shared" si="231"/>
        <v>-4.8174316248247306E-3</v>
      </c>
      <c r="R452" s="70">
        <v>33</v>
      </c>
      <c r="S452" s="70">
        <v>0</v>
      </c>
      <c r="T452" s="6">
        <f t="shared" si="223"/>
        <v>0</v>
      </c>
      <c r="U452" s="35" t="e">
        <f t="shared" si="227"/>
        <v>#DIV/0!</v>
      </c>
      <c r="V452" s="6" t="e">
        <f t="shared" si="232"/>
        <v>#DIV/0!</v>
      </c>
      <c r="W452" s="6" t="e">
        <f t="shared" si="232"/>
        <v>#DIV/0!</v>
      </c>
      <c r="X452" s="6" t="e">
        <f t="shared" si="232"/>
        <v>#DIV/0!</v>
      </c>
      <c r="Y452" s="6" t="e">
        <f t="shared" si="232"/>
        <v>#DIV/0!</v>
      </c>
      <c r="Z452" s="6" t="e">
        <f t="shared" si="232"/>
        <v>#DIV/0!</v>
      </c>
    </row>
    <row r="453" spans="1:26" x14ac:dyDescent="0.2">
      <c r="A453" s="7" t="s">
        <v>86</v>
      </c>
      <c r="B453" s="6">
        <f t="shared" si="224"/>
        <v>8</v>
      </c>
      <c r="C453" s="7" t="s">
        <v>158</v>
      </c>
      <c r="D453" s="69">
        <v>72</v>
      </c>
      <c r="E453" s="69">
        <v>0</v>
      </c>
      <c r="F453" s="66">
        <f t="shared" si="222"/>
        <v>0</v>
      </c>
      <c r="G453" s="61" t="e">
        <f t="shared" si="225"/>
        <v>#DIV/0!</v>
      </c>
      <c r="H453" s="66" t="e">
        <f t="shared" si="229"/>
        <v>#DIV/0!</v>
      </c>
      <c r="I453" s="66" t="e">
        <f t="shared" si="229"/>
        <v>#DIV/0!</v>
      </c>
      <c r="J453" s="66" t="e">
        <f t="shared" si="229"/>
        <v>#DIV/0!</v>
      </c>
      <c r="K453" s="70">
        <v>1000</v>
      </c>
      <c r="L453" s="70">
        <f>'Monitoramento Acumulado Geral'!Q453</f>
        <v>0</v>
      </c>
      <c r="M453" s="6">
        <f>(SUM(L446:L453))/K452</f>
        <v>0</v>
      </c>
      <c r="N453" s="35" t="str">
        <f t="shared" si="226"/>
        <v>Desempenho Médio</v>
      </c>
      <c r="O453" s="6">
        <f t="shared" si="231"/>
        <v>0.42046470140126019</v>
      </c>
      <c r="P453" s="6">
        <f t="shared" si="231"/>
        <v>0.84574683442734511</v>
      </c>
      <c r="Q453" s="6">
        <f t="shared" si="231"/>
        <v>-4.8174316248247306E-3</v>
      </c>
      <c r="R453" s="70">
        <v>33</v>
      </c>
      <c r="S453" s="70">
        <v>0</v>
      </c>
      <c r="T453" s="6">
        <f t="shared" si="223"/>
        <v>0</v>
      </c>
      <c r="U453" s="35" t="e">
        <f t="shared" si="227"/>
        <v>#DIV/0!</v>
      </c>
      <c r="V453" s="6" t="e">
        <f t="shared" si="232"/>
        <v>#DIV/0!</v>
      </c>
      <c r="W453" s="6" t="e">
        <f t="shared" si="232"/>
        <v>#DIV/0!</v>
      </c>
      <c r="X453" s="6" t="e">
        <f t="shared" si="232"/>
        <v>#DIV/0!</v>
      </c>
      <c r="Y453" s="6" t="e">
        <f t="shared" si="232"/>
        <v>#DIV/0!</v>
      </c>
      <c r="Z453" s="6" t="e">
        <f t="shared" si="232"/>
        <v>#DIV/0!</v>
      </c>
    </row>
    <row r="454" spans="1:26" x14ac:dyDescent="0.2">
      <c r="A454" s="7" t="s">
        <v>86</v>
      </c>
      <c r="B454" s="6">
        <f t="shared" si="224"/>
        <v>9</v>
      </c>
      <c r="C454" s="7" t="s">
        <v>159</v>
      </c>
      <c r="D454" s="69">
        <v>72</v>
      </c>
      <c r="E454" s="69">
        <v>0</v>
      </c>
      <c r="F454" s="66">
        <f t="shared" si="222"/>
        <v>0</v>
      </c>
      <c r="G454" s="61" t="e">
        <f t="shared" si="225"/>
        <v>#DIV/0!</v>
      </c>
      <c r="H454" s="66" t="e">
        <f t="shared" si="229"/>
        <v>#DIV/0!</v>
      </c>
      <c r="I454" s="66" t="e">
        <f t="shared" si="229"/>
        <v>#DIV/0!</v>
      </c>
      <c r="J454" s="66" t="e">
        <f t="shared" si="229"/>
        <v>#DIV/0!</v>
      </c>
      <c r="K454" s="70">
        <v>1000</v>
      </c>
      <c r="L454" s="70">
        <f>'Monitoramento Acumulado Geral'!Q454</f>
        <v>0</v>
      </c>
      <c r="M454" s="6">
        <f>(SUM(L446:L454))/K453</f>
        <v>0</v>
      </c>
      <c r="N454" s="35" t="str">
        <f t="shared" si="226"/>
        <v>Desempenho Médio</v>
      </c>
      <c r="O454" s="6">
        <f t="shared" si="231"/>
        <v>0.42046470140126019</v>
      </c>
      <c r="P454" s="6">
        <f t="shared" si="231"/>
        <v>0.84574683442734511</v>
      </c>
      <c r="Q454" s="6">
        <f t="shared" si="231"/>
        <v>-4.8174316248247306E-3</v>
      </c>
      <c r="R454" s="70">
        <v>33</v>
      </c>
      <c r="S454" s="70">
        <v>0</v>
      </c>
      <c r="T454" s="6">
        <f t="shared" si="223"/>
        <v>0</v>
      </c>
      <c r="U454" s="35" t="e">
        <f t="shared" si="227"/>
        <v>#DIV/0!</v>
      </c>
      <c r="V454" s="6" t="e">
        <f t="shared" si="232"/>
        <v>#DIV/0!</v>
      </c>
      <c r="W454" s="6" t="e">
        <f t="shared" si="232"/>
        <v>#DIV/0!</v>
      </c>
      <c r="X454" s="6" t="e">
        <f t="shared" si="232"/>
        <v>#DIV/0!</v>
      </c>
      <c r="Y454" s="6" t="e">
        <f t="shared" si="232"/>
        <v>#DIV/0!</v>
      </c>
      <c r="Z454" s="6" t="e">
        <f t="shared" si="232"/>
        <v>#DIV/0!</v>
      </c>
    </row>
    <row r="455" spans="1:26" x14ac:dyDescent="0.2">
      <c r="A455" s="7" t="s">
        <v>86</v>
      </c>
      <c r="B455" s="6">
        <f t="shared" si="224"/>
        <v>10</v>
      </c>
      <c r="C455" s="7" t="s">
        <v>160</v>
      </c>
      <c r="D455" s="69">
        <v>72</v>
      </c>
      <c r="E455" s="69">
        <v>0</v>
      </c>
      <c r="F455" s="66">
        <f t="shared" si="222"/>
        <v>0</v>
      </c>
      <c r="G455" s="61" t="e">
        <f t="shared" si="225"/>
        <v>#DIV/0!</v>
      </c>
      <c r="H455" s="66" t="e">
        <f t="shared" si="229"/>
        <v>#DIV/0!</v>
      </c>
      <c r="I455" s="66" t="e">
        <f t="shared" si="229"/>
        <v>#DIV/0!</v>
      </c>
      <c r="J455" s="66" t="e">
        <f t="shared" si="229"/>
        <v>#DIV/0!</v>
      </c>
      <c r="K455" s="70">
        <v>1000</v>
      </c>
      <c r="L455" s="70">
        <f>'Monitoramento Acumulado Geral'!Q455</f>
        <v>0</v>
      </c>
      <c r="M455" s="6">
        <f>(SUM(L446:L455))/K454</f>
        <v>0</v>
      </c>
      <c r="N455" s="35" t="str">
        <f t="shared" si="226"/>
        <v>Desempenho Médio</v>
      </c>
      <c r="O455" s="6">
        <f t="shared" si="231"/>
        <v>0.42046470140126019</v>
      </c>
      <c r="P455" s="6">
        <f t="shared" si="231"/>
        <v>0.84574683442734511</v>
      </c>
      <c r="Q455" s="6">
        <f t="shared" si="231"/>
        <v>-4.8174316248247306E-3</v>
      </c>
      <c r="R455" s="70">
        <v>33</v>
      </c>
      <c r="S455" s="70">
        <v>0</v>
      </c>
      <c r="T455" s="6">
        <f t="shared" si="223"/>
        <v>0</v>
      </c>
      <c r="U455" s="35" t="e">
        <f t="shared" si="227"/>
        <v>#DIV/0!</v>
      </c>
      <c r="V455" s="6" t="e">
        <f t="shared" si="232"/>
        <v>#DIV/0!</v>
      </c>
      <c r="W455" s="6" t="e">
        <f t="shared" si="232"/>
        <v>#DIV/0!</v>
      </c>
      <c r="X455" s="6" t="e">
        <f t="shared" si="232"/>
        <v>#DIV/0!</v>
      </c>
      <c r="Y455" s="6" t="e">
        <f t="shared" si="232"/>
        <v>#DIV/0!</v>
      </c>
      <c r="Z455" s="6" t="e">
        <f t="shared" si="232"/>
        <v>#DIV/0!</v>
      </c>
    </row>
    <row r="456" spans="1:26" x14ac:dyDescent="0.2">
      <c r="A456" s="7" t="s">
        <v>86</v>
      </c>
      <c r="B456" s="6">
        <f t="shared" si="224"/>
        <v>11</v>
      </c>
      <c r="C456" s="7" t="s">
        <v>161</v>
      </c>
      <c r="D456" s="69">
        <v>72</v>
      </c>
      <c r="E456" s="69">
        <v>0</v>
      </c>
      <c r="F456" s="66">
        <f t="shared" si="222"/>
        <v>0</v>
      </c>
      <c r="G456" s="61" t="e">
        <f t="shared" si="225"/>
        <v>#DIV/0!</v>
      </c>
      <c r="H456" s="66" t="e">
        <f t="shared" si="229"/>
        <v>#DIV/0!</v>
      </c>
      <c r="I456" s="66" t="e">
        <f t="shared" si="229"/>
        <v>#DIV/0!</v>
      </c>
      <c r="J456" s="66" t="e">
        <f t="shared" si="229"/>
        <v>#DIV/0!</v>
      </c>
      <c r="K456" s="70">
        <v>1000</v>
      </c>
      <c r="L456" s="70">
        <f>'Monitoramento Acumulado Geral'!Q456</f>
        <v>0</v>
      </c>
      <c r="M456" s="6">
        <f>(SUM(L446:L456))/K455</f>
        <v>0</v>
      </c>
      <c r="N456" s="35" t="str">
        <f t="shared" si="226"/>
        <v>Desempenho Médio</v>
      </c>
      <c r="O456" s="6">
        <f t="shared" si="231"/>
        <v>0.42046470140126019</v>
      </c>
      <c r="P456" s="6">
        <f t="shared" si="231"/>
        <v>0.84574683442734511</v>
      </c>
      <c r="Q456" s="6">
        <f t="shared" si="231"/>
        <v>-4.8174316248247306E-3</v>
      </c>
      <c r="R456" s="70">
        <v>33</v>
      </c>
      <c r="S456" s="70">
        <v>0</v>
      </c>
      <c r="T456" s="6">
        <f t="shared" si="223"/>
        <v>0</v>
      </c>
      <c r="U456" s="35" t="e">
        <f t="shared" si="227"/>
        <v>#DIV/0!</v>
      </c>
      <c r="V456" s="6" t="e">
        <f t="shared" si="232"/>
        <v>#DIV/0!</v>
      </c>
      <c r="W456" s="6" t="e">
        <f t="shared" si="232"/>
        <v>#DIV/0!</v>
      </c>
      <c r="X456" s="6" t="e">
        <f t="shared" si="232"/>
        <v>#DIV/0!</v>
      </c>
      <c r="Y456" s="6" t="e">
        <f t="shared" si="232"/>
        <v>#DIV/0!</v>
      </c>
      <c r="Z456" s="6" t="e">
        <f t="shared" si="232"/>
        <v>#DIV/0!</v>
      </c>
    </row>
    <row r="457" spans="1:26" x14ac:dyDescent="0.2">
      <c r="A457" s="7" t="s">
        <v>86</v>
      </c>
      <c r="B457" s="6">
        <f t="shared" si="224"/>
        <v>12</v>
      </c>
      <c r="C457" s="7" t="s">
        <v>162</v>
      </c>
      <c r="D457" s="69">
        <v>72</v>
      </c>
      <c r="E457" s="69">
        <v>0</v>
      </c>
      <c r="F457" s="66">
        <f t="shared" si="222"/>
        <v>0</v>
      </c>
      <c r="G457" s="61" t="e">
        <f t="shared" si="225"/>
        <v>#DIV/0!</v>
      </c>
      <c r="H457" s="66" t="e">
        <f t="shared" si="229"/>
        <v>#DIV/0!</v>
      </c>
      <c r="I457" s="66" t="e">
        <f t="shared" si="229"/>
        <v>#DIV/0!</v>
      </c>
      <c r="J457" s="66" t="e">
        <f t="shared" si="229"/>
        <v>#DIV/0!</v>
      </c>
      <c r="K457" s="70">
        <v>1000</v>
      </c>
      <c r="L457" s="70">
        <f>'Monitoramento Acumulado Geral'!Q457</f>
        <v>0</v>
      </c>
      <c r="M457" s="6">
        <f>(SUM(L446:L457))/K456</f>
        <v>0</v>
      </c>
      <c r="N457" s="35" t="str">
        <f t="shared" si="226"/>
        <v>Desempenho Médio</v>
      </c>
      <c r="O457" s="6">
        <f t="shared" si="231"/>
        <v>0.41824651958307835</v>
      </c>
      <c r="P457" s="6">
        <f t="shared" si="231"/>
        <v>0.84510274859297763</v>
      </c>
      <c r="Q457" s="6">
        <f t="shared" si="231"/>
        <v>-8.6097094268208774E-3</v>
      </c>
      <c r="R457" s="70">
        <v>33</v>
      </c>
      <c r="S457" s="70">
        <v>0</v>
      </c>
      <c r="T457" s="6">
        <f t="shared" si="223"/>
        <v>0</v>
      </c>
      <c r="U457" s="35" t="e">
        <f t="shared" si="227"/>
        <v>#DIV/0!</v>
      </c>
      <c r="V457" s="6" t="e">
        <f t="shared" si="232"/>
        <v>#DIV/0!</v>
      </c>
      <c r="W457" s="6" t="e">
        <f t="shared" si="232"/>
        <v>#DIV/0!</v>
      </c>
      <c r="X457" s="6" t="e">
        <f t="shared" si="232"/>
        <v>#DIV/0!</v>
      </c>
      <c r="Y457" s="6" t="e">
        <f t="shared" si="232"/>
        <v>#DIV/0!</v>
      </c>
      <c r="Z457" s="6" t="e">
        <f t="shared" si="232"/>
        <v>#DIV/0!</v>
      </c>
    </row>
    <row r="458" spans="1:26" x14ac:dyDescent="0.2">
      <c r="A458" s="7" t="s">
        <v>102</v>
      </c>
      <c r="B458" s="6">
        <f t="shared" si="224"/>
        <v>1</v>
      </c>
      <c r="C458" s="7" t="s">
        <v>151</v>
      </c>
      <c r="D458" s="69">
        <v>75</v>
      </c>
      <c r="E458" s="69">
        <v>0</v>
      </c>
      <c r="F458" s="66">
        <f t="shared" si="222"/>
        <v>0</v>
      </c>
      <c r="G458" s="61" t="e">
        <f t="shared" si="225"/>
        <v>#DIV/0!</v>
      </c>
      <c r="H458" s="66" t="e">
        <f t="shared" si="229"/>
        <v>#DIV/0!</v>
      </c>
      <c r="I458" s="66" t="e">
        <f t="shared" si="229"/>
        <v>#DIV/0!</v>
      </c>
      <c r="J458" s="66" t="e">
        <f t="shared" si="229"/>
        <v>#DIV/0!</v>
      </c>
      <c r="K458" s="70">
        <v>8325</v>
      </c>
      <c r="L458" s="70">
        <f>'Monitoramento Acumulado Geral'!Q458</f>
        <v>0</v>
      </c>
      <c r="M458" s="6">
        <f>L458/K458</f>
        <v>0</v>
      </c>
      <c r="N458" s="35" t="str">
        <f t="shared" si="226"/>
        <v>Desempenho Médio</v>
      </c>
      <c r="O458" s="6">
        <f t="shared" ref="O458:Q473" si="233">O446</f>
        <v>3.4274647562211005E-2</v>
      </c>
      <c r="P458" s="6">
        <f t="shared" si="233"/>
        <v>0.10289217685709087</v>
      </c>
      <c r="Q458" s="6">
        <f t="shared" si="233"/>
        <v>-3.4342881732668862E-2</v>
      </c>
      <c r="R458" s="70">
        <v>70</v>
      </c>
      <c r="S458" s="70">
        <v>0</v>
      </c>
      <c r="T458" s="6">
        <f t="shared" si="223"/>
        <v>0</v>
      </c>
      <c r="U458" s="35" t="e">
        <f t="shared" si="227"/>
        <v>#DIV/0!</v>
      </c>
      <c r="V458" s="6" t="e">
        <f t="shared" si="232"/>
        <v>#DIV/0!</v>
      </c>
      <c r="W458" s="6" t="e">
        <f t="shared" si="232"/>
        <v>#DIV/0!</v>
      </c>
      <c r="X458" s="6" t="e">
        <f t="shared" si="232"/>
        <v>#DIV/0!</v>
      </c>
      <c r="Y458" s="6" t="e">
        <f t="shared" si="232"/>
        <v>#DIV/0!</v>
      </c>
      <c r="Z458" s="6" t="e">
        <f t="shared" si="232"/>
        <v>#DIV/0!</v>
      </c>
    </row>
    <row r="459" spans="1:26" x14ac:dyDescent="0.2">
      <c r="A459" s="7" t="s">
        <v>102</v>
      </c>
      <c r="B459" s="6">
        <f t="shared" si="224"/>
        <v>2</v>
      </c>
      <c r="C459" s="7" t="s">
        <v>152</v>
      </c>
      <c r="D459" s="69">
        <v>75</v>
      </c>
      <c r="E459" s="69">
        <v>0</v>
      </c>
      <c r="F459" s="66">
        <f t="shared" si="222"/>
        <v>0</v>
      </c>
      <c r="G459" s="61" t="e">
        <f t="shared" si="225"/>
        <v>#DIV/0!</v>
      </c>
      <c r="H459" s="66" t="e">
        <f t="shared" si="229"/>
        <v>#DIV/0!</v>
      </c>
      <c r="I459" s="66" t="e">
        <f t="shared" si="229"/>
        <v>#DIV/0!</v>
      </c>
      <c r="J459" s="66" t="e">
        <f t="shared" si="229"/>
        <v>#DIV/0!</v>
      </c>
      <c r="K459" s="70">
        <v>8325</v>
      </c>
      <c r="L459" s="70">
        <f>'Monitoramento Acumulado Geral'!Q459</f>
        <v>0</v>
      </c>
      <c r="M459" s="6">
        <f>(SUM(L458:L459))/K458</f>
        <v>0</v>
      </c>
      <c r="N459" s="35" t="str">
        <f t="shared" si="226"/>
        <v>Desempenho Médio</v>
      </c>
      <c r="O459" s="6">
        <f t="shared" si="233"/>
        <v>8.1815188943147363E-2</v>
      </c>
      <c r="P459" s="6">
        <f t="shared" si="233"/>
        <v>0.20623883252423067</v>
      </c>
      <c r="Q459" s="6">
        <f t="shared" si="233"/>
        <v>-4.2608454637935944E-2</v>
      </c>
      <c r="R459" s="70">
        <v>70</v>
      </c>
      <c r="S459" s="70">
        <v>0</v>
      </c>
      <c r="T459" s="6">
        <f t="shared" si="223"/>
        <v>0</v>
      </c>
      <c r="U459" s="35" t="e">
        <f t="shared" si="227"/>
        <v>#DIV/0!</v>
      </c>
      <c r="V459" s="6" t="e">
        <f t="shared" si="232"/>
        <v>#DIV/0!</v>
      </c>
      <c r="W459" s="6" t="e">
        <f t="shared" si="232"/>
        <v>#DIV/0!</v>
      </c>
      <c r="X459" s="6" t="e">
        <f t="shared" si="232"/>
        <v>#DIV/0!</v>
      </c>
      <c r="Y459" s="6" t="e">
        <f t="shared" si="232"/>
        <v>#DIV/0!</v>
      </c>
      <c r="Z459" s="6" t="e">
        <f t="shared" si="232"/>
        <v>#DIV/0!</v>
      </c>
    </row>
    <row r="460" spans="1:26" x14ac:dyDescent="0.2">
      <c r="A460" s="7" t="s">
        <v>102</v>
      </c>
      <c r="B460" s="6">
        <f t="shared" si="224"/>
        <v>3</v>
      </c>
      <c r="C460" s="7" t="s">
        <v>153</v>
      </c>
      <c r="D460" s="69">
        <v>75</v>
      </c>
      <c r="E460" s="69">
        <v>0</v>
      </c>
      <c r="F460" s="66">
        <f t="shared" si="222"/>
        <v>0</v>
      </c>
      <c r="G460" s="61" t="e">
        <f t="shared" si="225"/>
        <v>#DIV/0!</v>
      </c>
      <c r="H460" s="66" t="e">
        <f t="shared" si="229"/>
        <v>#DIV/0!</v>
      </c>
      <c r="I460" s="66" t="e">
        <f t="shared" si="229"/>
        <v>#DIV/0!</v>
      </c>
      <c r="J460" s="66" t="e">
        <f t="shared" si="229"/>
        <v>#DIV/0!</v>
      </c>
      <c r="K460" s="70">
        <v>8325</v>
      </c>
      <c r="L460" s="70">
        <f>'Monitoramento Acumulado Geral'!Q460</f>
        <v>0</v>
      </c>
      <c r="M460" s="6">
        <f>(SUM(L458:L460))/K459</f>
        <v>0</v>
      </c>
      <c r="N460" s="35" t="str">
        <f t="shared" si="226"/>
        <v>Desempenho Médio</v>
      </c>
      <c r="O460" s="6">
        <f t="shared" si="233"/>
        <v>0.13411292471649494</v>
      </c>
      <c r="P460" s="6">
        <f t="shared" si="233"/>
        <v>0.29721906787058483</v>
      </c>
      <c r="Q460" s="6">
        <f t="shared" si="233"/>
        <v>-2.899321843759492E-2</v>
      </c>
      <c r="R460" s="70">
        <v>70</v>
      </c>
      <c r="S460" s="70">
        <v>0</v>
      </c>
      <c r="T460" s="6">
        <f t="shared" si="223"/>
        <v>0</v>
      </c>
      <c r="U460" s="35" t="e">
        <f t="shared" si="227"/>
        <v>#DIV/0!</v>
      </c>
      <c r="V460" s="6" t="e">
        <f t="shared" si="232"/>
        <v>#DIV/0!</v>
      </c>
      <c r="W460" s="6" t="e">
        <f t="shared" si="232"/>
        <v>#DIV/0!</v>
      </c>
      <c r="X460" s="6" t="e">
        <f t="shared" si="232"/>
        <v>#DIV/0!</v>
      </c>
      <c r="Y460" s="6" t="e">
        <f t="shared" si="232"/>
        <v>#DIV/0!</v>
      </c>
      <c r="Z460" s="6" t="e">
        <f t="shared" si="232"/>
        <v>#DIV/0!</v>
      </c>
    </row>
    <row r="461" spans="1:26" x14ac:dyDescent="0.2">
      <c r="A461" s="7" t="s">
        <v>102</v>
      </c>
      <c r="B461" s="6">
        <f t="shared" si="224"/>
        <v>4</v>
      </c>
      <c r="C461" s="7" t="s">
        <v>154</v>
      </c>
      <c r="D461" s="69">
        <v>75</v>
      </c>
      <c r="E461" s="69">
        <v>0</v>
      </c>
      <c r="F461" s="66">
        <f t="shared" si="222"/>
        <v>0</v>
      </c>
      <c r="G461" s="61" t="e">
        <f t="shared" si="225"/>
        <v>#DIV/0!</v>
      </c>
      <c r="H461" s="66" t="e">
        <f t="shared" si="229"/>
        <v>#DIV/0!</v>
      </c>
      <c r="I461" s="66" t="e">
        <f t="shared" si="229"/>
        <v>#DIV/0!</v>
      </c>
      <c r="J461" s="66" t="e">
        <f t="shared" si="229"/>
        <v>#DIV/0!</v>
      </c>
      <c r="K461" s="70">
        <v>8325</v>
      </c>
      <c r="L461" s="70">
        <f>'Monitoramento Acumulado Geral'!Q461</f>
        <v>0</v>
      </c>
      <c r="M461" s="6">
        <f>(SUM(L458:L461))/K460</f>
        <v>0</v>
      </c>
      <c r="N461" s="35" t="str">
        <f t="shared" si="226"/>
        <v>Desempenho Médio</v>
      </c>
      <c r="O461" s="6">
        <f t="shared" si="233"/>
        <v>0.15392483870093213</v>
      </c>
      <c r="P461" s="6">
        <f t="shared" si="233"/>
        <v>0.32772007016950033</v>
      </c>
      <c r="Q461" s="6">
        <f t="shared" si="233"/>
        <v>-1.9870392767636053E-2</v>
      </c>
      <c r="R461" s="70">
        <v>70</v>
      </c>
      <c r="S461" s="70">
        <v>0</v>
      </c>
      <c r="T461" s="6">
        <f t="shared" si="223"/>
        <v>0</v>
      </c>
      <c r="U461" s="35" t="e">
        <f t="shared" si="227"/>
        <v>#DIV/0!</v>
      </c>
      <c r="V461" s="6" t="e">
        <f t="shared" si="232"/>
        <v>#DIV/0!</v>
      </c>
      <c r="W461" s="6" t="e">
        <f t="shared" si="232"/>
        <v>#DIV/0!</v>
      </c>
      <c r="X461" s="6" t="e">
        <f t="shared" si="232"/>
        <v>#DIV/0!</v>
      </c>
      <c r="Y461" s="6" t="e">
        <f t="shared" si="232"/>
        <v>#DIV/0!</v>
      </c>
      <c r="Z461" s="6" t="e">
        <f t="shared" si="232"/>
        <v>#DIV/0!</v>
      </c>
    </row>
    <row r="462" spans="1:26" x14ac:dyDescent="0.2">
      <c r="A462" s="7" t="s">
        <v>102</v>
      </c>
      <c r="B462" s="6">
        <f t="shared" si="224"/>
        <v>5</v>
      </c>
      <c r="C462" s="7" t="s">
        <v>155</v>
      </c>
      <c r="D462" s="69">
        <v>75</v>
      </c>
      <c r="E462" s="69">
        <v>0</v>
      </c>
      <c r="F462" s="66">
        <f t="shared" si="222"/>
        <v>0</v>
      </c>
      <c r="G462" s="61" t="e">
        <f t="shared" si="225"/>
        <v>#DIV/0!</v>
      </c>
      <c r="H462" s="66" t="e">
        <f t="shared" si="229"/>
        <v>#DIV/0!</v>
      </c>
      <c r="I462" s="66" t="e">
        <f t="shared" si="229"/>
        <v>#DIV/0!</v>
      </c>
      <c r="J462" s="66" t="e">
        <f t="shared" si="229"/>
        <v>#DIV/0!</v>
      </c>
      <c r="K462" s="70">
        <v>8325</v>
      </c>
      <c r="L462" s="70">
        <f>'Monitoramento Acumulado Geral'!Q462</f>
        <v>0</v>
      </c>
      <c r="M462" s="6">
        <f>(SUM(L458:L462))/K461</f>
        <v>0</v>
      </c>
      <c r="N462" s="35" t="str">
        <f t="shared" si="226"/>
        <v>Desempenho Médio</v>
      </c>
      <c r="O462" s="6">
        <f t="shared" si="233"/>
        <v>0.21139287248463789</v>
      </c>
      <c r="P462" s="6">
        <f t="shared" si="233"/>
        <v>0.43680804416292918</v>
      </c>
      <c r="Q462" s="6">
        <f t="shared" si="233"/>
        <v>-1.4022299193653387E-2</v>
      </c>
      <c r="R462" s="70">
        <v>70</v>
      </c>
      <c r="S462" s="70">
        <v>0</v>
      </c>
      <c r="T462" s="6">
        <f t="shared" si="223"/>
        <v>0</v>
      </c>
      <c r="U462" s="35" t="e">
        <f t="shared" si="227"/>
        <v>#DIV/0!</v>
      </c>
      <c r="V462" s="6" t="e">
        <f t="shared" si="232"/>
        <v>#DIV/0!</v>
      </c>
      <c r="W462" s="6" t="e">
        <f t="shared" si="232"/>
        <v>#DIV/0!</v>
      </c>
      <c r="X462" s="6" t="e">
        <f t="shared" si="232"/>
        <v>#DIV/0!</v>
      </c>
      <c r="Y462" s="6" t="e">
        <f t="shared" si="232"/>
        <v>#DIV/0!</v>
      </c>
      <c r="Z462" s="6" t="e">
        <f t="shared" si="232"/>
        <v>#DIV/0!</v>
      </c>
    </row>
    <row r="463" spans="1:26" x14ac:dyDescent="0.2">
      <c r="A463" s="7" t="s">
        <v>102</v>
      </c>
      <c r="B463" s="6">
        <f t="shared" si="224"/>
        <v>6</v>
      </c>
      <c r="C463" s="7" t="s">
        <v>156</v>
      </c>
      <c r="D463" s="69">
        <v>75</v>
      </c>
      <c r="E463" s="69">
        <v>0</v>
      </c>
      <c r="F463" s="66">
        <f t="shared" si="222"/>
        <v>0</v>
      </c>
      <c r="G463" s="61" t="e">
        <f t="shared" si="225"/>
        <v>#DIV/0!</v>
      </c>
      <c r="H463" s="66" t="e">
        <f t="shared" si="229"/>
        <v>#DIV/0!</v>
      </c>
      <c r="I463" s="66" t="e">
        <f t="shared" si="229"/>
        <v>#DIV/0!</v>
      </c>
      <c r="J463" s="66" t="e">
        <f t="shared" si="229"/>
        <v>#DIV/0!</v>
      </c>
      <c r="K463" s="70">
        <v>8325</v>
      </c>
      <c r="L463" s="70">
        <f>'Monitoramento Acumulado Geral'!Q463</f>
        <v>0</v>
      </c>
      <c r="M463" s="6">
        <f>(SUM(L458:L463))/K462</f>
        <v>0</v>
      </c>
      <c r="N463" s="35" t="str">
        <f t="shared" si="226"/>
        <v>Desempenho Deficitário</v>
      </c>
      <c r="O463" s="6">
        <f t="shared" si="233"/>
        <v>0.28403291059934432</v>
      </c>
      <c r="P463" s="6">
        <f t="shared" si="233"/>
        <v>0.56118246348434164</v>
      </c>
      <c r="Q463" s="6">
        <f t="shared" si="233"/>
        <v>6.8833577143469493E-3</v>
      </c>
      <c r="R463" s="70">
        <v>70</v>
      </c>
      <c r="S463" s="70">
        <v>0</v>
      </c>
      <c r="T463" s="6">
        <f t="shared" si="223"/>
        <v>0</v>
      </c>
      <c r="U463" s="35" t="e">
        <f t="shared" si="227"/>
        <v>#DIV/0!</v>
      </c>
      <c r="V463" s="6" t="e">
        <f t="shared" si="232"/>
        <v>#DIV/0!</v>
      </c>
      <c r="W463" s="6" t="e">
        <f t="shared" si="232"/>
        <v>#DIV/0!</v>
      </c>
      <c r="X463" s="6" t="e">
        <f t="shared" si="232"/>
        <v>#DIV/0!</v>
      </c>
      <c r="Y463" s="6" t="e">
        <f t="shared" si="232"/>
        <v>#DIV/0!</v>
      </c>
      <c r="Z463" s="6" t="e">
        <f t="shared" si="232"/>
        <v>#DIV/0!</v>
      </c>
    </row>
    <row r="464" spans="1:26" x14ac:dyDescent="0.2">
      <c r="A464" s="7" t="s">
        <v>102</v>
      </c>
      <c r="B464" s="6">
        <f t="shared" si="224"/>
        <v>7</v>
      </c>
      <c r="C464" s="7" t="s">
        <v>157</v>
      </c>
      <c r="D464" s="69">
        <v>75</v>
      </c>
      <c r="E464" s="69">
        <v>0</v>
      </c>
      <c r="F464" s="66">
        <f t="shared" si="222"/>
        <v>0</v>
      </c>
      <c r="G464" s="61" t="e">
        <f t="shared" si="225"/>
        <v>#DIV/0!</v>
      </c>
      <c r="H464" s="66" t="e">
        <f t="shared" si="229"/>
        <v>#DIV/0!</v>
      </c>
      <c r="I464" s="66" t="e">
        <f t="shared" si="229"/>
        <v>#DIV/0!</v>
      </c>
      <c r="J464" s="66" t="e">
        <f t="shared" si="229"/>
        <v>#DIV/0!</v>
      </c>
      <c r="K464" s="70">
        <v>8325</v>
      </c>
      <c r="L464" s="70">
        <f>'Monitoramento Acumulado Geral'!Q464</f>
        <v>0</v>
      </c>
      <c r="M464" s="6">
        <f>(SUM(L458:L464))/K463</f>
        <v>0</v>
      </c>
      <c r="N464" s="35" t="str">
        <f t="shared" si="226"/>
        <v>Desempenho Médio</v>
      </c>
      <c r="O464" s="6">
        <f t="shared" si="233"/>
        <v>0.42046470140126019</v>
      </c>
      <c r="P464" s="6">
        <f t="shared" si="233"/>
        <v>0.84574683442734511</v>
      </c>
      <c r="Q464" s="6">
        <f t="shared" si="233"/>
        <v>-4.8174316248247306E-3</v>
      </c>
      <c r="R464" s="70">
        <v>70</v>
      </c>
      <c r="S464" s="70">
        <v>0</v>
      </c>
      <c r="T464" s="6">
        <f t="shared" si="223"/>
        <v>0</v>
      </c>
      <c r="U464" s="35" t="e">
        <f t="shared" si="227"/>
        <v>#DIV/0!</v>
      </c>
      <c r="V464" s="6" t="e">
        <f t="shared" si="232"/>
        <v>#DIV/0!</v>
      </c>
      <c r="W464" s="6" t="e">
        <f t="shared" si="232"/>
        <v>#DIV/0!</v>
      </c>
      <c r="X464" s="6" t="e">
        <f t="shared" si="232"/>
        <v>#DIV/0!</v>
      </c>
      <c r="Y464" s="6" t="e">
        <f t="shared" si="232"/>
        <v>#DIV/0!</v>
      </c>
      <c r="Z464" s="6" t="e">
        <f t="shared" si="232"/>
        <v>#DIV/0!</v>
      </c>
    </row>
    <row r="465" spans="1:26" x14ac:dyDescent="0.2">
      <c r="A465" s="7" t="s">
        <v>102</v>
      </c>
      <c r="B465" s="6">
        <f t="shared" si="224"/>
        <v>8</v>
      </c>
      <c r="C465" s="7" t="s">
        <v>158</v>
      </c>
      <c r="D465" s="69">
        <v>75</v>
      </c>
      <c r="E465" s="69">
        <v>0</v>
      </c>
      <c r="F465" s="66">
        <f t="shared" si="222"/>
        <v>0</v>
      </c>
      <c r="G465" s="61" t="e">
        <f t="shared" si="225"/>
        <v>#DIV/0!</v>
      </c>
      <c r="H465" s="66" t="e">
        <f t="shared" si="229"/>
        <v>#DIV/0!</v>
      </c>
      <c r="I465" s="66" t="e">
        <f t="shared" si="229"/>
        <v>#DIV/0!</v>
      </c>
      <c r="J465" s="66" t="e">
        <f t="shared" si="229"/>
        <v>#DIV/0!</v>
      </c>
      <c r="K465" s="70">
        <v>8325</v>
      </c>
      <c r="L465" s="70">
        <f>'Monitoramento Acumulado Geral'!Q465</f>
        <v>0</v>
      </c>
      <c r="M465" s="6">
        <f>(SUM(L458:L465))/K464</f>
        <v>0</v>
      </c>
      <c r="N465" s="35" t="str">
        <f t="shared" si="226"/>
        <v>Desempenho Médio</v>
      </c>
      <c r="O465" s="6">
        <f t="shared" si="233"/>
        <v>0.42046470140126019</v>
      </c>
      <c r="P465" s="6">
        <f t="shared" si="233"/>
        <v>0.84574683442734511</v>
      </c>
      <c r="Q465" s="6">
        <f t="shared" si="233"/>
        <v>-4.8174316248247306E-3</v>
      </c>
      <c r="R465" s="70">
        <v>70</v>
      </c>
      <c r="S465" s="70">
        <v>0</v>
      </c>
      <c r="T465" s="6">
        <f t="shared" si="223"/>
        <v>0</v>
      </c>
      <c r="U465" s="35" t="e">
        <f t="shared" si="227"/>
        <v>#DIV/0!</v>
      </c>
      <c r="V465" s="6" t="e">
        <f t="shared" si="232"/>
        <v>#DIV/0!</v>
      </c>
      <c r="W465" s="6" t="e">
        <f t="shared" si="232"/>
        <v>#DIV/0!</v>
      </c>
      <c r="X465" s="6" t="e">
        <f t="shared" si="232"/>
        <v>#DIV/0!</v>
      </c>
      <c r="Y465" s="6" t="e">
        <f t="shared" si="232"/>
        <v>#DIV/0!</v>
      </c>
      <c r="Z465" s="6" t="e">
        <f t="shared" si="232"/>
        <v>#DIV/0!</v>
      </c>
    </row>
    <row r="466" spans="1:26" x14ac:dyDescent="0.2">
      <c r="A466" s="7" t="s">
        <v>102</v>
      </c>
      <c r="B466" s="6">
        <f t="shared" si="224"/>
        <v>9</v>
      </c>
      <c r="C466" s="7" t="s">
        <v>159</v>
      </c>
      <c r="D466" s="69">
        <v>75</v>
      </c>
      <c r="E466" s="69">
        <v>0</v>
      </c>
      <c r="F466" s="66">
        <f t="shared" si="222"/>
        <v>0</v>
      </c>
      <c r="G466" s="61" t="e">
        <f t="shared" si="225"/>
        <v>#DIV/0!</v>
      </c>
      <c r="H466" s="66" t="e">
        <f t="shared" si="229"/>
        <v>#DIV/0!</v>
      </c>
      <c r="I466" s="66" t="e">
        <f t="shared" si="229"/>
        <v>#DIV/0!</v>
      </c>
      <c r="J466" s="66" t="e">
        <f t="shared" si="229"/>
        <v>#DIV/0!</v>
      </c>
      <c r="K466" s="70">
        <v>8325</v>
      </c>
      <c r="L466" s="70">
        <f>'Monitoramento Acumulado Geral'!Q466</f>
        <v>0</v>
      </c>
      <c r="M466" s="6">
        <f>(SUM(L458:L466))/K465</f>
        <v>0</v>
      </c>
      <c r="N466" s="35" t="str">
        <f t="shared" si="226"/>
        <v>Desempenho Médio</v>
      </c>
      <c r="O466" s="6">
        <f t="shared" si="233"/>
        <v>0.42046470140126019</v>
      </c>
      <c r="P466" s="6">
        <f t="shared" si="233"/>
        <v>0.84574683442734511</v>
      </c>
      <c r="Q466" s="6">
        <f t="shared" si="233"/>
        <v>-4.8174316248247306E-3</v>
      </c>
      <c r="R466" s="70">
        <v>70</v>
      </c>
      <c r="S466" s="70">
        <v>0</v>
      </c>
      <c r="T466" s="6">
        <f t="shared" si="223"/>
        <v>0</v>
      </c>
      <c r="U466" s="35" t="e">
        <f t="shared" si="227"/>
        <v>#DIV/0!</v>
      </c>
      <c r="V466" s="6" t="e">
        <f t="shared" si="232"/>
        <v>#DIV/0!</v>
      </c>
      <c r="W466" s="6" t="e">
        <f t="shared" si="232"/>
        <v>#DIV/0!</v>
      </c>
      <c r="X466" s="6" t="e">
        <f t="shared" si="232"/>
        <v>#DIV/0!</v>
      </c>
      <c r="Y466" s="6" t="e">
        <f t="shared" si="232"/>
        <v>#DIV/0!</v>
      </c>
      <c r="Z466" s="6" t="e">
        <f t="shared" si="232"/>
        <v>#DIV/0!</v>
      </c>
    </row>
    <row r="467" spans="1:26" x14ac:dyDescent="0.2">
      <c r="A467" s="7" t="s">
        <v>102</v>
      </c>
      <c r="B467" s="6">
        <f t="shared" si="224"/>
        <v>10</v>
      </c>
      <c r="C467" s="7" t="s">
        <v>160</v>
      </c>
      <c r="D467" s="69">
        <v>75</v>
      </c>
      <c r="E467" s="69">
        <v>0</v>
      </c>
      <c r="F467" s="66">
        <f t="shared" si="222"/>
        <v>0</v>
      </c>
      <c r="G467" s="61" t="e">
        <f t="shared" si="225"/>
        <v>#DIV/0!</v>
      </c>
      <c r="H467" s="66" t="e">
        <f t="shared" si="229"/>
        <v>#DIV/0!</v>
      </c>
      <c r="I467" s="66" t="e">
        <f t="shared" si="229"/>
        <v>#DIV/0!</v>
      </c>
      <c r="J467" s="66" t="e">
        <f t="shared" si="229"/>
        <v>#DIV/0!</v>
      </c>
      <c r="K467" s="70">
        <v>8325</v>
      </c>
      <c r="L467" s="70">
        <f>'Monitoramento Acumulado Geral'!Q467</f>
        <v>0</v>
      </c>
      <c r="M467" s="6">
        <f>(SUM(L458:L467))/K466</f>
        <v>0</v>
      </c>
      <c r="N467" s="35" t="str">
        <f t="shared" si="226"/>
        <v>Desempenho Médio</v>
      </c>
      <c r="O467" s="6">
        <f t="shared" si="233"/>
        <v>0.42046470140126019</v>
      </c>
      <c r="P467" s="6">
        <f t="shared" si="233"/>
        <v>0.84574683442734511</v>
      </c>
      <c r="Q467" s="6">
        <f t="shared" si="233"/>
        <v>-4.8174316248247306E-3</v>
      </c>
      <c r="R467" s="70">
        <v>70</v>
      </c>
      <c r="S467" s="70">
        <v>0</v>
      </c>
      <c r="T467" s="6">
        <f t="shared" si="223"/>
        <v>0</v>
      </c>
      <c r="U467" s="35" t="e">
        <f t="shared" si="227"/>
        <v>#DIV/0!</v>
      </c>
      <c r="V467" s="6" t="e">
        <f t="shared" ref="V467:Z482" si="234">V455</f>
        <v>#DIV/0!</v>
      </c>
      <c r="W467" s="6" t="e">
        <f t="shared" si="234"/>
        <v>#DIV/0!</v>
      </c>
      <c r="X467" s="6" t="e">
        <f t="shared" si="234"/>
        <v>#DIV/0!</v>
      </c>
      <c r="Y467" s="6" t="e">
        <f t="shared" si="234"/>
        <v>#DIV/0!</v>
      </c>
      <c r="Z467" s="6" t="e">
        <f t="shared" si="234"/>
        <v>#DIV/0!</v>
      </c>
    </row>
    <row r="468" spans="1:26" x14ac:dyDescent="0.2">
      <c r="A468" s="7" t="s">
        <v>102</v>
      </c>
      <c r="B468" s="6">
        <f t="shared" si="224"/>
        <v>11</v>
      </c>
      <c r="C468" s="7" t="s">
        <v>161</v>
      </c>
      <c r="D468" s="69">
        <v>75</v>
      </c>
      <c r="E468" s="69">
        <v>0</v>
      </c>
      <c r="F468" s="66">
        <f t="shared" si="222"/>
        <v>0</v>
      </c>
      <c r="G468" s="61" t="e">
        <f t="shared" si="225"/>
        <v>#DIV/0!</v>
      </c>
      <c r="H468" s="66" t="e">
        <f t="shared" si="229"/>
        <v>#DIV/0!</v>
      </c>
      <c r="I468" s="66" t="e">
        <f t="shared" si="229"/>
        <v>#DIV/0!</v>
      </c>
      <c r="J468" s="66" t="e">
        <f t="shared" si="229"/>
        <v>#DIV/0!</v>
      </c>
      <c r="K468" s="70">
        <v>8325</v>
      </c>
      <c r="L468" s="70">
        <f>'Monitoramento Acumulado Geral'!Q468</f>
        <v>0</v>
      </c>
      <c r="M468" s="6">
        <f>(SUM(L458:L468))/K467</f>
        <v>0</v>
      </c>
      <c r="N468" s="35" t="str">
        <f t="shared" si="226"/>
        <v>Desempenho Médio</v>
      </c>
      <c r="O468" s="6">
        <f t="shared" si="233"/>
        <v>0.42046470140126019</v>
      </c>
      <c r="P468" s="6">
        <f t="shared" si="233"/>
        <v>0.84574683442734511</v>
      </c>
      <c r="Q468" s="6">
        <f t="shared" si="233"/>
        <v>-4.8174316248247306E-3</v>
      </c>
      <c r="R468" s="70">
        <v>70</v>
      </c>
      <c r="S468" s="70">
        <v>0</v>
      </c>
      <c r="T468" s="6">
        <f t="shared" si="223"/>
        <v>0</v>
      </c>
      <c r="U468" s="35" t="e">
        <f t="shared" si="227"/>
        <v>#DIV/0!</v>
      </c>
      <c r="V468" s="6" t="e">
        <f t="shared" si="234"/>
        <v>#DIV/0!</v>
      </c>
      <c r="W468" s="6" t="e">
        <f t="shared" si="234"/>
        <v>#DIV/0!</v>
      </c>
      <c r="X468" s="6" t="e">
        <f t="shared" si="234"/>
        <v>#DIV/0!</v>
      </c>
      <c r="Y468" s="6" t="e">
        <f t="shared" si="234"/>
        <v>#DIV/0!</v>
      </c>
      <c r="Z468" s="6" t="e">
        <f t="shared" si="234"/>
        <v>#DIV/0!</v>
      </c>
    </row>
    <row r="469" spans="1:26" x14ac:dyDescent="0.2">
      <c r="A469" s="7" t="s">
        <v>102</v>
      </c>
      <c r="B469" s="6">
        <f t="shared" si="224"/>
        <v>12</v>
      </c>
      <c r="C469" s="7" t="s">
        <v>162</v>
      </c>
      <c r="D469" s="69">
        <v>75</v>
      </c>
      <c r="E469" s="69">
        <v>0</v>
      </c>
      <c r="F469" s="66">
        <f t="shared" si="222"/>
        <v>0</v>
      </c>
      <c r="G469" s="61" t="e">
        <f t="shared" si="225"/>
        <v>#DIV/0!</v>
      </c>
      <c r="H469" s="66" t="e">
        <f t="shared" si="229"/>
        <v>#DIV/0!</v>
      </c>
      <c r="I469" s="66" t="e">
        <f t="shared" si="229"/>
        <v>#DIV/0!</v>
      </c>
      <c r="J469" s="66" t="e">
        <f t="shared" si="229"/>
        <v>#DIV/0!</v>
      </c>
      <c r="K469" s="70">
        <v>8325</v>
      </c>
      <c r="L469" s="70">
        <f>'Monitoramento Acumulado Geral'!Q469</f>
        <v>0</v>
      </c>
      <c r="M469" s="6">
        <f>(SUM(L458:L469))/K468</f>
        <v>0</v>
      </c>
      <c r="N469" s="35" t="str">
        <f t="shared" si="226"/>
        <v>Desempenho Médio</v>
      </c>
      <c r="O469" s="6">
        <f t="shared" si="233"/>
        <v>0.41824651958307835</v>
      </c>
      <c r="P469" s="6">
        <f t="shared" si="233"/>
        <v>0.84510274859297763</v>
      </c>
      <c r="Q469" s="6">
        <f t="shared" si="233"/>
        <v>-8.6097094268208774E-3</v>
      </c>
      <c r="R469" s="70">
        <v>70</v>
      </c>
      <c r="S469" s="70">
        <v>0</v>
      </c>
      <c r="T469" s="6">
        <f t="shared" si="223"/>
        <v>0</v>
      </c>
      <c r="U469" s="35" t="e">
        <f t="shared" si="227"/>
        <v>#DIV/0!</v>
      </c>
      <c r="V469" s="6" t="e">
        <f t="shared" si="234"/>
        <v>#DIV/0!</v>
      </c>
      <c r="W469" s="6" t="e">
        <f t="shared" si="234"/>
        <v>#DIV/0!</v>
      </c>
      <c r="X469" s="6" t="e">
        <f t="shared" si="234"/>
        <v>#DIV/0!</v>
      </c>
      <c r="Y469" s="6" t="e">
        <f t="shared" si="234"/>
        <v>#DIV/0!</v>
      </c>
      <c r="Z469" s="6" t="e">
        <f t="shared" si="234"/>
        <v>#DIV/0!</v>
      </c>
    </row>
    <row r="470" spans="1:26" x14ac:dyDescent="0.2">
      <c r="A470" s="7" t="s">
        <v>106</v>
      </c>
      <c r="B470" s="6">
        <f t="shared" si="224"/>
        <v>1</v>
      </c>
      <c r="C470" s="7" t="s">
        <v>151</v>
      </c>
      <c r="D470" s="69">
        <v>75</v>
      </c>
      <c r="E470" s="69">
        <v>23</v>
      </c>
      <c r="F470" s="66">
        <f t="shared" si="222"/>
        <v>0.30666666666666664</v>
      </c>
      <c r="G470" s="61" t="e">
        <f t="shared" si="225"/>
        <v>#DIV/0!</v>
      </c>
      <c r="H470" s="66" t="e">
        <f t="shared" si="229"/>
        <v>#DIV/0!</v>
      </c>
      <c r="I470" s="66" t="e">
        <f t="shared" si="229"/>
        <v>#DIV/0!</v>
      </c>
      <c r="J470" s="66" t="e">
        <f t="shared" si="229"/>
        <v>#DIV/0!</v>
      </c>
      <c r="K470" s="70">
        <v>127560</v>
      </c>
      <c r="L470" s="70">
        <f>'Monitoramento Acumulado Geral'!Q470</f>
        <v>10515</v>
      </c>
      <c r="M470" s="6">
        <f>L470/K470</f>
        <v>8.2431796801505169E-2</v>
      </c>
      <c r="N470" s="35" t="str">
        <f t="shared" si="226"/>
        <v>Desempenho Bom</v>
      </c>
      <c r="O470" s="6">
        <f t="shared" si="233"/>
        <v>3.4274647562211005E-2</v>
      </c>
      <c r="P470" s="6">
        <f t="shared" si="233"/>
        <v>0.10289217685709087</v>
      </c>
      <c r="Q470" s="6">
        <f t="shared" si="233"/>
        <v>-3.4342881732668862E-2</v>
      </c>
      <c r="R470" s="70">
        <v>80</v>
      </c>
      <c r="S470" s="70">
        <v>0</v>
      </c>
      <c r="T470" s="6">
        <f t="shared" si="223"/>
        <v>0</v>
      </c>
      <c r="U470" s="35" t="e">
        <f t="shared" si="227"/>
        <v>#DIV/0!</v>
      </c>
      <c r="V470" s="6" t="e">
        <f t="shared" si="234"/>
        <v>#DIV/0!</v>
      </c>
      <c r="W470" s="6" t="e">
        <f t="shared" si="234"/>
        <v>#DIV/0!</v>
      </c>
      <c r="X470" s="6" t="e">
        <f t="shared" si="234"/>
        <v>#DIV/0!</v>
      </c>
      <c r="Y470" s="6" t="e">
        <f t="shared" si="234"/>
        <v>#DIV/0!</v>
      </c>
      <c r="Z470" s="6" t="e">
        <f t="shared" si="234"/>
        <v>#DIV/0!</v>
      </c>
    </row>
    <row r="471" spans="1:26" x14ac:dyDescent="0.2">
      <c r="A471" s="7" t="s">
        <v>106</v>
      </c>
      <c r="B471" s="6">
        <f t="shared" si="224"/>
        <v>2</v>
      </c>
      <c r="C471" s="7" t="s">
        <v>152</v>
      </c>
      <c r="D471" s="69">
        <v>75</v>
      </c>
      <c r="E471" s="69">
        <v>23</v>
      </c>
      <c r="F471" s="66">
        <f t="shared" si="222"/>
        <v>0.30666666666666664</v>
      </c>
      <c r="G471" s="61" t="e">
        <f t="shared" si="225"/>
        <v>#DIV/0!</v>
      </c>
      <c r="H471" s="66" t="e">
        <f t="shared" si="229"/>
        <v>#DIV/0!</v>
      </c>
      <c r="I471" s="66" t="e">
        <f t="shared" si="229"/>
        <v>#DIV/0!</v>
      </c>
      <c r="J471" s="66" t="e">
        <f t="shared" si="229"/>
        <v>#DIV/0!</v>
      </c>
      <c r="K471" s="70">
        <v>127560</v>
      </c>
      <c r="L471" s="70">
        <f>'Monitoramento Acumulado Geral'!Q471</f>
        <v>0</v>
      </c>
      <c r="M471" s="6">
        <f>(SUM(L470:L471))/K470</f>
        <v>8.2431796801505169E-2</v>
      </c>
      <c r="N471" s="35" t="str">
        <f t="shared" si="226"/>
        <v>Desempenho Bom</v>
      </c>
      <c r="O471" s="6">
        <f t="shared" si="233"/>
        <v>8.1815188943147363E-2</v>
      </c>
      <c r="P471" s="6">
        <f t="shared" si="233"/>
        <v>0.20623883252423067</v>
      </c>
      <c r="Q471" s="6">
        <f t="shared" si="233"/>
        <v>-4.2608454637935944E-2</v>
      </c>
      <c r="R471" s="70">
        <v>80</v>
      </c>
      <c r="S471" s="70">
        <v>0</v>
      </c>
      <c r="T471" s="6">
        <f t="shared" si="223"/>
        <v>0</v>
      </c>
      <c r="U471" s="35" t="e">
        <f t="shared" si="227"/>
        <v>#DIV/0!</v>
      </c>
      <c r="V471" s="6" t="e">
        <f t="shared" si="234"/>
        <v>#DIV/0!</v>
      </c>
      <c r="W471" s="6" t="e">
        <f t="shared" si="234"/>
        <v>#DIV/0!</v>
      </c>
      <c r="X471" s="6" t="e">
        <f t="shared" si="234"/>
        <v>#DIV/0!</v>
      </c>
      <c r="Y471" s="6" t="e">
        <f t="shared" si="234"/>
        <v>#DIV/0!</v>
      </c>
      <c r="Z471" s="6" t="e">
        <f t="shared" si="234"/>
        <v>#DIV/0!</v>
      </c>
    </row>
    <row r="472" spans="1:26" x14ac:dyDescent="0.2">
      <c r="A472" s="7" t="s">
        <v>106</v>
      </c>
      <c r="B472" s="6">
        <f t="shared" si="224"/>
        <v>3</v>
      </c>
      <c r="C472" s="7" t="s">
        <v>153</v>
      </c>
      <c r="D472" s="69">
        <v>75</v>
      </c>
      <c r="E472" s="69">
        <v>31</v>
      </c>
      <c r="F472" s="66">
        <f t="shared" si="222"/>
        <v>0.41333333333333333</v>
      </c>
      <c r="G472" s="61" t="e">
        <f t="shared" si="225"/>
        <v>#DIV/0!</v>
      </c>
      <c r="H472" s="66" t="e">
        <f t="shared" si="229"/>
        <v>#DIV/0!</v>
      </c>
      <c r="I472" s="66" t="e">
        <f t="shared" si="229"/>
        <v>#DIV/0!</v>
      </c>
      <c r="J472" s="66" t="e">
        <f t="shared" si="229"/>
        <v>#DIV/0!</v>
      </c>
      <c r="K472" s="70">
        <v>127560</v>
      </c>
      <c r="L472" s="70">
        <f>'Monitoramento Acumulado Geral'!Q472</f>
        <v>5810</v>
      </c>
      <c r="M472" s="6">
        <f>(SUM(L470:L472))/K471</f>
        <v>0.12797899027908435</v>
      </c>
      <c r="N472" s="35" t="str">
        <f t="shared" si="226"/>
        <v>Desempenho Médio</v>
      </c>
      <c r="O472" s="6">
        <f t="shared" si="233"/>
        <v>0.13411292471649494</v>
      </c>
      <c r="P472" s="6">
        <f t="shared" si="233"/>
        <v>0.29721906787058483</v>
      </c>
      <c r="Q472" s="6">
        <f t="shared" si="233"/>
        <v>-2.899321843759492E-2</v>
      </c>
      <c r="R472" s="70">
        <v>80</v>
      </c>
      <c r="S472" s="70">
        <v>0</v>
      </c>
      <c r="T472" s="6">
        <f t="shared" si="223"/>
        <v>0</v>
      </c>
      <c r="U472" s="35" t="e">
        <f t="shared" si="227"/>
        <v>#DIV/0!</v>
      </c>
      <c r="V472" s="6" t="e">
        <f t="shared" si="234"/>
        <v>#DIV/0!</v>
      </c>
      <c r="W472" s="6" t="e">
        <f t="shared" si="234"/>
        <v>#DIV/0!</v>
      </c>
      <c r="X472" s="6" t="e">
        <f t="shared" si="234"/>
        <v>#DIV/0!</v>
      </c>
      <c r="Y472" s="6" t="e">
        <f t="shared" si="234"/>
        <v>#DIV/0!</v>
      </c>
      <c r="Z472" s="6" t="e">
        <f t="shared" si="234"/>
        <v>#DIV/0!</v>
      </c>
    </row>
    <row r="473" spans="1:26" x14ac:dyDescent="0.2">
      <c r="A473" s="7" t="s">
        <v>106</v>
      </c>
      <c r="B473" s="6">
        <f t="shared" si="224"/>
        <v>4</v>
      </c>
      <c r="C473" s="7" t="s">
        <v>154</v>
      </c>
      <c r="D473" s="69">
        <v>75</v>
      </c>
      <c r="E473" s="69">
        <v>46</v>
      </c>
      <c r="F473" s="66">
        <f t="shared" si="222"/>
        <v>0.61333333333333329</v>
      </c>
      <c r="G473" s="61" t="e">
        <f t="shared" si="225"/>
        <v>#DIV/0!</v>
      </c>
      <c r="H473" s="66" t="e">
        <f t="shared" si="229"/>
        <v>#DIV/0!</v>
      </c>
      <c r="I473" s="66" t="e">
        <f t="shared" si="229"/>
        <v>#DIV/0!</v>
      </c>
      <c r="J473" s="66" t="e">
        <f t="shared" si="229"/>
        <v>#DIV/0!</v>
      </c>
      <c r="K473" s="70">
        <v>127560</v>
      </c>
      <c r="L473" s="70">
        <f>'Monitoramento Acumulado Geral'!Q473</f>
        <v>5400</v>
      </c>
      <c r="M473" s="6">
        <f>(SUM(L470:L473))/K472</f>
        <v>0.17031201003449356</v>
      </c>
      <c r="N473" s="35" t="str">
        <f t="shared" si="226"/>
        <v>Desempenho Bom</v>
      </c>
      <c r="O473" s="6">
        <f t="shared" si="233"/>
        <v>0.15392483870093213</v>
      </c>
      <c r="P473" s="6">
        <f t="shared" si="233"/>
        <v>0.32772007016950033</v>
      </c>
      <c r="Q473" s="6">
        <f t="shared" si="233"/>
        <v>-1.9870392767636053E-2</v>
      </c>
      <c r="R473" s="70">
        <v>80</v>
      </c>
      <c r="S473" s="70">
        <v>0</v>
      </c>
      <c r="T473" s="6">
        <f t="shared" si="223"/>
        <v>0</v>
      </c>
      <c r="U473" s="35" t="e">
        <f t="shared" si="227"/>
        <v>#DIV/0!</v>
      </c>
      <c r="V473" s="6" t="e">
        <f t="shared" si="234"/>
        <v>#DIV/0!</v>
      </c>
      <c r="W473" s="6" t="e">
        <f t="shared" si="234"/>
        <v>#DIV/0!</v>
      </c>
      <c r="X473" s="6" t="e">
        <f t="shared" si="234"/>
        <v>#DIV/0!</v>
      </c>
      <c r="Y473" s="6" t="e">
        <f t="shared" si="234"/>
        <v>#DIV/0!</v>
      </c>
      <c r="Z473" s="6" t="e">
        <f t="shared" si="234"/>
        <v>#DIV/0!</v>
      </c>
    </row>
    <row r="474" spans="1:26" x14ac:dyDescent="0.2">
      <c r="A474" s="7" t="s">
        <v>106</v>
      </c>
      <c r="B474" s="6">
        <f t="shared" si="224"/>
        <v>5</v>
      </c>
      <c r="C474" s="7" t="s">
        <v>155</v>
      </c>
      <c r="D474" s="69">
        <v>75</v>
      </c>
      <c r="E474" s="69">
        <v>46</v>
      </c>
      <c r="F474" s="66">
        <f t="shared" si="222"/>
        <v>0.61333333333333329</v>
      </c>
      <c r="G474" s="61" t="e">
        <f t="shared" si="225"/>
        <v>#DIV/0!</v>
      </c>
      <c r="H474" s="66" t="e">
        <f t="shared" si="229"/>
        <v>#DIV/0!</v>
      </c>
      <c r="I474" s="66" t="e">
        <f t="shared" si="229"/>
        <v>#DIV/0!</v>
      </c>
      <c r="J474" s="66" t="e">
        <f t="shared" si="229"/>
        <v>#DIV/0!</v>
      </c>
      <c r="K474" s="70">
        <v>127560</v>
      </c>
      <c r="L474" s="70">
        <f>'Monitoramento Acumulado Geral'!Q474</f>
        <v>0</v>
      </c>
      <c r="M474" s="6">
        <f>(SUM(L470:L474))/K473</f>
        <v>0.17031201003449356</v>
      </c>
      <c r="N474" s="35" t="str">
        <f t="shared" si="226"/>
        <v>Desempenho Médio</v>
      </c>
      <c r="O474" s="6">
        <f t="shared" ref="O474:Q489" si="235">O462</f>
        <v>0.21139287248463789</v>
      </c>
      <c r="P474" s="6">
        <f t="shared" si="235"/>
        <v>0.43680804416292918</v>
      </c>
      <c r="Q474" s="6">
        <f t="shared" si="235"/>
        <v>-1.4022299193653387E-2</v>
      </c>
      <c r="R474" s="70">
        <v>80</v>
      </c>
      <c r="S474" s="70">
        <v>0</v>
      </c>
      <c r="T474" s="6">
        <f t="shared" si="223"/>
        <v>0</v>
      </c>
      <c r="U474" s="35" t="e">
        <f t="shared" si="227"/>
        <v>#DIV/0!</v>
      </c>
      <c r="V474" s="6" t="e">
        <f t="shared" si="234"/>
        <v>#DIV/0!</v>
      </c>
      <c r="W474" s="6" t="e">
        <f t="shared" si="234"/>
        <v>#DIV/0!</v>
      </c>
      <c r="X474" s="6" t="e">
        <f t="shared" si="234"/>
        <v>#DIV/0!</v>
      </c>
      <c r="Y474" s="6" t="e">
        <f t="shared" si="234"/>
        <v>#DIV/0!</v>
      </c>
      <c r="Z474" s="6" t="e">
        <f t="shared" si="234"/>
        <v>#DIV/0!</v>
      </c>
    </row>
    <row r="475" spans="1:26" x14ac:dyDescent="0.2">
      <c r="A475" s="7" t="s">
        <v>106</v>
      </c>
      <c r="B475" s="6">
        <f t="shared" si="224"/>
        <v>6</v>
      </c>
      <c r="C475" s="7" t="s">
        <v>156</v>
      </c>
      <c r="D475" s="69">
        <v>75</v>
      </c>
      <c r="E475" s="69">
        <v>54</v>
      </c>
      <c r="F475" s="66">
        <f t="shared" si="222"/>
        <v>0.72</v>
      </c>
      <c r="G475" s="61" t="e">
        <f t="shared" si="225"/>
        <v>#DIV/0!</v>
      </c>
      <c r="H475" s="66" t="e">
        <f t="shared" si="229"/>
        <v>#DIV/0!</v>
      </c>
      <c r="I475" s="66" t="e">
        <f t="shared" si="229"/>
        <v>#DIV/0!</v>
      </c>
      <c r="J475" s="66" t="e">
        <f t="shared" si="229"/>
        <v>#DIV/0!</v>
      </c>
      <c r="K475" s="70">
        <v>127560</v>
      </c>
      <c r="L475" s="70">
        <f>'Monitoramento Acumulado Geral'!Q475</f>
        <v>3600</v>
      </c>
      <c r="M475" s="6">
        <f>(SUM(L470:L475))/K474</f>
        <v>0.19853402320476637</v>
      </c>
      <c r="N475" s="35" t="str">
        <f t="shared" si="226"/>
        <v>Desempenho Médio</v>
      </c>
      <c r="O475" s="6">
        <f t="shared" si="235"/>
        <v>0.28403291059934432</v>
      </c>
      <c r="P475" s="6">
        <f t="shared" si="235"/>
        <v>0.56118246348434164</v>
      </c>
      <c r="Q475" s="6">
        <f t="shared" si="235"/>
        <v>6.8833577143469493E-3</v>
      </c>
      <c r="R475" s="70">
        <v>80</v>
      </c>
      <c r="S475" s="70">
        <v>0</v>
      </c>
      <c r="T475" s="6">
        <f t="shared" si="223"/>
        <v>0</v>
      </c>
      <c r="U475" s="35" t="e">
        <f t="shared" si="227"/>
        <v>#DIV/0!</v>
      </c>
      <c r="V475" s="6" t="e">
        <f t="shared" si="234"/>
        <v>#DIV/0!</v>
      </c>
      <c r="W475" s="6" t="e">
        <f t="shared" si="234"/>
        <v>#DIV/0!</v>
      </c>
      <c r="X475" s="6" t="e">
        <f t="shared" si="234"/>
        <v>#DIV/0!</v>
      </c>
      <c r="Y475" s="6" t="e">
        <f t="shared" si="234"/>
        <v>#DIV/0!</v>
      </c>
      <c r="Z475" s="6" t="e">
        <f t="shared" si="234"/>
        <v>#DIV/0!</v>
      </c>
    </row>
    <row r="476" spans="1:26" x14ac:dyDescent="0.2">
      <c r="A476" s="7" t="s">
        <v>106</v>
      </c>
      <c r="B476" s="6">
        <f t="shared" si="224"/>
        <v>7</v>
      </c>
      <c r="C476" s="7" t="s">
        <v>157</v>
      </c>
      <c r="D476" s="69">
        <v>75</v>
      </c>
      <c r="E476" s="69">
        <v>69</v>
      </c>
      <c r="F476" s="66">
        <f t="shared" si="222"/>
        <v>0.92</v>
      </c>
      <c r="G476" s="61" t="e">
        <f t="shared" si="225"/>
        <v>#DIV/0!</v>
      </c>
      <c r="H476" s="66" t="e">
        <f t="shared" si="229"/>
        <v>#DIV/0!</v>
      </c>
      <c r="I476" s="66" t="e">
        <f t="shared" si="229"/>
        <v>#DIV/0!</v>
      </c>
      <c r="J476" s="66" t="e">
        <f t="shared" si="229"/>
        <v>#DIV/0!</v>
      </c>
      <c r="K476" s="70">
        <v>127560</v>
      </c>
      <c r="L476" s="70">
        <f>'Monitoramento Acumulado Geral'!Q476</f>
        <v>8544</v>
      </c>
      <c r="M476" s="6">
        <f>(SUM(L470:L476))/K475</f>
        <v>0.26551426779554721</v>
      </c>
      <c r="N476" s="35" t="str">
        <f t="shared" si="226"/>
        <v>Desempenho Médio</v>
      </c>
      <c r="O476" s="6">
        <f t="shared" si="235"/>
        <v>0.42046470140126019</v>
      </c>
      <c r="P476" s="6">
        <f t="shared" si="235"/>
        <v>0.84574683442734511</v>
      </c>
      <c r="Q476" s="6">
        <f t="shared" si="235"/>
        <v>-4.8174316248247306E-3</v>
      </c>
      <c r="R476" s="70">
        <v>80</v>
      </c>
      <c r="S476" s="70">
        <v>0</v>
      </c>
      <c r="T476" s="6">
        <f t="shared" si="223"/>
        <v>0</v>
      </c>
      <c r="U476" s="35" t="e">
        <f t="shared" si="227"/>
        <v>#DIV/0!</v>
      </c>
      <c r="V476" s="6" t="e">
        <f t="shared" si="234"/>
        <v>#DIV/0!</v>
      </c>
      <c r="W476" s="6" t="e">
        <f t="shared" si="234"/>
        <v>#DIV/0!</v>
      </c>
      <c r="X476" s="6" t="e">
        <f t="shared" si="234"/>
        <v>#DIV/0!</v>
      </c>
      <c r="Y476" s="6" t="e">
        <f t="shared" si="234"/>
        <v>#DIV/0!</v>
      </c>
      <c r="Z476" s="6" t="e">
        <f t="shared" si="234"/>
        <v>#DIV/0!</v>
      </c>
    </row>
    <row r="477" spans="1:26" x14ac:dyDescent="0.2">
      <c r="A477" s="7" t="s">
        <v>106</v>
      </c>
      <c r="B477" s="6">
        <f t="shared" si="224"/>
        <v>8</v>
      </c>
      <c r="C477" s="7" t="s">
        <v>158</v>
      </c>
      <c r="D477" s="69">
        <v>75</v>
      </c>
      <c r="E477" s="69">
        <v>0</v>
      </c>
      <c r="F477" s="66">
        <f t="shared" si="222"/>
        <v>0</v>
      </c>
      <c r="G477" s="61" t="e">
        <f t="shared" si="225"/>
        <v>#DIV/0!</v>
      </c>
      <c r="H477" s="66" t="e">
        <f t="shared" si="229"/>
        <v>#DIV/0!</v>
      </c>
      <c r="I477" s="66" t="e">
        <f t="shared" si="229"/>
        <v>#DIV/0!</v>
      </c>
      <c r="J477" s="66" t="e">
        <f t="shared" si="229"/>
        <v>#DIV/0!</v>
      </c>
      <c r="K477" s="70">
        <v>127560</v>
      </c>
      <c r="L477" s="70">
        <f>'Monitoramento Acumulado Geral'!Q477</f>
        <v>0</v>
      </c>
      <c r="M477" s="6">
        <f>(SUM(L470:L477))/K476</f>
        <v>0.26551426779554721</v>
      </c>
      <c r="N477" s="35" t="str">
        <f t="shared" si="226"/>
        <v>Desempenho Médio</v>
      </c>
      <c r="O477" s="6">
        <f t="shared" si="235"/>
        <v>0.42046470140126019</v>
      </c>
      <c r="P477" s="6">
        <f t="shared" si="235"/>
        <v>0.84574683442734511</v>
      </c>
      <c r="Q477" s="6">
        <f t="shared" si="235"/>
        <v>-4.8174316248247306E-3</v>
      </c>
      <c r="R477" s="70">
        <v>80</v>
      </c>
      <c r="S477" s="70">
        <v>0</v>
      </c>
      <c r="T477" s="6">
        <f t="shared" si="223"/>
        <v>0</v>
      </c>
      <c r="U477" s="35" t="e">
        <f t="shared" si="227"/>
        <v>#DIV/0!</v>
      </c>
      <c r="V477" s="6" t="e">
        <f t="shared" si="234"/>
        <v>#DIV/0!</v>
      </c>
      <c r="W477" s="6" t="e">
        <f t="shared" si="234"/>
        <v>#DIV/0!</v>
      </c>
      <c r="X477" s="6" t="e">
        <f t="shared" si="234"/>
        <v>#DIV/0!</v>
      </c>
      <c r="Y477" s="6" t="e">
        <f t="shared" si="234"/>
        <v>#DIV/0!</v>
      </c>
      <c r="Z477" s="6" t="e">
        <f t="shared" si="234"/>
        <v>#DIV/0!</v>
      </c>
    </row>
    <row r="478" spans="1:26" x14ac:dyDescent="0.2">
      <c r="A478" s="7" t="s">
        <v>106</v>
      </c>
      <c r="B478" s="6">
        <f t="shared" si="224"/>
        <v>9</v>
      </c>
      <c r="C478" s="7" t="s">
        <v>159</v>
      </c>
      <c r="D478" s="69">
        <v>75</v>
      </c>
      <c r="E478" s="69">
        <v>0</v>
      </c>
      <c r="F478" s="66">
        <f t="shared" si="222"/>
        <v>0</v>
      </c>
      <c r="G478" s="61" t="e">
        <f t="shared" si="225"/>
        <v>#DIV/0!</v>
      </c>
      <c r="H478" s="66" t="e">
        <f t="shared" si="229"/>
        <v>#DIV/0!</v>
      </c>
      <c r="I478" s="66" t="e">
        <f t="shared" si="229"/>
        <v>#DIV/0!</v>
      </c>
      <c r="J478" s="66" t="e">
        <f t="shared" si="229"/>
        <v>#DIV/0!</v>
      </c>
      <c r="K478" s="70">
        <v>127560</v>
      </c>
      <c r="L478" s="70">
        <f>'Monitoramento Acumulado Geral'!Q478</f>
        <v>0</v>
      </c>
      <c r="M478" s="6">
        <f>(SUM(L470:L478))/K477</f>
        <v>0.26551426779554721</v>
      </c>
      <c r="N478" s="35" t="str">
        <f t="shared" si="226"/>
        <v>Desempenho Médio</v>
      </c>
      <c r="O478" s="6">
        <f t="shared" si="235"/>
        <v>0.42046470140126019</v>
      </c>
      <c r="P478" s="6">
        <f t="shared" si="235"/>
        <v>0.84574683442734511</v>
      </c>
      <c r="Q478" s="6">
        <f t="shared" si="235"/>
        <v>-4.8174316248247306E-3</v>
      </c>
      <c r="R478" s="70">
        <v>80</v>
      </c>
      <c r="S478" s="70">
        <v>0</v>
      </c>
      <c r="T478" s="6">
        <f t="shared" si="223"/>
        <v>0</v>
      </c>
      <c r="U478" s="35" t="e">
        <f t="shared" si="227"/>
        <v>#DIV/0!</v>
      </c>
      <c r="V478" s="6" t="e">
        <f t="shared" si="234"/>
        <v>#DIV/0!</v>
      </c>
      <c r="W478" s="6" t="e">
        <f t="shared" si="234"/>
        <v>#DIV/0!</v>
      </c>
      <c r="X478" s="6" t="e">
        <f t="shared" si="234"/>
        <v>#DIV/0!</v>
      </c>
      <c r="Y478" s="6" t="e">
        <f t="shared" si="234"/>
        <v>#DIV/0!</v>
      </c>
      <c r="Z478" s="6" t="e">
        <f t="shared" si="234"/>
        <v>#DIV/0!</v>
      </c>
    </row>
    <row r="479" spans="1:26" x14ac:dyDescent="0.2">
      <c r="A479" s="7" t="s">
        <v>106</v>
      </c>
      <c r="B479" s="6">
        <f t="shared" si="224"/>
        <v>10</v>
      </c>
      <c r="C479" s="7" t="s">
        <v>160</v>
      </c>
      <c r="D479" s="69">
        <v>75</v>
      </c>
      <c r="E479" s="69">
        <v>0</v>
      </c>
      <c r="F479" s="66">
        <f t="shared" si="222"/>
        <v>0</v>
      </c>
      <c r="G479" s="61" t="e">
        <f t="shared" si="225"/>
        <v>#DIV/0!</v>
      </c>
      <c r="H479" s="66" t="e">
        <f t="shared" si="229"/>
        <v>#DIV/0!</v>
      </c>
      <c r="I479" s="66" t="e">
        <f t="shared" si="229"/>
        <v>#DIV/0!</v>
      </c>
      <c r="J479" s="66" t="e">
        <f t="shared" si="229"/>
        <v>#DIV/0!</v>
      </c>
      <c r="K479" s="70">
        <v>127560</v>
      </c>
      <c r="L479" s="70">
        <f>'Monitoramento Acumulado Geral'!Q479</f>
        <v>0</v>
      </c>
      <c r="M479" s="6">
        <f>(SUM(L470:L479))/K478</f>
        <v>0.26551426779554721</v>
      </c>
      <c r="N479" s="35" t="str">
        <f t="shared" si="226"/>
        <v>Desempenho Médio</v>
      </c>
      <c r="O479" s="6">
        <f t="shared" si="235"/>
        <v>0.42046470140126019</v>
      </c>
      <c r="P479" s="6">
        <f t="shared" si="235"/>
        <v>0.84574683442734511</v>
      </c>
      <c r="Q479" s="6">
        <f t="shared" si="235"/>
        <v>-4.8174316248247306E-3</v>
      </c>
      <c r="R479" s="70">
        <v>80</v>
      </c>
      <c r="S479" s="70">
        <v>0</v>
      </c>
      <c r="T479" s="6">
        <f t="shared" si="223"/>
        <v>0</v>
      </c>
      <c r="U479" s="35" t="e">
        <f t="shared" si="227"/>
        <v>#DIV/0!</v>
      </c>
      <c r="V479" s="6" t="e">
        <f t="shared" si="234"/>
        <v>#DIV/0!</v>
      </c>
      <c r="W479" s="6" t="e">
        <f t="shared" si="234"/>
        <v>#DIV/0!</v>
      </c>
      <c r="X479" s="6" t="e">
        <f t="shared" si="234"/>
        <v>#DIV/0!</v>
      </c>
      <c r="Y479" s="6" t="e">
        <f t="shared" si="234"/>
        <v>#DIV/0!</v>
      </c>
      <c r="Z479" s="6" t="e">
        <f t="shared" si="234"/>
        <v>#DIV/0!</v>
      </c>
    </row>
    <row r="480" spans="1:26" x14ac:dyDescent="0.2">
      <c r="A480" s="7" t="s">
        <v>106</v>
      </c>
      <c r="B480" s="6">
        <f t="shared" si="224"/>
        <v>11</v>
      </c>
      <c r="C480" s="7" t="s">
        <v>161</v>
      </c>
      <c r="D480" s="69">
        <v>75</v>
      </c>
      <c r="E480" s="69">
        <v>0</v>
      </c>
      <c r="F480" s="66">
        <f t="shared" si="222"/>
        <v>0</v>
      </c>
      <c r="G480" s="61" t="e">
        <f t="shared" si="225"/>
        <v>#DIV/0!</v>
      </c>
      <c r="H480" s="66" t="e">
        <f t="shared" si="229"/>
        <v>#DIV/0!</v>
      </c>
      <c r="I480" s="66" t="e">
        <f t="shared" si="229"/>
        <v>#DIV/0!</v>
      </c>
      <c r="J480" s="66" t="e">
        <f t="shared" si="229"/>
        <v>#DIV/0!</v>
      </c>
      <c r="K480" s="70">
        <v>127560</v>
      </c>
      <c r="L480" s="70">
        <f>'Monitoramento Acumulado Geral'!Q480</f>
        <v>0</v>
      </c>
      <c r="M480" s="6">
        <f>(SUM(L470:L480))/K479</f>
        <v>0.26551426779554721</v>
      </c>
      <c r="N480" s="35" t="str">
        <f t="shared" si="226"/>
        <v>Desempenho Médio</v>
      </c>
      <c r="O480" s="6">
        <f t="shared" si="235"/>
        <v>0.42046470140126019</v>
      </c>
      <c r="P480" s="6">
        <f t="shared" si="235"/>
        <v>0.84574683442734511</v>
      </c>
      <c r="Q480" s="6">
        <f t="shared" si="235"/>
        <v>-4.8174316248247306E-3</v>
      </c>
      <c r="R480" s="70">
        <v>80</v>
      </c>
      <c r="S480" s="70">
        <v>0</v>
      </c>
      <c r="T480" s="6">
        <f t="shared" si="223"/>
        <v>0</v>
      </c>
      <c r="U480" s="35" t="e">
        <f t="shared" si="227"/>
        <v>#DIV/0!</v>
      </c>
      <c r="V480" s="6" t="e">
        <f t="shared" si="234"/>
        <v>#DIV/0!</v>
      </c>
      <c r="W480" s="6" t="e">
        <f t="shared" si="234"/>
        <v>#DIV/0!</v>
      </c>
      <c r="X480" s="6" t="e">
        <f t="shared" si="234"/>
        <v>#DIV/0!</v>
      </c>
      <c r="Y480" s="6" t="e">
        <f t="shared" si="234"/>
        <v>#DIV/0!</v>
      </c>
      <c r="Z480" s="6" t="e">
        <f t="shared" si="234"/>
        <v>#DIV/0!</v>
      </c>
    </row>
    <row r="481" spans="1:26" x14ac:dyDescent="0.2">
      <c r="A481" s="7" t="s">
        <v>106</v>
      </c>
      <c r="B481" s="6">
        <f t="shared" si="224"/>
        <v>12</v>
      </c>
      <c r="C481" s="7" t="s">
        <v>162</v>
      </c>
      <c r="D481" s="69">
        <v>75</v>
      </c>
      <c r="E481" s="69">
        <v>0</v>
      </c>
      <c r="F481" s="66">
        <f t="shared" si="222"/>
        <v>0</v>
      </c>
      <c r="G481" s="61" t="e">
        <f t="shared" si="225"/>
        <v>#DIV/0!</v>
      </c>
      <c r="H481" s="66" t="e">
        <f t="shared" si="229"/>
        <v>#DIV/0!</v>
      </c>
      <c r="I481" s="66" t="e">
        <f t="shared" si="229"/>
        <v>#DIV/0!</v>
      </c>
      <c r="J481" s="66" t="e">
        <f t="shared" si="229"/>
        <v>#DIV/0!</v>
      </c>
      <c r="K481" s="70">
        <v>127560</v>
      </c>
      <c r="L481" s="70">
        <f>'Monitoramento Acumulado Geral'!Q481</f>
        <v>0</v>
      </c>
      <c r="M481" s="6">
        <f>(SUM(L470:L481))/K480</f>
        <v>0.26551426779554721</v>
      </c>
      <c r="N481" s="35" t="str">
        <f t="shared" si="226"/>
        <v>Desempenho Médio</v>
      </c>
      <c r="O481" s="6">
        <f t="shared" si="235"/>
        <v>0.41824651958307835</v>
      </c>
      <c r="P481" s="6">
        <f t="shared" si="235"/>
        <v>0.84510274859297763</v>
      </c>
      <c r="Q481" s="6">
        <f t="shared" si="235"/>
        <v>-8.6097094268208774E-3</v>
      </c>
      <c r="R481" s="70">
        <v>80</v>
      </c>
      <c r="S481" s="70">
        <v>0</v>
      </c>
      <c r="T481" s="6">
        <f t="shared" si="223"/>
        <v>0</v>
      </c>
      <c r="U481" s="35" t="e">
        <f t="shared" si="227"/>
        <v>#DIV/0!</v>
      </c>
      <c r="V481" s="6" t="e">
        <f t="shared" si="234"/>
        <v>#DIV/0!</v>
      </c>
      <c r="W481" s="6" t="e">
        <f t="shared" si="234"/>
        <v>#DIV/0!</v>
      </c>
      <c r="X481" s="6" t="e">
        <f t="shared" si="234"/>
        <v>#DIV/0!</v>
      </c>
      <c r="Y481" s="6" t="e">
        <f t="shared" si="234"/>
        <v>#DIV/0!</v>
      </c>
      <c r="Z481" s="6" t="e">
        <f t="shared" si="234"/>
        <v>#DIV/0!</v>
      </c>
    </row>
    <row r="482" spans="1:26" x14ac:dyDescent="0.2">
      <c r="A482" s="7" t="s">
        <v>31</v>
      </c>
      <c r="B482" s="6">
        <f t="shared" si="224"/>
        <v>1</v>
      </c>
      <c r="C482" s="7" t="s">
        <v>151</v>
      </c>
      <c r="D482" s="69">
        <v>75</v>
      </c>
      <c r="E482" s="69">
        <v>0</v>
      </c>
      <c r="F482" s="66">
        <f t="shared" si="222"/>
        <v>0</v>
      </c>
      <c r="G482" s="61" t="e">
        <f t="shared" si="225"/>
        <v>#DIV/0!</v>
      </c>
      <c r="H482" s="66" t="e">
        <f t="shared" si="229"/>
        <v>#DIV/0!</v>
      </c>
      <c r="I482" s="66" t="e">
        <f t="shared" si="229"/>
        <v>#DIV/0!</v>
      </c>
      <c r="J482" s="66" t="e">
        <f t="shared" si="229"/>
        <v>#DIV/0!</v>
      </c>
      <c r="K482" s="70">
        <v>7025</v>
      </c>
      <c r="L482" s="70">
        <f>'Monitoramento Acumulado Geral'!Q482</f>
        <v>0</v>
      </c>
      <c r="M482" s="6">
        <f>L482/K482</f>
        <v>0</v>
      </c>
      <c r="N482" s="35" t="str">
        <f t="shared" si="226"/>
        <v>Desempenho Médio</v>
      </c>
      <c r="O482" s="6">
        <f t="shared" si="235"/>
        <v>3.4274647562211005E-2</v>
      </c>
      <c r="P482" s="6">
        <f t="shared" si="235"/>
        <v>0.10289217685709087</v>
      </c>
      <c r="Q482" s="6">
        <f t="shared" si="235"/>
        <v>-3.4342881732668862E-2</v>
      </c>
      <c r="R482" s="70">
        <v>60</v>
      </c>
      <c r="S482" s="70">
        <v>0</v>
      </c>
      <c r="T482" s="6">
        <f t="shared" si="223"/>
        <v>0</v>
      </c>
      <c r="U482" s="35" t="e">
        <f t="shared" si="227"/>
        <v>#DIV/0!</v>
      </c>
      <c r="V482" s="6" t="e">
        <f t="shared" si="234"/>
        <v>#DIV/0!</v>
      </c>
      <c r="W482" s="6" t="e">
        <f t="shared" si="234"/>
        <v>#DIV/0!</v>
      </c>
      <c r="X482" s="6" t="e">
        <f t="shared" si="234"/>
        <v>#DIV/0!</v>
      </c>
      <c r="Y482" s="6" t="e">
        <f t="shared" si="234"/>
        <v>#DIV/0!</v>
      </c>
      <c r="Z482" s="6" t="e">
        <f t="shared" si="234"/>
        <v>#DIV/0!</v>
      </c>
    </row>
    <row r="483" spans="1:26" x14ac:dyDescent="0.2">
      <c r="A483" s="7" t="s">
        <v>31</v>
      </c>
      <c r="B483" s="6">
        <f t="shared" si="224"/>
        <v>2</v>
      </c>
      <c r="C483" s="7" t="s">
        <v>152</v>
      </c>
      <c r="D483" s="69">
        <v>75</v>
      </c>
      <c r="E483" s="69">
        <v>0</v>
      </c>
      <c r="F483" s="66">
        <f t="shared" si="222"/>
        <v>0</v>
      </c>
      <c r="G483" s="61" t="e">
        <f t="shared" si="225"/>
        <v>#DIV/0!</v>
      </c>
      <c r="H483" s="66" t="e">
        <f t="shared" si="229"/>
        <v>#DIV/0!</v>
      </c>
      <c r="I483" s="66" t="e">
        <f t="shared" si="229"/>
        <v>#DIV/0!</v>
      </c>
      <c r="J483" s="66" t="e">
        <f t="shared" si="229"/>
        <v>#DIV/0!</v>
      </c>
      <c r="K483" s="70">
        <v>7025</v>
      </c>
      <c r="L483" s="70">
        <f>'Monitoramento Acumulado Geral'!Q483</f>
        <v>0</v>
      </c>
      <c r="M483" s="6">
        <f>(SUM(L482:L483))/K482</f>
        <v>0</v>
      </c>
      <c r="N483" s="35" t="str">
        <f t="shared" si="226"/>
        <v>Desempenho Médio</v>
      </c>
      <c r="O483" s="6">
        <f t="shared" si="235"/>
        <v>8.1815188943147363E-2</v>
      </c>
      <c r="P483" s="6">
        <f t="shared" si="235"/>
        <v>0.20623883252423067</v>
      </c>
      <c r="Q483" s="6">
        <f t="shared" si="235"/>
        <v>-4.2608454637935944E-2</v>
      </c>
      <c r="R483" s="70">
        <v>60</v>
      </c>
      <c r="S483" s="70">
        <v>0</v>
      </c>
      <c r="T483" s="6">
        <f t="shared" si="223"/>
        <v>0</v>
      </c>
      <c r="U483" s="35" t="e">
        <f t="shared" si="227"/>
        <v>#DIV/0!</v>
      </c>
      <c r="V483" s="6" t="e">
        <f t="shared" ref="V483:Z498" si="236">V471</f>
        <v>#DIV/0!</v>
      </c>
      <c r="W483" s="6" t="e">
        <f t="shared" si="236"/>
        <v>#DIV/0!</v>
      </c>
      <c r="X483" s="6" t="e">
        <f t="shared" si="236"/>
        <v>#DIV/0!</v>
      </c>
      <c r="Y483" s="6" t="e">
        <f t="shared" si="236"/>
        <v>#DIV/0!</v>
      </c>
      <c r="Z483" s="6" t="e">
        <f t="shared" si="236"/>
        <v>#DIV/0!</v>
      </c>
    </row>
    <row r="484" spans="1:26" x14ac:dyDescent="0.2">
      <c r="A484" s="7" t="s">
        <v>31</v>
      </c>
      <c r="B484" s="6">
        <f t="shared" si="224"/>
        <v>3</v>
      </c>
      <c r="C484" s="7" t="s">
        <v>153</v>
      </c>
      <c r="D484" s="69">
        <v>75</v>
      </c>
      <c r="E484" s="69">
        <v>0</v>
      </c>
      <c r="F484" s="66">
        <f t="shared" si="222"/>
        <v>0</v>
      </c>
      <c r="G484" s="61" t="e">
        <f t="shared" si="225"/>
        <v>#DIV/0!</v>
      </c>
      <c r="H484" s="66" t="e">
        <f t="shared" si="229"/>
        <v>#DIV/0!</v>
      </c>
      <c r="I484" s="66" t="e">
        <f t="shared" si="229"/>
        <v>#DIV/0!</v>
      </c>
      <c r="J484" s="66" t="e">
        <f t="shared" si="229"/>
        <v>#DIV/0!</v>
      </c>
      <c r="K484" s="70">
        <v>7025</v>
      </c>
      <c r="L484" s="70">
        <f>'Monitoramento Acumulado Geral'!Q484</f>
        <v>0</v>
      </c>
      <c r="M484" s="6">
        <f>(SUM(L482:L484))/K483</f>
        <v>0</v>
      </c>
      <c r="N484" s="35" t="str">
        <f t="shared" si="226"/>
        <v>Desempenho Médio</v>
      </c>
      <c r="O484" s="6">
        <f t="shared" si="235"/>
        <v>0.13411292471649494</v>
      </c>
      <c r="P484" s="6">
        <f t="shared" si="235"/>
        <v>0.29721906787058483</v>
      </c>
      <c r="Q484" s="6">
        <f t="shared" si="235"/>
        <v>-2.899321843759492E-2</v>
      </c>
      <c r="R484" s="70">
        <v>60</v>
      </c>
      <c r="S484" s="70">
        <v>0</v>
      </c>
      <c r="T484" s="6">
        <f t="shared" si="223"/>
        <v>0</v>
      </c>
      <c r="U484" s="35" t="e">
        <f t="shared" si="227"/>
        <v>#DIV/0!</v>
      </c>
      <c r="V484" s="6" t="e">
        <f t="shared" si="236"/>
        <v>#DIV/0!</v>
      </c>
      <c r="W484" s="6" t="e">
        <f t="shared" si="236"/>
        <v>#DIV/0!</v>
      </c>
      <c r="X484" s="6" t="e">
        <f t="shared" si="236"/>
        <v>#DIV/0!</v>
      </c>
      <c r="Y484" s="6" t="e">
        <f t="shared" si="236"/>
        <v>#DIV/0!</v>
      </c>
      <c r="Z484" s="6" t="e">
        <f t="shared" si="236"/>
        <v>#DIV/0!</v>
      </c>
    </row>
    <row r="485" spans="1:26" x14ac:dyDescent="0.2">
      <c r="A485" s="7" t="s">
        <v>31</v>
      </c>
      <c r="B485" s="6">
        <f t="shared" si="224"/>
        <v>4</v>
      </c>
      <c r="C485" s="7" t="s">
        <v>154</v>
      </c>
      <c r="D485" s="69">
        <v>75</v>
      </c>
      <c r="E485" s="69">
        <v>0</v>
      </c>
      <c r="F485" s="66">
        <f t="shared" si="222"/>
        <v>0</v>
      </c>
      <c r="G485" s="61" t="e">
        <f t="shared" si="225"/>
        <v>#DIV/0!</v>
      </c>
      <c r="H485" s="66" t="e">
        <f t="shared" si="229"/>
        <v>#DIV/0!</v>
      </c>
      <c r="I485" s="66" t="e">
        <f t="shared" si="229"/>
        <v>#DIV/0!</v>
      </c>
      <c r="J485" s="66" t="e">
        <f t="shared" si="229"/>
        <v>#DIV/0!</v>
      </c>
      <c r="K485" s="70">
        <v>7025</v>
      </c>
      <c r="L485" s="70">
        <f>'Monitoramento Acumulado Geral'!Q485</f>
        <v>0</v>
      </c>
      <c r="M485" s="6">
        <f>(SUM(L482:L485))/K484</f>
        <v>0</v>
      </c>
      <c r="N485" s="35" t="str">
        <f t="shared" si="226"/>
        <v>Desempenho Médio</v>
      </c>
      <c r="O485" s="6">
        <f t="shared" si="235"/>
        <v>0.15392483870093213</v>
      </c>
      <c r="P485" s="6">
        <f t="shared" si="235"/>
        <v>0.32772007016950033</v>
      </c>
      <c r="Q485" s="6">
        <f t="shared" si="235"/>
        <v>-1.9870392767636053E-2</v>
      </c>
      <c r="R485" s="70">
        <v>60</v>
      </c>
      <c r="S485" s="70">
        <v>0</v>
      </c>
      <c r="T485" s="6">
        <f t="shared" si="223"/>
        <v>0</v>
      </c>
      <c r="U485" s="35" t="e">
        <f t="shared" si="227"/>
        <v>#DIV/0!</v>
      </c>
      <c r="V485" s="6" t="e">
        <f t="shared" si="236"/>
        <v>#DIV/0!</v>
      </c>
      <c r="W485" s="6" t="e">
        <f t="shared" si="236"/>
        <v>#DIV/0!</v>
      </c>
      <c r="X485" s="6" t="e">
        <f t="shared" si="236"/>
        <v>#DIV/0!</v>
      </c>
      <c r="Y485" s="6" t="e">
        <f t="shared" si="236"/>
        <v>#DIV/0!</v>
      </c>
      <c r="Z485" s="6" t="e">
        <f t="shared" si="236"/>
        <v>#DIV/0!</v>
      </c>
    </row>
    <row r="486" spans="1:26" x14ac:dyDescent="0.2">
      <c r="A486" s="7" t="s">
        <v>31</v>
      </c>
      <c r="B486" s="6">
        <f t="shared" si="224"/>
        <v>5</v>
      </c>
      <c r="C486" s="7" t="s">
        <v>155</v>
      </c>
      <c r="D486" s="69">
        <v>75</v>
      </c>
      <c r="E486" s="69">
        <v>0</v>
      </c>
      <c r="F486" s="66">
        <f t="shared" ref="F486:F549" si="237">E486/D486</f>
        <v>0</v>
      </c>
      <c r="G486" s="61" t="e">
        <f t="shared" si="225"/>
        <v>#DIV/0!</v>
      </c>
      <c r="H486" s="66" t="e">
        <f t="shared" si="229"/>
        <v>#DIV/0!</v>
      </c>
      <c r="I486" s="66" t="e">
        <f t="shared" si="229"/>
        <v>#DIV/0!</v>
      </c>
      <c r="J486" s="66" t="e">
        <f t="shared" si="229"/>
        <v>#DIV/0!</v>
      </c>
      <c r="K486" s="70">
        <v>7025</v>
      </c>
      <c r="L486" s="70">
        <f>'Monitoramento Acumulado Geral'!Q486</f>
        <v>0</v>
      </c>
      <c r="M486" s="6">
        <f>(SUM(L482:L486))/K485</f>
        <v>0</v>
      </c>
      <c r="N486" s="35" t="str">
        <f t="shared" si="226"/>
        <v>Desempenho Médio</v>
      </c>
      <c r="O486" s="6">
        <f t="shared" si="235"/>
        <v>0.21139287248463789</v>
      </c>
      <c r="P486" s="6">
        <f t="shared" si="235"/>
        <v>0.43680804416292918</v>
      </c>
      <c r="Q486" s="6">
        <f t="shared" si="235"/>
        <v>-1.4022299193653387E-2</v>
      </c>
      <c r="R486" s="70">
        <v>60</v>
      </c>
      <c r="S486" s="70">
        <v>0</v>
      </c>
      <c r="T486" s="6">
        <f t="shared" ref="T486:T549" si="238">S486/R486</f>
        <v>0</v>
      </c>
      <c r="U486" s="35" t="e">
        <f t="shared" si="227"/>
        <v>#DIV/0!</v>
      </c>
      <c r="V486" s="6" t="e">
        <f t="shared" si="236"/>
        <v>#DIV/0!</v>
      </c>
      <c r="W486" s="6" t="e">
        <f t="shared" si="236"/>
        <v>#DIV/0!</v>
      </c>
      <c r="X486" s="6" t="e">
        <f t="shared" si="236"/>
        <v>#DIV/0!</v>
      </c>
      <c r="Y486" s="6" t="e">
        <f t="shared" si="236"/>
        <v>#DIV/0!</v>
      </c>
      <c r="Z486" s="6" t="e">
        <f t="shared" si="236"/>
        <v>#DIV/0!</v>
      </c>
    </row>
    <row r="487" spans="1:26" x14ac:dyDescent="0.2">
      <c r="A487" s="7" t="s">
        <v>31</v>
      </c>
      <c r="B487" s="6">
        <f t="shared" ref="B487:B550" si="239">_xlfn.IFS(C487="Janeiro",1,C487="Fevereiro",2,C487="Março",3,C487="Abril",4,C487="Maio",5,C487="Junho",6,C487="Julho",7,C487="Agosto",8,C487="Setembro",9,C487="Outubro",10,C487="Novembro",11,C487="Dezembro",12,TRUE,0)</f>
        <v>6</v>
      </c>
      <c r="C487" s="7" t="s">
        <v>156</v>
      </c>
      <c r="D487" s="69">
        <v>75</v>
      </c>
      <c r="E487" s="69">
        <v>21</v>
      </c>
      <c r="F487" s="66">
        <f t="shared" si="237"/>
        <v>0.28000000000000003</v>
      </c>
      <c r="G487" s="61" t="e">
        <f t="shared" ref="G487:G550" si="240">IF(F487&gt;=I487,"Desempenho Ótimo",(IF(F487&gt;H487,"Desempenho Bom",(IF(F487&gt;J487,"Desempenho Médio",IF(F487&lt;=J487,"Desempenho Deficitário",0))))))</f>
        <v>#DIV/0!</v>
      </c>
      <c r="H487" s="66" t="e">
        <f t="shared" si="229"/>
        <v>#DIV/0!</v>
      </c>
      <c r="I487" s="66" t="e">
        <f t="shared" si="229"/>
        <v>#DIV/0!</v>
      </c>
      <c r="J487" s="66" t="e">
        <f t="shared" si="229"/>
        <v>#DIV/0!</v>
      </c>
      <c r="K487" s="70">
        <v>7025</v>
      </c>
      <c r="L487" s="70">
        <f>'Monitoramento Acumulado Geral'!Q487</f>
        <v>977.4</v>
      </c>
      <c r="M487" s="6">
        <f>(SUM(L482:L487))/K486</f>
        <v>0.13913167259786477</v>
      </c>
      <c r="N487" s="35" t="str">
        <f t="shared" ref="N487:N550" si="241">IF(M487&gt;=P487,"Desempenho Ótimo",(IF(M487&gt;O487,"Desempenho Bom",(IF(M487&gt;Q487,"Desempenho Médio",IF(M487&lt;=Q487,"Desempenho Deficitário",0))))))</f>
        <v>Desempenho Médio</v>
      </c>
      <c r="O487" s="6">
        <f t="shared" si="235"/>
        <v>0.28403291059934432</v>
      </c>
      <c r="P487" s="6">
        <f t="shared" si="235"/>
        <v>0.56118246348434164</v>
      </c>
      <c r="Q487" s="6">
        <f t="shared" si="235"/>
        <v>6.8833577143469493E-3</v>
      </c>
      <c r="R487" s="70">
        <v>60</v>
      </c>
      <c r="S487" s="70">
        <v>0</v>
      </c>
      <c r="T487" s="6">
        <f t="shared" si="238"/>
        <v>0</v>
      </c>
      <c r="U487" s="35" t="e">
        <f t="shared" ref="U487:U550" si="242">IF(T487&gt;=W487,"Desempenho Ótimo",(IF(T487&gt;V487,"Desempenho Bom",(IF(T487&gt;X487,"Desempenho Médio",IF(T487&lt;=X487,"Desempenho Deficitário",0))))))</f>
        <v>#DIV/0!</v>
      </c>
      <c r="V487" s="6" t="e">
        <f t="shared" si="236"/>
        <v>#DIV/0!</v>
      </c>
      <c r="W487" s="6" t="e">
        <f t="shared" si="236"/>
        <v>#DIV/0!</v>
      </c>
      <c r="X487" s="6" t="e">
        <f t="shared" si="236"/>
        <v>#DIV/0!</v>
      </c>
      <c r="Y487" s="6" t="e">
        <f t="shared" si="236"/>
        <v>#DIV/0!</v>
      </c>
      <c r="Z487" s="6" t="e">
        <f t="shared" si="236"/>
        <v>#DIV/0!</v>
      </c>
    </row>
    <row r="488" spans="1:26" x14ac:dyDescent="0.2">
      <c r="A488" s="7" t="s">
        <v>31</v>
      </c>
      <c r="B488" s="6">
        <f t="shared" si="239"/>
        <v>7</v>
      </c>
      <c r="C488" s="7" t="s">
        <v>157</v>
      </c>
      <c r="D488" s="69">
        <v>75</v>
      </c>
      <c r="E488" s="69">
        <v>21</v>
      </c>
      <c r="F488" s="66">
        <f t="shared" si="237"/>
        <v>0.28000000000000003</v>
      </c>
      <c r="G488" s="61" t="e">
        <f t="shared" si="240"/>
        <v>#DIV/0!</v>
      </c>
      <c r="H488" s="66" t="e">
        <f t="shared" si="229"/>
        <v>#DIV/0!</v>
      </c>
      <c r="I488" s="66" t="e">
        <f t="shared" si="229"/>
        <v>#DIV/0!</v>
      </c>
      <c r="J488" s="66" t="e">
        <f t="shared" si="229"/>
        <v>#DIV/0!</v>
      </c>
      <c r="K488" s="70">
        <v>7025</v>
      </c>
      <c r="L488" s="70">
        <f>'Monitoramento Acumulado Geral'!Q488</f>
        <v>0</v>
      </c>
      <c r="M488" s="6">
        <f>(SUM(L482:L488))/K487</f>
        <v>0.13913167259786477</v>
      </c>
      <c r="N488" s="35" t="str">
        <f t="shared" si="241"/>
        <v>Desempenho Médio</v>
      </c>
      <c r="O488" s="6">
        <f t="shared" si="235"/>
        <v>0.42046470140126019</v>
      </c>
      <c r="P488" s="6">
        <f t="shared" si="235"/>
        <v>0.84574683442734511</v>
      </c>
      <c r="Q488" s="6">
        <f t="shared" si="235"/>
        <v>-4.8174316248247306E-3</v>
      </c>
      <c r="R488" s="70">
        <v>60</v>
      </c>
      <c r="S488" s="70">
        <v>0</v>
      </c>
      <c r="T488" s="6">
        <f t="shared" si="238"/>
        <v>0</v>
      </c>
      <c r="U488" s="35" t="e">
        <f t="shared" si="242"/>
        <v>#DIV/0!</v>
      </c>
      <c r="V488" s="6" t="e">
        <f t="shared" si="236"/>
        <v>#DIV/0!</v>
      </c>
      <c r="W488" s="6" t="e">
        <f t="shared" si="236"/>
        <v>#DIV/0!</v>
      </c>
      <c r="X488" s="6" t="e">
        <f t="shared" si="236"/>
        <v>#DIV/0!</v>
      </c>
      <c r="Y488" s="6" t="e">
        <f t="shared" si="236"/>
        <v>#DIV/0!</v>
      </c>
      <c r="Z488" s="6" t="e">
        <f t="shared" si="236"/>
        <v>#DIV/0!</v>
      </c>
    </row>
    <row r="489" spans="1:26" x14ac:dyDescent="0.2">
      <c r="A489" s="7" t="s">
        <v>31</v>
      </c>
      <c r="B489" s="6">
        <f t="shared" si="239"/>
        <v>8</v>
      </c>
      <c r="C489" s="7" t="s">
        <v>158</v>
      </c>
      <c r="D489" s="69">
        <v>75</v>
      </c>
      <c r="E489" s="69">
        <v>0</v>
      </c>
      <c r="F489" s="66">
        <f t="shared" si="237"/>
        <v>0</v>
      </c>
      <c r="G489" s="61" t="e">
        <f t="shared" si="240"/>
        <v>#DIV/0!</v>
      </c>
      <c r="H489" s="66" t="e">
        <f t="shared" si="229"/>
        <v>#DIV/0!</v>
      </c>
      <c r="I489" s="66" t="e">
        <f t="shared" si="229"/>
        <v>#DIV/0!</v>
      </c>
      <c r="J489" s="66" t="e">
        <f t="shared" si="229"/>
        <v>#DIV/0!</v>
      </c>
      <c r="K489" s="70">
        <v>7025</v>
      </c>
      <c r="L489" s="70">
        <f>'Monitoramento Acumulado Geral'!Q489</f>
        <v>0</v>
      </c>
      <c r="M489" s="6">
        <f>(SUM(L482:L489))/K488</f>
        <v>0.13913167259786477</v>
      </c>
      <c r="N489" s="35" t="str">
        <f t="shared" si="241"/>
        <v>Desempenho Médio</v>
      </c>
      <c r="O489" s="6">
        <f t="shared" si="235"/>
        <v>0.42046470140126019</v>
      </c>
      <c r="P489" s="6">
        <f t="shared" si="235"/>
        <v>0.84574683442734511</v>
      </c>
      <c r="Q489" s="6">
        <f t="shared" si="235"/>
        <v>-4.8174316248247306E-3</v>
      </c>
      <c r="R489" s="70">
        <v>60</v>
      </c>
      <c r="S489" s="70">
        <v>0</v>
      </c>
      <c r="T489" s="6">
        <f t="shared" si="238"/>
        <v>0</v>
      </c>
      <c r="U489" s="35" t="e">
        <f t="shared" si="242"/>
        <v>#DIV/0!</v>
      </c>
      <c r="V489" s="6" t="e">
        <f t="shared" si="236"/>
        <v>#DIV/0!</v>
      </c>
      <c r="W489" s="6" t="e">
        <f t="shared" si="236"/>
        <v>#DIV/0!</v>
      </c>
      <c r="X489" s="6" t="e">
        <f t="shared" si="236"/>
        <v>#DIV/0!</v>
      </c>
      <c r="Y489" s="6" t="e">
        <f t="shared" si="236"/>
        <v>#DIV/0!</v>
      </c>
      <c r="Z489" s="6" t="e">
        <f t="shared" si="236"/>
        <v>#DIV/0!</v>
      </c>
    </row>
    <row r="490" spans="1:26" x14ac:dyDescent="0.2">
      <c r="A490" s="7" t="s">
        <v>31</v>
      </c>
      <c r="B490" s="6">
        <f t="shared" si="239"/>
        <v>9</v>
      </c>
      <c r="C490" s="7" t="s">
        <v>159</v>
      </c>
      <c r="D490" s="69">
        <v>75</v>
      </c>
      <c r="E490" s="69">
        <v>0</v>
      </c>
      <c r="F490" s="66">
        <f t="shared" si="237"/>
        <v>0</v>
      </c>
      <c r="G490" s="61" t="e">
        <f t="shared" si="240"/>
        <v>#DIV/0!</v>
      </c>
      <c r="H490" s="66" t="e">
        <f t="shared" si="229"/>
        <v>#DIV/0!</v>
      </c>
      <c r="I490" s="66" t="e">
        <f t="shared" si="229"/>
        <v>#DIV/0!</v>
      </c>
      <c r="J490" s="66" t="e">
        <f t="shared" si="229"/>
        <v>#DIV/0!</v>
      </c>
      <c r="K490" s="70">
        <v>7025</v>
      </c>
      <c r="L490" s="70">
        <f>'Monitoramento Acumulado Geral'!Q490</f>
        <v>0</v>
      </c>
      <c r="M490" s="6">
        <f>(SUM(L482:L490))/K489</f>
        <v>0.13913167259786477</v>
      </c>
      <c r="N490" s="35" t="str">
        <f t="shared" si="241"/>
        <v>Desempenho Médio</v>
      </c>
      <c r="O490" s="6">
        <f t="shared" ref="O490:Q505" si="243">O478</f>
        <v>0.42046470140126019</v>
      </c>
      <c r="P490" s="6">
        <f t="shared" si="243"/>
        <v>0.84574683442734511</v>
      </c>
      <c r="Q490" s="6">
        <f t="shared" si="243"/>
        <v>-4.8174316248247306E-3</v>
      </c>
      <c r="R490" s="70">
        <v>60</v>
      </c>
      <c r="S490" s="70">
        <v>0</v>
      </c>
      <c r="T490" s="6">
        <f t="shared" si="238"/>
        <v>0</v>
      </c>
      <c r="U490" s="35" t="e">
        <f t="shared" si="242"/>
        <v>#DIV/0!</v>
      </c>
      <c r="V490" s="6" t="e">
        <f t="shared" si="236"/>
        <v>#DIV/0!</v>
      </c>
      <c r="W490" s="6" t="e">
        <f t="shared" si="236"/>
        <v>#DIV/0!</v>
      </c>
      <c r="X490" s="6" t="e">
        <f t="shared" si="236"/>
        <v>#DIV/0!</v>
      </c>
      <c r="Y490" s="6" t="e">
        <f t="shared" si="236"/>
        <v>#DIV/0!</v>
      </c>
      <c r="Z490" s="6" t="e">
        <f t="shared" si="236"/>
        <v>#DIV/0!</v>
      </c>
    </row>
    <row r="491" spans="1:26" x14ac:dyDescent="0.2">
      <c r="A491" s="7" t="s">
        <v>31</v>
      </c>
      <c r="B491" s="6">
        <f t="shared" si="239"/>
        <v>10</v>
      </c>
      <c r="C491" s="7" t="s">
        <v>160</v>
      </c>
      <c r="D491" s="69">
        <v>75</v>
      </c>
      <c r="E491" s="69">
        <v>0</v>
      </c>
      <c r="F491" s="66">
        <f t="shared" si="237"/>
        <v>0</v>
      </c>
      <c r="G491" s="61" t="e">
        <f t="shared" si="240"/>
        <v>#DIV/0!</v>
      </c>
      <c r="H491" s="66" t="e">
        <f t="shared" si="229"/>
        <v>#DIV/0!</v>
      </c>
      <c r="I491" s="66" t="e">
        <f t="shared" si="229"/>
        <v>#DIV/0!</v>
      </c>
      <c r="J491" s="66" t="e">
        <f t="shared" si="229"/>
        <v>#DIV/0!</v>
      </c>
      <c r="K491" s="70">
        <v>7025</v>
      </c>
      <c r="L491" s="70">
        <f>'Monitoramento Acumulado Geral'!Q491</f>
        <v>0</v>
      </c>
      <c r="M491" s="6">
        <f>(SUM(L482:L491))/K490</f>
        <v>0.13913167259786477</v>
      </c>
      <c r="N491" s="35" t="str">
        <f t="shared" si="241"/>
        <v>Desempenho Médio</v>
      </c>
      <c r="O491" s="6">
        <f t="shared" si="243"/>
        <v>0.42046470140126019</v>
      </c>
      <c r="P491" s="6">
        <f t="shared" si="243"/>
        <v>0.84574683442734511</v>
      </c>
      <c r="Q491" s="6">
        <f t="shared" si="243"/>
        <v>-4.8174316248247306E-3</v>
      </c>
      <c r="R491" s="70">
        <v>60</v>
      </c>
      <c r="S491" s="70">
        <v>0</v>
      </c>
      <c r="T491" s="6">
        <f t="shared" si="238"/>
        <v>0</v>
      </c>
      <c r="U491" s="35" t="e">
        <f t="shared" si="242"/>
        <v>#DIV/0!</v>
      </c>
      <c r="V491" s="6" t="e">
        <f t="shared" si="236"/>
        <v>#DIV/0!</v>
      </c>
      <c r="W491" s="6" t="e">
        <f t="shared" si="236"/>
        <v>#DIV/0!</v>
      </c>
      <c r="X491" s="6" t="e">
        <f t="shared" si="236"/>
        <v>#DIV/0!</v>
      </c>
      <c r="Y491" s="6" t="e">
        <f t="shared" si="236"/>
        <v>#DIV/0!</v>
      </c>
      <c r="Z491" s="6" t="e">
        <f t="shared" si="236"/>
        <v>#DIV/0!</v>
      </c>
    </row>
    <row r="492" spans="1:26" x14ac:dyDescent="0.2">
      <c r="A492" s="7" t="s">
        <v>31</v>
      </c>
      <c r="B492" s="6">
        <f t="shared" si="239"/>
        <v>11</v>
      </c>
      <c r="C492" s="7" t="s">
        <v>161</v>
      </c>
      <c r="D492" s="69">
        <v>75</v>
      </c>
      <c r="E492" s="69">
        <v>0</v>
      </c>
      <c r="F492" s="66">
        <f t="shared" si="237"/>
        <v>0</v>
      </c>
      <c r="G492" s="61" t="e">
        <f t="shared" si="240"/>
        <v>#DIV/0!</v>
      </c>
      <c r="H492" s="66" t="e">
        <f t="shared" si="229"/>
        <v>#DIV/0!</v>
      </c>
      <c r="I492" s="66" t="e">
        <f t="shared" si="229"/>
        <v>#DIV/0!</v>
      </c>
      <c r="J492" s="66" t="e">
        <f t="shared" si="229"/>
        <v>#DIV/0!</v>
      </c>
      <c r="K492" s="70">
        <v>7025</v>
      </c>
      <c r="L492" s="70">
        <f>'Monitoramento Acumulado Geral'!Q492</f>
        <v>0</v>
      </c>
      <c r="M492" s="6">
        <f>(SUM(L482:L492))/K491</f>
        <v>0.13913167259786477</v>
      </c>
      <c r="N492" s="35" t="str">
        <f t="shared" si="241"/>
        <v>Desempenho Médio</v>
      </c>
      <c r="O492" s="6">
        <f t="shared" si="243"/>
        <v>0.42046470140126019</v>
      </c>
      <c r="P492" s="6">
        <f t="shared" si="243"/>
        <v>0.84574683442734511</v>
      </c>
      <c r="Q492" s="6">
        <f t="shared" si="243"/>
        <v>-4.8174316248247306E-3</v>
      </c>
      <c r="R492" s="70">
        <v>60</v>
      </c>
      <c r="S492" s="70">
        <v>0</v>
      </c>
      <c r="T492" s="6">
        <f t="shared" si="238"/>
        <v>0</v>
      </c>
      <c r="U492" s="35" t="e">
        <f t="shared" si="242"/>
        <v>#DIV/0!</v>
      </c>
      <c r="V492" s="6" t="e">
        <f t="shared" si="236"/>
        <v>#DIV/0!</v>
      </c>
      <c r="W492" s="6" t="e">
        <f t="shared" si="236"/>
        <v>#DIV/0!</v>
      </c>
      <c r="X492" s="6" t="e">
        <f t="shared" si="236"/>
        <v>#DIV/0!</v>
      </c>
      <c r="Y492" s="6" t="e">
        <f t="shared" si="236"/>
        <v>#DIV/0!</v>
      </c>
      <c r="Z492" s="6" t="e">
        <f t="shared" si="236"/>
        <v>#DIV/0!</v>
      </c>
    </row>
    <row r="493" spans="1:26" x14ac:dyDescent="0.2">
      <c r="A493" s="7" t="s">
        <v>31</v>
      </c>
      <c r="B493" s="6">
        <f t="shared" si="239"/>
        <v>12</v>
      </c>
      <c r="C493" s="7" t="s">
        <v>162</v>
      </c>
      <c r="D493" s="69">
        <v>75</v>
      </c>
      <c r="E493" s="69">
        <v>0</v>
      </c>
      <c r="F493" s="66">
        <f t="shared" si="237"/>
        <v>0</v>
      </c>
      <c r="G493" s="61" t="e">
        <f t="shared" si="240"/>
        <v>#DIV/0!</v>
      </c>
      <c r="H493" s="66" t="e">
        <f t="shared" si="229"/>
        <v>#DIV/0!</v>
      </c>
      <c r="I493" s="66" t="e">
        <f t="shared" si="229"/>
        <v>#DIV/0!</v>
      </c>
      <c r="J493" s="66" t="e">
        <f t="shared" si="229"/>
        <v>#DIV/0!</v>
      </c>
      <c r="K493" s="70">
        <v>7025</v>
      </c>
      <c r="L493" s="70">
        <f>'Monitoramento Acumulado Geral'!Q493</f>
        <v>0</v>
      </c>
      <c r="M493" s="6">
        <f>(SUM(L482:L493))/K492</f>
        <v>0.13913167259786477</v>
      </c>
      <c r="N493" s="35" t="str">
        <f t="shared" si="241"/>
        <v>Desempenho Médio</v>
      </c>
      <c r="O493" s="6">
        <f t="shared" si="243"/>
        <v>0.41824651958307835</v>
      </c>
      <c r="P493" s="6">
        <f t="shared" si="243"/>
        <v>0.84510274859297763</v>
      </c>
      <c r="Q493" s="6">
        <f t="shared" si="243"/>
        <v>-8.6097094268208774E-3</v>
      </c>
      <c r="R493" s="70">
        <v>60</v>
      </c>
      <c r="S493" s="70">
        <v>0</v>
      </c>
      <c r="T493" s="6">
        <f t="shared" si="238"/>
        <v>0</v>
      </c>
      <c r="U493" s="35" t="e">
        <f t="shared" si="242"/>
        <v>#DIV/0!</v>
      </c>
      <c r="V493" s="6" t="e">
        <f t="shared" si="236"/>
        <v>#DIV/0!</v>
      </c>
      <c r="W493" s="6" t="e">
        <f t="shared" si="236"/>
        <v>#DIV/0!</v>
      </c>
      <c r="X493" s="6" t="e">
        <f t="shared" si="236"/>
        <v>#DIV/0!</v>
      </c>
      <c r="Y493" s="6" t="e">
        <f t="shared" si="236"/>
        <v>#DIV/0!</v>
      </c>
      <c r="Z493" s="6" t="e">
        <f t="shared" si="236"/>
        <v>#DIV/0!</v>
      </c>
    </row>
    <row r="494" spans="1:26" x14ac:dyDescent="0.2">
      <c r="A494" s="7" t="s">
        <v>143</v>
      </c>
      <c r="B494" s="6">
        <f t="shared" si="239"/>
        <v>1</v>
      </c>
      <c r="C494" s="7" t="s">
        <v>151</v>
      </c>
      <c r="D494" s="69">
        <v>60</v>
      </c>
      <c r="E494" s="69">
        <v>3</v>
      </c>
      <c r="F494" s="66">
        <f t="shared" si="237"/>
        <v>0.05</v>
      </c>
      <c r="G494" s="61" t="e">
        <f t="shared" si="240"/>
        <v>#DIV/0!</v>
      </c>
      <c r="H494" s="66" t="e">
        <f t="shared" si="229"/>
        <v>#DIV/0!</v>
      </c>
      <c r="I494" s="66" t="e">
        <f t="shared" si="229"/>
        <v>#DIV/0!</v>
      </c>
      <c r="J494" s="66" t="e">
        <f t="shared" si="229"/>
        <v>#DIV/0!</v>
      </c>
      <c r="K494" s="70">
        <v>60000</v>
      </c>
      <c r="L494" s="70">
        <f>'Monitoramento Acumulado Geral'!Q494</f>
        <v>1800</v>
      </c>
      <c r="M494" s="6">
        <f>L494/K494</f>
        <v>0.03</v>
      </c>
      <c r="N494" s="35" t="str">
        <f t="shared" si="241"/>
        <v>Desempenho Médio</v>
      </c>
      <c r="O494" s="6">
        <f t="shared" si="243"/>
        <v>3.4274647562211005E-2</v>
      </c>
      <c r="P494" s="6">
        <f t="shared" si="243"/>
        <v>0.10289217685709087</v>
      </c>
      <c r="Q494" s="6">
        <f t="shared" si="243"/>
        <v>-3.4342881732668862E-2</v>
      </c>
      <c r="R494" s="70">
        <v>79</v>
      </c>
      <c r="S494" s="70">
        <v>0</v>
      </c>
      <c r="T494" s="6">
        <f t="shared" si="238"/>
        <v>0</v>
      </c>
      <c r="U494" s="35" t="e">
        <f t="shared" si="242"/>
        <v>#DIV/0!</v>
      </c>
      <c r="V494" s="6" t="e">
        <f t="shared" si="236"/>
        <v>#DIV/0!</v>
      </c>
      <c r="W494" s="6" t="e">
        <f t="shared" si="236"/>
        <v>#DIV/0!</v>
      </c>
      <c r="X494" s="6" t="e">
        <f t="shared" si="236"/>
        <v>#DIV/0!</v>
      </c>
      <c r="Y494" s="6" t="e">
        <f t="shared" si="236"/>
        <v>#DIV/0!</v>
      </c>
      <c r="Z494" s="6" t="e">
        <f t="shared" si="236"/>
        <v>#DIV/0!</v>
      </c>
    </row>
    <row r="495" spans="1:26" x14ac:dyDescent="0.2">
      <c r="A495" s="7" t="s">
        <v>143</v>
      </c>
      <c r="B495" s="6">
        <f t="shared" si="239"/>
        <v>2</v>
      </c>
      <c r="C495" s="7" t="s">
        <v>152</v>
      </c>
      <c r="D495" s="69">
        <v>60</v>
      </c>
      <c r="E495" s="69">
        <v>19</v>
      </c>
      <c r="F495" s="66">
        <f t="shared" si="237"/>
        <v>0.31666666666666665</v>
      </c>
      <c r="G495" s="61" t="e">
        <f t="shared" si="240"/>
        <v>#DIV/0!</v>
      </c>
      <c r="H495" s="66" t="e">
        <f t="shared" si="229"/>
        <v>#DIV/0!</v>
      </c>
      <c r="I495" s="66" t="e">
        <f t="shared" si="229"/>
        <v>#DIV/0!</v>
      </c>
      <c r="J495" s="66" t="e">
        <f t="shared" si="229"/>
        <v>#DIV/0!</v>
      </c>
      <c r="K495" s="70">
        <v>60000</v>
      </c>
      <c r="L495" s="70">
        <f>'Monitoramento Acumulado Geral'!Q495</f>
        <v>8300</v>
      </c>
      <c r="M495" s="6">
        <f>(SUM(L494:L495))/K494</f>
        <v>0.16833333333333333</v>
      </c>
      <c r="N495" s="35" t="str">
        <f t="shared" si="241"/>
        <v>Desempenho Bom</v>
      </c>
      <c r="O495" s="6">
        <f t="shared" si="243"/>
        <v>8.1815188943147363E-2</v>
      </c>
      <c r="P495" s="6">
        <f t="shared" si="243"/>
        <v>0.20623883252423067</v>
      </c>
      <c r="Q495" s="6">
        <f t="shared" si="243"/>
        <v>-4.2608454637935944E-2</v>
      </c>
      <c r="R495" s="70">
        <v>79</v>
      </c>
      <c r="S495" s="70">
        <v>0</v>
      </c>
      <c r="T495" s="6">
        <f t="shared" si="238"/>
        <v>0</v>
      </c>
      <c r="U495" s="35" t="e">
        <f t="shared" si="242"/>
        <v>#DIV/0!</v>
      </c>
      <c r="V495" s="6" t="e">
        <f t="shared" si="236"/>
        <v>#DIV/0!</v>
      </c>
      <c r="W495" s="6" t="e">
        <f t="shared" si="236"/>
        <v>#DIV/0!</v>
      </c>
      <c r="X495" s="6" t="e">
        <f t="shared" si="236"/>
        <v>#DIV/0!</v>
      </c>
      <c r="Y495" s="6" t="e">
        <f t="shared" si="236"/>
        <v>#DIV/0!</v>
      </c>
      <c r="Z495" s="6" t="e">
        <f t="shared" si="236"/>
        <v>#DIV/0!</v>
      </c>
    </row>
    <row r="496" spans="1:26" x14ac:dyDescent="0.2">
      <c r="A496" s="7" t="s">
        <v>143</v>
      </c>
      <c r="B496" s="6">
        <f t="shared" si="239"/>
        <v>3</v>
      </c>
      <c r="C496" s="7" t="s">
        <v>153</v>
      </c>
      <c r="D496" s="69">
        <v>60</v>
      </c>
      <c r="E496" s="69">
        <v>28</v>
      </c>
      <c r="F496" s="66">
        <f t="shared" si="237"/>
        <v>0.46666666666666667</v>
      </c>
      <c r="G496" s="61" t="e">
        <f t="shared" si="240"/>
        <v>#DIV/0!</v>
      </c>
      <c r="H496" s="66" t="e">
        <f t="shared" si="229"/>
        <v>#DIV/0!</v>
      </c>
      <c r="I496" s="66" t="e">
        <f t="shared" si="229"/>
        <v>#DIV/0!</v>
      </c>
      <c r="J496" s="66" t="e">
        <f t="shared" si="229"/>
        <v>#DIV/0!</v>
      </c>
      <c r="K496" s="70">
        <v>60000</v>
      </c>
      <c r="L496" s="70">
        <f>'Monitoramento Acumulado Geral'!Q496</f>
        <v>6750</v>
      </c>
      <c r="M496" s="6">
        <f>(SUM(L494:L496))/K495</f>
        <v>0.28083333333333332</v>
      </c>
      <c r="N496" s="35" t="str">
        <f t="shared" si="241"/>
        <v>Desempenho Bom</v>
      </c>
      <c r="O496" s="6">
        <f t="shared" si="243"/>
        <v>0.13411292471649494</v>
      </c>
      <c r="P496" s="6">
        <f t="shared" si="243"/>
        <v>0.29721906787058483</v>
      </c>
      <c r="Q496" s="6">
        <f t="shared" si="243"/>
        <v>-2.899321843759492E-2</v>
      </c>
      <c r="R496" s="70">
        <v>79</v>
      </c>
      <c r="S496" s="70">
        <v>0</v>
      </c>
      <c r="T496" s="6">
        <f t="shared" si="238"/>
        <v>0</v>
      </c>
      <c r="U496" s="35" t="e">
        <f t="shared" si="242"/>
        <v>#DIV/0!</v>
      </c>
      <c r="V496" s="6" t="e">
        <f t="shared" si="236"/>
        <v>#DIV/0!</v>
      </c>
      <c r="W496" s="6" t="e">
        <f t="shared" si="236"/>
        <v>#DIV/0!</v>
      </c>
      <c r="X496" s="6" t="e">
        <f t="shared" si="236"/>
        <v>#DIV/0!</v>
      </c>
      <c r="Y496" s="6" t="e">
        <f t="shared" si="236"/>
        <v>#DIV/0!</v>
      </c>
      <c r="Z496" s="6" t="e">
        <f t="shared" si="236"/>
        <v>#DIV/0!</v>
      </c>
    </row>
    <row r="497" spans="1:26" x14ac:dyDescent="0.2">
      <c r="A497" s="7" t="s">
        <v>143</v>
      </c>
      <c r="B497" s="6">
        <f t="shared" si="239"/>
        <v>4</v>
      </c>
      <c r="C497" s="7" t="s">
        <v>154</v>
      </c>
      <c r="D497" s="69">
        <v>60</v>
      </c>
      <c r="E497" s="69">
        <v>35</v>
      </c>
      <c r="F497" s="66">
        <f t="shared" si="237"/>
        <v>0.58333333333333337</v>
      </c>
      <c r="G497" s="61" t="e">
        <f t="shared" si="240"/>
        <v>#DIV/0!</v>
      </c>
      <c r="H497" s="66" t="e">
        <f t="shared" si="229"/>
        <v>#DIV/0!</v>
      </c>
      <c r="I497" s="66" t="e">
        <f t="shared" si="229"/>
        <v>#DIV/0!</v>
      </c>
      <c r="J497" s="66" t="e">
        <f t="shared" si="229"/>
        <v>#DIV/0!</v>
      </c>
      <c r="K497" s="70">
        <v>60000</v>
      </c>
      <c r="L497" s="70">
        <f>'Monitoramento Acumulado Geral'!Q497</f>
        <v>2150</v>
      </c>
      <c r="M497" s="6">
        <f>(SUM(L494:L497))/K496</f>
        <v>0.31666666666666665</v>
      </c>
      <c r="N497" s="35" t="str">
        <f t="shared" si="241"/>
        <v>Desempenho Bom</v>
      </c>
      <c r="O497" s="6">
        <f t="shared" si="243"/>
        <v>0.15392483870093213</v>
      </c>
      <c r="P497" s="6">
        <f t="shared" si="243"/>
        <v>0.32772007016950033</v>
      </c>
      <c r="Q497" s="6">
        <f t="shared" si="243"/>
        <v>-1.9870392767636053E-2</v>
      </c>
      <c r="R497" s="70">
        <v>79</v>
      </c>
      <c r="S497" s="70">
        <v>0</v>
      </c>
      <c r="T497" s="6">
        <f t="shared" si="238"/>
        <v>0</v>
      </c>
      <c r="U497" s="35" t="e">
        <f t="shared" si="242"/>
        <v>#DIV/0!</v>
      </c>
      <c r="V497" s="6" t="e">
        <f t="shared" si="236"/>
        <v>#DIV/0!</v>
      </c>
      <c r="W497" s="6" t="e">
        <f t="shared" si="236"/>
        <v>#DIV/0!</v>
      </c>
      <c r="X497" s="6" t="e">
        <f t="shared" si="236"/>
        <v>#DIV/0!</v>
      </c>
      <c r="Y497" s="6" t="e">
        <f t="shared" si="236"/>
        <v>#DIV/0!</v>
      </c>
      <c r="Z497" s="6" t="e">
        <f t="shared" si="236"/>
        <v>#DIV/0!</v>
      </c>
    </row>
    <row r="498" spans="1:26" x14ac:dyDescent="0.2">
      <c r="A498" s="7" t="s">
        <v>143</v>
      </c>
      <c r="B498" s="6">
        <f t="shared" si="239"/>
        <v>5</v>
      </c>
      <c r="C498" s="7" t="s">
        <v>155</v>
      </c>
      <c r="D498" s="69">
        <v>60</v>
      </c>
      <c r="E498" s="69">
        <v>42</v>
      </c>
      <c r="F498" s="66">
        <f t="shared" si="237"/>
        <v>0.7</v>
      </c>
      <c r="G498" s="61" t="e">
        <f t="shared" si="240"/>
        <v>#DIV/0!</v>
      </c>
      <c r="H498" s="66" t="e">
        <f t="shared" si="229"/>
        <v>#DIV/0!</v>
      </c>
      <c r="I498" s="66" t="e">
        <f t="shared" si="229"/>
        <v>#DIV/0!</v>
      </c>
      <c r="J498" s="66" t="e">
        <f t="shared" si="229"/>
        <v>#DIV/0!</v>
      </c>
      <c r="K498" s="70">
        <v>60000</v>
      </c>
      <c r="L498" s="70">
        <f>'Monitoramento Acumulado Geral'!Q498</f>
        <v>5000</v>
      </c>
      <c r="M498" s="6">
        <f>(SUM(L494:L498))/K497</f>
        <v>0.4</v>
      </c>
      <c r="N498" s="35" t="str">
        <f t="shared" si="241"/>
        <v>Desempenho Bom</v>
      </c>
      <c r="O498" s="6">
        <f t="shared" si="243"/>
        <v>0.21139287248463789</v>
      </c>
      <c r="P498" s="6">
        <f t="shared" si="243"/>
        <v>0.43680804416292918</v>
      </c>
      <c r="Q498" s="6">
        <f t="shared" si="243"/>
        <v>-1.4022299193653387E-2</v>
      </c>
      <c r="R498" s="70">
        <v>79</v>
      </c>
      <c r="S498" s="70">
        <v>0</v>
      </c>
      <c r="T498" s="6">
        <f t="shared" si="238"/>
        <v>0</v>
      </c>
      <c r="U498" s="35" t="e">
        <f t="shared" si="242"/>
        <v>#DIV/0!</v>
      </c>
      <c r="V498" s="6" t="e">
        <f t="shared" si="236"/>
        <v>#DIV/0!</v>
      </c>
      <c r="W498" s="6" t="e">
        <f t="shared" si="236"/>
        <v>#DIV/0!</v>
      </c>
      <c r="X498" s="6" t="e">
        <f t="shared" si="236"/>
        <v>#DIV/0!</v>
      </c>
      <c r="Y498" s="6" t="e">
        <f t="shared" si="236"/>
        <v>#DIV/0!</v>
      </c>
      <c r="Z498" s="6" t="e">
        <f t="shared" si="236"/>
        <v>#DIV/0!</v>
      </c>
    </row>
    <row r="499" spans="1:26" x14ac:dyDescent="0.2">
      <c r="A499" s="7" t="s">
        <v>143</v>
      </c>
      <c r="B499" s="6">
        <f t="shared" si="239"/>
        <v>6</v>
      </c>
      <c r="C499" s="7" t="s">
        <v>156</v>
      </c>
      <c r="D499" s="69">
        <v>60</v>
      </c>
      <c r="E499" s="69">
        <v>48</v>
      </c>
      <c r="F499" s="66">
        <f t="shared" si="237"/>
        <v>0.8</v>
      </c>
      <c r="G499" s="61" t="e">
        <f t="shared" si="240"/>
        <v>#DIV/0!</v>
      </c>
      <c r="H499" s="66" t="e">
        <f t="shared" ref="H499:J562" si="244">H487</f>
        <v>#DIV/0!</v>
      </c>
      <c r="I499" s="66" t="e">
        <f t="shared" si="244"/>
        <v>#DIV/0!</v>
      </c>
      <c r="J499" s="66" t="e">
        <f t="shared" si="244"/>
        <v>#DIV/0!</v>
      </c>
      <c r="K499" s="70">
        <v>60000</v>
      </c>
      <c r="L499" s="70">
        <f>'Monitoramento Acumulado Geral'!Q499</f>
        <v>3570</v>
      </c>
      <c r="M499" s="6">
        <f>(SUM(L494:L499))/K498</f>
        <v>0.45950000000000002</v>
      </c>
      <c r="N499" s="35" t="str">
        <f t="shared" si="241"/>
        <v>Desempenho Bom</v>
      </c>
      <c r="O499" s="6">
        <f t="shared" si="243"/>
        <v>0.28403291059934432</v>
      </c>
      <c r="P499" s="6">
        <f t="shared" si="243"/>
        <v>0.56118246348434164</v>
      </c>
      <c r="Q499" s="6">
        <f t="shared" si="243"/>
        <v>6.8833577143469493E-3</v>
      </c>
      <c r="R499" s="70">
        <v>79</v>
      </c>
      <c r="S499" s="70">
        <v>0</v>
      </c>
      <c r="T499" s="6">
        <f t="shared" si="238"/>
        <v>0</v>
      </c>
      <c r="U499" s="35" t="e">
        <f t="shared" si="242"/>
        <v>#DIV/0!</v>
      </c>
      <c r="V499" s="6" t="e">
        <f t="shared" ref="V499:Z514" si="245">V487</f>
        <v>#DIV/0!</v>
      </c>
      <c r="W499" s="6" t="e">
        <f t="shared" si="245"/>
        <v>#DIV/0!</v>
      </c>
      <c r="X499" s="6" t="e">
        <f t="shared" si="245"/>
        <v>#DIV/0!</v>
      </c>
      <c r="Y499" s="6" t="e">
        <f t="shared" si="245"/>
        <v>#DIV/0!</v>
      </c>
      <c r="Z499" s="6" t="e">
        <f t="shared" si="245"/>
        <v>#DIV/0!</v>
      </c>
    </row>
    <row r="500" spans="1:26" x14ac:dyDescent="0.2">
      <c r="A500" s="7" t="s">
        <v>143</v>
      </c>
      <c r="B500" s="6">
        <f t="shared" si="239"/>
        <v>7</v>
      </c>
      <c r="C500" s="7" t="s">
        <v>157</v>
      </c>
      <c r="D500" s="69">
        <v>60</v>
      </c>
      <c r="E500" s="69">
        <v>52</v>
      </c>
      <c r="F500" s="66">
        <f t="shared" si="237"/>
        <v>0.8666666666666667</v>
      </c>
      <c r="G500" s="61" t="e">
        <f t="shared" si="240"/>
        <v>#DIV/0!</v>
      </c>
      <c r="H500" s="66" t="e">
        <f t="shared" si="244"/>
        <v>#DIV/0!</v>
      </c>
      <c r="I500" s="66" t="e">
        <f t="shared" si="244"/>
        <v>#DIV/0!</v>
      </c>
      <c r="J500" s="66" t="e">
        <f t="shared" si="244"/>
        <v>#DIV/0!</v>
      </c>
      <c r="K500" s="70">
        <v>60000</v>
      </c>
      <c r="L500" s="70">
        <f>'Monitoramento Acumulado Geral'!Q500</f>
        <v>5000</v>
      </c>
      <c r="M500" s="6">
        <f>(SUM(L494:L500))/K499</f>
        <v>0.54283333333333328</v>
      </c>
      <c r="N500" s="35" t="str">
        <f t="shared" si="241"/>
        <v>Desempenho Bom</v>
      </c>
      <c r="O500" s="6">
        <f t="shared" si="243"/>
        <v>0.42046470140126019</v>
      </c>
      <c r="P500" s="6">
        <f t="shared" si="243"/>
        <v>0.84574683442734511</v>
      </c>
      <c r="Q500" s="6">
        <f t="shared" si="243"/>
        <v>-4.8174316248247306E-3</v>
      </c>
      <c r="R500" s="70">
        <v>79</v>
      </c>
      <c r="S500" s="70">
        <v>0</v>
      </c>
      <c r="T500" s="6">
        <f t="shared" si="238"/>
        <v>0</v>
      </c>
      <c r="U500" s="35" t="e">
        <f t="shared" si="242"/>
        <v>#DIV/0!</v>
      </c>
      <c r="V500" s="6" t="e">
        <f t="shared" si="245"/>
        <v>#DIV/0!</v>
      </c>
      <c r="W500" s="6" t="e">
        <f t="shared" si="245"/>
        <v>#DIV/0!</v>
      </c>
      <c r="X500" s="6" t="e">
        <f t="shared" si="245"/>
        <v>#DIV/0!</v>
      </c>
      <c r="Y500" s="6" t="e">
        <f t="shared" si="245"/>
        <v>#DIV/0!</v>
      </c>
      <c r="Z500" s="6" t="e">
        <f t="shared" si="245"/>
        <v>#DIV/0!</v>
      </c>
    </row>
    <row r="501" spans="1:26" x14ac:dyDescent="0.2">
      <c r="A501" s="7" t="s">
        <v>143</v>
      </c>
      <c r="B501" s="6">
        <f t="shared" si="239"/>
        <v>8</v>
      </c>
      <c r="C501" s="7" t="s">
        <v>158</v>
      </c>
      <c r="D501" s="69">
        <v>60</v>
      </c>
      <c r="E501" s="69">
        <v>0</v>
      </c>
      <c r="F501" s="66">
        <f t="shared" si="237"/>
        <v>0</v>
      </c>
      <c r="G501" s="61" t="e">
        <f t="shared" si="240"/>
        <v>#DIV/0!</v>
      </c>
      <c r="H501" s="66" t="e">
        <f t="shared" si="244"/>
        <v>#DIV/0!</v>
      </c>
      <c r="I501" s="66" t="e">
        <f t="shared" si="244"/>
        <v>#DIV/0!</v>
      </c>
      <c r="J501" s="66" t="e">
        <f t="shared" si="244"/>
        <v>#DIV/0!</v>
      </c>
      <c r="K501" s="70">
        <v>60000</v>
      </c>
      <c r="L501" s="70">
        <f>'Monitoramento Acumulado Geral'!Q501</f>
        <v>0</v>
      </c>
      <c r="M501" s="6">
        <f>(SUM(L494:L501))/K500</f>
        <v>0.54283333333333328</v>
      </c>
      <c r="N501" s="35" t="str">
        <f t="shared" si="241"/>
        <v>Desempenho Bom</v>
      </c>
      <c r="O501" s="6">
        <f t="shared" si="243"/>
        <v>0.42046470140126019</v>
      </c>
      <c r="P501" s="6">
        <f t="shared" si="243"/>
        <v>0.84574683442734511</v>
      </c>
      <c r="Q501" s="6">
        <f t="shared" si="243"/>
        <v>-4.8174316248247306E-3</v>
      </c>
      <c r="R501" s="70">
        <v>79</v>
      </c>
      <c r="S501" s="70">
        <v>0</v>
      </c>
      <c r="T501" s="6">
        <f t="shared" si="238"/>
        <v>0</v>
      </c>
      <c r="U501" s="35" t="e">
        <f t="shared" si="242"/>
        <v>#DIV/0!</v>
      </c>
      <c r="V501" s="6" t="e">
        <f t="shared" si="245"/>
        <v>#DIV/0!</v>
      </c>
      <c r="W501" s="6" t="e">
        <f t="shared" si="245"/>
        <v>#DIV/0!</v>
      </c>
      <c r="X501" s="6" t="e">
        <f t="shared" si="245"/>
        <v>#DIV/0!</v>
      </c>
      <c r="Y501" s="6" t="e">
        <f t="shared" si="245"/>
        <v>#DIV/0!</v>
      </c>
      <c r="Z501" s="6" t="e">
        <f t="shared" si="245"/>
        <v>#DIV/0!</v>
      </c>
    </row>
    <row r="502" spans="1:26" x14ac:dyDescent="0.2">
      <c r="A502" s="7" t="s">
        <v>143</v>
      </c>
      <c r="B502" s="6">
        <f t="shared" si="239"/>
        <v>9</v>
      </c>
      <c r="C502" s="7" t="s">
        <v>159</v>
      </c>
      <c r="D502" s="69">
        <v>60</v>
      </c>
      <c r="E502" s="69">
        <v>0</v>
      </c>
      <c r="F502" s="66">
        <f t="shared" si="237"/>
        <v>0</v>
      </c>
      <c r="G502" s="61" t="e">
        <f t="shared" si="240"/>
        <v>#DIV/0!</v>
      </c>
      <c r="H502" s="66" t="e">
        <f t="shared" si="244"/>
        <v>#DIV/0!</v>
      </c>
      <c r="I502" s="66" t="e">
        <f t="shared" si="244"/>
        <v>#DIV/0!</v>
      </c>
      <c r="J502" s="66" t="e">
        <f t="shared" si="244"/>
        <v>#DIV/0!</v>
      </c>
      <c r="K502" s="70">
        <v>60000</v>
      </c>
      <c r="L502" s="70">
        <f>'Monitoramento Acumulado Geral'!Q502</f>
        <v>0</v>
      </c>
      <c r="M502" s="6">
        <f>(SUM(L494:L502))/K501</f>
        <v>0.54283333333333328</v>
      </c>
      <c r="N502" s="35" t="str">
        <f t="shared" si="241"/>
        <v>Desempenho Bom</v>
      </c>
      <c r="O502" s="6">
        <f t="shared" si="243"/>
        <v>0.42046470140126019</v>
      </c>
      <c r="P502" s="6">
        <f t="shared" si="243"/>
        <v>0.84574683442734511</v>
      </c>
      <c r="Q502" s="6">
        <f t="shared" si="243"/>
        <v>-4.8174316248247306E-3</v>
      </c>
      <c r="R502" s="70">
        <v>79</v>
      </c>
      <c r="S502" s="70">
        <v>0</v>
      </c>
      <c r="T502" s="6">
        <f t="shared" si="238"/>
        <v>0</v>
      </c>
      <c r="U502" s="35" t="e">
        <f t="shared" si="242"/>
        <v>#DIV/0!</v>
      </c>
      <c r="V502" s="6" t="e">
        <f t="shared" si="245"/>
        <v>#DIV/0!</v>
      </c>
      <c r="W502" s="6" t="e">
        <f t="shared" si="245"/>
        <v>#DIV/0!</v>
      </c>
      <c r="X502" s="6" t="e">
        <f t="shared" si="245"/>
        <v>#DIV/0!</v>
      </c>
      <c r="Y502" s="6" t="e">
        <f t="shared" si="245"/>
        <v>#DIV/0!</v>
      </c>
      <c r="Z502" s="6" t="e">
        <f t="shared" si="245"/>
        <v>#DIV/0!</v>
      </c>
    </row>
    <row r="503" spans="1:26" x14ac:dyDescent="0.2">
      <c r="A503" s="7" t="s">
        <v>143</v>
      </c>
      <c r="B503" s="6">
        <f t="shared" si="239"/>
        <v>10</v>
      </c>
      <c r="C503" s="7" t="s">
        <v>160</v>
      </c>
      <c r="D503" s="69">
        <v>60</v>
      </c>
      <c r="E503" s="69">
        <v>0</v>
      </c>
      <c r="F503" s="66">
        <f t="shared" si="237"/>
        <v>0</v>
      </c>
      <c r="G503" s="61" t="e">
        <f t="shared" si="240"/>
        <v>#DIV/0!</v>
      </c>
      <c r="H503" s="66" t="e">
        <f t="shared" si="244"/>
        <v>#DIV/0!</v>
      </c>
      <c r="I503" s="66" t="e">
        <f t="shared" si="244"/>
        <v>#DIV/0!</v>
      </c>
      <c r="J503" s="66" t="e">
        <f t="shared" si="244"/>
        <v>#DIV/0!</v>
      </c>
      <c r="K503" s="70">
        <v>60000</v>
      </c>
      <c r="L503" s="70">
        <f>'Monitoramento Acumulado Geral'!Q503</f>
        <v>0</v>
      </c>
      <c r="M503" s="6">
        <f>(SUM(L494:L503))/K502</f>
        <v>0.54283333333333328</v>
      </c>
      <c r="N503" s="35" t="str">
        <f t="shared" si="241"/>
        <v>Desempenho Bom</v>
      </c>
      <c r="O503" s="6">
        <f t="shared" si="243"/>
        <v>0.42046470140126019</v>
      </c>
      <c r="P503" s="6">
        <f t="shared" si="243"/>
        <v>0.84574683442734511</v>
      </c>
      <c r="Q503" s="6">
        <f t="shared" si="243"/>
        <v>-4.8174316248247306E-3</v>
      </c>
      <c r="R503" s="70">
        <v>79</v>
      </c>
      <c r="S503" s="70">
        <v>0</v>
      </c>
      <c r="T503" s="6">
        <f t="shared" si="238"/>
        <v>0</v>
      </c>
      <c r="U503" s="35" t="e">
        <f t="shared" si="242"/>
        <v>#DIV/0!</v>
      </c>
      <c r="V503" s="6" t="e">
        <f t="shared" si="245"/>
        <v>#DIV/0!</v>
      </c>
      <c r="W503" s="6" t="e">
        <f t="shared" si="245"/>
        <v>#DIV/0!</v>
      </c>
      <c r="X503" s="6" t="e">
        <f t="shared" si="245"/>
        <v>#DIV/0!</v>
      </c>
      <c r="Y503" s="6" t="e">
        <f t="shared" si="245"/>
        <v>#DIV/0!</v>
      </c>
      <c r="Z503" s="6" t="e">
        <f t="shared" si="245"/>
        <v>#DIV/0!</v>
      </c>
    </row>
    <row r="504" spans="1:26" x14ac:dyDescent="0.2">
      <c r="A504" s="7" t="s">
        <v>143</v>
      </c>
      <c r="B504" s="6">
        <f t="shared" si="239"/>
        <v>11</v>
      </c>
      <c r="C504" s="7" t="s">
        <v>161</v>
      </c>
      <c r="D504" s="69">
        <v>60</v>
      </c>
      <c r="E504" s="69">
        <v>0</v>
      </c>
      <c r="F504" s="66">
        <f t="shared" si="237"/>
        <v>0</v>
      </c>
      <c r="G504" s="61" t="e">
        <f t="shared" si="240"/>
        <v>#DIV/0!</v>
      </c>
      <c r="H504" s="66" t="e">
        <f t="shared" si="244"/>
        <v>#DIV/0!</v>
      </c>
      <c r="I504" s="66" t="e">
        <f t="shared" si="244"/>
        <v>#DIV/0!</v>
      </c>
      <c r="J504" s="66" t="e">
        <f t="shared" si="244"/>
        <v>#DIV/0!</v>
      </c>
      <c r="K504" s="70">
        <v>60000</v>
      </c>
      <c r="L504" s="70">
        <f>'Monitoramento Acumulado Geral'!Q504</f>
        <v>0</v>
      </c>
      <c r="M504" s="6">
        <f>(SUM(L494:L504))/K503</f>
        <v>0.54283333333333328</v>
      </c>
      <c r="N504" s="35" t="str">
        <f t="shared" si="241"/>
        <v>Desempenho Bom</v>
      </c>
      <c r="O504" s="6">
        <f t="shared" si="243"/>
        <v>0.42046470140126019</v>
      </c>
      <c r="P504" s="6">
        <f t="shared" si="243"/>
        <v>0.84574683442734511</v>
      </c>
      <c r="Q504" s="6">
        <f t="shared" si="243"/>
        <v>-4.8174316248247306E-3</v>
      </c>
      <c r="R504" s="70">
        <v>79</v>
      </c>
      <c r="S504" s="70">
        <v>0</v>
      </c>
      <c r="T504" s="6">
        <f t="shared" si="238"/>
        <v>0</v>
      </c>
      <c r="U504" s="35" t="e">
        <f t="shared" si="242"/>
        <v>#DIV/0!</v>
      </c>
      <c r="V504" s="6" t="e">
        <f t="shared" si="245"/>
        <v>#DIV/0!</v>
      </c>
      <c r="W504" s="6" t="e">
        <f t="shared" si="245"/>
        <v>#DIV/0!</v>
      </c>
      <c r="X504" s="6" t="e">
        <f t="shared" si="245"/>
        <v>#DIV/0!</v>
      </c>
      <c r="Y504" s="6" t="e">
        <f t="shared" si="245"/>
        <v>#DIV/0!</v>
      </c>
      <c r="Z504" s="6" t="e">
        <f t="shared" si="245"/>
        <v>#DIV/0!</v>
      </c>
    </row>
    <row r="505" spans="1:26" x14ac:dyDescent="0.2">
      <c r="A505" s="7" t="s">
        <v>143</v>
      </c>
      <c r="B505" s="6">
        <f t="shared" si="239"/>
        <v>12</v>
      </c>
      <c r="C505" s="7" t="s">
        <v>162</v>
      </c>
      <c r="D505" s="69">
        <v>60</v>
      </c>
      <c r="E505" s="69">
        <v>0</v>
      </c>
      <c r="F505" s="66">
        <f t="shared" si="237"/>
        <v>0</v>
      </c>
      <c r="G505" s="61" t="e">
        <f t="shared" si="240"/>
        <v>#DIV/0!</v>
      </c>
      <c r="H505" s="66" t="e">
        <f t="shared" si="244"/>
        <v>#DIV/0!</v>
      </c>
      <c r="I505" s="66" t="e">
        <f t="shared" si="244"/>
        <v>#DIV/0!</v>
      </c>
      <c r="J505" s="66" t="e">
        <f t="shared" si="244"/>
        <v>#DIV/0!</v>
      </c>
      <c r="K505" s="70">
        <v>60000</v>
      </c>
      <c r="L505" s="70">
        <f>'Monitoramento Acumulado Geral'!Q505</f>
        <v>0</v>
      </c>
      <c r="M505" s="6">
        <f>(SUM(L494:L505))/K504</f>
        <v>0.54283333333333328</v>
      </c>
      <c r="N505" s="35" t="str">
        <f t="shared" si="241"/>
        <v>Desempenho Bom</v>
      </c>
      <c r="O505" s="6">
        <f t="shared" si="243"/>
        <v>0.41824651958307835</v>
      </c>
      <c r="P505" s="6">
        <f t="shared" si="243"/>
        <v>0.84510274859297763</v>
      </c>
      <c r="Q505" s="6">
        <f t="shared" si="243"/>
        <v>-8.6097094268208774E-3</v>
      </c>
      <c r="R505" s="70">
        <v>79</v>
      </c>
      <c r="S505" s="70">
        <v>0</v>
      </c>
      <c r="T505" s="6">
        <f t="shared" si="238"/>
        <v>0</v>
      </c>
      <c r="U505" s="35" t="e">
        <f t="shared" si="242"/>
        <v>#DIV/0!</v>
      </c>
      <c r="V505" s="6" t="e">
        <f t="shared" si="245"/>
        <v>#DIV/0!</v>
      </c>
      <c r="W505" s="6" t="e">
        <f t="shared" si="245"/>
        <v>#DIV/0!</v>
      </c>
      <c r="X505" s="6" t="e">
        <f t="shared" si="245"/>
        <v>#DIV/0!</v>
      </c>
      <c r="Y505" s="6" t="e">
        <f t="shared" si="245"/>
        <v>#DIV/0!</v>
      </c>
      <c r="Z505" s="6" t="e">
        <f t="shared" si="245"/>
        <v>#DIV/0!</v>
      </c>
    </row>
    <row r="506" spans="1:26" x14ac:dyDescent="0.2">
      <c r="A506" s="7" t="s">
        <v>70</v>
      </c>
      <c r="B506" s="6">
        <f t="shared" si="239"/>
        <v>1</v>
      </c>
      <c r="C506" s="7" t="s">
        <v>151</v>
      </c>
      <c r="D506" s="69">
        <v>70</v>
      </c>
      <c r="E506" s="69">
        <v>36</v>
      </c>
      <c r="F506" s="66">
        <f t="shared" si="237"/>
        <v>0.51428571428571423</v>
      </c>
      <c r="G506" s="61" t="e">
        <f t="shared" si="240"/>
        <v>#DIV/0!</v>
      </c>
      <c r="H506" s="66" t="e">
        <f t="shared" si="244"/>
        <v>#DIV/0!</v>
      </c>
      <c r="I506" s="66" t="e">
        <f t="shared" si="244"/>
        <v>#DIV/0!</v>
      </c>
      <c r="J506" s="66" t="e">
        <f t="shared" si="244"/>
        <v>#DIV/0!</v>
      </c>
      <c r="K506" s="70">
        <v>6000</v>
      </c>
      <c r="L506" s="70">
        <f>'Monitoramento Acumulado Geral'!Q506</f>
        <v>1400</v>
      </c>
      <c r="M506" s="6">
        <f>L506/K506</f>
        <v>0.23333333333333334</v>
      </c>
      <c r="N506" s="35" t="str">
        <f t="shared" si="241"/>
        <v>Desempenho Ótimo</v>
      </c>
      <c r="O506" s="6">
        <f t="shared" ref="O506:Q521" si="246">O494</f>
        <v>3.4274647562211005E-2</v>
      </c>
      <c r="P506" s="6">
        <f t="shared" si="246"/>
        <v>0.10289217685709087</v>
      </c>
      <c r="Q506" s="6">
        <f t="shared" si="246"/>
        <v>-3.4342881732668862E-2</v>
      </c>
      <c r="R506" s="70">
        <v>50</v>
      </c>
      <c r="S506" s="70">
        <v>0</v>
      </c>
      <c r="T506" s="6">
        <f t="shared" si="238"/>
        <v>0</v>
      </c>
      <c r="U506" s="35" t="e">
        <f t="shared" si="242"/>
        <v>#DIV/0!</v>
      </c>
      <c r="V506" s="6" t="e">
        <f t="shared" si="245"/>
        <v>#DIV/0!</v>
      </c>
      <c r="W506" s="6" t="e">
        <f t="shared" si="245"/>
        <v>#DIV/0!</v>
      </c>
      <c r="X506" s="6" t="e">
        <f t="shared" si="245"/>
        <v>#DIV/0!</v>
      </c>
      <c r="Y506" s="6" t="e">
        <f t="shared" si="245"/>
        <v>#DIV/0!</v>
      </c>
      <c r="Z506" s="6" t="e">
        <f t="shared" si="245"/>
        <v>#DIV/0!</v>
      </c>
    </row>
    <row r="507" spans="1:26" x14ac:dyDescent="0.2">
      <c r="A507" s="7" t="s">
        <v>70</v>
      </c>
      <c r="B507" s="6">
        <f t="shared" si="239"/>
        <v>2</v>
      </c>
      <c r="C507" s="7" t="s">
        <v>152</v>
      </c>
      <c r="D507" s="69">
        <v>70</v>
      </c>
      <c r="E507" s="69">
        <v>36</v>
      </c>
      <c r="F507" s="66">
        <f t="shared" si="237"/>
        <v>0.51428571428571423</v>
      </c>
      <c r="G507" s="61" t="e">
        <f t="shared" si="240"/>
        <v>#DIV/0!</v>
      </c>
      <c r="H507" s="66" t="e">
        <f t="shared" si="244"/>
        <v>#DIV/0!</v>
      </c>
      <c r="I507" s="66" t="e">
        <f t="shared" si="244"/>
        <v>#DIV/0!</v>
      </c>
      <c r="J507" s="66" t="e">
        <f t="shared" si="244"/>
        <v>#DIV/0!</v>
      </c>
      <c r="K507" s="70">
        <v>6000</v>
      </c>
      <c r="L507" s="70">
        <f>'Monitoramento Acumulado Geral'!Q507</f>
        <v>0</v>
      </c>
      <c r="M507" s="6">
        <f>(SUM(L506:L507))/K506</f>
        <v>0.23333333333333334</v>
      </c>
      <c r="N507" s="35" t="str">
        <f t="shared" si="241"/>
        <v>Desempenho Ótimo</v>
      </c>
      <c r="O507" s="6">
        <f t="shared" si="246"/>
        <v>8.1815188943147363E-2</v>
      </c>
      <c r="P507" s="6">
        <f t="shared" si="246"/>
        <v>0.20623883252423067</v>
      </c>
      <c r="Q507" s="6">
        <f t="shared" si="246"/>
        <v>-4.2608454637935944E-2</v>
      </c>
      <c r="R507" s="70">
        <v>50</v>
      </c>
      <c r="S507" s="70">
        <v>0</v>
      </c>
      <c r="T507" s="6">
        <f t="shared" si="238"/>
        <v>0</v>
      </c>
      <c r="U507" s="35" t="e">
        <f t="shared" si="242"/>
        <v>#DIV/0!</v>
      </c>
      <c r="V507" s="6" t="e">
        <f t="shared" si="245"/>
        <v>#DIV/0!</v>
      </c>
      <c r="W507" s="6" t="e">
        <f t="shared" si="245"/>
        <v>#DIV/0!</v>
      </c>
      <c r="X507" s="6" t="e">
        <f t="shared" si="245"/>
        <v>#DIV/0!</v>
      </c>
      <c r="Y507" s="6" t="e">
        <f t="shared" si="245"/>
        <v>#DIV/0!</v>
      </c>
      <c r="Z507" s="6" t="e">
        <f t="shared" si="245"/>
        <v>#DIV/0!</v>
      </c>
    </row>
    <row r="508" spans="1:26" x14ac:dyDescent="0.2">
      <c r="A508" s="7" t="s">
        <v>70</v>
      </c>
      <c r="B508" s="6">
        <f t="shared" si="239"/>
        <v>3</v>
      </c>
      <c r="C508" s="7" t="s">
        <v>153</v>
      </c>
      <c r="D508" s="69">
        <v>70</v>
      </c>
      <c r="E508" s="69">
        <v>36</v>
      </c>
      <c r="F508" s="66">
        <f t="shared" si="237"/>
        <v>0.51428571428571423</v>
      </c>
      <c r="G508" s="61" t="e">
        <f t="shared" si="240"/>
        <v>#DIV/0!</v>
      </c>
      <c r="H508" s="66" t="e">
        <f t="shared" si="244"/>
        <v>#DIV/0!</v>
      </c>
      <c r="I508" s="66" t="e">
        <f t="shared" si="244"/>
        <v>#DIV/0!</v>
      </c>
      <c r="J508" s="66" t="e">
        <f t="shared" si="244"/>
        <v>#DIV/0!</v>
      </c>
      <c r="K508" s="70">
        <v>6000</v>
      </c>
      <c r="L508" s="70">
        <f>'Monitoramento Acumulado Geral'!Q508</f>
        <v>0</v>
      </c>
      <c r="M508" s="6">
        <f>(SUM(L506:L508))/K507</f>
        <v>0.23333333333333334</v>
      </c>
      <c r="N508" s="35" t="str">
        <f t="shared" si="241"/>
        <v>Desempenho Bom</v>
      </c>
      <c r="O508" s="6">
        <f t="shared" si="246"/>
        <v>0.13411292471649494</v>
      </c>
      <c r="P508" s="6">
        <f t="shared" si="246"/>
        <v>0.29721906787058483</v>
      </c>
      <c r="Q508" s="6">
        <f t="shared" si="246"/>
        <v>-2.899321843759492E-2</v>
      </c>
      <c r="R508" s="70">
        <v>50</v>
      </c>
      <c r="S508" s="70">
        <v>0</v>
      </c>
      <c r="T508" s="6">
        <f t="shared" si="238"/>
        <v>0</v>
      </c>
      <c r="U508" s="35" t="e">
        <f t="shared" si="242"/>
        <v>#DIV/0!</v>
      </c>
      <c r="V508" s="6" t="e">
        <f t="shared" si="245"/>
        <v>#DIV/0!</v>
      </c>
      <c r="W508" s="6" t="e">
        <f t="shared" si="245"/>
        <v>#DIV/0!</v>
      </c>
      <c r="X508" s="6" t="e">
        <f t="shared" si="245"/>
        <v>#DIV/0!</v>
      </c>
      <c r="Y508" s="6" t="e">
        <f t="shared" si="245"/>
        <v>#DIV/0!</v>
      </c>
      <c r="Z508" s="6" t="e">
        <f t="shared" si="245"/>
        <v>#DIV/0!</v>
      </c>
    </row>
    <row r="509" spans="1:26" x14ac:dyDescent="0.2">
      <c r="A509" s="7" t="s">
        <v>70</v>
      </c>
      <c r="B509" s="6">
        <f t="shared" si="239"/>
        <v>4</v>
      </c>
      <c r="C509" s="7" t="s">
        <v>154</v>
      </c>
      <c r="D509" s="69">
        <v>70</v>
      </c>
      <c r="E509" s="69">
        <v>36</v>
      </c>
      <c r="F509" s="66">
        <f t="shared" si="237"/>
        <v>0.51428571428571423</v>
      </c>
      <c r="G509" s="61" t="e">
        <f t="shared" si="240"/>
        <v>#DIV/0!</v>
      </c>
      <c r="H509" s="66" t="e">
        <f t="shared" si="244"/>
        <v>#DIV/0!</v>
      </c>
      <c r="I509" s="66" t="e">
        <f t="shared" si="244"/>
        <v>#DIV/0!</v>
      </c>
      <c r="J509" s="66" t="e">
        <f t="shared" si="244"/>
        <v>#DIV/0!</v>
      </c>
      <c r="K509" s="70">
        <v>6000</v>
      </c>
      <c r="L509" s="70">
        <f>'Monitoramento Acumulado Geral'!Q509</f>
        <v>0</v>
      </c>
      <c r="M509" s="6">
        <f>(SUM(L506:L509))/K508</f>
        <v>0.23333333333333334</v>
      </c>
      <c r="N509" s="35" t="str">
        <f t="shared" si="241"/>
        <v>Desempenho Bom</v>
      </c>
      <c r="O509" s="6">
        <f t="shared" si="246"/>
        <v>0.15392483870093213</v>
      </c>
      <c r="P509" s="6">
        <f t="shared" si="246"/>
        <v>0.32772007016950033</v>
      </c>
      <c r="Q509" s="6">
        <f t="shared" si="246"/>
        <v>-1.9870392767636053E-2</v>
      </c>
      <c r="R509" s="70">
        <v>50</v>
      </c>
      <c r="S509" s="70">
        <v>0</v>
      </c>
      <c r="T509" s="6">
        <f t="shared" si="238"/>
        <v>0</v>
      </c>
      <c r="U509" s="35" t="e">
        <f t="shared" si="242"/>
        <v>#DIV/0!</v>
      </c>
      <c r="V509" s="6" t="e">
        <f t="shared" si="245"/>
        <v>#DIV/0!</v>
      </c>
      <c r="W509" s="6" t="e">
        <f t="shared" si="245"/>
        <v>#DIV/0!</v>
      </c>
      <c r="X509" s="6" t="e">
        <f t="shared" si="245"/>
        <v>#DIV/0!</v>
      </c>
      <c r="Y509" s="6" t="e">
        <f t="shared" si="245"/>
        <v>#DIV/0!</v>
      </c>
      <c r="Z509" s="6" t="e">
        <f t="shared" si="245"/>
        <v>#DIV/0!</v>
      </c>
    </row>
    <row r="510" spans="1:26" x14ac:dyDescent="0.2">
      <c r="A510" s="7" t="s">
        <v>70</v>
      </c>
      <c r="B510" s="6">
        <f t="shared" si="239"/>
        <v>5</v>
      </c>
      <c r="C510" s="7" t="s">
        <v>155</v>
      </c>
      <c r="D510" s="69">
        <v>70</v>
      </c>
      <c r="E510" s="69">
        <v>64</v>
      </c>
      <c r="F510" s="66">
        <f t="shared" si="237"/>
        <v>0.91428571428571426</v>
      </c>
      <c r="G510" s="61" t="e">
        <f t="shared" si="240"/>
        <v>#DIV/0!</v>
      </c>
      <c r="H510" s="66" t="e">
        <f t="shared" si="244"/>
        <v>#DIV/0!</v>
      </c>
      <c r="I510" s="66" t="e">
        <f t="shared" si="244"/>
        <v>#DIV/0!</v>
      </c>
      <c r="J510" s="66" t="e">
        <f t="shared" si="244"/>
        <v>#DIV/0!</v>
      </c>
      <c r="K510" s="70">
        <v>6000</v>
      </c>
      <c r="L510" s="70">
        <f>'Monitoramento Acumulado Geral'!Q510</f>
        <v>4300</v>
      </c>
      <c r="M510" s="6">
        <f>(SUM(L506:L510))/K509</f>
        <v>0.95</v>
      </c>
      <c r="N510" s="35" t="str">
        <f t="shared" si="241"/>
        <v>Desempenho Ótimo</v>
      </c>
      <c r="O510" s="6">
        <f t="shared" si="246"/>
        <v>0.21139287248463789</v>
      </c>
      <c r="P510" s="6">
        <f t="shared" si="246"/>
        <v>0.43680804416292918</v>
      </c>
      <c r="Q510" s="6">
        <f t="shared" si="246"/>
        <v>-1.4022299193653387E-2</v>
      </c>
      <c r="R510" s="70">
        <v>50</v>
      </c>
      <c r="S510" s="70">
        <v>0</v>
      </c>
      <c r="T510" s="6">
        <f t="shared" si="238"/>
        <v>0</v>
      </c>
      <c r="U510" s="35" t="e">
        <f t="shared" si="242"/>
        <v>#DIV/0!</v>
      </c>
      <c r="V510" s="6" t="e">
        <f t="shared" si="245"/>
        <v>#DIV/0!</v>
      </c>
      <c r="W510" s="6" t="e">
        <f t="shared" si="245"/>
        <v>#DIV/0!</v>
      </c>
      <c r="X510" s="6" t="e">
        <f t="shared" si="245"/>
        <v>#DIV/0!</v>
      </c>
      <c r="Y510" s="6" t="e">
        <f t="shared" si="245"/>
        <v>#DIV/0!</v>
      </c>
      <c r="Z510" s="6" t="e">
        <f t="shared" si="245"/>
        <v>#DIV/0!</v>
      </c>
    </row>
    <row r="511" spans="1:26" x14ac:dyDescent="0.2">
      <c r="A511" s="7" t="s">
        <v>70</v>
      </c>
      <c r="B511" s="6">
        <f t="shared" si="239"/>
        <v>6</v>
      </c>
      <c r="C511" s="7" t="s">
        <v>156</v>
      </c>
      <c r="D511" s="69">
        <v>70</v>
      </c>
      <c r="E511" s="69">
        <v>64</v>
      </c>
      <c r="F511" s="66">
        <f t="shared" si="237"/>
        <v>0.91428571428571426</v>
      </c>
      <c r="G511" s="61" t="e">
        <f t="shared" si="240"/>
        <v>#DIV/0!</v>
      </c>
      <c r="H511" s="66" t="e">
        <f t="shared" si="244"/>
        <v>#DIV/0!</v>
      </c>
      <c r="I511" s="66" t="e">
        <f t="shared" si="244"/>
        <v>#DIV/0!</v>
      </c>
      <c r="J511" s="66" t="e">
        <f t="shared" si="244"/>
        <v>#DIV/0!</v>
      </c>
      <c r="K511" s="70">
        <v>6000</v>
      </c>
      <c r="L511" s="70">
        <f>'Monitoramento Acumulado Geral'!Q511</f>
        <v>0</v>
      </c>
      <c r="M511" s="6">
        <f>(SUM(L506:L511))/K510</f>
        <v>0.95</v>
      </c>
      <c r="N511" s="35" t="str">
        <f t="shared" si="241"/>
        <v>Desempenho Ótimo</v>
      </c>
      <c r="O511" s="6">
        <f t="shared" si="246"/>
        <v>0.28403291059934432</v>
      </c>
      <c r="P511" s="6">
        <f t="shared" si="246"/>
        <v>0.56118246348434164</v>
      </c>
      <c r="Q511" s="6">
        <f t="shared" si="246"/>
        <v>6.8833577143469493E-3</v>
      </c>
      <c r="R511" s="70">
        <v>50</v>
      </c>
      <c r="S511" s="70">
        <v>0</v>
      </c>
      <c r="T511" s="6">
        <f t="shared" si="238"/>
        <v>0</v>
      </c>
      <c r="U511" s="35" t="e">
        <f t="shared" si="242"/>
        <v>#DIV/0!</v>
      </c>
      <c r="V511" s="6" t="e">
        <f t="shared" si="245"/>
        <v>#DIV/0!</v>
      </c>
      <c r="W511" s="6" t="e">
        <f t="shared" si="245"/>
        <v>#DIV/0!</v>
      </c>
      <c r="X511" s="6" t="e">
        <f t="shared" si="245"/>
        <v>#DIV/0!</v>
      </c>
      <c r="Y511" s="6" t="e">
        <f t="shared" si="245"/>
        <v>#DIV/0!</v>
      </c>
      <c r="Z511" s="6" t="e">
        <f t="shared" si="245"/>
        <v>#DIV/0!</v>
      </c>
    </row>
    <row r="512" spans="1:26" x14ac:dyDescent="0.2">
      <c r="A512" s="7" t="s">
        <v>70</v>
      </c>
      <c r="B512" s="6">
        <f t="shared" si="239"/>
        <v>7</v>
      </c>
      <c r="C512" s="7" t="s">
        <v>157</v>
      </c>
      <c r="D512" s="69">
        <v>70</v>
      </c>
      <c r="E512" s="69">
        <v>79</v>
      </c>
      <c r="F512" s="66">
        <f t="shared" si="237"/>
        <v>1.1285714285714286</v>
      </c>
      <c r="G512" s="61" t="e">
        <f t="shared" si="240"/>
        <v>#DIV/0!</v>
      </c>
      <c r="H512" s="66" t="e">
        <f t="shared" si="244"/>
        <v>#DIV/0!</v>
      </c>
      <c r="I512" s="66" t="e">
        <f t="shared" si="244"/>
        <v>#DIV/0!</v>
      </c>
      <c r="J512" s="66" t="e">
        <f t="shared" si="244"/>
        <v>#DIV/0!</v>
      </c>
      <c r="K512" s="70">
        <v>6000</v>
      </c>
      <c r="L512" s="70">
        <f>'Monitoramento Acumulado Geral'!Q512</f>
        <v>1500</v>
      </c>
      <c r="M512" s="6">
        <f>(SUM(L506:L512))/K511</f>
        <v>1.2</v>
      </c>
      <c r="N512" s="35" t="str">
        <f t="shared" si="241"/>
        <v>Desempenho Ótimo</v>
      </c>
      <c r="O512" s="6">
        <f t="shared" si="246"/>
        <v>0.42046470140126019</v>
      </c>
      <c r="P512" s="6">
        <f t="shared" si="246"/>
        <v>0.84574683442734511</v>
      </c>
      <c r="Q512" s="6">
        <f t="shared" si="246"/>
        <v>-4.8174316248247306E-3</v>
      </c>
      <c r="R512" s="70">
        <v>50</v>
      </c>
      <c r="S512" s="70">
        <v>0</v>
      </c>
      <c r="T512" s="6">
        <f t="shared" si="238"/>
        <v>0</v>
      </c>
      <c r="U512" s="35" t="e">
        <f t="shared" si="242"/>
        <v>#DIV/0!</v>
      </c>
      <c r="V512" s="6" t="e">
        <f t="shared" si="245"/>
        <v>#DIV/0!</v>
      </c>
      <c r="W512" s="6" t="e">
        <f t="shared" si="245"/>
        <v>#DIV/0!</v>
      </c>
      <c r="X512" s="6" t="e">
        <f t="shared" si="245"/>
        <v>#DIV/0!</v>
      </c>
      <c r="Y512" s="6" t="e">
        <f t="shared" si="245"/>
        <v>#DIV/0!</v>
      </c>
      <c r="Z512" s="6" t="e">
        <f t="shared" si="245"/>
        <v>#DIV/0!</v>
      </c>
    </row>
    <row r="513" spans="1:26" x14ac:dyDescent="0.2">
      <c r="A513" s="7" t="s">
        <v>70</v>
      </c>
      <c r="B513" s="6">
        <f t="shared" si="239"/>
        <v>8</v>
      </c>
      <c r="C513" s="7" t="s">
        <v>158</v>
      </c>
      <c r="D513" s="69">
        <v>70</v>
      </c>
      <c r="E513" s="69">
        <v>0</v>
      </c>
      <c r="F513" s="66">
        <f t="shared" si="237"/>
        <v>0</v>
      </c>
      <c r="G513" s="61" t="e">
        <f t="shared" si="240"/>
        <v>#DIV/0!</v>
      </c>
      <c r="H513" s="66" t="e">
        <f t="shared" si="244"/>
        <v>#DIV/0!</v>
      </c>
      <c r="I513" s="66" t="e">
        <f t="shared" si="244"/>
        <v>#DIV/0!</v>
      </c>
      <c r="J513" s="66" t="e">
        <f t="shared" si="244"/>
        <v>#DIV/0!</v>
      </c>
      <c r="K513" s="70">
        <v>6000</v>
      </c>
      <c r="L513" s="70">
        <f>'Monitoramento Acumulado Geral'!Q513</f>
        <v>0</v>
      </c>
      <c r="M513" s="6">
        <f>(SUM(L506:L513))/K512</f>
        <v>1.2</v>
      </c>
      <c r="N513" s="35" t="str">
        <f t="shared" si="241"/>
        <v>Desempenho Ótimo</v>
      </c>
      <c r="O513" s="6">
        <f t="shared" si="246"/>
        <v>0.42046470140126019</v>
      </c>
      <c r="P513" s="6">
        <f t="shared" si="246"/>
        <v>0.84574683442734511</v>
      </c>
      <c r="Q513" s="6">
        <f t="shared" si="246"/>
        <v>-4.8174316248247306E-3</v>
      </c>
      <c r="R513" s="70">
        <v>50</v>
      </c>
      <c r="S513" s="70">
        <v>0</v>
      </c>
      <c r="T513" s="6">
        <f t="shared" si="238"/>
        <v>0</v>
      </c>
      <c r="U513" s="35" t="e">
        <f t="shared" si="242"/>
        <v>#DIV/0!</v>
      </c>
      <c r="V513" s="6" t="e">
        <f t="shared" si="245"/>
        <v>#DIV/0!</v>
      </c>
      <c r="W513" s="6" t="e">
        <f t="shared" si="245"/>
        <v>#DIV/0!</v>
      </c>
      <c r="X513" s="6" t="e">
        <f t="shared" si="245"/>
        <v>#DIV/0!</v>
      </c>
      <c r="Y513" s="6" t="e">
        <f t="shared" si="245"/>
        <v>#DIV/0!</v>
      </c>
      <c r="Z513" s="6" t="e">
        <f t="shared" si="245"/>
        <v>#DIV/0!</v>
      </c>
    </row>
    <row r="514" spans="1:26" x14ac:dyDescent="0.2">
      <c r="A514" s="7" t="s">
        <v>70</v>
      </c>
      <c r="B514" s="6">
        <f t="shared" si="239"/>
        <v>9</v>
      </c>
      <c r="C514" s="7" t="s">
        <v>159</v>
      </c>
      <c r="D514" s="69">
        <v>70</v>
      </c>
      <c r="E514" s="69">
        <v>0</v>
      </c>
      <c r="F514" s="66">
        <f t="shared" si="237"/>
        <v>0</v>
      </c>
      <c r="G514" s="61" t="e">
        <f t="shared" si="240"/>
        <v>#DIV/0!</v>
      </c>
      <c r="H514" s="66" t="e">
        <f t="shared" si="244"/>
        <v>#DIV/0!</v>
      </c>
      <c r="I514" s="66" t="e">
        <f t="shared" si="244"/>
        <v>#DIV/0!</v>
      </c>
      <c r="J514" s="66" t="e">
        <f t="shared" si="244"/>
        <v>#DIV/0!</v>
      </c>
      <c r="K514" s="70">
        <v>6000</v>
      </c>
      <c r="L514" s="70">
        <f>'Monitoramento Acumulado Geral'!Q514</f>
        <v>0</v>
      </c>
      <c r="M514" s="6">
        <f>(SUM(L506:L514))/K513</f>
        <v>1.2</v>
      </c>
      <c r="N514" s="35" t="str">
        <f t="shared" si="241"/>
        <v>Desempenho Ótimo</v>
      </c>
      <c r="O514" s="6">
        <f t="shared" si="246"/>
        <v>0.42046470140126019</v>
      </c>
      <c r="P514" s="6">
        <f t="shared" si="246"/>
        <v>0.84574683442734511</v>
      </c>
      <c r="Q514" s="6">
        <f t="shared" si="246"/>
        <v>-4.8174316248247306E-3</v>
      </c>
      <c r="R514" s="70">
        <v>50</v>
      </c>
      <c r="S514" s="70">
        <v>0</v>
      </c>
      <c r="T514" s="6">
        <f t="shared" si="238"/>
        <v>0</v>
      </c>
      <c r="U514" s="35" t="e">
        <f t="shared" si="242"/>
        <v>#DIV/0!</v>
      </c>
      <c r="V514" s="6" t="e">
        <f t="shared" si="245"/>
        <v>#DIV/0!</v>
      </c>
      <c r="W514" s="6" t="e">
        <f t="shared" si="245"/>
        <v>#DIV/0!</v>
      </c>
      <c r="X514" s="6" t="e">
        <f t="shared" si="245"/>
        <v>#DIV/0!</v>
      </c>
      <c r="Y514" s="6" t="e">
        <f t="shared" si="245"/>
        <v>#DIV/0!</v>
      </c>
      <c r="Z514" s="6" t="e">
        <f t="shared" si="245"/>
        <v>#DIV/0!</v>
      </c>
    </row>
    <row r="515" spans="1:26" x14ac:dyDescent="0.2">
      <c r="A515" s="7" t="s">
        <v>70</v>
      </c>
      <c r="B515" s="6">
        <f t="shared" si="239"/>
        <v>10</v>
      </c>
      <c r="C515" s="7" t="s">
        <v>160</v>
      </c>
      <c r="D515" s="69">
        <v>70</v>
      </c>
      <c r="E515" s="69">
        <v>0</v>
      </c>
      <c r="F515" s="66">
        <f t="shared" si="237"/>
        <v>0</v>
      </c>
      <c r="G515" s="61" t="e">
        <f t="shared" si="240"/>
        <v>#DIV/0!</v>
      </c>
      <c r="H515" s="66" t="e">
        <f t="shared" si="244"/>
        <v>#DIV/0!</v>
      </c>
      <c r="I515" s="66" t="e">
        <f t="shared" si="244"/>
        <v>#DIV/0!</v>
      </c>
      <c r="J515" s="66" t="e">
        <f t="shared" si="244"/>
        <v>#DIV/0!</v>
      </c>
      <c r="K515" s="70">
        <v>6000</v>
      </c>
      <c r="L515" s="70">
        <f>'Monitoramento Acumulado Geral'!Q515</f>
        <v>0</v>
      </c>
      <c r="M515" s="6">
        <f>(SUM(L506:L515))/K514</f>
        <v>1.2</v>
      </c>
      <c r="N515" s="35" t="str">
        <f t="shared" si="241"/>
        <v>Desempenho Ótimo</v>
      </c>
      <c r="O515" s="6">
        <f t="shared" si="246"/>
        <v>0.42046470140126019</v>
      </c>
      <c r="P515" s="6">
        <f t="shared" si="246"/>
        <v>0.84574683442734511</v>
      </c>
      <c r="Q515" s="6">
        <f t="shared" si="246"/>
        <v>-4.8174316248247306E-3</v>
      </c>
      <c r="R515" s="70">
        <v>50</v>
      </c>
      <c r="S515" s="70">
        <v>0</v>
      </c>
      <c r="T515" s="6">
        <f t="shared" si="238"/>
        <v>0</v>
      </c>
      <c r="U515" s="35" t="e">
        <f t="shared" si="242"/>
        <v>#DIV/0!</v>
      </c>
      <c r="V515" s="6" t="e">
        <f t="shared" ref="V515:Z530" si="247">V503</f>
        <v>#DIV/0!</v>
      </c>
      <c r="W515" s="6" t="e">
        <f t="shared" si="247"/>
        <v>#DIV/0!</v>
      </c>
      <c r="X515" s="6" t="e">
        <f t="shared" si="247"/>
        <v>#DIV/0!</v>
      </c>
      <c r="Y515" s="6" t="e">
        <f t="shared" si="247"/>
        <v>#DIV/0!</v>
      </c>
      <c r="Z515" s="6" t="e">
        <f t="shared" si="247"/>
        <v>#DIV/0!</v>
      </c>
    </row>
    <row r="516" spans="1:26" x14ac:dyDescent="0.2">
      <c r="A516" s="7" t="s">
        <v>70</v>
      </c>
      <c r="B516" s="6">
        <f t="shared" si="239"/>
        <v>11</v>
      </c>
      <c r="C516" s="7" t="s">
        <v>161</v>
      </c>
      <c r="D516" s="69">
        <v>70</v>
      </c>
      <c r="E516" s="69">
        <v>0</v>
      </c>
      <c r="F516" s="66">
        <f t="shared" si="237"/>
        <v>0</v>
      </c>
      <c r="G516" s="61" t="e">
        <f t="shared" si="240"/>
        <v>#DIV/0!</v>
      </c>
      <c r="H516" s="66" t="e">
        <f t="shared" si="244"/>
        <v>#DIV/0!</v>
      </c>
      <c r="I516" s="66" t="e">
        <f t="shared" si="244"/>
        <v>#DIV/0!</v>
      </c>
      <c r="J516" s="66" t="e">
        <f t="shared" si="244"/>
        <v>#DIV/0!</v>
      </c>
      <c r="K516" s="70">
        <v>6000</v>
      </c>
      <c r="L516" s="70">
        <f>'Monitoramento Acumulado Geral'!Q516</f>
        <v>0</v>
      </c>
      <c r="M516" s="6">
        <f>(SUM(L506:L516))/K515</f>
        <v>1.2</v>
      </c>
      <c r="N516" s="35" t="str">
        <f t="shared" si="241"/>
        <v>Desempenho Ótimo</v>
      </c>
      <c r="O516" s="6">
        <f t="shared" si="246"/>
        <v>0.42046470140126019</v>
      </c>
      <c r="P516" s="6">
        <f t="shared" si="246"/>
        <v>0.84574683442734511</v>
      </c>
      <c r="Q516" s="6">
        <f t="shared" si="246"/>
        <v>-4.8174316248247306E-3</v>
      </c>
      <c r="R516" s="70">
        <v>50</v>
      </c>
      <c r="S516" s="70">
        <v>0</v>
      </c>
      <c r="T516" s="6">
        <f t="shared" si="238"/>
        <v>0</v>
      </c>
      <c r="U516" s="35" t="e">
        <f t="shared" si="242"/>
        <v>#DIV/0!</v>
      </c>
      <c r="V516" s="6" t="e">
        <f t="shared" si="247"/>
        <v>#DIV/0!</v>
      </c>
      <c r="W516" s="6" t="e">
        <f t="shared" si="247"/>
        <v>#DIV/0!</v>
      </c>
      <c r="X516" s="6" t="e">
        <f t="shared" si="247"/>
        <v>#DIV/0!</v>
      </c>
      <c r="Y516" s="6" t="e">
        <f t="shared" si="247"/>
        <v>#DIV/0!</v>
      </c>
      <c r="Z516" s="6" t="e">
        <f t="shared" si="247"/>
        <v>#DIV/0!</v>
      </c>
    </row>
    <row r="517" spans="1:26" x14ac:dyDescent="0.2">
      <c r="A517" s="7" t="s">
        <v>70</v>
      </c>
      <c r="B517" s="6">
        <f t="shared" si="239"/>
        <v>12</v>
      </c>
      <c r="C517" s="7" t="s">
        <v>162</v>
      </c>
      <c r="D517" s="69">
        <v>70</v>
      </c>
      <c r="E517" s="69">
        <v>0</v>
      </c>
      <c r="F517" s="66">
        <f t="shared" si="237"/>
        <v>0</v>
      </c>
      <c r="G517" s="61" t="e">
        <f t="shared" si="240"/>
        <v>#DIV/0!</v>
      </c>
      <c r="H517" s="66" t="e">
        <f t="shared" si="244"/>
        <v>#DIV/0!</v>
      </c>
      <c r="I517" s="66" t="e">
        <f t="shared" si="244"/>
        <v>#DIV/0!</v>
      </c>
      <c r="J517" s="66" t="e">
        <f t="shared" si="244"/>
        <v>#DIV/0!</v>
      </c>
      <c r="K517" s="70">
        <v>6000</v>
      </c>
      <c r="L517" s="70">
        <f>'Monitoramento Acumulado Geral'!Q517</f>
        <v>0</v>
      </c>
      <c r="M517" s="6">
        <f>(SUM(L506:L517))/K516</f>
        <v>1.2</v>
      </c>
      <c r="N517" s="35" t="str">
        <f t="shared" si="241"/>
        <v>Desempenho Ótimo</v>
      </c>
      <c r="O517" s="6">
        <f t="shared" si="246"/>
        <v>0.41824651958307835</v>
      </c>
      <c r="P517" s="6">
        <f t="shared" si="246"/>
        <v>0.84510274859297763</v>
      </c>
      <c r="Q517" s="6">
        <f t="shared" si="246"/>
        <v>-8.6097094268208774E-3</v>
      </c>
      <c r="R517" s="70">
        <v>50</v>
      </c>
      <c r="S517" s="70">
        <v>0</v>
      </c>
      <c r="T517" s="6">
        <f t="shared" si="238"/>
        <v>0</v>
      </c>
      <c r="U517" s="35" t="e">
        <f t="shared" si="242"/>
        <v>#DIV/0!</v>
      </c>
      <c r="V517" s="6" t="e">
        <f t="shared" si="247"/>
        <v>#DIV/0!</v>
      </c>
      <c r="W517" s="6" t="e">
        <f t="shared" si="247"/>
        <v>#DIV/0!</v>
      </c>
      <c r="X517" s="6" t="e">
        <f t="shared" si="247"/>
        <v>#DIV/0!</v>
      </c>
      <c r="Y517" s="6" t="e">
        <f t="shared" si="247"/>
        <v>#DIV/0!</v>
      </c>
      <c r="Z517" s="6" t="e">
        <f t="shared" si="247"/>
        <v>#DIV/0!</v>
      </c>
    </row>
    <row r="518" spans="1:26" x14ac:dyDescent="0.2">
      <c r="A518" s="7" t="s">
        <v>80</v>
      </c>
      <c r="B518" s="6">
        <f t="shared" si="239"/>
        <v>1</v>
      </c>
      <c r="C518" s="7" t="s">
        <v>151</v>
      </c>
      <c r="D518" s="69">
        <v>75</v>
      </c>
      <c r="E518" s="69">
        <v>0</v>
      </c>
      <c r="F518" s="66">
        <f t="shared" si="237"/>
        <v>0</v>
      </c>
      <c r="G518" s="61" t="e">
        <f t="shared" si="240"/>
        <v>#DIV/0!</v>
      </c>
      <c r="H518" s="66" t="e">
        <f t="shared" si="244"/>
        <v>#DIV/0!</v>
      </c>
      <c r="I518" s="66" t="e">
        <f t="shared" si="244"/>
        <v>#DIV/0!</v>
      </c>
      <c r="J518" s="66" t="e">
        <f t="shared" si="244"/>
        <v>#DIV/0!</v>
      </c>
      <c r="K518" s="70">
        <v>6510</v>
      </c>
      <c r="L518" s="70">
        <f>'Monitoramento Acumulado Geral'!Q518</f>
        <v>0</v>
      </c>
      <c r="M518" s="6">
        <f>L518/K518</f>
        <v>0</v>
      </c>
      <c r="N518" s="35" t="str">
        <f t="shared" si="241"/>
        <v>Desempenho Médio</v>
      </c>
      <c r="O518" s="6">
        <f t="shared" si="246"/>
        <v>3.4274647562211005E-2</v>
      </c>
      <c r="P518" s="6">
        <f t="shared" si="246"/>
        <v>0.10289217685709087</v>
      </c>
      <c r="Q518" s="6">
        <f t="shared" si="246"/>
        <v>-3.4342881732668862E-2</v>
      </c>
      <c r="R518" s="70">
        <v>38</v>
      </c>
      <c r="S518" s="70">
        <v>0</v>
      </c>
      <c r="T518" s="6">
        <f t="shared" si="238"/>
        <v>0</v>
      </c>
      <c r="U518" s="35" t="e">
        <f t="shared" si="242"/>
        <v>#DIV/0!</v>
      </c>
      <c r="V518" s="6" t="e">
        <f t="shared" si="247"/>
        <v>#DIV/0!</v>
      </c>
      <c r="W518" s="6" t="e">
        <f t="shared" si="247"/>
        <v>#DIV/0!</v>
      </c>
      <c r="X518" s="6" t="e">
        <f t="shared" si="247"/>
        <v>#DIV/0!</v>
      </c>
      <c r="Y518" s="6" t="e">
        <f t="shared" si="247"/>
        <v>#DIV/0!</v>
      </c>
      <c r="Z518" s="6" t="e">
        <f t="shared" si="247"/>
        <v>#DIV/0!</v>
      </c>
    </row>
    <row r="519" spans="1:26" x14ac:dyDescent="0.2">
      <c r="A519" s="7" t="s">
        <v>80</v>
      </c>
      <c r="B519" s="6">
        <f t="shared" si="239"/>
        <v>2</v>
      </c>
      <c r="C519" s="7" t="s">
        <v>152</v>
      </c>
      <c r="D519" s="69">
        <v>75</v>
      </c>
      <c r="E519" s="69">
        <v>0</v>
      </c>
      <c r="F519" s="66">
        <f t="shared" si="237"/>
        <v>0</v>
      </c>
      <c r="G519" s="61" t="e">
        <f t="shared" si="240"/>
        <v>#DIV/0!</v>
      </c>
      <c r="H519" s="66" t="e">
        <f t="shared" si="244"/>
        <v>#DIV/0!</v>
      </c>
      <c r="I519" s="66" t="e">
        <f t="shared" si="244"/>
        <v>#DIV/0!</v>
      </c>
      <c r="J519" s="66" t="e">
        <f t="shared" si="244"/>
        <v>#DIV/0!</v>
      </c>
      <c r="K519" s="70">
        <v>6510</v>
      </c>
      <c r="L519" s="70">
        <f>'Monitoramento Acumulado Geral'!Q519</f>
        <v>0</v>
      </c>
      <c r="M519" s="6">
        <f>(SUM(L518:L519))/K518</f>
        <v>0</v>
      </c>
      <c r="N519" s="35" t="str">
        <f t="shared" si="241"/>
        <v>Desempenho Médio</v>
      </c>
      <c r="O519" s="6">
        <f t="shared" si="246"/>
        <v>8.1815188943147363E-2</v>
      </c>
      <c r="P519" s="6">
        <f t="shared" si="246"/>
        <v>0.20623883252423067</v>
      </c>
      <c r="Q519" s="6">
        <f t="shared" si="246"/>
        <v>-4.2608454637935944E-2</v>
      </c>
      <c r="R519" s="70">
        <v>38</v>
      </c>
      <c r="S519" s="70">
        <v>0</v>
      </c>
      <c r="T519" s="6">
        <f t="shared" si="238"/>
        <v>0</v>
      </c>
      <c r="U519" s="35" t="e">
        <f t="shared" si="242"/>
        <v>#DIV/0!</v>
      </c>
      <c r="V519" s="6" t="e">
        <f t="shared" si="247"/>
        <v>#DIV/0!</v>
      </c>
      <c r="W519" s="6" t="e">
        <f t="shared" si="247"/>
        <v>#DIV/0!</v>
      </c>
      <c r="X519" s="6" t="e">
        <f t="shared" si="247"/>
        <v>#DIV/0!</v>
      </c>
      <c r="Y519" s="6" t="e">
        <f t="shared" si="247"/>
        <v>#DIV/0!</v>
      </c>
      <c r="Z519" s="6" t="e">
        <f t="shared" si="247"/>
        <v>#DIV/0!</v>
      </c>
    </row>
    <row r="520" spans="1:26" x14ac:dyDescent="0.2">
      <c r="A520" s="7" t="s">
        <v>80</v>
      </c>
      <c r="B520" s="6">
        <f t="shared" si="239"/>
        <v>3</v>
      </c>
      <c r="C520" s="7" t="s">
        <v>153</v>
      </c>
      <c r="D520" s="69">
        <v>75</v>
      </c>
      <c r="E520" s="69">
        <v>0</v>
      </c>
      <c r="F520" s="66">
        <f t="shared" si="237"/>
        <v>0</v>
      </c>
      <c r="G520" s="61" t="e">
        <f t="shared" si="240"/>
        <v>#DIV/0!</v>
      </c>
      <c r="H520" s="66" t="e">
        <f t="shared" si="244"/>
        <v>#DIV/0!</v>
      </c>
      <c r="I520" s="66" t="e">
        <f t="shared" si="244"/>
        <v>#DIV/0!</v>
      </c>
      <c r="J520" s="66" t="e">
        <f t="shared" si="244"/>
        <v>#DIV/0!</v>
      </c>
      <c r="K520" s="70">
        <v>6510</v>
      </c>
      <c r="L520" s="70">
        <f>'Monitoramento Acumulado Geral'!Q520</f>
        <v>0</v>
      </c>
      <c r="M520" s="6">
        <f>(SUM(L518:L520))/K519</f>
        <v>0</v>
      </c>
      <c r="N520" s="35" t="str">
        <f t="shared" si="241"/>
        <v>Desempenho Médio</v>
      </c>
      <c r="O520" s="6">
        <f t="shared" si="246"/>
        <v>0.13411292471649494</v>
      </c>
      <c r="P520" s="6">
        <f t="shared" si="246"/>
        <v>0.29721906787058483</v>
      </c>
      <c r="Q520" s="6">
        <f t="shared" si="246"/>
        <v>-2.899321843759492E-2</v>
      </c>
      <c r="R520" s="70">
        <v>38</v>
      </c>
      <c r="S520" s="70">
        <v>0</v>
      </c>
      <c r="T520" s="6">
        <f t="shared" si="238"/>
        <v>0</v>
      </c>
      <c r="U520" s="35" t="e">
        <f t="shared" si="242"/>
        <v>#DIV/0!</v>
      </c>
      <c r="V520" s="6" t="e">
        <f t="shared" si="247"/>
        <v>#DIV/0!</v>
      </c>
      <c r="W520" s="6" t="e">
        <f t="shared" si="247"/>
        <v>#DIV/0!</v>
      </c>
      <c r="X520" s="6" t="e">
        <f t="shared" si="247"/>
        <v>#DIV/0!</v>
      </c>
      <c r="Y520" s="6" t="e">
        <f t="shared" si="247"/>
        <v>#DIV/0!</v>
      </c>
      <c r="Z520" s="6" t="e">
        <f t="shared" si="247"/>
        <v>#DIV/0!</v>
      </c>
    </row>
    <row r="521" spans="1:26" x14ac:dyDescent="0.2">
      <c r="A521" s="7" t="s">
        <v>80</v>
      </c>
      <c r="B521" s="6">
        <f t="shared" si="239"/>
        <v>4</v>
      </c>
      <c r="C521" s="7" t="s">
        <v>154</v>
      </c>
      <c r="D521" s="69">
        <v>75</v>
      </c>
      <c r="E521" s="69">
        <v>0</v>
      </c>
      <c r="F521" s="66">
        <f t="shared" si="237"/>
        <v>0</v>
      </c>
      <c r="G521" s="61" t="e">
        <f t="shared" si="240"/>
        <v>#DIV/0!</v>
      </c>
      <c r="H521" s="66" t="e">
        <f t="shared" si="244"/>
        <v>#DIV/0!</v>
      </c>
      <c r="I521" s="66" t="e">
        <f t="shared" si="244"/>
        <v>#DIV/0!</v>
      </c>
      <c r="J521" s="66" t="e">
        <f t="shared" si="244"/>
        <v>#DIV/0!</v>
      </c>
      <c r="K521" s="70">
        <v>6510</v>
      </c>
      <c r="L521" s="70">
        <f>'Monitoramento Acumulado Geral'!Q521</f>
        <v>0</v>
      </c>
      <c r="M521" s="6">
        <f>(SUM(L518:L521))/K520</f>
        <v>0</v>
      </c>
      <c r="N521" s="35" t="str">
        <f t="shared" si="241"/>
        <v>Desempenho Médio</v>
      </c>
      <c r="O521" s="6">
        <f t="shared" si="246"/>
        <v>0.15392483870093213</v>
      </c>
      <c r="P521" s="6">
        <f t="shared" si="246"/>
        <v>0.32772007016950033</v>
      </c>
      <c r="Q521" s="6">
        <f t="shared" si="246"/>
        <v>-1.9870392767636053E-2</v>
      </c>
      <c r="R521" s="70">
        <v>38</v>
      </c>
      <c r="S521" s="70">
        <v>0</v>
      </c>
      <c r="T521" s="6">
        <f t="shared" si="238"/>
        <v>0</v>
      </c>
      <c r="U521" s="35" t="e">
        <f t="shared" si="242"/>
        <v>#DIV/0!</v>
      </c>
      <c r="V521" s="6" t="e">
        <f t="shared" si="247"/>
        <v>#DIV/0!</v>
      </c>
      <c r="W521" s="6" t="e">
        <f t="shared" si="247"/>
        <v>#DIV/0!</v>
      </c>
      <c r="X521" s="6" t="e">
        <f t="shared" si="247"/>
        <v>#DIV/0!</v>
      </c>
      <c r="Y521" s="6" t="e">
        <f t="shared" si="247"/>
        <v>#DIV/0!</v>
      </c>
      <c r="Z521" s="6" t="e">
        <f t="shared" si="247"/>
        <v>#DIV/0!</v>
      </c>
    </row>
    <row r="522" spans="1:26" x14ac:dyDescent="0.2">
      <c r="A522" s="7" t="s">
        <v>80</v>
      </c>
      <c r="B522" s="6">
        <f t="shared" si="239"/>
        <v>5</v>
      </c>
      <c r="C522" s="7" t="s">
        <v>155</v>
      </c>
      <c r="D522" s="69">
        <v>75</v>
      </c>
      <c r="E522" s="69">
        <v>0</v>
      </c>
      <c r="F522" s="66">
        <f t="shared" si="237"/>
        <v>0</v>
      </c>
      <c r="G522" s="61" t="e">
        <f t="shared" si="240"/>
        <v>#DIV/0!</v>
      </c>
      <c r="H522" s="66" t="e">
        <f t="shared" si="244"/>
        <v>#DIV/0!</v>
      </c>
      <c r="I522" s="66" t="e">
        <f t="shared" si="244"/>
        <v>#DIV/0!</v>
      </c>
      <c r="J522" s="66" t="e">
        <f t="shared" si="244"/>
        <v>#DIV/0!</v>
      </c>
      <c r="K522" s="70">
        <v>6510</v>
      </c>
      <c r="L522" s="70">
        <f>'Monitoramento Acumulado Geral'!Q522</f>
        <v>0</v>
      </c>
      <c r="M522" s="6">
        <f>(SUM(L518:L522))/K521</f>
        <v>0</v>
      </c>
      <c r="N522" s="35" t="str">
        <f t="shared" si="241"/>
        <v>Desempenho Médio</v>
      </c>
      <c r="O522" s="6">
        <f t="shared" ref="O522:Q537" si="248">O510</f>
        <v>0.21139287248463789</v>
      </c>
      <c r="P522" s="6">
        <f t="shared" si="248"/>
        <v>0.43680804416292918</v>
      </c>
      <c r="Q522" s="6">
        <f t="shared" si="248"/>
        <v>-1.4022299193653387E-2</v>
      </c>
      <c r="R522" s="70">
        <v>38</v>
      </c>
      <c r="S522" s="70">
        <v>0</v>
      </c>
      <c r="T522" s="6">
        <f t="shared" si="238"/>
        <v>0</v>
      </c>
      <c r="U522" s="35" t="e">
        <f t="shared" si="242"/>
        <v>#DIV/0!</v>
      </c>
      <c r="V522" s="6" t="e">
        <f t="shared" si="247"/>
        <v>#DIV/0!</v>
      </c>
      <c r="W522" s="6" t="e">
        <f t="shared" si="247"/>
        <v>#DIV/0!</v>
      </c>
      <c r="X522" s="6" t="e">
        <f t="shared" si="247"/>
        <v>#DIV/0!</v>
      </c>
      <c r="Y522" s="6" t="e">
        <f t="shared" si="247"/>
        <v>#DIV/0!</v>
      </c>
      <c r="Z522" s="6" t="e">
        <f t="shared" si="247"/>
        <v>#DIV/0!</v>
      </c>
    </row>
    <row r="523" spans="1:26" x14ac:dyDescent="0.2">
      <c r="A523" s="7" t="s">
        <v>80</v>
      </c>
      <c r="B523" s="6">
        <f t="shared" si="239"/>
        <v>6</v>
      </c>
      <c r="C523" s="7" t="s">
        <v>156</v>
      </c>
      <c r="D523" s="69">
        <v>75</v>
      </c>
      <c r="E523" s="69">
        <v>0</v>
      </c>
      <c r="F523" s="66">
        <f t="shared" si="237"/>
        <v>0</v>
      </c>
      <c r="G523" s="61" t="e">
        <f t="shared" si="240"/>
        <v>#DIV/0!</v>
      </c>
      <c r="H523" s="66" t="e">
        <f t="shared" si="244"/>
        <v>#DIV/0!</v>
      </c>
      <c r="I523" s="66" t="e">
        <f t="shared" si="244"/>
        <v>#DIV/0!</v>
      </c>
      <c r="J523" s="66" t="e">
        <f t="shared" si="244"/>
        <v>#DIV/0!</v>
      </c>
      <c r="K523" s="70">
        <v>6510</v>
      </c>
      <c r="L523" s="70">
        <f>'Monitoramento Acumulado Geral'!Q523</f>
        <v>0</v>
      </c>
      <c r="M523" s="6">
        <f>(SUM(L518:L523))/K522</f>
        <v>0</v>
      </c>
      <c r="N523" s="35" t="str">
        <f t="shared" si="241"/>
        <v>Desempenho Deficitário</v>
      </c>
      <c r="O523" s="6">
        <f t="shared" si="248"/>
        <v>0.28403291059934432</v>
      </c>
      <c r="P523" s="6">
        <f t="shared" si="248"/>
        <v>0.56118246348434164</v>
      </c>
      <c r="Q523" s="6">
        <f t="shared" si="248"/>
        <v>6.8833577143469493E-3</v>
      </c>
      <c r="R523" s="70">
        <v>38</v>
      </c>
      <c r="S523" s="70">
        <v>0</v>
      </c>
      <c r="T523" s="6">
        <f t="shared" si="238"/>
        <v>0</v>
      </c>
      <c r="U523" s="35" t="e">
        <f t="shared" si="242"/>
        <v>#DIV/0!</v>
      </c>
      <c r="V523" s="6" t="e">
        <f t="shared" si="247"/>
        <v>#DIV/0!</v>
      </c>
      <c r="W523" s="6" t="e">
        <f t="shared" si="247"/>
        <v>#DIV/0!</v>
      </c>
      <c r="X523" s="6" t="e">
        <f t="shared" si="247"/>
        <v>#DIV/0!</v>
      </c>
      <c r="Y523" s="6" t="e">
        <f t="shared" si="247"/>
        <v>#DIV/0!</v>
      </c>
      <c r="Z523" s="6" t="e">
        <f t="shared" si="247"/>
        <v>#DIV/0!</v>
      </c>
    </row>
    <row r="524" spans="1:26" x14ac:dyDescent="0.2">
      <c r="A524" s="7" t="s">
        <v>80</v>
      </c>
      <c r="B524" s="6">
        <f t="shared" si="239"/>
        <v>7</v>
      </c>
      <c r="C524" s="7" t="s">
        <v>157</v>
      </c>
      <c r="D524" s="69">
        <v>75</v>
      </c>
      <c r="E524" s="69">
        <v>90</v>
      </c>
      <c r="F524" s="66">
        <f t="shared" si="237"/>
        <v>1.2</v>
      </c>
      <c r="G524" s="61" t="e">
        <f t="shared" si="240"/>
        <v>#DIV/0!</v>
      </c>
      <c r="H524" s="66" t="e">
        <f t="shared" si="244"/>
        <v>#DIV/0!</v>
      </c>
      <c r="I524" s="66" t="e">
        <f t="shared" si="244"/>
        <v>#DIV/0!</v>
      </c>
      <c r="J524" s="66" t="e">
        <f t="shared" si="244"/>
        <v>#DIV/0!</v>
      </c>
      <c r="K524" s="70">
        <v>6510</v>
      </c>
      <c r="L524" s="70">
        <f>'Monitoramento Acumulado Geral'!Q524</f>
        <v>860</v>
      </c>
      <c r="M524" s="6">
        <f>(SUM(L518:L524))/K523</f>
        <v>0.13210445468509985</v>
      </c>
      <c r="N524" s="35" t="str">
        <f t="shared" si="241"/>
        <v>Desempenho Médio</v>
      </c>
      <c r="O524" s="6">
        <f t="shared" si="248"/>
        <v>0.42046470140126019</v>
      </c>
      <c r="P524" s="6">
        <f t="shared" si="248"/>
        <v>0.84574683442734511</v>
      </c>
      <c r="Q524" s="6">
        <f t="shared" si="248"/>
        <v>-4.8174316248247306E-3</v>
      </c>
      <c r="R524" s="70">
        <v>38</v>
      </c>
      <c r="S524" s="70">
        <v>0</v>
      </c>
      <c r="T524" s="6">
        <f t="shared" si="238"/>
        <v>0</v>
      </c>
      <c r="U524" s="35" t="e">
        <f t="shared" si="242"/>
        <v>#DIV/0!</v>
      </c>
      <c r="V524" s="6" t="e">
        <f t="shared" si="247"/>
        <v>#DIV/0!</v>
      </c>
      <c r="W524" s="6" t="e">
        <f t="shared" si="247"/>
        <v>#DIV/0!</v>
      </c>
      <c r="X524" s="6" t="e">
        <f t="shared" si="247"/>
        <v>#DIV/0!</v>
      </c>
      <c r="Y524" s="6" t="e">
        <f t="shared" si="247"/>
        <v>#DIV/0!</v>
      </c>
      <c r="Z524" s="6" t="e">
        <f t="shared" si="247"/>
        <v>#DIV/0!</v>
      </c>
    </row>
    <row r="525" spans="1:26" x14ac:dyDescent="0.2">
      <c r="A525" s="7" t="s">
        <v>80</v>
      </c>
      <c r="B525" s="6">
        <f t="shared" si="239"/>
        <v>8</v>
      </c>
      <c r="C525" s="7" t="s">
        <v>158</v>
      </c>
      <c r="D525" s="69">
        <v>75</v>
      </c>
      <c r="E525" s="69">
        <v>0</v>
      </c>
      <c r="F525" s="66">
        <f t="shared" si="237"/>
        <v>0</v>
      </c>
      <c r="G525" s="61" t="e">
        <f t="shared" si="240"/>
        <v>#DIV/0!</v>
      </c>
      <c r="H525" s="66" t="e">
        <f t="shared" si="244"/>
        <v>#DIV/0!</v>
      </c>
      <c r="I525" s="66" t="e">
        <f t="shared" si="244"/>
        <v>#DIV/0!</v>
      </c>
      <c r="J525" s="66" t="e">
        <f t="shared" si="244"/>
        <v>#DIV/0!</v>
      </c>
      <c r="K525" s="70">
        <v>6510</v>
      </c>
      <c r="L525" s="70">
        <f>'Monitoramento Acumulado Geral'!Q525</f>
        <v>0</v>
      </c>
      <c r="M525" s="6">
        <f>(SUM(L518:L525))/K524</f>
        <v>0.13210445468509985</v>
      </c>
      <c r="N525" s="35" t="str">
        <f t="shared" si="241"/>
        <v>Desempenho Médio</v>
      </c>
      <c r="O525" s="6">
        <f t="shared" si="248"/>
        <v>0.42046470140126019</v>
      </c>
      <c r="P525" s="6">
        <f t="shared" si="248"/>
        <v>0.84574683442734511</v>
      </c>
      <c r="Q525" s="6">
        <f t="shared" si="248"/>
        <v>-4.8174316248247306E-3</v>
      </c>
      <c r="R525" s="70">
        <v>38</v>
      </c>
      <c r="S525" s="70">
        <v>0</v>
      </c>
      <c r="T525" s="6">
        <f t="shared" si="238"/>
        <v>0</v>
      </c>
      <c r="U525" s="35" t="e">
        <f t="shared" si="242"/>
        <v>#DIV/0!</v>
      </c>
      <c r="V525" s="6" t="e">
        <f t="shared" si="247"/>
        <v>#DIV/0!</v>
      </c>
      <c r="W525" s="6" t="e">
        <f t="shared" si="247"/>
        <v>#DIV/0!</v>
      </c>
      <c r="X525" s="6" t="e">
        <f t="shared" si="247"/>
        <v>#DIV/0!</v>
      </c>
      <c r="Y525" s="6" t="e">
        <f t="shared" si="247"/>
        <v>#DIV/0!</v>
      </c>
      <c r="Z525" s="6" t="e">
        <f t="shared" si="247"/>
        <v>#DIV/0!</v>
      </c>
    </row>
    <row r="526" spans="1:26" x14ac:dyDescent="0.2">
      <c r="A526" s="7" t="s">
        <v>80</v>
      </c>
      <c r="B526" s="6">
        <f t="shared" si="239"/>
        <v>9</v>
      </c>
      <c r="C526" s="7" t="s">
        <v>159</v>
      </c>
      <c r="D526" s="69">
        <v>75</v>
      </c>
      <c r="E526" s="69">
        <v>0</v>
      </c>
      <c r="F526" s="66">
        <f t="shared" si="237"/>
        <v>0</v>
      </c>
      <c r="G526" s="61" t="e">
        <f t="shared" si="240"/>
        <v>#DIV/0!</v>
      </c>
      <c r="H526" s="66" t="e">
        <f t="shared" si="244"/>
        <v>#DIV/0!</v>
      </c>
      <c r="I526" s="66" t="e">
        <f t="shared" si="244"/>
        <v>#DIV/0!</v>
      </c>
      <c r="J526" s="66" t="e">
        <f t="shared" si="244"/>
        <v>#DIV/0!</v>
      </c>
      <c r="K526" s="70">
        <v>6510</v>
      </c>
      <c r="L526" s="70">
        <f>'Monitoramento Acumulado Geral'!Q526</f>
        <v>0</v>
      </c>
      <c r="M526" s="6">
        <f>(SUM(L518:L526))/K525</f>
        <v>0.13210445468509985</v>
      </c>
      <c r="N526" s="35" t="str">
        <f t="shared" si="241"/>
        <v>Desempenho Médio</v>
      </c>
      <c r="O526" s="6">
        <f t="shared" si="248"/>
        <v>0.42046470140126019</v>
      </c>
      <c r="P526" s="6">
        <f t="shared" si="248"/>
        <v>0.84574683442734511</v>
      </c>
      <c r="Q526" s="6">
        <f t="shared" si="248"/>
        <v>-4.8174316248247306E-3</v>
      </c>
      <c r="R526" s="70">
        <v>38</v>
      </c>
      <c r="S526" s="70">
        <v>0</v>
      </c>
      <c r="T526" s="6">
        <f t="shared" si="238"/>
        <v>0</v>
      </c>
      <c r="U526" s="35" t="e">
        <f t="shared" si="242"/>
        <v>#DIV/0!</v>
      </c>
      <c r="V526" s="6" t="e">
        <f t="shared" si="247"/>
        <v>#DIV/0!</v>
      </c>
      <c r="W526" s="6" t="e">
        <f t="shared" si="247"/>
        <v>#DIV/0!</v>
      </c>
      <c r="X526" s="6" t="e">
        <f t="shared" si="247"/>
        <v>#DIV/0!</v>
      </c>
      <c r="Y526" s="6" t="e">
        <f t="shared" si="247"/>
        <v>#DIV/0!</v>
      </c>
      <c r="Z526" s="6" t="e">
        <f t="shared" si="247"/>
        <v>#DIV/0!</v>
      </c>
    </row>
    <row r="527" spans="1:26" x14ac:dyDescent="0.2">
      <c r="A527" s="7" t="s">
        <v>80</v>
      </c>
      <c r="B527" s="6">
        <f t="shared" si="239"/>
        <v>10</v>
      </c>
      <c r="C527" s="7" t="s">
        <v>160</v>
      </c>
      <c r="D527" s="69">
        <v>75</v>
      </c>
      <c r="E527" s="69">
        <v>0</v>
      </c>
      <c r="F527" s="66">
        <f t="shared" si="237"/>
        <v>0</v>
      </c>
      <c r="G527" s="61" t="e">
        <f t="shared" si="240"/>
        <v>#DIV/0!</v>
      </c>
      <c r="H527" s="66" t="e">
        <f t="shared" si="244"/>
        <v>#DIV/0!</v>
      </c>
      <c r="I527" s="66" t="e">
        <f t="shared" si="244"/>
        <v>#DIV/0!</v>
      </c>
      <c r="J527" s="66" t="e">
        <f t="shared" si="244"/>
        <v>#DIV/0!</v>
      </c>
      <c r="K527" s="70">
        <v>6510</v>
      </c>
      <c r="L527" s="70">
        <f>'Monitoramento Acumulado Geral'!Q527</f>
        <v>0</v>
      </c>
      <c r="M527" s="6">
        <f>(SUM(L518:L527))/K526</f>
        <v>0.13210445468509985</v>
      </c>
      <c r="N527" s="35" t="str">
        <f t="shared" si="241"/>
        <v>Desempenho Médio</v>
      </c>
      <c r="O527" s="6">
        <f t="shared" si="248"/>
        <v>0.42046470140126019</v>
      </c>
      <c r="P527" s="6">
        <f t="shared" si="248"/>
        <v>0.84574683442734511</v>
      </c>
      <c r="Q527" s="6">
        <f t="shared" si="248"/>
        <v>-4.8174316248247306E-3</v>
      </c>
      <c r="R527" s="70">
        <v>38</v>
      </c>
      <c r="S527" s="70">
        <v>0</v>
      </c>
      <c r="T527" s="6">
        <f t="shared" si="238"/>
        <v>0</v>
      </c>
      <c r="U527" s="35" t="e">
        <f t="shared" si="242"/>
        <v>#DIV/0!</v>
      </c>
      <c r="V527" s="6" t="e">
        <f t="shared" si="247"/>
        <v>#DIV/0!</v>
      </c>
      <c r="W527" s="6" t="e">
        <f t="shared" si="247"/>
        <v>#DIV/0!</v>
      </c>
      <c r="X527" s="6" t="e">
        <f t="shared" si="247"/>
        <v>#DIV/0!</v>
      </c>
      <c r="Y527" s="6" t="e">
        <f t="shared" si="247"/>
        <v>#DIV/0!</v>
      </c>
      <c r="Z527" s="6" t="e">
        <f t="shared" si="247"/>
        <v>#DIV/0!</v>
      </c>
    </row>
    <row r="528" spans="1:26" x14ac:dyDescent="0.2">
      <c r="A528" s="7" t="s">
        <v>80</v>
      </c>
      <c r="B528" s="6">
        <f t="shared" si="239"/>
        <v>11</v>
      </c>
      <c r="C528" s="7" t="s">
        <v>161</v>
      </c>
      <c r="D528" s="69">
        <v>75</v>
      </c>
      <c r="E528" s="69">
        <v>0</v>
      </c>
      <c r="F528" s="66">
        <f t="shared" si="237"/>
        <v>0</v>
      </c>
      <c r="G528" s="61" t="e">
        <f t="shared" si="240"/>
        <v>#DIV/0!</v>
      </c>
      <c r="H528" s="66" t="e">
        <f t="shared" si="244"/>
        <v>#DIV/0!</v>
      </c>
      <c r="I528" s="66" t="e">
        <f t="shared" si="244"/>
        <v>#DIV/0!</v>
      </c>
      <c r="J528" s="66" t="e">
        <f t="shared" si="244"/>
        <v>#DIV/0!</v>
      </c>
      <c r="K528" s="70">
        <v>6510</v>
      </c>
      <c r="L528" s="70">
        <f>'Monitoramento Acumulado Geral'!Q528</f>
        <v>0</v>
      </c>
      <c r="M528" s="6">
        <f>(SUM(L518:L528))/K527</f>
        <v>0.13210445468509985</v>
      </c>
      <c r="N528" s="35" t="str">
        <f t="shared" si="241"/>
        <v>Desempenho Médio</v>
      </c>
      <c r="O528" s="6">
        <f t="shared" si="248"/>
        <v>0.42046470140126019</v>
      </c>
      <c r="P528" s="6">
        <f t="shared" si="248"/>
        <v>0.84574683442734511</v>
      </c>
      <c r="Q528" s="6">
        <f t="shared" si="248"/>
        <v>-4.8174316248247306E-3</v>
      </c>
      <c r="R528" s="70">
        <v>38</v>
      </c>
      <c r="S528" s="70">
        <v>0</v>
      </c>
      <c r="T528" s="6">
        <f t="shared" si="238"/>
        <v>0</v>
      </c>
      <c r="U528" s="35" t="e">
        <f t="shared" si="242"/>
        <v>#DIV/0!</v>
      </c>
      <c r="V528" s="6" t="e">
        <f t="shared" si="247"/>
        <v>#DIV/0!</v>
      </c>
      <c r="W528" s="6" t="e">
        <f t="shared" si="247"/>
        <v>#DIV/0!</v>
      </c>
      <c r="X528" s="6" t="e">
        <f t="shared" si="247"/>
        <v>#DIV/0!</v>
      </c>
      <c r="Y528" s="6" t="e">
        <f t="shared" si="247"/>
        <v>#DIV/0!</v>
      </c>
      <c r="Z528" s="6" t="e">
        <f t="shared" si="247"/>
        <v>#DIV/0!</v>
      </c>
    </row>
    <row r="529" spans="1:26" x14ac:dyDescent="0.2">
      <c r="A529" s="7" t="s">
        <v>80</v>
      </c>
      <c r="B529" s="6">
        <f t="shared" si="239"/>
        <v>12</v>
      </c>
      <c r="C529" s="7" t="s">
        <v>162</v>
      </c>
      <c r="D529" s="69">
        <v>75</v>
      </c>
      <c r="E529" s="69">
        <v>0</v>
      </c>
      <c r="F529" s="66">
        <f t="shared" si="237"/>
        <v>0</v>
      </c>
      <c r="G529" s="61" t="e">
        <f t="shared" si="240"/>
        <v>#DIV/0!</v>
      </c>
      <c r="H529" s="66" t="e">
        <f t="shared" si="244"/>
        <v>#DIV/0!</v>
      </c>
      <c r="I529" s="66" t="e">
        <f t="shared" si="244"/>
        <v>#DIV/0!</v>
      </c>
      <c r="J529" s="66" t="e">
        <f t="shared" si="244"/>
        <v>#DIV/0!</v>
      </c>
      <c r="K529" s="70">
        <v>6510</v>
      </c>
      <c r="L529" s="70">
        <f>'Monitoramento Acumulado Geral'!Q529</f>
        <v>0</v>
      </c>
      <c r="M529" s="6">
        <f>(SUM(L518:L529))/K528</f>
        <v>0.13210445468509985</v>
      </c>
      <c r="N529" s="35" t="str">
        <f t="shared" si="241"/>
        <v>Desempenho Médio</v>
      </c>
      <c r="O529" s="6">
        <f t="shared" si="248"/>
        <v>0.41824651958307835</v>
      </c>
      <c r="P529" s="6">
        <f t="shared" si="248"/>
        <v>0.84510274859297763</v>
      </c>
      <c r="Q529" s="6">
        <f t="shared" si="248"/>
        <v>-8.6097094268208774E-3</v>
      </c>
      <c r="R529" s="70">
        <v>38</v>
      </c>
      <c r="S529" s="70">
        <v>0</v>
      </c>
      <c r="T529" s="6">
        <f t="shared" si="238"/>
        <v>0</v>
      </c>
      <c r="U529" s="35" t="e">
        <f t="shared" si="242"/>
        <v>#DIV/0!</v>
      </c>
      <c r="V529" s="6" t="e">
        <f t="shared" si="247"/>
        <v>#DIV/0!</v>
      </c>
      <c r="W529" s="6" t="e">
        <f t="shared" si="247"/>
        <v>#DIV/0!</v>
      </c>
      <c r="X529" s="6" t="e">
        <f t="shared" si="247"/>
        <v>#DIV/0!</v>
      </c>
      <c r="Y529" s="6" t="e">
        <f t="shared" si="247"/>
        <v>#DIV/0!</v>
      </c>
      <c r="Z529" s="6" t="e">
        <f t="shared" si="247"/>
        <v>#DIV/0!</v>
      </c>
    </row>
    <row r="530" spans="1:26" x14ac:dyDescent="0.2">
      <c r="A530" s="7" t="s">
        <v>77</v>
      </c>
      <c r="B530" s="6">
        <f t="shared" si="239"/>
        <v>1</v>
      </c>
      <c r="C530" s="7" t="s">
        <v>151</v>
      </c>
      <c r="D530" s="69">
        <v>66</v>
      </c>
      <c r="E530" s="69">
        <v>50</v>
      </c>
      <c r="F530" s="66">
        <f t="shared" si="237"/>
        <v>0.75757575757575757</v>
      </c>
      <c r="G530" s="61" t="e">
        <f t="shared" si="240"/>
        <v>#DIV/0!</v>
      </c>
      <c r="H530" s="66" t="e">
        <f t="shared" si="244"/>
        <v>#DIV/0!</v>
      </c>
      <c r="I530" s="66" t="e">
        <f t="shared" si="244"/>
        <v>#DIV/0!</v>
      </c>
      <c r="J530" s="66" t="e">
        <f t="shared" si="244"/>
        <v>#DIV/0!</v>
      </c>
      <c r="K530" s="70">
        <v>5400</v>
      </c>
      <c r="L530" s="70">
        <f>'Monitoramento Acumulado Geral'!Q530</f>
        <v>400</v>
      </c>
      <c r="M530" s="6">
        <f>L530/K530</f>
        <v>7.407407407407407E-2</v>
      </c>
      <c r="N530" s="35" t="str">
        <f t="shared" si="241"/>
        <v>Desempenho Bom</v>
      </c>
      <c r="O530" s="6">
        <f t="shared" si="248"/>
        <v>3.4274647562211005E-2</v>
      </c>
      <c r="P530" s="6">
        <f t="shared" si="248"/>
        <v>0.10289217685709087</v>
      </c>
      <c r="Q530" s="6">
        <f t="shared" si="248"/>
        <v>-3.4342881732668862E-2</v>
      </c>
      <c r="R530" s="70">
        <v>70</v>
      </c>
      <c r="S530" s="70">
        <v>0</v>
      </c>
      <c r="T530" s="6">
        <f t="shared" si="238"/>
        <v>0</v>
      </c>
      <c r="U530" s="35" t="e">
        <f t="shared" si="242"/>
        <v>#DIV/0!</v>
      </c>
      <c r="V530" s="6" t="e">
        <f t="shared" si="247"/>
        <v>#DIV/0!</v>
      </c>
      <c r="W530" s="6" t="e">
        <f t="shared" si="247"/>
        <v>#DIV/0!</v>
      </c>
      <c r="X530" s="6" t="e">
        <f t="shared" si="247"/>
        <v>#DIV/0!</v>
      </c>
      <c r="Y530" s="6" t="e">
        <f t="shared" si="247"/>
        <v>#DIV/0!</v>
      </c>
      <c r="Z530" s="6" t="e">
        <f t="shared" si="247"/>
        <v>#DIV/0!</v>
      </c>
    </row>
    <row r="531" spans="1:26" x14ac:dyDescent="0.2">
      <c r="A531" s="7" t="s">
        <v>77</v>
      </c>
      <c r="B531" s="6">
        <f t="shared" si="239"/>
        <v>2</v>
      </c>
      <c r="C531" s="7" t="s">
        <v>152</v>
      </c>
      <c r="D531" s="69">
        <v>66</v>
      </c>
      <c r="E531" s="69">
        <v>50</v>
      </c>
      <c r="F531" s="66">
        <f t="shared" si="237"/>
        <v>0.75757575757575757</v>
      </c>
      <c r="G531" s="61" t="e">
        <f t="shared" si="240"/>
        <v>#DIV/0!</v>
      </c>
      <c r="H531" s="66" t="e">
        <f t="shared" si="244"/>
        <v>#DIV/0!</v>
      </c>
      <c r="I531" s="66" t="e">
        <f t="shared" si="244"/>
        <v>#DIV/0!</v>
      </c>
      <c r="J531" s="66" t="e">
        <f t="shared" si="244"/>
        <v>#DIV/0!</v>
      </c>
      <c r="K531" s="70">
        <v>5400</v>
      </c>
      <c r="L531" s="70">
        <f>'Monitoramento Acumulado Geral'!Q531</f>
        <v>0</v>
      </c>
      <c r="M531" s="6">
        <f>(SUM(L530:L531))/K530</f>
        <v>7.407407407407407E-2</v>
      </c>
      <c r="N531" s="35" t="str">
        <f t="shared" si="241"/>
        <v>Desempenho Médio</v>
      </c>
      <c r="O531" s="6">
        <f t="shared" si="248"/>
        <v>8.1815188943147363E-2</v>
      </c>
      <c r="P531" s="6">
        <f t="shared" si="248"/>
        <v>0.20623883252423067</v>
      </c>
      <c r="Q531" s="6">
        <f t="shared" si="248"/>
        <v>-4.2608454637935944E-2</v>
      </c>
      <c r="R531" s="70">
        <v>70</v>
      </c>
      <c r="S531" s="70">
        <v>0</v>
      </c>
      <c r="T531" s="6">
        <f t="shared" si="238"/>
        <v>0</v>
      </c>
      <c r="U531" s="35" t="e">
        <f t="shared" si="242"/>
        <v>#DIV/0!</v>
      </c>
      <c r="V531" s="6" t="e">
        <f t="shared" ref="V531:Z546" si="249">V519</f>
        <v>#DIV/0!</v>
      </c>
      <c r="W531" s="6" t="e">
        <f t="shared" si="249"/>
        <v>#DIV/0!</v>
      </c>
      <c r="X531" s="6" t="e">
        <f t="shared" si="249"/>
        <v>#DIV/0!</v>
      </c>
      <c r="Y531" s="6" t="e">
        <f t="shared" si="249"/>
        <v>#DIV/0!</v>
      </c>
      <c r="Z531" s="6" t="e">
        <f t="shared" si="249"/>
        <v>#DIV/0!</v>
      </c>
    </row>
    <row r="532" spans="1:26" x14ac:dyDescent="0.2">
      <c r="A532" s="7" t="s">
        <v>77</v>
      </c>
      <c r="B532" s="6">
        <f t="shared" si="239"/>
        <v>3</v>
      </c>
      <c r="C532" s="7" t="s">
        <v>153</v>
      </c>
      <c r="D532" s="69">
        <v>66</v>
      </c>
      <c r="E532" s="69">
        <v>50</v>
      </c>
      <c r="F532" s="66">
        <f t="shared" si="237"/>
        <v>0.75757575757575757</v>
      </c>
      <c r="G532" s="61" t="e">
        <f t="shared" si="240"/>
        <v>#DIV/0!</v>
      </c>
      <c r="H532" s="66" t="e">
        <f t="shared" si="244"/>
        <v>#DIV/0!</v>
      </c>
      <c r="I532" s="66" t="e">
        <f t="shared" si="244"/>
        <v>#DIV/0!</v>
      </c>
      <c r="J532" s="66" t="e">
        <f t="shared" si="244"/>
        <v>#DIV/0!</v>
      </c>
      <c r="K532" s="70">
        <v>5400</v>
      </c>
      <c r="L532" s="70">
        <f>'Monitoramento Acumulado Geral'!Q532</f>
        <v>0</v>
      </c>
      <c r="M532" s="6">
        <f>(SUM(L530:L532))/K531</f>
        <v>7.407407407407407E-2</v>
      </c>
      <c r="N532" s="35" t="str">
        <f t="shared" si="241"/>
        <v>Desempenho Médio</v>
      </c>
      <c r="O532" s="6">
        <f t="shared" si="248"/>
        <v>0.13411292471649494</v>
      </c>
      <c r="P532" s="6">
        <f t="shared" si="248"/>
        <v>0.29721906787058483</v>
      </c>
      <c r="Q532" s="6">
        <f t="shared" si="248"/>
        <v>-2.899321843759492E-2</v>
      </c>
      <c r="R532" s="70">
        <v>70</v>
      </c>
      <c r="S532" s="70">
        <v>0</v>
      </c>
      <c r="T532" s="6">
        <f t="shared" si="238"/>
        <v>0</v>
      </c>
      <c r="U532" s="35" t="e">
        <f t="shared" si="242"/>
        <v>#DIV/0!</v>
      </c>
      <c r="V532" s="6" t="e">
        <f t="shared" si="249"/>
        <v>#DIV/0!</v>
      </c>
      <c r="W532" s="6" t="e">
        <f t="shared" si="249"/>
        <v>#DIV/0!</v>
      </c>
      <c r="X532" s="6" t="e">
        <f t="shared" si="249"/>
        <v>#DIV/0!</v>
      </c>
      <c r="Y532" s="6" t="e">
        <f t="shared" si="249"/>
        <v>#DIV/0!</v>
      </c>
      <c r="Z532" s="6" t="e">
        <f t="shared" si="249"/>
        <v>#DIV/0!</v>
      </c>
    </row>
    <row r="533" spans="1:26" x14ac:dyDescent="0.2">
      <c r="A533" s="7" t="s">
        <v>77</v>
      </c>
      <c r="B533" s="6">
        <f t="shared" si="239"/>
        <v>4</v>
      </c>
      <c r="C533" s="7" t="s">
        <v>154</v>
      </c>
      <c r="D533" s="69">
        <v>66</v>
      </c>
      <c r="E533" s="69">
        <v>75</v>
      </c>
      <c r="F533" s="66">
        <f t="shared" si="237"/>
        <v>1.1363636363636365</v>
      </c>
      <c r="G533" s="61" t="e">
        <f t="shared" si="240"/>
        <v>#DIV/0!</v>
      </c>
      <c r="H533" s="66" t="e">
        <f t="shared" si="244"/>
        <v>#DIV/0!</v>
      </c>
      <c r="I533" s="66" t="e">
        <f t="shared" si="244"/>
        <v>#DIV/0!</v>
      </c>
      <c r="J533" s="66" t="e">
        <f t="shared" si="244"/>
        <v>#DIV/0!</v>
      </c>
      <c r="K533" s="70">
        <v>5400</v>
      </c>
      <c r="L533" s="70">
        <f>'Monitoramento Acumulado Geral'!Q533</f>
        <v>200</v>
      </c>
      <c r="M533" s="6">
        <f>(SUM(L530:L533))/K532</f>
        <v>0.1111111111111111</v>
      </c>
      <c r="N533" s="35" t="str">
        <f t="shared" si="241"/>
        <v>Desempenho Médio</v>
      </c>
      <c r="O533" s="6">
        <f t="shared" si="248"/>
        <v>0.15392483870093213</v>
      </c>
      <c r="P533" s="6">
        <f t="shared" si="248"/>
        <v>0.32772007016950033</v>
      </c>
      <c r="Q533" s="6">
        <f t="shared" si="248"/>
        <v>-1.9870392767636053E-2</v>
      </c>
      <c r="R533" s="70">
        <v>70</v>
      </c>
      <c r="S533" s="70">
        <v>0</v>
      </c>
      <c r="T533" s="6">
        <f t="shared" si="238"/>
        <v>0</v>
      </c>
      <c r="U533" s="35" t="e">
        <f t="shared" si="242"/>
        <v>#DIV/0!</v>
      </c>
      <c r="V533" s="6" t="e">
        <f t="shared" si="249"/>
        <v>#DIV/0!</v>
      </c>
      <c r="W533" s="6" t="e">
        <f t="shared" si="249"/>
        <v>#DIV/0!</v>
      </c>
      <c r="X533" s="6" t="e">
        <f t="shared" si="249"/>
        <v>#DIV/0!</v>
      </c>
      <c r="Y533" s="6" t="e">
        <f t="shared" si="249"/>
        <v>#DIV/0!</v>
      </c>
      <c r="Z533" s="6" t="e">
        <f t="shared" si="249"/>
        <v>#DIV/0!</v>
      </c>
    </row>
    <row r="534" spans="1:26" x14ac:dyDescent="0.2">
      <c r="A534" s="7" t="s">
        <v>77</v>
      </c>
      <c r="B534" s="6">
        <f t="shared" si="239"/>
        <v>5</v>
      </c>
      <c r="C534" s="7" t="s">
        <v>155</v>
      </c>
      <c r="D534" s="69">
        <v>66</v>
      </c>
      <c r="E534" s="69">
        <v>75</v>
      </c>
      <c r="F534" s="66">
        <f t="shared" si="237"/>
        <v>1.1363636363636365</v>
      </c>
      <c r="G534" s="61" t="e">
        <f t="shared" si="240"/>
        <v>#DIV/0!</v>
      </c>
      <c r="H534" s="66" t="e">
        <f t="shared" si="244"/>
        <v>#DIV/0!</v>
      </c>
      <c r="I534" s="66" t="e">
        <f t="shared" si="244"/>
        <v>#DIV/0!</v>
      </c>
      <c r="J534" s="66" t="e">
        <f t="shared" si="244"/>
        <v>#DIV/0!</v>
      </c>
      <c r="K534" s="70">
        <v>5400</v>
      </c>
      <c r="L534" s="70">
        <f>'Monitoramento Acumulado Geral'!Q534</f>
        <v>0</v>
      </c>
      <c r="M534" s="6">
        <f>(SUM(L530:L534))/K533</f>
        <v>0.1111111111111111</v>
      </c>
      <c r="N534" s="35" t="str">
        <f t="shared" si="241"/>
        <v>Desempenho Médio</v>
      </c>
      <c r="O534" s="6">
        <f t="shared" si="248"/>
        <v>0.21139287248463789</v>
      </c>
      <c r="P534" s="6">
        <f t="shared" si="248"/>
        <v>0.43680804416292918</v>
      </c>
      <c r="Q534" s="6">
        <f t="shared" si="248"/>
        <v>-1.4022299193653387E-2</v>
      </c>
      <c r="R534" s="70">
        <v>70</v>
      </c>
      <c r="S534" s="70">
        <v>0</v>
      </c>
      <c r="T534" s="6">
        <f t="shared" si="238"/>
        <v>0</v>
      </c>
      <c r="U534" s="35" t="e">
        <f t="shared" si="242"/>
        <v>#DIV/0!</v>
      </c>
      <c r="V534" s="6" t="e">
        <f t="shared" si="249"/>
        <v>#DIV/0!</v>
      </c>
      <c r="W534" s="6" t="e">
        <f t="shared" si="249"/>
        <v>#DIV/0!</v>
      </c>
      <c r="X534" s="6" t="e">
        <f t="shared" si="249"/>
        <v>#DIV/0!</v>
      </c>
      <c r="Y534" s="6" t="e">
        <f t="shared" si="249"/>
        <v>#DIV/0!</v>
      </c>
      <c r="Z534" s="6" t="e">
        <f t="shared" si="249"/>
        <v>#DIV/0!</v>
      </c>
    </row>
    <row r="535" spans="1:26" x14ac:dyDescent="0.2">
      <c r="A535" s="7" t="s">
        <v>77</v>
      </c>
      <c r="B535" s="6">
        <f t="shared" si="239"/>
        <v>6</v>
      </c>
      <c r="C535" s="7" t="s">
        <v>156</v>
      </c>
      <c r="D535" s="69">
        <v>66</v>
      </c>
      <c r="E535" s="69">
        <v>75</v>
      </c>
      <c r="F535" s="66">
        <f t="shared" si="237"/>
        <v>1.1363636363636365</v>
      </c>
      <c r="G535" s="61" t="e">
        <f t="shared" si="240"/>
        <v>#DIV/0!</v>
      </c>
      <c r="H535" s="66" t="e">
        <f t="shared" si="244"/>
        <v>#DIV/0!</v>
      </c>
      <c r="I535" s="66" t="e">
        <f t="shared" si="244"/>
        <v>#DIV/0!</v>
      </c>
      <c r="J535" s="66" t="e">
        <f t="shared" si="244"/>
        <v>#DIV/0!</v>
      </c>
      <c r="K535" s="70">
        <v>5400</v>
      </c>
      <c r="L535" s="70">
        <f>'Monitoramento Acumulado Geral'!Q535</f>
        <v>0</v>
      </c>
      <c r="M535" s="6">
        <f>(SUM(L530:L535))/K534</f>
        <v>0.1111111111111111</v>
      </c>
      <c r="N535" s="35" t="str">
        <f t="shared" si="241"/>
        <v>Desempenho Médio</v>
      </c>
      <c r="O535" s="6">
        <f t="shared" si="248"/>
        <v>0.28403291059934432</v>
      </c>
      <c r="P535" s="6">
        <f t="shared" si="248"/>
        <v>0.56118246348434164</v>
      </c>
      <c r="Q535" s="6">
        <f t="shared" si="248"/>
        <v>6.8833577143469493E-3</v>
      </c>
      <c r="R535" s="70">
        <v>70</v>
      </c>
      <c r="S535" s="70">
        <v>0</v>
      </c>
      <c r="T535" s="6">
        <f t="shared" si="238"/>
        <v>0</v>
      </c>
      <c r="U535" s="35" t="e">
        <f t="shared" si="242"/>
        <v>#DIV/0!</v>
      </c>
      <c r="V535" s="6" t="e">
        <f t="shared" si="249"/>
        <v>#DIV/0!</v>
      </c>
      <c r="W535" s="6" t="e">
        <f t="shared" si="249"/>
        <v>#DIV/0!</v>
      </c>
      <c r="X535" s="6" t="e">
        <f t="shared" si="249"/>
        <v>#DIV/0!</v>
      </c>
      <c r="Y535" s="6" t="e">
        <f t="shared" si="249"/>
        <v>#DIV/0!</v>
      </c>
      <c r="Z535" s="6" t="e">
        <f t="shared" si="249"/>
        <v>#DIV/0!</v>
      </c>
    </row>
    <row r="536" spans="1:26" x14ac:dyDescent="0.2">
      <c r="A536" s="7" t="s">
        <v>77</v>
      </c>
      <c r="B536" s="6">
        <f t="shared" si="239"/>
        <v>7</v>
      </c>
      <c r="C536" s="7" t="s">
        <v>157</v>
      </c>
      <c r="D536" s="69">
        <v>66</v>
      </c>
      <c r="E536" s="69">
        <v>75</v>
      </c>
      <c r="F536" s="66">
        <f t="shared" si="237"/>
        <v>1.1363636363636365</v>
      </c>
      <c r="G536" s="61" t="e">
        <f t="shared" si="240"/>
        <v>#DIV/0!</v>
      </c>
      <c r="H536" s="66" t="e">
        <f t="shared" si="244"/>
        <v>#DIV/0!</v>
      </c>
      <c r="I536" s="66" t="e">
        <f t="shared" si="244"/>
        <v>#DIV/0!</v>
      </c>
      <c r="J536" s="66" t="e">
        <f t="shared" si="244"/>
        <v>#DIV/0!</v>
      </c>
      <c r="K536" s="70">
        <v>5400</v>
      </c>
      <c r="L536" s="70">
        <f>'Monitoramento Acumulado Geral'!Q536</f>
        <v>0</v>
      </c>
      <c r="M536" s="6">
        <f>(SUM(L530:L536))/K535</f>
        <v>0.1111111111111111</v>
      </c>
      <c r="N536" s="35" t="str">
        <f t="shared" si="241"/>
        <v>Desempenho Médio</v>
      </c>
      <c r="O536" s="6">
        <f t="shared" si="248"/>
        <v>0.42046470140126019</v>
      </c>
      <c r="P536" s="6">
        <f t="shared" si="248"/>
        <v>0.84574683442734511</v>
      </c>
      <c r="Q536" s="6">
        <f t="shared" si="248"/>
        <v>-4.8174316248247306E-3</v>
      </c>
      <c r="R536" s="70">
        <v>70</v>
      </c>
      <c r="S536" s="70">
        <v>0</v>
      </c>
      <c r="T536" s="6">
        <f t="shared" si="238"/>
        <v>0</v>
      </c>
      <c r="U536" s="35" t="e">
        <f t="shared" si="242"/>
        <v>#DIV/0!</v>
      </c>
      <c r="V536" s="6" t="e">
        <f t="shared" si="249"/>
        <v>#DIV/0!</v>
      </c>
      <c r="W536" s="6" t="e">
        <f t="shared" si="249"/>
        <v>#DIV/0!</v>
      </c>
      <c r="X536" s="6" t="e">
        <f t="shared" si="249"/>
        <v>#DIV/0!</v>
      </c>
      <c r="Y536" s="6" t="e">
        <f t="shared" si="249"/>
        <v>#DIV/0!</v>
      </c>
      <c r="Z536" s="6" t="e">
        <f t="shared" si="249"/>
        <v>#DIV/0!</v>
      </c>
    </row>
    <row r="537" spans="1:26" x14ac:dyDescent="0.2">
      <c r="A537" s="7" t="s">
        <v>77</v>
      </c>
      <c r="B537" s="6">
        <f t="shared" si="239"/>
        <v>8</v>
      </c>
      <c r="C537" s="7" t="s">
        <v>158</v>
      </c>
      <c r="D537" s="69">
        <v>66</v>
      </c>
      <c r="E537" s="69">
        <v>0</v>
      </c>
      <c r="F537" s="66">
        <f t="shared" si="237"/>
        <v>0</v>
      </c>
      <c r="G537" s="61" t="e">
        <f t="shared" si="240"/>
        <v>#DIV/0!</v>
      </c>
      <c r="H537" s="66" t="e">
        <f t="shared" si="244"/>
        <v>#DIV/0!</v>
      </c>
      <c r="I537" s="66" t="e">
        <f t="shared" si="244"/>
        <v>#DIV/0!</v>
      </c>
      <c r="J537" s="66" t="e">
        <f t="shared" si="244"/>
        <v>#DIV/0!</v>
      </c>
      <c r="K537" s="70">
        <v>5400</v>
      </c>
      <c r="L537" s="70">
        <f>'Monitoramento Acumulado Geral'!Q537</f>
        <v>0</v>
      </c>
      <c r="M537" s="6">
        <f>(SUM(L530:L537))/K536</f>
        <v>0.1111111111111111</v>
      </c>
      <c r="N537" s="35" t="str">
        <f t="shared" si="241"/>
        <v>Desempenho Médio</v>
      </c>
      <c r="O537" s="6">
        <f t="shared" si="248"/>
        <v>0.42046470140126019</v>
      </c>
      <c r="P537" s="6">
        <f t="shared" si="248"/>
        <v>0.84574683442734511</v>
      </c>
      <c r="Q537" s="6">
        <f t="shared" si="248"/>
        <v>-4.8174316248247306E-3</v>
      </c>
      <c r="R537" s="70">
        <v>70</v>
      </c>
      <c r="S537" s="70">
        <v>0</v>
      </c>
      <c r="T537" s="6">
        <f t="shared" si="238"/>
        <v>0</v>
      </c>
      <c r="U537" s="35" t="e">
        <f t="shared" si="242"/>
        <v>#DIV/0!</v>
      </c>
      <c r="V537" s="6" t="e">
        <f t="shared" si="249"/>
        <v>#DIV/0!</v>
      </c>
      <c r="W537" s="6" t="e">
        <f t="shared" si="249"/>
        <v>#DIV/0!</v>
      </c>
      <c r="X537" s="6" t="e">
        <f t="shared" si="249"/>
        <v>#DIV/0!</v>
      </c>
      <c r="Y537" s="6" t="e">
        <f t="shared" si="249"/>
        <v>#DIV/0!</v>
      </c>
      <c r="Z537" s="6" t="e">
        <f t="shared" si="249"/>
        <v>#DIV/0!</v>
      </c>
    </row>
    <row r="538" spans="1:26" x14ac:dyDescent="0.2">
      <c r="A538" s="7" t="s">
        <v>77</v>
      </c>
      <c r="B538" s="6">
        <f t="shared" si="239"/>
        <v>9</v>
      </c>
      <c r="C538" s="7" t="s">
        <v>159</v>
      </c>
      <c r="D538" s="69">
        <v>66</v>
      </c>
      <c r="E538" s="69">
        <v>0</v>
      </c>
      <c r="F538" s="66">
        <f t="shared" si="237"/>
        <v>0</v>
      </c>
      <c r="G538" s="61" t="e">
        <f t="shared" si="240"/>
        <v>#DIV/0!</v>
      </c>
      <c r="H538" s="66" t="e">
        <f t="shared" si="244"/>
        <v>#DIV/0!</v>
      </c>
      <c r="I538" s="66" t="e">
        <f t="shared" si="244"/>
        <v>#DIV/0!</v>
      </c>
      <c r="J538" s="66" t="e">
        <f t="shared" si="244"/>
        <v>#DIV/0!</v>
      </c>
      <c r="K538" s="70">
        <v>5400</v>
      </c>
      <c r="L538" s="70">
        <f>'Monitoramento Acumulado Geral'!Q538</f>
        <v>0</v>
      </c>
      <c r="M538" s="6">
        <f>(SUM(L530:L538))/K537</f>
        <v>0.1111111111111111</v>
      </c>
      <c r="N538" s="35" t="str">
        <f t="shared" si="241"/>
        <v>Desempenho Médio</v>
      </c>
      <c r="O538" s="6">
        <f t="shared" ref="O538:Q553" si="250">O526</f>
        <v>0.42046470140126019</v>
      </c>
      <c r="P538" s="6">
        <f t="shared" si="250"/>
        <v>0.84574683442734511</v>
      </c>
      <c r="Q538" s="6">
        <f t="shared" si="250"/>
        <v>-4.8174316248247306E-3</v>
      </c>
      <c r="R538" s="70">
        <v>70</v>
      </c>
      <c r="S538" s="70">
        <v>0</v>
      </c>
      <c r="T538" s="6">
        <f t="shared" si="238"/>
        <v>0</v>
      </c>
      <c r="U538" s="35" t="e">
        <f t="shared" si="242"/>
        <v>#DIV/0!</v>
      </c>
      <c r="V538" s="6" t="e">
        <f t="shared" si="249"/>
        <v>#DIV/0!</v>
      </c>
      <c r="W538" s="6" t="e">
        <f t="shared" si="249"/>
        <v>#DIV/0!</v>
      </c>
      <c r="X538" s="6" t="e">
        <f t="shared" si="249"/>
        <v>#DIV/0!</v>
      </c>
      <c r="Y538" s="6" t="e">
        <f t="shared" si="249"/>
        <v>#DIV/0!</v>
      </c>
      <c r="Z538" s="6" t="e">
        <f t="shared" si="249"/>
        <v>#DIV/0!</v>
      </c>
    </row>
    <row r="539" spans="1:26" x14ac:dyDescent="0.2">
      <c r="A539" s="7" t="s">
        <v>77</v>
      </c>
      <c r="B539" s="6">
        <f t="shared" si="239"/>
        <v>10</v>
      </c>
      <c r="C539" s="7" t="s">
        <v>160</v>
      </c>
      <c r="D539" s="69">
        <v>66</v>
      </c>
      <c r="E539" s="69">
        <v>0</v>
      </c>
      <c r="F539" s="66">
        <f t="shared" si="237"/>
        <v>0</v>
      </c>
      <c r="G539" s="61" t="e">
        <f t="shared" si="240"/>
        <v>#DIV/0!</v>
      </c>
      <c r="H539" s="66" t="e">
        <f t="shared" si="244"/>
        <v>#DIV/0!</v>
      </c>
      <c r="I539" s="66" t="e">
        <f t="shared" si="244"/>
        <v>#DIV/0!</v>
      </c>
      <c r="J539" s="66" t="e">
        <f t="shared" si="244"/>
        <v>#DIV/0!</v>
      </c>
      <c r="K539" s="70">
        <v>5400</v>
      </c>
      <c r="L539" s="70">
        <f>'Monitoramento Acumulado Geral'!Q539</f>
        <v>0</v>
      </c>
      <c r="M539" s="6">
        <f>(SUM(L530:L539))/K538</f>
        <v>0.1111111111111111</v>
      </c>
      <c r="N539" s="35" t="str">
        <f t="shared" si="241"/>
        <v>Desempenho Médio</v>
      </c>
      <c r="O539" s="6">
        <f t="shared" si="250"/>
        <v>0.42046470140126019</v>
      </c>
      <c r="P539" s="6">
        <f t="shared" si="250"/>
        <v>0.84574683442734511</v>
      </c>
      <c r="Q539" s="6">
        <f t="shared" si="250"/>
        <v>-4.8174316248247306E-3</v>
      </c>
      <c r="R539" s="70">
        <v>70</v>
      </c>
      <c r="S539" s="70">
        <v>0</v>
      </c>
      <c r="T539" s="6">
        <f t="shared" si="238"/>
        <v>0</v>
      </c>
      <c r="U539" s="35" t="e">
        <f t="shared" si="242"/>
        <v>#DIV/0!</v>
      </c>
      <c r="V539" s="6" t="e">
        <f t="shared" si="249"/>
        <v>#DIV/0!</v>
      </c>
      <c r="W539" s="6" t="e">
        <f t="shared" si="249"/>
        <v>#DIV/0!</v>
      </c>
      <c r="X539" s="6" t="e">
        <f t="shared" si="249"/>
        <v>#DIV/0!</v>
      </c>
      <c r="Y539" s="6" t="e">
        <f t="shared" si="249"/>
        <v>#DIV/0!</v>
      </c>
      <c r="Z539" s="6" t="e">
        <f t="shared" si="249"/>
        <v>#DIV/0!</v>
      </c>
    </row>
    <row r="540" spans="1:26" x14ac:dyDescent="0.2">
      <c r="A540" s="7" t="s">
        <v>77</v>
      </c>
      <c r="B540" s="6">
        <f t="shared" si="239"/>
        <v>11</v>
      </c>
      <c r="C540" s="7" t="s">
        <v>161</v>
      </c>
      <c r="D540" s="69">
        <v>66</v>
      </c>
      <c r="E540" s="69">
        <v>0</v>
      </c>
      <c r="F540" s="66">
        <f t="shared" si="237"/>
        <v>0</v>
      </c>
      <c r="G540" s="61" t="e">
        <f t="shared" si="240"/>
        <v>#DIV/0!</v>
      </c>
      <c r="H540" s="66" t="e">
        <f t="shared" si="244"/>
        <v>#DIV/0!</v>
      </c>
      <c r="I540" s="66" t="e">
        <f t="shared" si="244"/>
        <v>#DIV/0!</v>
      </c>
      <c r="J540" s="66" t="e">
        <f t="shared" si="244"/>
        <v>#DIV/0!</v>
      </c>
      <c r="K540" s="70">
        <v>5400</v>
      </c>
      <c r="L540" s="70">
        <f>'Monitoramento Acumulado Geral'!Q540</f>
        <v>0</v>
      </c>
      <c r="M540" s="6">
        <f>(SUM(L530:L540))/K539</f>
        <v>0.1111111111111111</v>
      </c>
      <c r="N540" s="35" t="str">
        <f t="shared" si="241"/>
        <v>Desempenho Médio</v>
      </c>
      <c r="O540" s="6">
        <f t="shared" si="250"/>
        <v>0.42046470140126019</v>
      </c>
      <c r="P540" s="6">
        <f t="shared" si="250"/>
        <v>0.84574683442734511</v>
      </c>
      <c r="Q540" s="6">
        <f t="shared" si="250"/>
        <v>-4.8174316248247306E-3</v>
      </c>
      <c r="R540" s="70">
        <v>70</v>
      </c>
      <c r="S540" s="70">
        <v>0</v>
      </c>
      <c r="T540" s="6">
        <f t="shared" si="238"/>
        <v>0</v>
      </c>
      <c r="U540" s="35" t="e">
        <f t="shared" si="242"/>
        <v>#DIV/0!</v>
      </c>
      <c r="V540" s="6" t="e">
        <f t="shared" si="249"/>
        <v>#DIV/0!</v>
      </c>
      <c r="W540" s="6" t="e">
        <f t="shared" si="249"/>
        <v>#DIV/0!</v>
      </c>
      <c r="X540" s="6" t="e">
        <f t="shared" si="249"/>
        <v>#DIV/0!</v>
      </c>
      <c r="Y540" s="6" t="e">
        <f t="shared" si="249"/>
        <v>#DIV/0!</v>
      </c>
      <c r="Z540" s="6" t="e">
        <f t="shared" si="249"/>
        <v>#DIV/0!</v>
      </c>
    </row>
    <row r="541" spans="1:26" x14ac:dyDescent="0.2">
      <c r="A541" s="7" t="s">
        <v>77</v>
      </c>
      <c r="B541" s="6">
        <f t="shared" si="239"/>
        <v>12</v>
      </c>
      <c r="C541" s="7" t="s">
        <v>162</v>
      </c>
      <c r="D541" s="69">
        <v>66</v>
      </c>
      <c r="E541" s="69">
        <v>0</v>
      </c>
      <c r="F541" s="66">
        <f t="shared" si="237"/>
        <v>0</v>
      </c>
      <c r="G541" s="61" t="e">
        <f t="shared" si="240"/>
        <v>#DIV/0!</v>
      </c>
      <c r="H541" s="66" t="e">
        <f t="shared" si="244"/>
        <v>#DIV/0!</v>
      </c>
      <c r="I541" s="66" t="e">
        <f t="shared" si="244"/>
        <v>#DIV/0!</v>
      </c>
      <c r="J541" s="66" t="e">
        <f t="shared" si="244"/>
        <v>#DIV/0!</v>
      </c>
      <c r="K541" s="70">
        <v>5400</v>
      </c>
      <c r="L541" s="70">
        <f>'Monitoramento Acumulado Geral'!Q541</f>
        <v>0</v>
      </c>
      <c r="M541" s="6">
        <f>(SUM(L530:L541))/K540</f>
        <v>0.1111111111111111</v>
      </c>
      <c r="N541" s="35" t="str">
        <f t="shared" si="241"/>
        <v>Desempenho Médio</v>
      </c>
      <c r="O541" s="6">
        <f t="shared" si="250"/>
        <v>0.41824651958307835</v>
      </c>
      <c r="P541" s="6">
        <f t="shared" si="250"/>
        <v>0.84510274859297763</v>
      </c>
      <c r="Q541" s="6">
        <f t="shared" si="250"/>
        <v>-8.6097094268208774E-3</v>
      </c>
      <c r="R541" s="70">
        <v>70</v>
      </c>
      <c r="S541" s="70">
        <v>0</v>
      </c>
      <c r="T541" s="6">
        <f t="shared" si="238"/>
        <v>0</v>
      </c>
      <c r="U541" s="35" t="e">
        <f t="shared" si="242"/>
        <v>#DIV/0!</v>
      </c>
      <c r="V541" s="6" t="e">
        <f t="shared" si="249"/>
        <v>#DIV/0!</v>
      </c>
      <c r="W541" s="6" t="e">
        <f t="shared" si="249"/>
        <v>#DIV/0!</v>
      </c>
      <c r="X541" s="6" t="e">
        <f t="shared" si="249"/>
        <v>#DIV/0!</v>
      </c>
      <c r="Y541" s="6" t="e">
        <f t="shared" si="249"/>
        <v>#DIV/0!</v>
      </c>
      <c r="Z541" s="6" t="e">
        <f t="shared" si="249"/>
        <v>#DIV/0!</v>
      </c>
    </row>
    <row r="542" spans="1:26" x14ac:dyDescent="0.2">
      <c r="A542" s="7" t="s">
        <v>52</v>
      </c>
      <c r="B542" s="6">
        <f t="shared" si="239"/>
        <v>1</v>
      </c>
      <c r="C542" s="7" t="s">
        <v>151</v>
      </c>
      <c r="D542" s="69">
        <v>70</v>
      </c>
      <c r="E542" s="69">
        <v>0</v>
      </c>
      <c r="F542" s="66">
        <f t="shared" si="237"/>
        <v>0</v>
      </c>
      <c r="G542" s="61" t="e">
        <f t="shared" si="240"/>
        <v>#DIV/0!</v>
      </c>
      <c r="H542" s="66" t="e">
        <f t="shared" si="244"/>
        <v>#DIV/0!</v>
      </c>
      <c r="I542" s="66" t="e">
        <f t="shared" si="244"/>
        <v>#DIV/0!</v>
      </c>
      <c r="J542" s="66" t="e">
        <f t="shared" si="244"/>
        <v>#DIV/0!</v>
      </c>
      <c r="K542" s="70">
        <v>6600</v>
      </c>
      <c r="L542" s="70">
        <f>'Monitoramento Acumulado Geral'!Q542</f>
        <v>0</v>
      </c>
      <c r="M542" s="6">
        <f>L542/K542</f>
        <v>0</v>
      </c>
      <c r="N542" s="35" t="str">
        <f t="shared" si="241"/>
        <v>Desempenho Médio</v>
      </c>
      <c r="O542" s="6">
        <f t="shared" si="250"/>
        <v>3.4274647562211005E-2</v>
      </c>
      <c r="P542" s="6">
        <f t="shared" si="250"/>
        <v>0.10289217685709087</v>
      </c>
      <c r="Q542" s="6">
        <f t="shared" si="250"/>
        <v>-3.4342881732668862E-2</v>
      </c>
      <c r="R542" s="70">
        <v>60</v>
      </c>
      <c r="S542" s="70">
        <v>0</v>
      </c>
      <c r="T542" s="6">
        <f t="shared" si="238"/>
        <v>0</v>
      </c>
      <c r="U542" s="35" t="e">
        <f t="shared" si="242"/>
        <v>#DIV/0!</v>
      </c>
      <c r="V542" s="6" t="e">
        <f t="shared" si="249"/>
        <v>#DIV/0!</v>
      </c>
      <c r="W542" s="6" t="e">
        <f t="shared" si="249"/>
        <v>#DIV/0!</v>
      </c>
      <c r="X542" s="6" t="e">
        <f t="shared" si="249"/>
        <v>#DIV/0!</v>
      </c>
      <c r="Y542" s="6" t="e">
        <f t="shared" si="249"/>
        <v>#DIV/0!</v>
      </c>
      <c r="Z542" s="6" t="e">
        <f t="shared" si="249"/>
        <v>#DIV/0!</v>
      </c>
    </row>
    <row r="543" spans="1:26" x14ac:dyDescent="0.2">
      <c r="A543" s="7" t="s">
        <v>52</v>
      </c>
      <c r="B543" s="6">
        <f t="shared" si="239"/>
        <v>2</v>
      </c>
      <c r="C543" s="7" t="s">
        <v>152</v>
      </c>
      <c r="D543" s="69">
        <v>70</v>
      </c>
      <c r="E543" s="69">
        <v>0</v>
      </c>
      <c r="F543" s="66">
        <f t="shared" si="237"/>
        <v>0</v>
      </c>
      <c r="G543" s="61" t="e">
        <f t="shared" si="240"/>
        <v>#DIV/0!</v>
      </c>
      <c r="H543" s="66" t="e">
        <f t="shared" si="244"/>
        <v>#DIV/0!</v>
      </c>
      <c r="I543" s="66" t="e">
        <f t="shared" si="244"/>
        <v>#DIV/0!</v>
      </c>
      <c r="J543" s="66" t="e">
        <f t="shared" si="244"/>
        <v>#DIV/0!</v>
      </c>
      <c r="K543" s="70">
        <v>6600</v>
      </c>
      <c r="L543" s="70">
        <f>'Monitoramento Acumulado Geral'!Q543</f>
        <v>0</v>
      </c>
      <c r="M543" s="6">
        <f>(SUM(L542:L543))/K542</f>
        <v>0</v>
      </c>
      <c r="N543" s="35" t="str">
        <f t="shared" si="241"/>
        <v>Desempenho Médio</v>
      </c>
      <c r="O543" s="6">
        <f t="shared" si="250"/>
        <v>8.1815188943147363E-2</v>
      </c>
      <c r="P543" s="6">
        <f t="shared" si="250"/>
        <v>0.20623883252423067</v>
      </c>
      <c r="Q543" s="6">
        <f t="shared" si="250"/>
        <v>-4.2608454637935944E-2</v>
      </c>
      <c r="R543" s="70">
        <v>60</v>
      </c>
      <c r="S543" s="70">
        <v>0</v>
      </c>
      <c r="T543" s="6">
        <f t="shared" si="238"/>
        <v>0</v>
      </c>
      <c r="U543" s="35" t="e">
        <f t="shared" si="242"/>
        <v>#DIV/0!</v>
      </c>
      <c r="V543" s="6" t="e">
        <f t="shared" si="249"/>
        <v>#DIV/0!</v>
      </c>
      <c r="W543" s="6" t="e">
        <f t="shared" si="249"/>
        <v>#DIV/0!</v>
      </c>
      <c r="X543" s="6" t="e">
        <f t="shared" si="249"/>
        <v>#DIV/0!</v>
      </c>
      <c r="Y543" s="6" t="e">
        <f t="shared" si="249"/>
        <v>#DIV/0!</v>
      </c>
      <c r="Z543" s="6" t="e">
        <f t="shared" si="249"/>
        <v>#DIV/0!</v>
      </c>
    </row>
    <row r="544" spans="1:26" x14ac:dyDescent="0.2">
      <c r="A544" s="7" t="s">
        <v>52</v>
      </c>
      <c r="B544" s="6">
        <f t="shared" si="239"/>
        <v>3</v>
      </c>
      <c r="C544" s="7" t="s">
        <v>153</v>
      </c>
      <c r="D544" s="69">
        <v>70</v>
      </c>
      <c r="E544" s="69">
        <v>100</v>
      </c>
      <c r="F544" s="66">
        <f t="shared" si="237"/>
        <v>1.4285714285714286</v>
      </c>
      <c r="G544" s="61" t="e">
        <f t="shared" si="240"/>
        <v>#DIV/0!</v>
      </c>
      <c r="H544" s="66" t="e">
        <f t="shared" si="244"/>
        <v>#DIV/0!</v>
      </c>
      <c r="I544" s="66" t="e">
        <f t="shared" si="244"/>
        <v>#DIV/0!</v>
      </c>
      <c r="J544" s="66" t="e">
        <f t="shared" si="244"/>
        <v>#DIV/0!</v>
      </c>
      <c r="K544" s="70">
        <v>6600</v>
      </c>
      <c r="L544" s="70">
        <f>'Monitoramento Acumulado Geral'!Q544</f>
        <v>4300</v>
      </c>
      <c r="M544" s="6">
        <f>(SUM(L542:L544))/K543</f>
        <v>0.65151515151515149</v>
      </c>
      <c r="N544" s="35" t="str">
        <f t="shared" si="241"/>
        <v>Desempenho Ótimo</v>
      </c>
      <c r="O544" s="6">
        <f t="shared" si="250"/>
        <v>0.13411292471649494</v>
      </c>
      <c r="P544" s="6">
        <f t="shared" si="250"/>
        <v>0.29721906787058483</v>
      </c>
      <c r="Q544" s="6">
        <f t="shared" si="250"/>
        <v>-2.899321843759492E-2</v>
      </c>
      <c r="R544" s="70">
        <v>60</v>
      </c>
      <c r="S544" s="70">
        <v>0</v>
      </c>
      <c r="T544" s="6">
        <f t="shared" si="238"/>
        <v>0</v>
      </c>
      <c r="U544" s="35" t="e">
        <f t="shared" si="242"/>
        <v>#DIV/0!</v>
      </c>
      <c r="V544" s="6" t="e">
        <f t="shared" si="249"/>
        <v>#DIV/0!</v>
      </c>
      <c r="W544" s="6" t="e">
        <f t="shared" si="249"/>
        <v>#DIV/0!</v>
      </c>
      <c r="X544" s="6" t="e">
        <f t="shared" si="249"/>
        <v>#DIV/0!</v>
      </c>
      <c r="Y544" s="6" t="e">
        <f t="shared" si="249"/>
        <v>#DIV/0!</v>
      </c>
      <c r="Z544" s="6" t="e">
        <f t="shared" si="249"/>
        <v>#DIV/0!</v>
      </c>
    </row>
    <row r="545" spans="1:26" x14ac:dyDescent="0.2">
      <c r="A545" s="7" t="s">
        <v>52</v>
      </c>
      <c r="B545" s="6">
        <f t="shared" si="239"/>
        <v>4</v>
      </c>
      <c r="C545" s="7" t="s">
        <v>154</v>
      </c>
      <c r="D545" s="69">
        <v>70</v>
      </c>
      <c r="E545" s="69">
        <v>100</v>
      </c>
      <c r="F545" s="66">
        <f t="shared" si="237"/>
        <v>1.4285714285714286</v>
      </c>
      <c r="G545" s="61" t="e">
        <f t="shared" si="240"/>
        <v>#DIV/0!</v>
      </c>
      <c r="H545" s="66" t="e">
        <f t="shared" si="244"/>
        <v>#DIV/0!</v>
      </c>
      <c r="I545" s="66" t="e">
        <f t="shared" si="244"/>
        <v>#DIV/0!</v>
      </c>
      <c r="J545" s="66" t="e">
        <f t="shared" si="244"/>
        <v>#DIV/0!</v>
      </c>
      <c r="K545" s="70">
        <v>6600</v>
      </c>
      <c r="L545" s="70">
        <f>'Monitoramento Acumulado Geral'!Q545</f>
        <v>0</v>
      </c>
      <c r="M545" s="6">
        <f>(SUM(L542:L545))/K544</f>
        <v>0.65151515151515149</v>
      </c>
      <c r="N545" s="35" t="str">
        <f t="shared" si="241"/>
        <v>Desempenho Ótimo</v>
      </c>
      <c r="O545" s="6">
        <f t="shared" si="250"/>
        <v>0.15392483870093213</v>
      </c>
      <c r="P545" s="6">
        <f t="shared" si="250"/>
        <v>0.32772007016950033</v>
      </c>
      <c r="Q545" s="6">
        <f t="shared" si="250"/>
        <v>-1.9870392767636053E-2</v>
      </c>
      <c r="R545" s="70">
        <v>60</v>
      </c>
      <c r="S545" s="70">
        <v>0</v>
      </c>
      <c r="T545" s="6">
        <f t="shared" si="238"/>
        <v>0</v>
      </c>
      <c r="U545" s="35" t="e">
        <f t="shared" si="242"/>
        <v>#DIV/0!</v>
      </c>
      <c r="V545" s="6" t="e">
        <f t="shared" si="249"/>
        <v>#DIV/0!</v>
      </c>
      <c r="W545" s="6" t="e">
        <f t="shared" si="249"/>
        <v>#DIV/0!</v>
      </c>
      <c r="X545" s="6" t="e">
        <f t="shared" si="249"/>
        <v>#DIV/0!</v>
      </c>
      <c r="Y545" s="6" t="e">
        <f t="shared" si="249"/>
        <v>#DIV/0!</v>
      </c>
      <c r="Z545" s="6" t="e">
        <f t="shared" si="249"/>
        <v>#DIV/0!</v>
      </c>
    </row>
    <row r="546" spans="1:26" x14ac:dyDescent="0.2">
      <c r="A546" s="7" t="s">
        <v>52</v>
      </c>
      <c r="B546" s="6">
        <f t="shared" si="239"/>
        <v>5</v>
      </c>
      <c r="C546" s="7" t="s">
        <v>155</v>
      </c>
      <c r="D546" s="69">
        <v>70</v>
      </c>
      <c r="E546" s="69">
        <v>100</v>
      </c>
      <c r="F546" s="66">
        <f t="shared" si="237"/>
        <v>1.4285714285714286</v>
      </c>
      <c r="G546" s="61" t="e">
        <f t="shared" si="240"/>
        <v>#DIV/0!</v>
      </c>
      <c r="H546" s="66" t="e">
        <f t="shared" si="244"/>
        <v>#DIV/0!</v>
      </c>
      <c r="I546" s="66" t="e">
        <f t="shared" si="244"/>
        <v>#DIV/0!</v>
      </c>
      <c r="J546" s="66" t="e">
        <f t="shared" si="244"/>
        <v>#DIV/0!</v>
      </c>
      <c r="K546" s="70">
        <v>6600</v>
      </c>
      <c r="L546" s="70">
        <f>'Monitoramento Acumulado Geral'!Q546</f>
        <v>0</v>
      </c>
      <c r="M546" s="6">
        <f>(SUM(L542:L546))/K545</f>
        <v>0.65151515151515149</v>
      </c>
      <c r="N546" s="35" t="str">
        <f t="shared" si="241"/>
        <v>Desempenho Ótimo</v>
      </c>
      <c r="O546" s="6">
        <f t="shared" si="250"/>
        <v>0.21139287248463789</v>
      </c>
      <c r="P546" s="6">
        <f t="shared" si="250"/>
        <v>0.43680804416292918</v>
      </c>
      <c r="Q546" s="6">
        <f t="shared" si="250"/>
        <v>-1.4022299193653387E-2</v>
      </c>
      <c r="R546" s="70">
        <v>60</v>
      </c>
      <c r="S546" s="70">
        <v>0</v>
      </c>
      <c r="T546" s="6">
        <f t="shared" si="238"/>
        <v>0</v>
      </c>
      <c r="U546" s="35" t="e">
        <f t="shared" si="242"/>
        <v>#DIV/0!</v>
      </c>
      <c r="V546" s="6" t="e">
        <f t="shared" si="249"/>
        <v>#DIV/0!</v>
      </c>
      <c r="W546" s="6" t="e">
        <f t="shared" si="249"/>
        <v>#DIV/0!</v>
      </c>
      <c r="X546" s="6" t="e">
        <f t="shared" si="249"/>
        <v>#DIV/0!</v>
      </c>
      <c r="Y546" s="6" t="e">
        <f t="shared" si="249"/>
        <v>#DIV/0!</v>
      </c>
      <c r="Z546" s="6" t="e">
        <f t="shared" si="249"/>
        <v>#DIV/0!</v>
      </c>
    </row>
    <row r="547" spans="1:26" x14ac:dyDescent="0.2">
      <c r="A547" s="7" t="s">
        <v>52</v>
      </c>
      <c r="B547" s="6">
        <f t="shared" si="239"/>
        <v>6</v>
      </c>
      <c r="C547" s="7" t="s">
        <v>156</v>
      </c>
      <c r="D547" s="69">
        <v>70</v>
      </c>
      <c r="E547" s="69">
        <v>100</v>
      </c>
      <c r="F547" s="66">
        <f t="shared" si="237"/>
        <v>1.4285714285714286</v>
      </c>
      <c r="G547" s="61" t="e">
        <f t="shared" si="240"/>
        <v>#DIV/0!</v>
      </c>
      <c r="H547" s="66" t="e">
        <f t="shared" si="244"/>
        <v>#DIV/0!</v>
      </c>
      <c r="I547" s="66" t="e">
        <f t="shared" si="244"/>
        <v>#DIV/0!</v>
      </c>
      <c r="J547" s="66" t="e">
        <f t="shared" si="244"/>
        <v>#DIV/0!</v>
      </c>
      <c r="K547" s="70">
        <v>6600</v>
      </c>
      <c r="L547" s="70">
        <f>'Monitoramento Acumulado Geral'!Q547</f>
        <v>0</v>
      </c>
      <c r="M547" s="6">
        <f>(SUM(L542:L547))/K546</f>
        <v>0.65151515151515149</v>
      </c>
      <c r="N547" s="35" t="str">
        <f t="shared" si="241"/>
        <v>Desempenho Ótimo</v>
      </c>
      <c r="O547" s="6">
        <f t="shared" si="250"/>
        <v>0.28403291059934432</v>
      </c>
      <c r="P547" s="6">
        <f t="shared" si="250"/>
        <v>0.56118246348434164</v>
      </c>
      <c r="Q547" s="6">
        <f t="shared" si="250"/>
        <v>6.8833577143469493E-3</v>
      </c>
      <c r="R547" s="70">
        <v>60</v>
      </c>
      <c r="S547" s="70">
        <v>0</v>
      </c>
      <c r="T547" s="6">
        <f t="shared" si="238"/>
        <v>0</v>
      </c>
      <c r="U547" s="35" t="e">
        <f t="shared" si="242"/>
        <v>#DIV/0!</v>
      </c>
      <c r="V547" s="6" t="e">
        <f t="shared" ref="V547:Z562" si="251">V535</f>
        <v>#DIV/0!</v>
      </c>
      <c r="W547" s="6" t="e">
        <f t="shared" si="251"/>
        <v>#DIV/0!</v>
      </c>
      <c r="X547" s="6" t="e">
        <f t="shared" si="251"/>
        <v>#DIV/0!</v>
      </c>
      <c r="Y547" s="6" t="e">
        <f t="shared" si="251"/>
        <v>#DIV/0!</v>
      </c>
      <c r="Z547" s="6" t="e">
        <f t="shared" si="251"/>
        <v>#DIV/0!</v>
      </c>
    </row>
    <row r="548" spans="1:26" x14ac:dyDescent="0.2">
      <c r="A548" s="7" t="s">
        <v>52</v>
      </c>
      <c r="B548" s="6">
        <f t="shared" si="239"/>
        <v>7</v>
      </c>
      <c r="C548" s="7" t="s">
        <v>157</v>
      </c>
      <c r="D548" s="69">
        <v>70</v>
      </c>
      <c r="E548" s="69">
        <v>100</v>
      </c>
      <c r="F548" s="66">
        <f t="shared" si="237"/>
        <v>1.4285714285714286</v>
      </c>
      <c r="G548" s="61" t="e">
        <f t="shared" si="240"/>
        <v>#DIV/0!</v>
      </c>
      <c r="H548" s="66" t="e">
        <f t="shared" si="244"/>
        <v>#DIV/0!</v>
      </c>
      <c r="I548" s="66" t="e">
        <f t="shared" si="244"/>
        <v>#DIV/0!</v>
      </c>
      <c r="J548" s="66" t="e">
        <f t="shared" si="244"/>
        <v>#DIV/0!</v>
      </c>
      <c r="K548" s="70">
        <v>6600</v>
      </c>
      <c r="L548" s="70">
        <f>'Monitoramento Acumulado Geral'!Q548</f>
        <v>0</v>
      </c>
      <c r="M548" s="6">
        <f>(SUM(L542:L548))/K547</f>
        <v>0.65151515151515149</v>
      </c>
      <c r="N548" s="35" t="str">
        <f t="shared" si="241"/>
        <v>Desempenho Bom</v>
      </c>
      <c r="O548" s="6">
        <f t="shared" si="250"/>
        <v>0.42046470140126019</v>
      </c>
      <c r="P548" s="6">
        <f t="shared" si="250"/>
        <v>0.84574683442734511</v>
      </c>
      <c r="Q548" s="6">
        <f t="shared" si="250"/>
        <v>-4.8174316248247306E-3</v>
      </c>
      <c r="R548" s="70">
        <v>60</v>
      </c>
      <c r="S548" s="70">
        <v>0</v>
      </c>
      <c r="T548" s="6">
        <f t="shared" si="238"/>
        <v>0</v>
      </c>
      <c r="U548" s="35" t="e">
        <f t="shared" si="242"/>
        <v>#DIV/0!</v>
      </c>
      <c r="V548" s="6" t="e">
        <f t="shared" si="251"/>
        <v>#DIV/0!</v>
      </c>
      <c r="W548" s="6" t="e">
        <f t="shared" si="251"/>
        <v>#DIV/0!</v>
      </c>
      <c r="X548" s="6" t="e">
        <f t="shared" si="251"/>
        <v>#DIV/0!</v>
      </c>
      <c r="Y548" s="6" t="e">
        <f t="shared" si="251"/>
        <v>#DIV/0!</v>
      </c>
      <c r="Z548" s="6" t="e">
        <f t="shared" si="251"/>
        <v>#DIV/0!</v>
      </c>
    </row>
    <row r="549" spans="1:26" x14ac:dyDescent="0.2">
      <c r="A549" s="7" t="s">
        <v>52</v>
      </c>
      <c r="B549" s="6">
        <f t="shared" si="239"/>
        <v>8</v>
      </c>
      <c r="C549" s="7" t="s">
        <v>158</v>
      </c>
      <c r="D549" s="69">
        <v>70</v>
      </c>
      <c r="E549" s="69">
        <v>0</v>
      </c>
      <c r="F549" s="66">
        <f t="shared" si="237"/>
        <v>0</v>
      </c>
      <c r="G549" s="61" t="e">
        <f t="shared" si="240"/>
        <v>#DIV/0!</v>
      </c>
      <c r="H549" s="66" t="e">
        <f t="shared" si="244"/>
        <v>#DIV/0!</v>
      </c>
      <c r="I549" s="66" t="e">
        <f t="shared" si="244"/>
        <v>#DIV/0!</v>
      </c>
      <c r="J549" s="66" t="e">
        <f t="shared" si="244"/>
        <v>#DIV/0!</v>
      </c>
      <c r="K549" s="70">
        <v>6600</v>
      </c>
      <c r="L549" s="70">
        <f>'Monitoramento Acumulado Geral'!Q549</f>
        <v>0</v>
      </c>
      <c r="M549" s="6">
        <f>(SUM(L542:L549))/K548</f>
        <v>0.65151515151515149</v>
      </c>
      <c r="N549" s="35" t="str">
        <f t="shared" si="241"/>
        <v>Desempenho Bom</v>
      </c>
      <c r="O549" s="6">
        <f t="shared" si="250"/>
        <v>0.42046470140126019</v>
      </c>
      <c r="P549" s="6">
        <f t="shared" si="250"/>
        <v>0.84574683442734511</v>
      </c>
      <c r="Q549" s="6">
        <f t="shared" si="250"/>
        <v>-4.8174316248247306E-3</v>
      </c>
      <c r="R549" s="70">
        <v>60</v>
      </c>
      <c r="S549" s="70">
        <v>0</v>
      </c>
      <c r="T549" s="6">
        <f t="shared" si="238"/>
        <v>0</v>
      </c>
      <c r="U549" s="35" t="e">
        <f t="shared" si="242"/>
        <v>#DIV/0!</v>
      </c>
      <c r="V549" s="6" t="e">
        <f t="shared" si="251"/>
        <v>#DIV/0!</v>
      </c>
      <c r="W549" s="6" t="e">
        <f t="shared" si="251"/>
        <v>#DIV/0!</v>
      </c>
      <c r="X549" s="6" t="e">
        <f t="shared" si="251"/>
        <v>#DIV/0!</v>
      </c>
      <c r="Y549" s="6" t="e">
        <f t="shared" si="251"/>
        <v>#DIV/0!</v>
      </c>
      <c r="Z549" s="6" t="e">
        <f t="shared" si="251"/>
        <v>#DIV/0!</v>
      </c>
    </row>
    <row r="550" spans="1:26" x14ac:dyDescent="0.2">
      <c r="A550" s="7" t="s">
        <v>52</v>
      </c>
      <c r="B550" s="6">
        <f t="shared" si="239"/>
        <v>9</v>
      </c>
      <c r="C550" s="7" t="s">
        <v>159</v>
      </c>
      <c r="D550" s="69">
        <v>70</v>
      </c>
      <c r="E550" s="69">
        <v>0</v>
      </c>
      <c r="F550" s="66">
        <f t="shared" ref="F550:F625" si="252">E550/D550</f>
        <v>0</v>
      </c>
      <c r="G550" s="61" t="e">
        <f t="shared" si="240"/>
        <v>#DIV/0!</v>
      </c>
      <c r="H550" s="66" t="e">
        <f t="shared" si="244"/>
        <v>#DIV/0!</v>
      </c>
      <c r="I550" s="66" t="e">
        <f t="shared" si="244"/>
        <v>#DIV/0!</v>
      </c>
      <c r="J550" s="66" t="e">
        <f t="shared" si="244"/>
        <v>#DIV/0!</v>
      </c>
      <c r="K550" s="70">
        <v>6600</v>
      </c>
      <c r="L550" s="70">
        <f>'Monitoramento Acumulado Geral'!Q550</f>
        <v>0</v>
      </c>
      <c r="M550" s="6">
        <f>(SUM(L542:L550))/K549</f>
        <v>0.65151515151515149</v>
      </c>
      <c r="N550" s="35" t="str">
        <f t="shared" si="241"/>
        <v>Desempenho Bom</v>
      </c>
      <c r="O550" s="6">
        <f t="shared" si="250"/>
        <v>0.42046470140126019</v>
      </c>
      <c r="P550" s="6">
        <f t="shared" si="250"/>
        <v>0.84574683442734511</v>
      </c>
      <c r="Q550" s="6">
        <f t="shared" si="250"/>
        <v>-4.8174316248247306E-3</v>
      </c>
      <c r="R550" s="70">
        <v>60</v>
      </c>
      <c r="S550" s="70">
        <v>0</v>
      </c>
      <c r="T550" s="6">
        <f t="shared" ref="T550:T625" si="253">S550/R550</f>
        <v>0</v>
      </c>
      <c r="U550" s="35" t="e">
        <f t="shared" si="242"/>
        <v>#DIV/0!</v>
      </c>
      <c r="V550" s="6" t="e">
        <f t="shared" si="251"/>
        <v>#DIV/0!</v>
      </c>
      <c r="W550" s="6" t="e">
        <f t="shared" si="251"/>
        <v>#DIV/0!</v>
      </c>
      <c r="X550" s="6" t="e">
        <f t="shared" si="251"/>
        <v>#DIV/0!</v>
      </c>
      <c r="Y550" s="6" t="e">
        <f t="shared" si="251"/>
        <v>#DIV/0!</v>
      </c>
      <c r="Z550" s="6" t="e">
        <f t="shared" si="251"/>
        <v>#DIV/0!</v>
      </c>
    </row>
    <row r="551" spans="1:26" x14ac:dyDescent="0.2">
      <c r="A551" s="7" t="s">
        <v>52</v>
      </c>
      <c r="B551" s="6">
        <f t="shared" ref="B551:B626" si="254">_xlfn.IFS(C551="Janeiro",1,C551="Fevereiro",2,C551="Março",3,C551="Abril",4,C551="Maio",5,C551="Junho",6,C551="Julho",7,C551="Agosto",8,C551="Setembro",9,C551="Outubro",10,C551="Novembro",11,C551="Dezembro",12,TRUE,0)</f>
        <v>10</v>
      </c>
      <c r="C551" s="7" t="s">
        <v>160</v>
      </c>
      <c r="D551" s="69">
        <v>70</v>
      </c>
      <c r="E551" s="69">
        <v>0</v>
      </c>
      <c r="F551" s="66">
        <f t="shared" si="252"/>
        <v>0</v>
      </c>
      <c r="G551" s="61" t="e">
        <f t="shared" ref="G551:G626" si="255">IF(F551&gt;=I551,"Desempenho Ótimo",(IF(F551&gt;H551,"Desempenho Bom",(IF(F551&gt;J551,"Desempenho Médio",IF(F551&lt;=J551,"Desempenho Deficitário",0))))))</f>
        <v>#DIV/0!</v>
      </c>
      <c r="H551" s="66" t="e">
        <f t="shared" si="244"/>
        <v>#DIV/0!</v>
      </c>
      <c r="I551" s="66" t="e">
        <f t="shared" si="244"/>
        <v>#DIV/0!</v>
      </c>
      <c r="J551" s="66" t="e">
        <f t="shared" si="244"/>
        <v>#DIV/0!</v>
      </c>
      <c r="K551" s="70">
        <v>6600</v>
      </c>
      <c r="L551" s="70">
        <f>'Monitoramento Acumulado Geral'!Q551</f>
        <v>0</v>
      </c>
      <c r="M551" s="6">
        <f>(SUM(L542:L551))/K550</f>
        <v>0.65151515151515149</v>
      </c>
      <c r="N551" s="35" t="str">
        <f t="shared" ref="N551:N626" si="256">IF(M551&gt;=P551,"Desempenho Ótimo",(IF(M551&gt;O551,"Desempenho Bom",(IF(M551&gt;Q551,"Desempenho Médio",IF(M551&lt;=Q551,"Desempenho Deficitário",0))))))</f>
        <v>Desempenho Bom</v>
      </c>
      <c r="O551" s="6">
        <f t="shared" si="250"/>
        <v>0.42046470140126019</v>
      </c>
      <c r="P551" s="6">
        <f t="shared" si="250"/>
        <v>0.84574683442734511</v>
      </c>
      <c r="Q551" s="6">
        <f t="shared" si="250"/>
        <v>-4.8174316248247306E-3</v>
      </c>
      <c r="R551" s="70">
        <v>60</v>
      </c>
      <c r="S551" s="70">
        <v>0</v>
      </c>
      <c r="T551" s="6">
        <f t="shared" si="253"/>
        <v>0</v>
      </c>
      <c r="U551" s="35" t="e">
        <f t="shared" ref="U551:U626" si="257">IF(T551&gt;=W551,"Desempenho Ótimo",(IF(T551&gt;V551,"Desempenho Bom",(IF(T551&gt;X551,"Desempenho Médio",IF(T551&lt;=X551,"Desempenho Deficitário",0))))))</f>
        <v>#DIV/0!</v>
      </c>
      <c r="V551" s="6" t="e">
        <f t="shared" si="251"/>
        <v>#DIV/0!</v>
      </c>
      <c r="W551" s="6" t="e">
        <f t="shared" si="251"/>
        <v>#DIV/0!</v>
      </c>
      <c r="X551" s="6" t="e">
        <f t="shared" si="251"/>
        <v>#DIV/0!</v>
      </c>
      <c r="Y551" s="6" t="e">
        <f t="shared" si="251"/>
        <v>#DIV/0!</v>
      </c>
      <c r="Z551" s="6" t="e">
        <f t="shared" si="251"/>
        <v>#DIV/0!</v>
      </c>
    </row>
    <row r="552" spans="1:26" x14ac:dyDescent="0.2">
      <c r="A552" s="7" t="s">
        <v>52</v>
      </c>
      <c r="B552" s="6">
        <f t="shared" si="254"/>
        <v>11</v>
      </c>
      <c r="C552" s="7" t="s">
        <v>161</v>
      </c>
      <c r="D552" s="69">
        <v>70</v>
      </c>
      <c r="E552" s="69">
        <v>0</v>
      </c>
      <c r="F552" s="66">
        <f t="shared" si="252"/>
        <v>0</v>
      </c>
      <c r="G552" s="61" t="e">
        <f t="shared" si="255"/>
        <v>#DIV/0!</v>
      </c>
      <c r="H552" s="66" t="e">
        <f t="shared" si="244"/>
        <v>#DIV/0!</v>
      </c>
      <c r="I552" s="66" t="e">
        <f t="shared" si="244"/>
        <v>#DIV/0!</v>
      </c>
      <c r="J552" s="66" t="e">
        <f t="shared" si="244"/>
        <v>#DIV/0!</v>
      </c>
      <c r="K552" s="70">
        <v>6600</v>
      </c>
      <c r="L552" s="70">
        <f>'Monitoramento Acumulado Geral'!Q552</f>
        <v>0</v>
      </c>
      <c r="M552" s="6">
        <f>(SUM(L542:L552))/K551</f>
        <v>0.65151515151515149</v>
      </c>
      <c r="N552" s="35" t="str">
        <f t="shared" si="256"/>
        <v>Desempenho Bom</v>
      </c>
      <c r="O552" s="6">
        <f t="shared" si="250"/>
        <v>0.42046470140126019</v>
      </c>
      <c r="P552" s="6">
        <f t="shared" si="250"/>
        <v>0.84574683442734511</v>
      </c>
      <c r="Q552" s="6">
        <f t="shared" si="250"/>
        <v>-4.8174316248247306E-3</v>
      </c>
      <c r="R552" s="70">
        <v>60</v>
      </c>
      <c r="S552" s="70">
        <v>0</v>
      </c>
      <c r="T552" s="6">
        <f t="shared" si="253"/>
        <v>0</v>
      </c>
      <c r="U552" s="35" t="e">
        <f t="shared" si="257"/>
        <v>#DIV/0!</v>
      </c>
      <c r="V552" s="6" t="e">
        <f t="shared" si="251"/>
        <v>#DIV/0!</v>
      </c>
      <c r="W552" s="6" t="e">
        <f t="shared" si="251"/>
        <v>#DIV/0!</v>
      </c>
      <c r="X552" s="6" t="e">
        <f t="shared" si="251"/>
        <v>#DIV/0!</v>
      </c>
      <c r="Y552" s="6" t="e">
        <f t="shared" si="251"/>
        <v>#DIV/0!</v>
      </c>
      <c r="Z552" s="6" t="e">
        <f t="shared" si="251"/>
        <v>#DIV/0!</v>
      </c>
    </row>
    <row r="553" spans="1:26" x14ac:dyDescent="0.2">
      <c r="A553" s="7" t="s">
        <v>52</v>
      </c>
      <c r="B553" s="6">
        <f t="shared" si="254"/>
        <v>12</v>
      </c>
      <c r="C553" s="7" t="s">
        <v>162</v>
      </c>
      <c r="D553" s="69">
        <v>70</v>
      </c>
      <c r="E553" s="69">
        <v>0</v>
      </c>
      <c r="F553" s="66">
        <f t="shared" si="252"/>
        <v>0</v>
      </c>
      <c r="G553" s="61" t="e">
        <f t="shared" si="255"/>
        <v>#DIV/0!</v>
      </c>
      <c r="H553" s="66" t="e">
        <f t="shared" si="244"/>
        <v>#DIV/0!</v>
      </c>
      <c r="I553" s="66" t="e">
        <f t="shared" si="244"/>
        <v>#DIV/0!</v>
      </c>
      <c r="J553" s="66" t="e">
        <f t="shared" si="244"/>
        <v>#DIV/0!</v>
      </c>
      <c r="K553" s="70">
        <v>6600</v>
      </c>
      <c r="L553" s="70">
        <f>'Monitoramento Acumulado Geral'!Q553</f>
        <v>0</v>
      </c>
      <c r="M553" s="6">
        <f>(SUM(L542:L553))/K552</f>
        <v>0.65151515151515149</v>
      </c>
      <c r="N553" s="35" t="str">
        <f t="shared" si="256"/>
        <v>Desempenho Bom</v>
      </c>
      <c r="O553" s="6">
        <f t="shared" si="250"/>
        <v>0.41824651958307835</v>
      </c>
      <c r="P553" s="6">
        <f t="shared" si="250"/>
        <v>0.84510274859297763</v>
      </c>
      <c r="Q553" s="6">
        <f t="shared" si="250"/>
        <v>-8.6097094268208774E-3</v>
      </c>
      <c r="R553" s="70">
        <v>60</v>
      </c>
      <c r="S553" s="70">
        <v>0</v>
      </c>
      <c r="T553" s="6">
        <f t="shared" si="253"/>
        <v>0</v>
      </c>
      <c r="U553" s="35" t="e">
        <f t="shared" si="257"/>
        <v>#DIV/0!</v>
      </c>
      <c r="V553" s="6" t="e">
        <f t="shared" si="251"/>
        <v>#DIV/0!</v>
      </c>
      <c r="W553" s="6" t="e">
        <f t="shared" si="251"/>
        <v>#DIV/0!</v>
      </c>
      <c r="X553" s="6" t="e">
        <f t="shared" si="251"/>
        <v>#DIV/0!</v>
      </c>
      <c r="Y553" s="6" t="e">
        <f t="shared" si="251"/>
        <v>#DIV/0!</v>
      </c>
      <c r="Z553" s="6" t="e">
        <f t="shared" si="251"/>
        <v>#DIV/0!</v>
      </c>
    </row>
    <row r="554" spans="1:26" x14ac:dyDescent="0.2">
      <c r="A554" s="7" t="s">
        <v>105</v>
      </c>
      <c r="B554" s="6">
        <f t="shared" si="254"/>
        <v>1</v>
      </c>
      <c r="C554" s="7" t="s">
        <v>151</v>
      </c>
      <c r="D554" s="69">
        <v>75</v>
      </c>
      <c r="E554" s="69">
        <v>0</v>
      </c>
      <c r="F554" s="66">
        <f t="shared" si="252"/>
        <v>0</v>
      </c>
      <c r="G554" s="61" t="e">
        <f t="shared" si="255"/>
        <v>#DIV/0!</v>
      </c>
      <c r="H554" s="66" t="e">
        <f t="shared" si="244"/>
        <v>#DIV/0!</v>
      </c>
      <c r="I554" s="66" t="e">
        <f t="shared" si="244"/>
        <v>#DIV/0!</v>
      </c>
      <c r="J554" s="66" t="e">
        <f t="shared" si="244"/>
        <v>#DIV/0!</v>
      </c>
      <c r="K554" s="70">
        <v>12330</v>
      </c>
      <c r="L554" s="70">
        <f>'Monitoramento Acumulado Geral'!Q554</f>
        <v>0</v>
      </c>
      <c r="M554" s="6">
        <f>L554/K554</f>
        <v>0</v>
      </c>
      <c r="N554" s="35" t="str">
        <f t="shared" si="256"/>
        <v>Desempenho Médio</v>
      </c>
      <c r="O554" s="6">
        <f t="shared" ref="O554:Q569" si="258">O542</f>
        <v>3.4274647562211005E-2</v>
      </c>
      <c r="P554" s="6">
        <f t="shared" si="258"/>
        <v>0.10289217685709087</v>
      </c>
      <c r="Q554" s="6">
        <f t="shared" si="258"/>
        <v>-3.4342881732668862E-2</v>
      </c>
      <c r="R554" s="70">
        <v>80</v>
      </c>
      <c r="S554" s="70">
        <v>0</v>
      </c>
      <c r="T554" s="6">
        <f t="shared" si="253"/>
        <v>0</v>
      </c>
      <c r="U554" s="35" t="e">
        <f t="shared" si="257"/>
        <v>#DIV/0!</v>
      </c>
      <c r="V554" s="6" t="e">
        <f t="shared" si="251"/>
        <v>#DIV/0!</v>
      </c>
      <c r="W554" s="6" t="e">
        <f t="shared" si="251"/>
        <v>#DIV/0!</v>
      </c>
      <c r="X554" s="6" t="e">
        <f t="shared" si="251"/>
        <v>#DIV/0!</v>
      </c>
      <c r="Y554" s="6" t="e">
        <f t="shared" si="251"/>
        <v>#DIV/0!</v>
      </c>
      <c r="Z554" s="6" t="e">
        <f t="shared" si="251"/>
        <v>#DIV/0!</v>
      </c>
    </row>
    <row r="555" spans="1:26" x14ac:dyDescent="0.2">
      <c r="A555" s="7" t="s">
        <v>105</v>
      </c>
      <c r="B555" s="6">
        <f t="shared" si="254"/>
        <v>2</v>
      </c>
      <c r="C555" s="7" t="s">
        <v>152</v>
      </c>
      <c r="D555" s="69">
        <v>75</v>
      </c>
      <c r="E555" s="69">
        <v>0</v>
      </c>
      <c r="F555" s="66">
        <f t="shared" si="252"/>
        <v>0</v>
      </c>
      <c r="G555" s="61" t="e">
        <f t="shared" si="255"/>
        <v>#DIV/0!</v>
      </c>
      <c r="H555" s="66" t="e">
        <f t="shared" si="244"/>
        <v>#DIV/0!</v>
      </c>
      <c r="I555" s="66" t="e">
        <f t="shared" si="244"/>
        <v>#DIV/0!</v>
      </c>
      <c r="J555" s="66" t="e">
        <f t="shared" si="244"/>
        <v>#DIV/0!</v>
      </c>
      <c r="K555" s="70">
        <v>12330</v>
      </c>
      <c r="L555" s="70">
        <f>'Monitoramento Acumulado Geral'!Q555</f>
        <v>0</v>
      </c>
      <c r="M555" s="6">
        <f>(SUM(L554:L555))/K554</f>
        <v>0</v>
      </c>
      <c r="N555" s="35" t="str">
        <f t="shared" si="256"/>
        <v>Desempenho Médio</v>
      </c>
      <c r="O555" s="6">
        <f t="shared" si="258"/>
        <v>8.1815188943147363E-2</v>
      </c>
      <c r="P555" s="6">
        <f t="shared" si="258"/>
        <v>0.20623883252423067</v>
      </c>
      <c r="Q555" s="6">
        <f t="shared" si="258"/>
        <v>-4.2608454637935944E-2</v>
      </c>
      <c r="R555" s="70">
        <v>80</v>
      </c>
      <c r="S555" s="70">
        <v>0</v>
      </c>
      <c r="T555" s="6">
        <f t="shared" si="253"/>
        <v>0</v>
      </c>
      <c r="U555" s="35" t="e">
        <f t="shared" si="257"/>
        <v>#DIV/0!</v>
      </c>
      <c r="V555" s="6" t="e">
        <f t="shared" si="251"/>
        <v>#DIV/0!</v>
      </c>
      <c r="W555" s="6" t="e">
        <f t="shared" si="251"/>
        <v>#DIV/0!</v>
      </c>
      <c r="X555" s="6" t="e">
        <f t="shared" si="251"/>
        <v>#DIV/0!</v>
      </c>
      <c r="Y555" s="6" t="e">
        <f t="shared" si="251"/>
        <v>#DIV/0!</v>
      </c>
      <c r="Z555" s="6" t="e">
        <f t="shared" si="251"/>
        <v>#DIV/0!</v>
      </c>
    </row>
    <row r="556" spans="1:26" x14ac:dyDescent="0.2">
      <c r="A556" s="7" t="s">
        <v>105</v>
      </c>
      <c r="B556" s="6">
        <f t="shared" si="254"/>
        <v>3</v>
      </c>
      <c r="C556" s="7" t="s">
        <v>153</v>
      </c>
      <c r="D556" s="69">
        <v>75</v>
      </c>
      <c r="E556" s="69">
        <v>0</v>
      </c>
      <c r="F556" s="66">
        <f t="shared" si="252"/>
        <v>0</v>
      </c>
      <c r="G556" s="61" t="e">
        <f t="shared" si="255"/>
        <v>#DIV/0!</v>
      </c>
      <c r="H556" s="66" t="e">
        <f t="shared" si="244"/>
        <v>#DIV/0!</v>
      </c>
      <c r="I556" s="66" t="e">
        <f t="shared" si="244"/>
        <v>#DIV/0!</v>
      </c>
      <c r="J556" s="66" t="e">
        <f t="shared" si="244"/>
        <v>#DIV/0!</v>
      </c>
      <c r="K556" s="70">
        <v>12330</v>
      </c>
      <c r="L556" s="70">
        <f>'Monitoramento Acumulado Geral'!Q556</f>
        <v>0</v>
      </c>
      <c r="M556" s="6">
        <f>(SUM(L554:L556))/K555</f>
        <v>0</v>
      </c>
      <c r="N556" s="35" t="str">
        <f t="shared" si="256"/>
        <v>Desempenho Médio</v>
      </c>
      <c r="O556" s="6">
        <f t="shared" si="258"/>
        <v>0.13411292471649494</v>
      </c>
      <c r="P556" s="6">
        <f t="shared" si="258"/>
        <v>0.29721906787058483</v>
      </c>
      <c r="Q556" s="6">
        <f t="shared" si="258"/>
        <v>-2.899321843759492E-2</v>
      </c>
      <c r="R556" s="70">
        <v>80</v>
      </c>
      <c r="S556" s="70">
        <v>0</v>
      </c>
      <c r="T556" s="6">
        <f t="shared" si="253"/>
        <v>0</v>
      </c>
      <c r="U556" s="35" t="e">
        <f t="shared" si="257"/>
        <v>#DIV/0!</v>
      </c>
      <c r="V556" s="6" t="e">
        <f t="shared" si="251"/>
        <v>#DIV/0!</v>
      </c>
      <c r="W556" s="6" t="e">
        <f t="shared" si="251"/>
        <v>#DIV/0!</v>
      </c>
      <c r="X556" s="6" t="e">
        <f t="shared" si="251"/>
        <v>#DIV/0!</v>
      </c>
      <c r="Y556" s="6" t="e">
        <f t="shared" si="251"/>
        <v>#DIV/0!</v>
      </c>
      <c r="Z556" s="6" t="e">
        <f t="shared" si="251"/>
        <v>#DIV/0!</v>
      </c>
    </row>
    <row r="557" spans="1:26" x14ac:dyDescent="0.2">
      <c r="A557" s="7" t="s">
        <v>105</v>
      </c>
      <c r="B557" s="6">
        <f t="shared" si="254"/>
        <v>4</v>
      </c>
      <c r="C557" s="7" t="s">
        <v>154</v>
      </c>
      <c r="D557" s="69">
        <v>75</v>
      </c>
      <c r="E557" s="69">
        <v>0</v>
      </c>
      <c r="F557" s="66">
        <f t="shared" si="252"/>
        <v>0</v>
      </c>
      <c r="G557" s="61" t="e">
        <f t="shared" si="255"/>
        <v>#DIV/0!</v>
      </c>
      <c r="H557" s="66" t="e">
        <f t="shared" si="244"/>
        <v>#DIV/0!</v>
      </c>
      <c r="I557" s="66" t="e">
        <f t="shared" si="244"/>
        <v>#DIV/0!</v>
      </c>
      <c r="J557" s="66" t="e">
        <f t="shared" si="244"/>
        <v>#DIV/0!</v>
      </c>
      <c r="K557" s="70">
        <v>12330</v>
      </c>
      <c r="L557" s="70">
        <f>'Monitoramento Acumulado Geral'!Q557</f>
        <v>0</v>
      </c>
      <c r="M557" s="6">
        <f>(SUM(L554:L557))/K556</f>
        <v>0</v>
      </c>
      <c r="N557" s="35" t="str">
        <f t="shared" si="256"/>
        <v>Desempenho Médio</v>
      </c>
      <c r="O557" s="6">
        <f t="shared" si="258"/>
        <v>0.15392483870093213</v>
      </c>
      <c r="P557" s="6">
        <f t="shared" si="258"/>
        <v>0.32772007016950033</v>
      </c>
      <c r="Q557" s="6">
        <f t="shared" si="258"/>
        <v>-1.9870392767636053E-2</v>
      </c>
      <c r="R557" s="70">
        <v>80</v>
      </c>
      <c r="S557" s="70">
        <v>0</v>
      </c>
      <c r="T557" s="6">
        <f t="shared" si="253"/>
        <v>0</v>
      </c>
      <c r="U557" s="35" t="e">
        <f t="shared" si="257"/>
        <v>#DIV/0!</v>
      </c>
      <c r="V557" s="6" t="e">
        <f t="shared" si="251"/>
        <v>#DIV/0!</v>
      </c>
      <c r="W557" s="6" t="e">
        <f t="shared" si="251"/>
        <v>#DIV/0!</v>
      </c>
      <c r="X557" s="6" t="e">
        <f t="shared" si="251"/>
        <v>#DIV/0!</v>
      </c>
      <c r="Y557" s="6" t="e">
        <f t="shared" si="251"/>
        <v>#DIV/0!</v>
      </c>
      <c r="Z557" s="6" t="e">
        <f t="shared" si="251"/>
        <v>#DIV/0!</v>
      </c>
    </row>
    <row r="558" spans="1:26" x14ac:dyDescent="0.2">
      <c r="A558" s="7" t="s">
        <v>105</v>
      </c>
      <c r="B558" s="6">
        <f t="shared" si="254"/>
        <v>5</v>
      </c>
      <c r="C558" s="7" t="s">
        <v>155</v>
      </c>
      <c r="D558" s="69">
        <v>75</v>
      </c>
      <c r="E558" s="69">
        <v>0</v>
      </c>
      <c r="F558" s="66">
        <f t="shared" si="252"/>
        <v>0</v>
      </c>
      <c r="G558" s="61" t="e">
        <f t="shared" si="255"/>
        <v>#DIV/0!</v>
      </c>
      <c r="H558" s="66" t="e">
        <f t="shared" si="244"/>
        <v>#DIV/0!</v>
      </c>
      <c r="I558" s="66" t="e">
        <f t="shared" si="244"/>
        <v>#DIV/0!</v>
      </c>
      <c r="J558" s="66" t="e">
        <f t="shared" si="244"/>
        <v>#DIV/0!</v>
      </c>
      <c r="K558" s="70">
        <v>12330</v>
      </c>
      <c r="L558" s="70">
        <f>'Monitoramento Acumulado Geral'!Q558</f>
        <v>0</v>
      </c>
      <c r="M558" s="6">
        <f>(SUM(L554:L558))/K557</f>
        <v>0</v>
      </c>
      <c r="N558" s="35" t="str">
        <f t="shared" si="256"/>
        <v>Desempenho Médio</v>
      </c>
      <c r="O558" s="6">
        <f t="shared" si="258"/>
        <v>0.21139287248463789</v>
      </c>
      <c r="P558" s="6">
        <f t="shared" si="258"/>
        <v>0.43680804416292918</v>
      </c>
      <c r="Q558" s="6">
        <f t="shared" si="258"/>
        <v>-1.4022299193653387E-2</v>
      </c>
      <c r="R558" s="70">
        <v>80</v>
      </c>
      <c r="S558" s="70">
        <v>0</v>
      </c>
      <c r="T558" s="6">
        <f t="shared" si="253"/>
        <v>0</v>
      </c>
      <c r="U558" s="35" t="e">
        <f t="shared" si="257"/>
        <v>#DIV/0!</v>
      </c>
      <c r="V558" s="6" t="e">
        <f t="shared" si="251"/>
        <v>#DIV/0!</v>
      </c>
      <c r="W558" s="6" t="e">
        <f t="shared" si="251"/>
        <v>#DIV/0!</v>
      </c>
      <c r="X558" s="6" t="e">
        <f t="shared" si="251"/>
        <v>#DIV/0!</v>
      </c>
      <c r="Y558" s="6" t="e">
        <f t="shared" si="251"/>
        <v>#DIV/0!</v>
      </c>
      <c r="Z558" s="6" t="e">
        <f t="shared" si="251"/>
        <v>#DIV/0!</v>
      </c>
    </row>
    <row r="559" spans="1:26" x14ac:dyDescent="0.2">
      <c r="A559" s="7" t="s">
        <v>105</v>
      </c>
      <c r="B559" s="6">
        <f t="shared" si="254"/>
        <v>6</v>
      </c>
      <c r="C559" s="7" t="s">
        <v>156</v>
      </c>
      <c r="D559" s="69">
        <v>75</v>
      </c>
      <c r="E559" s="69">
        <v>0</v>
      </c>
      <c r="F559" s="66">
        <f t="shared" si="252"/>
        <v>0</v>
      </c>
      <c r="G559" s="61" t="e">
        <f t="shared" si="255"/>
        <v>#DIV/0!</v>
      </c>
      <c r="H559" s="66" t="e">
        <f t="shared" si="244"/>
        <v>#DIV/0!</v>
      </c>
      <c r="I559" s="66" t="e">
        <f t="shared" si="244"/>
        <v>#DIV/0!</v>
      </c>
      <c r="J559" s="66" t="e">
        <f t="shared" si="244"/>
        <v>#DIV/0!</v>
      </c>
      <c r="K559" s="70">
        <v>12330</v>
      </c>
      <c r="L559" s="70">
        <f>'Monitoramento Acumulado Geral'!Q559</f>
        <v>0</v>
      </c>
      <c r="M559" s="6">
        <f>(SUM(L554:L559))/K558</f>
        <v>0</v>
      </c>
      <c r="N559" s="35" t="str">
        <f t="shared" si="256"/>
        <v>Desempenho Deficitário</v>
      </c>
      <c r="O559" s="6">
        <f t="shared" si="258"/>
        <v>0.28403291059934432</v>
      </c>
      <c r="P559" s="6">
        <f t="shared" si="258"/>
        <v>0.56118246348434164</v>
      </c>
      <c r="Q559" s="6">
        <f t="shared" si="258"/>
        <v>6.8833577143469493E-3</v>
      </c>
      <c r="R559" s="70">
        <v>80</v>
      </c>
      <c r="S559" s="70">
        <v>0</v>
      </c>
      <c r="T559" s="6">
        <f t="shared" si="253"/>
        <v>0</v>
      </c>
      <c r="U559" s="35" t="e">
        <f t="shared" si="257"/>
        <v>#DIV/0!</v>
      </c>
      <c r="V559" s="6" t="e">
        <f t="shared" si="251"/>
        <v>#DIV/0!</v>
      </c>
      <c r="W559" s="6" t="e">
        <f t="shared" si="251"/>
        <v>#DIV/0!</v>
      </c>
      <c r="X559" s="6" t="e">
        <f t="shared" si="251"/>
        <v>#DIV/0!</v>
      </c>
      <c r="Y559" s="6" t="e">
        <f t="shared" si="251"/>
        <v>#DIV/0!</v>
      </c>
      <c r="Z559" s="6" t="e">
        <f t="shared" si="251"/>
        <v>#DIV/0!</v>
      </c>
    </row>
    <row r="560" spans="1:26" x14ac:dyDescent="0.2">
      <c r="A560" s="7" t="s">
        <v>105</v>
      </c>
      <c r="B560" s="6">
        <f t="shared" si="254"/>
        <v>7</v>
      </c>
      <c r="C560" s="7" t="s">
        <v>157</v>
      </c>
      <c r="D560" s="69">
        <v>75</v>
      </c>
      <c r="E560" s="69">
        <v>0</v>
      </c>
      <c r="F560" s="66">
        <f t="shared" si="252"/>
        <v>0</v>
      </c>
      <c r="G560" s="61" t="e">
        <f t="shared" si="255"/>
        <v>#DIV/0!</v>
      </c>
      <c r="H560" s="66" t="e">
        <f t="shared" si="244"/>
        <v>#DIV/0!</v>
      </c>
      <c r="I560" s="66" t="e">
        <f t="shared" si="244"/>
        <v>#DIV/0!</v>
      </c>
      <c r="J560" s="66" t="e">
        <f t="shared" si="244"/>
        <v>#DIV/0!</v>
      </c>
      <c r="K560" s="70">
        <v>12330</v>
      </c>
      <c r="L560" s="70">
        <f>'Monitoramento Acumulado Geral'!Q560</f>
        <v>0</v>
      </c>
      <c r="M560" s="6">
        <f>(SUM(L554:L560))/K559</f>
        <v>0</v>
      </c>
      <c r="N560" s="35" t="str">
        <f t="shared" si="256"/>
        <v>Desempenho Médio</v>
      </c>
      <c r="O560" s="6">
        <f t="shared" si="258"/>
        <v>0.42046470140126019</v>
      </c>
      <c r="P560" s="6">
        <f t="shared" si="258"/>
        <v>0.84574683442734511</v>
      </c>
      <c r="Q560" s="6">
        <f t="shared" si="258"/>
        <v>-4.8174316248247306E-3</v>
      </c>
      <c r="R560" s="70">
        <v>80</v>
      </c>
      <c r="S560" s="70">
        <v>0</v>
      </c>
      <c r="T560" s="6">
        <f t="shared" si="253"/>
        <v>0</v>
      </c>
      <c r="U560" s="35" t="e">
        <f t="shared" si="257"/>
        <v>#DIV/0!</v>
      </c>
      <c r="V560" s="6" t="e">
        <f t="shared" si="251"/>
        <v>#DIV/0!</v>
      </c>
      <c r="W560" s="6" t="e">
        <f t="shared" si="251"/>
        <v>#DIV/0!</v>
      </c>
      <c r="X560" s="6" t="e">
        <f t="shared" si="251"/>
        <v>#DIV/0!</v>
      </c>
      <c r="Y560" s="6" t="e">
        <f t="shared" si="251"/>
        <v>#DIV/0!</v>
      </c>
      <c r="Z560" s="6" t="e">
        <f t="shared" si="251"/>
        <v>#DIV/0!</v>
      </c>
    </row>
    <row r="561" spans="1:26" x14ac:dyDescent="0.2">
      <c r="A561" s="7" t="s">
        <v>105</v>
      </c>
      <c r="B561" s="6">
        <f t="shared" si="254"/>
        <v>8</v>
      </c>
      <c r="C561" s="7" t="s">
        <v>158</v>
      </c>
      <c r="D561" s="69">
        <v>75</v>
      </c>
      <c r="E561" s="69">
        <v>0</v>
      </c>
      <c r="F561" s="66">
        <f t="shared" si="252"/>
        <v>0</v>
      </c>
      <c r="G561" s="61" t="e">
        <f t="shared" si="255"/>
        <v>#DIV/0!</v>
      </c>
      <c r="H561" s="66" t="e">
        <f t="shared" si="244"/>
        <v>#DIV/0!</v>
      </c>
      <c r="I561" s="66" t="e">
        <f t="shared" si="244"/>
        <v>#DIV/0!</v>
      </c>
      <c r="J561" s="66" t="e">
        <f t="shared" si="244"/>
        <v>#DIV/0!</v>
      </c>
      <c r="K561" s="70">
        <v>12330</v>
      </c>
      <c r="L561" s="70">
        <f>'Monitoramento Acumulado Geral'!Q561</f>
        <v>0</v>
      </c>
      <c r="M561" s="6">
        <f>(SUM(L554:L561))/K560</f>
        <v>0</v>
      </c>
      <c r="N561" s="35" t="str">
        <f t="shared" si="256"/>
        <v>Desempenho Médio</v>
      </c>
      <c r="O561" s="6">
        <f t="shared" si="258"/>
        <v>0.42046470140126019</v>
      </c>
      <c r="P561" s="6">
        <f t="shared" si="258"/>
        <v>0.84574683442734511</v>
      </c>
      <c r="Q561" s="6">
        <f t="shared" si="258"/>
        <v>-4.8174316248247306E-3</v>
      </c>
      <c r="R561" s="70">
        <v>80</v>
      </c>
      <c r="S561" s="70">
        <v>0</v>
      </c>
      <c r="T561" s="6">
        <f t="shared" si="253"/>
        <v>0</v>
      </c>
      <c r="U561" s="35" t="e">
        <f t="shared" si="257"/>
        <v>#DIV/0!</v>
      </c>
      <c r="V561" s="6" t="e">
        <f t="shared" si="251"/>
        <v>#DIV/0!</v>
      </c>
      <c r="W561" s="6" t="e">
        <f t="shared" si="251"/>
        <v>#DIV/0!</v>
      </c>
      <c r="X561" s="6" t="e">
        <f t="shared" si="251"/>
        <v>#DIV/0!</v>
      </c>
      <c r="Y561" s="6" t="e">
        <f t="shared" si="251"/>
        <v>#DIV/0!</v>
      </c>
      <c r="Z561" s="6" t="e">
        <f t="shared" si="251"/>
        <v>#DIV/0!</v>
      </c>
    </row>
    <row r="562" spans="1:26" x14ac:dyDescent="0.2">
      <c r="A562" s="7" t="s">
        <v>105</v>
      </c>
      <c r="B562" s="6">
        <f t="shared" si="254"/>
        <v>9</v>
      </c>
      <c r="C562" s="7" t="s">
        <v>159</v>
      </c>
      <c r="D562" s="69">
        <v>75</v>
      </c>
      <c r="E562" s="69">
        <v>0</v>
      </c>
      <c r="F562" s="66">
        <f t="shared" si="252"/>
        <v>0</v>
      </c>
      <c r="G562" s="61" t="e">
        <f t="shared" si="255"/>
        <v>#DIV/0!</v>
      </c>
      <c r="H562" s="66" t="e">
        <f t="shared" si="244"/>
        <v>#DIV/0!</v>
      </c>
      <c r="I562" s="66" t="e">
        <f t="shared" si="244"/>
        <v>#DIV/0!</v>
      </c>
      <c r="J562" s="66" t="e">
        <f t="shared" si="244"/>
        <v>#DIV/0!</v>
      </c>
      <c r="K562" s="70">
        <v>12330</v>
      </c>
      <c r="L562" s="70">
        <f>'Monitoramento Acumulado Geral'!Q562</f>
        <v>0</v>
      </c>
      <c r="M562" s="6">
        <f>(SUM(L554:L562))/K561</f>
        <v>0</v>
      </c>
      <c r="N562" s="35" t="str">
        <f t="shared" si="256"/>
        <v>Desempenho Médio</v>
      </c>
      <c r="O562" s="6">
        <f t="shared" si="258"/>
        <v>0.42046470140126019</v>
      </c>
      <c r="P562" s="6">
        <f t="shared" si="258"/>
        <v>0.84574683442734511</v>
      </c>
      <c r="Q562" s="6">
        <f t="shared" si="258"/>
        <v>-4.8174316248247306E-3</v>
      </c>
      <c r="R562" s="70">
        <v>80</v>
      </c>
      <c r="S562" s="70">
        <v>0</v>
      </c>
      <c r="T562" s="6">
        <f t="shared" si="253"/>
        <v>0</v>
      </c>
      <c r="U562" s="35" t="e">
        <f t="shared" si="257"/>
        <v>#DIV/0!</v>
      </c>
      <c r="V562" s="6" t="e">
        <f t="shared" si="251"/>
        <v>#DIV/0!</v>
      </c>
      <c r="W562" s="6" t="e">
        <f t="shared" si="251"/>
        <v>#DIV/0!</v>
      </c>
      <c r="X562" s="6" t="e">
        <f t="shared" si="251"/>
        <v>#DIV/0!</v>
      </c>
      <c r="Y562" s="6" t="e">
        <f t="shared" si="251"/>
        <v>#DIV/0!</v>
      </c>
      <c r="Z562" s="6" t="e">
        <f t="shared" si="251"/>
        <v>#DIV/0!</v>
      </c>
    </row>
    <row r="563" spans="1:26" x14ac:dyDescent="0.2">
      <c r="A563" s="7" t="s">
        <v>105</v>
      </c>
      <c r="B563" s="6">
        <f t="shared" si="254"/>
        <v>10</v>
      </c>
      <c r="C563" s="7" t="s">
        <v>160</v>
      </c>
      <c r="D563" s="69">
        <v>75</v>
      </c>
      <c r="E563" s="69">
        <v>0</v>
      </c>
      <c r="F563" s="66">
        <f t="shared" si="252"/>
        <v>0</v>
      </c>
      <c r="G563" s="61" t="e">
        <f t="shared" si="255"/>
        <v>#DIV/0!</v>
      </c>
      <c r="H563" s="66" t="e">
        <f t="shared" ref="H563:J638" si="259">H551</f>
        <v>#DIV/0!</v>
      </c>
      <c r="I563" s="66" t="e">
        <f t="shared" si="259"/>
        <v>#DIV/0!</v>
      </c>
      <c r="J563" s="66" t="e">
        <f t="shared" si="259"/>
        <v>#DIV/0!</v>
      </c>
      <c r="K563" s="70">
        <v>12330</v>
      </c>
      <c r="L563" s="70">
        <f>'Monitoramento Acumulado Geral'!Q563</f>
        <v>0</v>
      </c>
      <c r="M563" s="6">
        <f>(SUM(L554:L563))/K562</f>
        <v>0</v>
      </c>
      <c r="N563" s="35" t="str">
        <f t="shared" si="256"/>
        <v>Desempenho Médio</v>
      </c>
      <c r="O563" s="6">
        <f t="shared" si="258"/>
        <v>0.42046470140126019</v>
      </c>
      <c r="P563" s="6">
        <f t="shared" si="258"/>
        <v>0.84574683442734511</v>
      </c>
      <c r="Q563" s="6">
        <f t="shared" si="258"/>
        <v>-4.8174316248247306E-3</v>
      </c>
      <c r="R563" s="70">
        <v>80</v>
      </c>
      <c r="S563" s="70">
        <v>0</v>
      </c>
      <c r="T563" s="6">
        <f t="shared" si="253"/>
        <v>0</v>
      </c>
      <c r="U563" s="35" t="e">
        <f t="shared" si="257"/>
        <v>#DIV/0!</v>
      </c>
      <c r="V563" s="6" t="e">
        <f t="shared" ref="V563:Z578" si="260">V551</f>
        <v>#DIV/0!</v>
      </c>
      <c r="W563" s="6" t="e">
        <f t="shared" si="260"/>
        <v>#DIV/0!</v>
      </c>
      <c r="X563" s="6" t="e">
        <f t="shared" si="260"/>
        <v>#DIV/0!</v>
      </c>
      <c r="Y563" s="6" t="e">
        <f t="shared" si="260"/>
        <v>#DIV/0!</v>
      </c>
      <c r="Z563" s="6" t="e">
        <f t="shared" si="260"/>
        <v>#DIV/0!</v>
      </c>
    </row>
    <row r="564" spans="1:26" x14ac:dyDescent="0.2">
      <c r="A564" s="7" t="s">
        <v>105</v>
      </c>
      <c r="B564" s="6">
        <f t="shared" si="254"/>
        <v>11</v>
      </c>
      <c r="C564" s="7" t="s">
        <v>161</v>
      </c>
      <c r="D564" s="69">
        <v>75</v>
      </c>
      <c r="E564" s="69">
        <v>0</v>
      </c>
      <c r="F564" s="66">
        <f t="shared" si="252"/>
        <v>0</v>
      </c>
      <c r="G564" s="61" t="e">
        <f t="shared" si="255"/>
        <v>#DIV/0!</v>
      </c>
      <c r="H564" s="66" t="e">
        <f t="shared" si="259"/>
        <v>#DIV/0!</v>
      </c>
      <c r="I564" s="66" t="e">
        <f t="shared" si="259"/>
        <v>#DIV/0!</v>
      </c>
      <c r="J564" s="66" t="e">
        <f t="shared" si="259"/>
        <v>#DIV/0!</v>
      </c>
      <c r="K564" s="70">
        <v>12330</v>
      </c>
      <c r="L564" s="70">
        <f>'Monitoramento Acumulado Geral'!Q564</f>
        <v>0</v>
      </c>
      <c r="M564" s="6">
        <f>(SUM(L554:L564))/K563</f>
        <v>0</v>
      </c>
      <c r="N564" s="35" t="str">
        <f t="shared" si="256"/>
        <v>Desempenho Médio</v>
      </c>
      <c r="O564" s="6">
        <f t="shared" si="258"/>
        <v>0.42046470140126019</v>
      </c>
      <c r="P564" s="6">
        <f t="shared" si="258"/>
        <v>0.84574683442734511</v>
      </c>
      <c r="Q564" s="6">
        <f t="shared" si="258"/>
        <v>-4.8174316248247306E-3</v>
      </c>
      <c r="R564" s="70">
        <v>80</v>
      </c>
      <c r="S564" s="70">
        <v>0</v>
      </c>
      <c r="T564" s="6">
        <f t="shared" si="253"/>
        <v>0</v>
      </c>
      <c r="U564" s="35" t="e">
        <f t="shared" si="257"/>
        <v>#DIV/0!</v>
      </c>
      <c r="V564" s="6" t="e">
        <f t="shared" si="260"/>
        <v>#DIV/0!</v>
      </c>
      <c r="W564" s="6" t="e">
        <f t="shared" si="260"/>
        <v>#DIV/0!</v>
      </c>
      <c r="X564" s="6" t="e">
        <f t="shared" si="260"/>
        <v>#DIV/0!</v>
      </c>
      <c r="Y564" s="6" t="e">
        <f t="shared" si="260"/>
        <v>#DIV/0!</v>
      </c>
      <c r="Z564" s="6" t="e">
        <f t="shared" si="260"/>
        <v>#DIV/0!</v>
      </c>
    </row>
    <row r="565" spans="1:26" x14ac:dyDescent="0.2">
      <c r="A565" s="7" t="s">
        <v>105</v>
      </c>
      <c r="B565" s="6">
        <f t="shared" si="254"/>
        <v>12</v>
      </c>
      <c r="C565" s="7" t="s">
        <v>162</v>
      </c>
      <c r="D565" s="69">
        <v>75</v>
      </c>
      <c r="E565" s="69">
        <v>0</v>
      </c>
      <c r="F565" s="66">
        <f t="shared" si="252"/>
        <v>0</v>
      </c>
      <c r="G565" s="61" t="e">
        <f t="shared" si="255"/>
        <v>#DIV/0!</v>
      </c>
      <c r="H565" s="66" t="e">
        <f t="shared" si="259"/>
        <v>#DIV/0!</v>
      </c>
      <c r="I565" s="66" t="e">
        <f t="shared" si="259"/>
        <v>#DIV/0!</v>
      </c>
      <c r="J565" s="66" t="e">
        <f t="shared" si="259"/>
        <v>#DIV/0!</v>
      </c>
      <c r="K565" s="70">
        <v>12330</v>
      </c>
      <c r="L565" s="70">
        <f>'Monitoramento Acumulado Geral'!Q565</f>
        <v>0</v>
      </c>
      <c r="M565" s="6">
        <f>(SUM(L554:L565))/K564</f>
        <v>0</v>
      </c>
      <c r="N565" s="35" t="str">
        <f t="shared" si="256"/>
        <v>Desempenho Médio</v>
      </c>
      <c r="O565" s="6">
        <f t="shared" si="258"/>
        <v>0.41824651958307835</v>
      </c>
      <c r="P565" s="6">
        <f t="shared" si="258"/>
        <v>0.84510274859297763</v>
      </c>
      <c r="Q565" s="6">
        <f t="shared" si="258"/>
        <v>-8.6097094268208774E-3</v>
      </c>
      <c r="R565" s="70">
        <v>80</v>
      </c>
      <c r="S565" s="70">
        <v>0</v>
      </c>
      <c r="T565" s="6">
        <f t="shared" si="253"/>
        <v>0</v>
      </c>
      <c r="U565" s="35" t="e">
        <f t="shared" si="257"/>
        <v>#DIV/0!</v>
      </c>
      <c r="V565" s="6" t="e">
        <f t="shared" si="260"/>
        <v>#DIV/0!</v>
      </c>
      <c r="W565" s="6" t="e">
        <f t="shared" si="260"/>
        <v>#DIV/0!</v>
      </c>
      <c r="X565" s="6" t="e">
        <f t="shared" si="260"/>
        <v>#DIV/0!</v>
      </c>
      <c r="Y565" s="6" t="e">
        <f t="shared" si="260"/>
        <v>#DIV/0!</v>
      </c>
      <c r="Z565" s="6" t="e">
        <f t="shared" si="260"/>
        <v>#DIV/0!</v>
      </c>
    </row>
    <row r="566" spans="1:26" x14ac:dyDescent="0.2">
      <c r="A566" s="7" t="s">
        <v>98</v>
      </c>
      <c r="B566" s="6">
        <f t="shared" si="254"/>
        <v>1</v>
      </c>
      <c r="C566" s="7" t="s">
        <v>151</v>
      </c>
      <c r="D566" s="69">
        <v>75</v>
      </c>
      <c r="E566" s="69">
        <v>57</v>
      </c>
      <c r="F566" s="66">
        <f t="shared" si="252"/>
        <v>0.76</v>
      </c>
      <c r="G566" s="61" t="e">
        <f t="shared" si="255"/>
        <v>#DIV/0!</v>
      </c>
      <c r="H566" s="66" t="e">
        <f t="shared" si="259"/>
        <v>#DIV/0!</v>
      </c>
      <c r="I566" s="66" t="e">
        <f t="shared" si="259"/>
        <v>#DIV/0!</v>
      </c>
      <c r="J566" s="66" t="e">
        <f t="shared" si="259"/>
        <v>#DIV/0!</v>
      </c>
      <c r="K566" s="70">
        <v>270000</v>
      </c>
      <c r="L566" s="70">
        <f>'Monitoramento Acumulado Geral'!Q566</f>
        <v>37403.699999999997</v>
      </c>
      <c r="M566" s="6">
        <f>L566/K566</f>
        <v>0.13853222222222222</v>
      </c>
      <c r="N566" s="35" t="str">
        <f t="shared" si="256"/>
        <v>Desempenho Ótimo</v>
      </c>
      <c r="O566" s="6">
        <f t="shared" si="258"/>
        <v>3.4274647562211005E-2</v>
      </c>
      <c r="P566" s="6">
        <f t="shared" si="258"/>
        <v>0.10289217685709087</v>
      </c>
      <c r="Q566" s="6">
        <f t="shared" si="258"/>
        <v>-3.4342881732668862E-2</v>
      </c>
      <c r="R566" s="70">
        <v>80</v>
      </c>
      <c r="S566" s="70">
        <v>0</v>
      </c>
      <c r="T566" s="6">
        <f t="shared" si="253"/>
        <v>0</v>
      </c>
      <c r="U566" s="35" t="e">
        <f t="shared" si="257"/>
        <v>#DIV/0!</v>
      </c>
      <c r="V566" s="6" t="e">
        <f t="shared" si="260"/>
        <v>#DIV/0!</v>
      </c>
      <c r="W566" s="6" t="e">
        <f t="shared" si="260"/>
        <v>#DIV/0!</v>
      </c>
      <c r="X566" s="6" t="e">
        <f t="shared" si="260"/>
        <v>#DIV/0!</v>
      </c>
      <c r="Y566" s="6" t="e">
        <f t="shared" si="260"/>
        <v>#DIV/0!</v>
      </c>
      <c r="Z566" s="6" t="e">
        <f t="shared" si="260"/>
        <v>#DIV/0!</v>
      </c>
    </row>
    <row r="567" spans="1:26" x14ac:dyDescent="0.2">
      <c r="A567" s="7" t="s">
        <v>98</v>
      </c>
      <c r="B567" s="6">
        <f t="shared" si="254"/>
        <v>2</v>
      </c>
      <c r="C567" s="7" t="s">
        <v>152</v>
      </c>
      <c r="D567" s="69">
        <v>75</v>
      </c>
      <c r="E567" s="69">
        <v>71</v>
      </c>
      <c r="F567" s="66">
        <f t="shared" si="252"/>
        <v>0.94666666666666666</v>
      </c>
      <c r="G567" s="61" t="e">
        <f t="shared" si="255"/>
        <v>#DIV/0!</v>
      </c>
      <c r="H567" s="66" t="e">
        <f t="shared" si="259"/>
        <v>#DIV/0!</v>
      </c>
      <c r="I567" s="66" t="e">
        <f t="shared" si="259"/>
        <v>#DIV/0!</v>
      </c>
      <c r="J567" s="66" t="e">
        <f t="shared" si="259"/>
        <v>#DIV/0!</v>
      </c>
      <c r="K567" s="70">
        <v>270000</v>
      </c>
      <c r="L567" s="70">
        <f>'Monitoramento Acumulado Geral'!Q567</f>
        <v>23492.28</v>
      </c>
      <c r="M567" s="6">
        <f>(SUM(L566:L567))/K566</f>
        <v>0.22554066666666664</v>
      </c>
      <c r="N567" s="35" t="str">
        <f t="shared" si="256"/>
        <v>Desempenho Ótimo</v>
      </c>
      <c r="O567" s="6">
        <f t="shared" si="258"/>
        <v>8.1815188943147363E-2</v>
      </c>
      <c r="P567" s="6">
        <f t="shared" si="258"/>
        <v>0.20623883252423067</v>
      </c>
      <c r="Q567" s="6">
        <f t="shared" si="258"/>
        <v>-4.2608454637935944E-2</v>
      </c>
      <c r="R567" s="70">
        <v>80</v>
      </c>
      <c r="S567" s="70">
        <v>0</v>
      </c>
      <c r="T567" s="6">
        <f t="shared" si="253"/>
        <v>0</v>
      </c>
      <c r="U567" s="35" t="e">
        <f t="shared" si="257"/>
        <v>#DIV/0!</v>
      </c>
      <c r="V567" s="6" t="e">
        <f t="shared" si="260"/>
        <v>#DIV/0!</v>
      </c>
      <c r="W567" s="6" t="e">
        <f t="shared" si="260"/>
        <v>#DIV/0!</v>
      </c>
      <c r="X567" s="6" t="e">
        <f t="shared" si="260"/>
        <v>#DIV/0!</v>
      </c>
      <c r="Y567" s="6" t="e">
        <f t="shared" si="260"/>
        <v>#DIV/0!</v>
      </c>
      <c r="Z567" s="6" t="e">
        <f t="shared" si="260"/>
        <v>#DIV/0!</v>
      </c>
    </row>
    <row r="568" spans="1:26" x14ac:dyDescent="0.2">
      <c r="A568" s="7" t="s">
        <v>98</v>
      </c>
      <c r="B568" s="6">
        <f t="shared" si="254"/>
        <v>3</v>
      </c>
      <c r="C568" s="7" t="s">
        <v>153</v>
      </c>
      <c r="D568" s="69">
        <v>75</v>
      </c>
      <c r="E568" s="69">
        <v>92</v>
      </c>
      <c r="F568" s="66">
        <f t="shared" si="252"/>
        <v>1.2266666666666666</v>
      </c>
      <c r="G568" s="61" t="e">
        <f t="shared" si="255"/>
        <v>#DIV/0!</v>
      </c>
      <c r="H568" s="66" t="e">
        <f t="shared" si="259"/>
        <v>#DIV/0!</v>
      </c>
      <c r="I568" s="66" t="e">
        <f t="shared" si="259"/>
        <v>#DIV/0!</v>
      </c>
      <c r="J568" s="66" t="e">
        <f t="shared" si="259"/>
        <v>#DIV/0!</v>
      </c>
      <c r="K568" s="70">
        <v>270000</v>
      </c>
      <c r="L568" s="70">
        <f>'Monitoramento Acumulado Geral'!Q568</f>
        <v>20720.93</v>
      </c>
      <c r="M568" s="6">
        <f>(SUM(L566:L568))/K567</f>
        <v>0.30228485185185189</v>
      </c>
      <c r="N568" s="35" t="str">
        <f t="shared" si="256"/>
        <v>Desempenho Ótimo</v>
      </c>
      <c r="O568" s="6">
        <f t="shared" si="258"/>
        <v>0.13411292471649494</v>
      </c>
      <c r="P568" s="6">
        <f t="shared" si="258"/>
        <v>0.29721906787058483</v>
      </c>
      <c r="Q568" s="6">
        <f t="shared" si="258"/>
        <v>-2.899321843759492E-2</v>
      </c>
      <c r="R568" s="70">
        <v>80</v>
      </c>
      <c r="S568" s="70">
        <v>0</v>
      </c>
      <c r="T568" s="6">
        <f t="shared" si="253"/>
        <v>0</v>
      </c>
      <c r="U568" s="35" t="e">
        <f t="shared" si="257"/>
        <v>#DIV/0!</v>
      </c>
      <c r="V568" s="6" t="e">
        <f t="shared" si="260"/>
        <v>#DIV/0!</v>
      </c>
      <c r="W568" s="6" t="e">
        <f t="shared" si="260"/>
        <v>#DIV/0!</v>
      </c>
      <c r="X568" s="6" t="e">
        <f t="shared" si="260"/>
        <v>#DIV/0!</v>
      </c>
      <c r="Y568" s="6" t="e">
        <f t="shared" si="260"/>
        <v>#DIV/0!</v>
      </c>
      <c r="Z568" s="6" t="e">
        <f t="shared" si="260"/>
        <v>#DIV/0!</v>
      </c>
    </row>
    <row r="569" spans="1:26" x14ac:dyDescent="0.2">
      <c r="A569" s="7" t="s">
        <v>98</v>
      </c>
      <c r="B569" s="6">
        <f t="shared" si="254"/>
        <v>4</v>
      </c>
      <c r="C569" s="7" t="s">
        <v>154</v>
      </c>
      <c r="D569" s="69">
        <v>75</v>
      </c>
      <c r="E569" s="69">
        <v>96</v>
      </c>
      <c r="F569" s="66">
        <f t="shared" si="252"/>
        <v>1.28</v>
      </c>
      <c r="G569" s="61" t="e">
        <f t="shared" si="255"/>
        <v>#DIV/0!</v>
      </c>
      <c r="H569" s="66" t="e">
        <f t="shared" si="259"/>
        <v>#DIV/0!</v>
      </c>
      <c r="I569" s="66" t="e">
        <f t="shared" si="259"/>
        <v>#DIV/0!</v>
      </c>
      <c r="J569" s="66" t="e">
        <f t="shared" si="259"/>
        <v>#DIV/0!</v>
      </c>
      <c r="K569" s="70">
        <v>270000</v>
      </c>
      <c r="L569" s="70">
        <f>'Monitoramento Acumulado Geral'!Q569</f>
        <v>210</v>
      </c>
      <c r="M569" s="6">
        <f>(SUM(L566:L569))/K568</f>
        <v>0.30306262962962965</v>
      </c>
      <c r="N569" s="35" t="str">
        <f t="shared" si="256"/>
        <v>Desempenho Bom</v>
      </c>
      <c r="O569" s="6">
        <f t="shared" si="258"/>
        <v>0.15392483870093213</v>
      </c>
      <c r="P569" s="6">
        <f t="shared" si="258"/>
        <v>0.32772007016950033</v>
      </c>
      <c r="Q569" s="6">
        <f t="shared" si="258"/>
        <v>-1.9870392767636053E-2</v>
      </c>
      <c r="R569" s="70">
        <v>80</v>
      </c>
      <c r="S569" s="70">
        <v>0</v>
      </c>
      <c r="T569" s="6">
        <f t="shared" si="253"/>
        <v>0</v>
      </c>
      <c r="U569" s="35" t="e">
        <f t="shared" si="257"/>
        <v>#DIV/0!</v>
      </c>
      <c r="V569" s="6" t="e">
        <f t="shared" si="260"/>
        <v>#DIV/0!</v>
      </c>
      <c r="W569" s="6" t="e">
        <f t="shared" si="260"/>
        <v>#DIV/0!</v>
      </c>
      <c r="X569" s="6" t="e">
        <f t="shared" si="260"/>
        <v>#DIV/0!</v>
      </c>
      <c r="Y569" s="6" t="e">
        <f t="shared" si="260"/>
        <v>#DIV/0!</v>
      </c>
      <c r="Z569" s="6" t="e">
        <f t="shared" si="260"/>
        <v>#DIV/0!</v>
      </c>
    </row>
    <row r="570" spans="1:26" x14ac:dyDescent="0.2">
      <c r="A570" s="7" t="s">
        <v>98</v>
      </c>
      <c r="B570" s="6">
        <f t="shared" si="254"/>
        <v>5</v>
      </c>
      <c r="C570" s="7" t="s">
        <v>155</v>
      </c>
      <c r="D570" s="69">
        <v>75</v>
      </c>
      <c r="E570" s="69">
        <v>100</v>
      </c>
      <c r="F570" s="66">
        <f t="shared" si="252"/>
        <v>1.3333333333333333</v>
      </c>
      <c r="G570" s="61" t="e">
        <f t="shared" si="255"/>
        <v>#DIV/0!</v>
      </c>
      <c r="H570" s="66" t="e">
        <f t="shared" si="259"/>
        <v>#DIV/0!</v>
      </c>
      <c r="I570" s="66" t="e">
        <f t="shared" si="259"/>
        <v>#DIV/0!</v>
      </c>
      <c r="J570" s="66" t="e">
        <f t="shared" si="259"/>
        <v>#DIV/0!</v>
      </c>
      <c r="K570" s="70">
        <v>270000</v>
      </c>
      <c r="L570" s="70">
        <f>'Monitoramento Acumulado Geral'!Q570</f>
        <v>48429.14</v>
      </c>
      <c r="M570" s="6">
        <f>(SUM(L566:L570))/K569</f>
        <v>0.48242981481481484</v>
      </c>
      <c r="N570" s="35" t="str">
        <f t="shared" si="256"/>
        <v>Desempenho Ótimo</v>
      </c>
      <c r="O570" s="6">
        <f t="shared" ref="O570:Q585" si="261">O558</f>
        <v>0.21139287248463789</v>
      </c>
      <c r="P570" s="6">
        <f t="shared" si="261"/>
        <v>0.43680804416292918</v>
      </c>
      <c r="Q570" s="6">
        <f t="shared" si="261"/>
        <v>-1.4022299193653387E-2</v>
      </c>
      <c r="R570" s="70">
        <v>80</v>
      </c>
      <c r="S570" s="70">
        <v>0</v>
      </c>
      <c r="T570" s="6">
        <f t="shared" si="253"/>
        <v>0</v>
      </c>
      <c r="U570" s="35" t="e">
        <f t="shared" si="257"/>
        <v>#DIV/0!</v>
      </c>
      <c r="V570" s="6" t="e">
        <f t="shared" si="260"/>
        <v>#DIV/0!</v>
      </c>
      <c r="W570" s="6" t="e">
        <f t="shared" si="260"/>
        <v>#DIV/0!</v>
      </c>
      <c r="X570" s="6" t="e">
        <f t="shared" si="260"/>
        <v>#DIV/0!</v>
      </c>
      <c r="Y570" s="6" t="e">
        <f t="shared" si="260"/>
        <v>#DIV/0!</v>
      </c>
      <c r="Z570" s="6" t="e">
        <f t="shared" si="260"/>
        <v>#DIV/0!</v>
      </c>
    </row>
    <row r="571" spans="1:26" x14ac:dyDescent="0.2">
      <c r="A571" s="7" t="s">
        <v>98</v>
      </c>
      <c r="B571" s="6">
        <f t="shared" si="254"/>
        <v>6</v>
      </c>
      <c r="C571" s="7" t="s">
        <v>156</v>
      </c>
      <c r="D571" s="69">
        <v>75</v>
      </c>
      <c r="E571" s="69">
        <v>100</v>
      </c>
      <c r="F571" s="66">
        <f t="shared" si="252"/>
        <v>1.3333333333333333</v>
      </c>
      <c r="G571" s="61" t="e">
        <f t="shared" si="255"/>
        <v>#DIV/0!</v>
      </c>
      <c r="H571" s="66" t="e">
        <f t="shared" si="259"/>
        <v>#DIV/0!</v>
      </c>
      <c r="I571" s="66" t="e">
        <f t="shared" si="259"/>
        <v>#DIV/0!</v>
      </c>
      <c r="J571" s="66" t="e">
        <f t="shared" si="259"/>
        <v>#DIV/0!</v>
      </c>
      <c r="K571" s="70">
        <v>270000</v>
      </c>
      <c r="L571" s="70">
        <f>'Monitoramento Acumulado Geral'!Q571</f>
        <v>32150.959999999999</v>
      </c>
      <c r="M571" s="6">
        <f>(SUM(L566:L571))/K570</f>
        <v>0.60150744444444448</v>
      </c>
      <c r="N571" s="35" t="str">
        <f t="shared" si="256"/>
        <v>Desempenho Ótimo</v>
      </c>
      <c r="O571" s="6">
        <f t="shared" si="261"/>
        <v>0.28403291059934432</v>
      </c>
      <c r="P571" s="6">
        <f t="shared" si="261"/>
        <v>0.56118246348434164</v>
      </c>
      <c r="Q571" s="6">
        <f t="shared" si="261"/>
        <v>6.8833577143469493E-3</v>
      </c>
      <c r="R571" s="70">
        <v>80</v>
      </c>
      <c r="S571" s="70">
        <v>0</v>
      </c>
      <c r="T571" s="6">
        <f t="shared" si="253"/>
        <v>0</v>
      </c>
      <c r="U571" s="35" t="e">
        <f t="shared" si="257"/>
        <v>#DIV/0!</v>
      </c>
      <c r="V571" s="6" t="e">
        <f t="shared" si="260"/>
        <v>#DIV/0!</v>
      </c>
      <c r="W571" s="6" t="e">
        <f t="shared" si="260"/>
        <v>#DIV/0!</v>
      </c>
      <c r="X571" s="6" t="e">
        <f t="shared" si="260"/>
        <v>#DIV/0!</v>
      </c>
      <c r="Y571" s="6" t="e">
        <f t="shared" si="260"/>
        <v>#DIV/0!</v>
      </c>
      <c r="Z571" s="6" t="e">
        <f t="shared" si="260"/>
        <v>#DIV/0!</v>
      </c>
    </row>
    <row r="572" spans="1:26" x14ac:dyDescent="0.2">
      <c r="A572" s="7" t="s">
        <v>98</v>
      </c>
      <c r="B572" s="6">
        <f t="shared" si="254"/>
        <v>7</v>
      </c>
      <c r="C572" s="7" t="s">
        <v>157</v>
      </c>
      <c r="D572" s="69">
        <v>75</v>
      </c>
      <c r="E572" s="69">
        <v>100</v>
      </c>
      <c r="F572" s="66">
        <f t="shared" si="252"/>
        <v>1.3333333333333333</v>
      </c>
      <c r="G572" s="61" t="e">
        <f t="shared" si="255"/>
        <v>#DIV/0!</v>
      </c>
      <c r="H572" s="66" t="e">
        <f t="shared" si="259"/>
        <v>#DIV/0!</v>
      </c>
      <c r="I572" s="66" t="e">
        <f t="shared" si="259"/>
        <v>#DIV/0!</v>
      </c>
      <c r="J572" s="66" t="e">
        <f t="shared" si="259"/>
        <v>#DIV/0!</v>
      </c>
      <c r="K572" s="70">
        <v>270000</v>
      </c>
      <c r="L572" s="70">
        <f>'Monitoramento Acumulado Geral'!Q572</f>
        <v>30316.53</v>
      </c>
      <c r="M572" s="6">
        <f>(SUM(L566:L572))/K571</f>
        <v>0.71379088888888886</v>
      </c>
      <c r="N572" s="35" t="str">
        <f t="shared" si="256"/>
        <v>Desempenho Bom</v>
      </c>
      <c r="O572" s="6">
        <f t="shared" si="261"/>
        <v>0.42046470140126019</v>
      </c>
      <c r="P572" s="6">
        <f t="shared" si="261"/>
        <v>0.84574683442734511</v>
      </c>
      <c r="Q572" s="6">
        <f t="shared" si="261"/>
        <v>-4.8174316248247306E-3</v>
      </c>
      <c r="R572" s="70">
        <v>80</v>
      </c>
      <c r="S572" s="70">
        <v>0</v>
      </c>
      <c r="T572" s="6">
        <f t="shared" si="253"/>
        <v>0</v>
      </c>
      <c r="U572" s="35" t="e">
        <f t="shared" si="257"/>
        <v>#DIV/0!</v>
      </c>
      <c r="V572" s="6" t="e">
        <f t="shared" si="260"/>
        <v>#DIV/0!</v>
      </c>
      <c r="W572" s="6" t="e">
        <f t="shared" si="260"/>
        <v>#DIV/0!</v>
      </c>
      <c r="X572" s="6" t="e">
        <f t="shared" si="260"/>
        <v>#DIV/0!</v>
      </c>
      <c r="Y572" s="6" t="e">
        <f t="shared" si="260"/>
        <v>#DIV/0!</v>
      </c>
      <c r="Z572" s="6" t="e">
        <f t="shared" si="260"/>
        <v>#DIV/0!</v>
      </c>
    </row>
    <row r="573" spans="1:26" x14ac:dyDescent="0.2">
      <c r="A573" s="7" t="s">
        <v>98</v>
      </c>
      <c r="B573" s="6">
        <f t="shared" si="254"/>
        <v>8</v>
      </c>
      <c r="C573" s="7" t="s">
        <v>158</v>
      </c>
      <c r="D573" s="69">
        <v>75</v>
      </c>
      <c r="E573" s="69">
        <v>0</v>
      </c>
      <c r="F573" s="66">
        <f t="shared" si="252"/>
        <v>0</v>
      </c>
      <c r="G573" s="61" t="e">
        <f t="shared" si="255"/>
        <v>#DIV/0!</v>
      </c>
      <c r="H573" s="66" t="e">
        <f t="shared" si="259"/>
        <v>#DIV/0!</v>
      </c>
      <c r="I573" s="66" t="e">
        <f t="shared" si="259"/>
        <v>#DIV/0!</v>
      </c>
      <c r="J573" s="66" t="e">
        <f t="shared" si="259"/>
        <v>#DIV/0!</v>
      </c>
      <c r="K573" s="70">
        <v>270000</v>
      </c>
      <c r="L573" s="70">
        <f>'Monitoramento Acumulado Geral'!Q573</f>
        <v>0</v>
      </c>
      <c r="M573" s="6">
        <f>(SUM(L566:L573))/K572</f>
        <v>0.71379088888888886</v>
      </c>
      <c r="N573" s="35" t="str">
        <f t="shared" si="256"/>
        <v>Desempenho Bom</v>
      </c>
      <c r="O573" s="6">
        <f t="shared" si="261"/>
        <v>0.42046470140126019</v>
      </c>
      <c r="P573" s="6">
        <f t="shared" si="261"/>
        <v>0.84574683442734511</v>
      </c>
      <c r="Q573" s="6">
        <f t="shared" si="261"/>
        <v>-4.8174316248247306E-3</v>
      </c>
      <c r="R573" s="70">
        <v>80</v>
      </c>
      <c r="S573" s="70">
        <v>0</v>
      </c>
      <c r="T573" s="6">
        <f t="shared" si="253"/>
        <v>0</v>
      </c>
      <c r="U573" s="35" t="e">
        <f t="shared" si="257"/>
        <v>#DIV/0!</v>
      </c>
      <c r="V573" s="6" t="e">
        <f t="shared" si="260"/>
        <v>#DIV/0!</v>
      </c>
      <c r="W573" s="6" t="e">
        <f t="shared" si="260"/>
        <v>#DIV/0!</v>
      </c>
      <c r="X573" s="6" t="e">
        <f t="shared" si="260"/>
        <v>#DIV/0!</v>
      </c>
      <c r="Y573" s="6" t="e">
        <f t="shared" si="260"/>
        <v>#DIV/0!</v>
      </c>
      <c r="Z573" s="6" t="e">
        <f t="shared" si="260"/>
        <v>#DIV/0!</v>
      </c>
    </row>
    <row r="574" spans="1:26" x14ac:dyDescent="0.2">
      <c r="A574" s="7" t="s">
        <v>98</v>
      </c>
      <c r="B574" s="6">
        <f t="shared" si="254"/>
        <v>9</v>
      </c>
      <c r="C574" s="7" t="s">
        <v>159</v>
      </c>
      <c r="D574" s="69">
        <v>75</v>
      </c>
      <c r="E574" s="69">
        <v>0</v>
      </c>
      <c r="F574" s="66">
        <f t="shared" si="252"/>
        <v>0</v>
      </c>
      <c r="G574" s="61" t="e">
        <f t="shared" si="255"/>
        <v>#DIV/0!</v>
      </c>
      <c r="H574" s="66" t="e">
        <f t="shared" si="259"/>
        <v>#DIV/0!</v>
      </c>
      <c r="I574" s="66" t="e">
        <f t="shared" si="259"/>
        <v>#DIV/0!</v>
      </c>
      <c r="J574" s="66" t="e">
        <f t="shared" si="259"/>
        <v>#DIV/0!</v>
      </c>
      <c r="K574" s="70">
        <v>270000</v>
      </c>
      <c r="L574" s="70">
        <f>'Monitoramento Acumulado Geral'!Q574</f>
        <v>0</v>
      </c>
      <c r="M574" s="6">
        <f>(SUM(L566:L574))/K573</f>
        <v>0.71379088888888886</v>
      </c>
      <c r="N574" s="35" t="str">
        <f t="shared" si="256"/>
        <v>Desempenho Bom</v>
      </c>
      <c r="O574" s="6">
        <f t="shared" si="261"/>
        <v>0.42046470140126019</v>
      </c>
      <c r="P574" s="6">
        <f t="shared" si="261"/>
        <v>0.84574683442734511</v>
      </c>
      <c r="Q574" s="6">
        <f t="shared" si="261"/>
        <v>-4.8174316248247306E-3</v>
      </c>
      <c r="R574" s="70">
        <v>80</v>
      </c>
      <c r="S574" s="70">
        <v>0</v>
      </c>
      <c r="T574" s="6">
        <f t="shared" si="253"/>
        <v>0</v>
      </c>
      <c r="U574" s="35" t="e">
        <f t="shared" si="257"/>
        <v>#DIV/0!</v>
      </c>
      <c r="V574" s="6" t="e">
        <f t="shared" si="260"/>
        <v>#DIV/0!</v>
      </c>
      <c r="W574" s="6" t="e">
        <f t="shared" si="260"/>
        <v>#DIV/0!</v>
      </c>
      <c r="X574" s="6" t="e">
        <f t="shared" si="260"/>
        <v>#DIV/0!</v>
      </c>
      <c r="Y574" s="6" t="e">
        <f t="shared" si="260"/>
        <v>#DIV/0!</v>
      </c>
      <c r="Z574" s="6" t="e">
        <f t="shared" si="260"/>
        <v>#DIV/0!</v>
      </c>
    </row>
    <row r="575" spans="1:26" x14ac:dyDescent="0.2">
      <c r="A575" s="7" t="s">
        <v>98</v>
      </c>
      <c r="B575" s="6">
        <f t="shared" si="254"/>
        <v>10</v>
      </c>
      <c r="C575" s="7" t="s">
        <v>160</v>
      </c>
      <c r="D575" s="69">
        <v>75</v>
      </c>
      <c r="E575" s="69">
        <v>0</v>
      </c>
      <c r="F575" s="66">
        <f t="shared" si="252"/>
        <v>0</v>
      </c>
      <c r="G575" s="61" t="e">
        <f t="shared" si="255"/>
        <v>#DIV/0!</v>
      </c>
      <c r="H575" s="66" t="e">
        <f t="shared" si="259"/>
        <v>#DIV/0!</v>
      </c>
      <c r="I575" s="66" t="e">
        <f t="shared" si="259"/>
        <v>#DIV/0!</v>
      </c>
      <c r="J575" s="66" t="e">
        <f t="shared" si="259"/>
        <v>#DIV/0!</v>
      </c>
      <c r="K575" s="70">
        <v>270000</v>
      </c>
      <c r="L575" s="70">
        <f>'Monitoramento Acumulado Geral'!Q575</f>
        <v>0</v>
      </c>
      <c r="M575" s="6">
        <f>(SUM(L566:L575))/K574</f>
        <v>0.71379088888888886</v>
      </c>
      <c r="N575" s="35" t="str">
        <f t="shared" si="256"/>
        <v>Desempenho Bom</v>
      </c>
      <c r="O575" s="6">
        <f t="shared" si="261"/>
        <v>0.42046470140126019</v>
      </c>
      <c r="P575" s="6">
        <f t="shared" si="261"/>
        <v>0.84574683442734511</v>
      </c>
      <c r="Q575" s="6">
        <f t="shared" si="261"/>
        <v>-4.8174316248247306E-3</v>
      </c>
      <c r="R575" s="70">
        <v>80</v>
      </c>
      <c r="S575" s="70">
        <v>0</v>
      </c>
      <c r="T575" s="6">
        <f t="shared" si="253"/>
        <v>0</v>
      </c>
      <c r="U575" s="35" t="e">
        <f t="shared" si="257"/>
        <v>#DIV/0!</v>
      </c>
      <c r="V575" s="6" t="e">
        <f t="shared" si="260"/>
        <v>#DIV/0!</v>
      </c>
      <c r="W575" s="6" t="e">
        <f t="shared" si="260"/>
        <v>#DIV/0!</v>
      </c>
      <c r="X575" s="6" t="e">
        <f t="shared" si="260"/>
        <v>#DIV/0!</v>
      </c>
      <c r="Y575" s="6" t="e">
        <f t="shared" si="260"/>
        <v>#DIV/0!</v>
      </c>
      <c r="Z575" s="6" t="e">
        <f t="shared" si="260"/>
        <v>#DIV/0!</v>
      </c>
    </row>
    <row r="576" spans="1:26" x14ac:dyDescent="0.2">
      <c r="A576" s="7" t="s">
        <v>98</v>
      </c>
      <c r="B576" s="6">
        <f t="shared" si="254"/>
        <v>11</v>
      </c>
      <c r="C576" s="7" t="s">
        <v>161</v>
      </c>
      <c r="D576" s="69">
        <v>75</v>
      </c>
      <c r="E576" s="69">
        <v>0</v>
      </c>
      <c r="F576" s="66">
        <f t="shared" si="252"/>
        <v>0</v>
      </c>
      <c r="G576" s="61" t="e">
        <f t="shared" si="255"/>
        <v>#DIV/0!</v>
      </c>
      <c r="H576" s="66" t="e">
        <f t="shared" si="259"/>
        <v>#DIV/0!</v>
      </c>
      <c r="I576" s="66" t="e">
        <f t="shared" si="259"/>
        <v>#DIV/0!</v>
      </c>
      <c r="J576" s="66" t="e">
        <f t="shared" si="259"/>
        <v>#DIV/0!</v>
      </c>
      <c r="K576" s="70">
        <v>270000</v>
      </c>
      <c r="L576" s="70">
        <f>'Monitoramento Acumulado Geral'!Q576</f>
        <v>0</v>
      </c>
      <c r="M576" s="6">
        <f>(SUM(L566:L576))/K575</f>
        <v>0.71379088888888886</v>
      </c>
      <c r="N576" s="35" t="str">
        <f t="shared" si="256"/>
        <v>Desempenho Bom</v>
      </c>
      <c r="O576" s="6">
        <f t="shared" si="261"/>
        <v>0.42046470140126019</v>
      </c>
      <c r="P576" s="6">
        <f t="shared" si="261"/>
        <v>0.84574683442734511</v>
      </c>
      <c r="Q576" s="6">
        <f t="shared" si="261"/>
        <v>-4.8174316248247306E-3</v>
      </c>
      <c r="R576" s="70">
        <v>80</v>
      </c>
      <c r="S576" s="70">
        <v>0</v>
      </c>
      <c r="T576" s="6">
        <f t="shared" si="253"/>
        <v>0</v>
      </c>
      <c r="U576" s="35" t="e">
        <f t="shared" si="257"/>
        <v>#DIV/0!</v>
      </c>
      <c r="V576" s="6" t="e">
        <f t="shared" si="260"/>
        <v>#DIV/0!</v>
      </c>
      <c r="W576" s="6" t="e">
        <f t="shared" si="260"/>
        <v>#DIV/0!</v>
      </c>
      <c r="X576" s="6" t="e">
        <f t="shared" si="260"/>
        <v>#DIV/0!</v>
      </c>
      <c r="Y576" s="6" t="e">
        <f t="shared" si="260"/>
        <v>#DIV/0!</v>
      </c>
      <c r="Z576" s="6" t="e">
        <f t="shared" si="260"/>
        <v>#DIV/0!</v>
      </c>
    </row>
    <row r="577" spans="1:26" x14ac:dyDescent="0.2">
      <c r="A577" s="7" t="s">
        <v>98</v>
      </c>
      <c r="B577" s="6">
        <f t="shared" si="254"/>
        <v>12</v>
      </c>
      <c r="C577" s="7" t="s">
        <v>162</v>
      </c>
      <c r="D577" s="69">
        <v>75</v>
      </c>
      <c r="E577" s="69">
        <v>0</v>
      </c>
      <c r="F577" s="66">
        <f t="shared" si="252"/>
        <v>0</v>
      </c>
      <c r="G577" s="61" t="e">
        <f t="shared" si="255"/>
        <v>#DIV/0!</v>
      </c>
      <c r="H577" s="66" t="e">
        <f t="shared" si="259"/>
        <v>#DIV/0!</v>
      </c>
      <c r="I577" s="66" t="e">
        <f t="shared" si="259"/>
        <v>#DIV/0!</v>
      </c>
      <c r="J577" s="66" t="e">
        <f t="shared" si="259"/>
        <v>#DIV/0!</v>
      </c>
      <c r="K577" s="70">
        <v>270000</v>
      </c>
      <c r="L577" s="70">
        <f>'Monitoramento Acumulado Geral'!Q577</f>
        <v>0</v>
      </c>
      <c r="M577" s="6">
        <f>(SUM(L566:L577))/K576</f>
        <v>0.71379088888888886</v>
      </c>
      <c r="N577" s="35" t="str">
        <f t="shared" si="256"/>
        <v>Desempenho Bom</v>
      </c>
      <c r="O577" s="6">
        <f t="shared" si="261"/>
        <v>0.41824651958307835</v>
      </c>
      <c r="P577" s="6">
        <f t="shared" si="261"/>
        <v>0.84510274859297763</v>
      </c>
      <c r="Q577" s="6">
        <f t="shared" si="261"/>
        <v>-8.6097094268208774E-3</v>
      </c>
      <c r="R577" s="70">
        <v>80</v>
      </c>
      <c r="S577" s="70">
        <v>0</v>
      </c>
      <c r="T577" s="6">
        <f t="shared" si="253"/>
        <v>0</v>
      </c>
      <c r="U577" s="35" t="e">
        <f t="shared" si="257"/>
        <v>#DIV/0!</v>
      </c>
      <c r="V577" s="6" t="e">
        <f t="shared" si="260"/>
        <v>#DIV/0!</v>
      </c>
      <c r="W577" s="6" t="e">
        <f t="shared" si="260"/>
        <v>#DIV/0!</v>
      </c>
      <c r="X577" s="6" t="e">
        <f t="shared" si="260"/>
        <v>#DIV/0!</v>
      </c>
      <c r="Y577" s="6" t="e">
        <f t="shared" si="260"/>
        <v>#DIV/0!</v>
      </c>
      <c r="Z577" s="6" t="e">
        <f t="shared" si="260"/>
        <v>#DIV/0!</v>
      </c>
    </row>
    <row r="578" spans="1:26" x14ac:dyDescent="0.2">
      <c r="A578" s="7" t="s">
        <v>109</v>
      </c>
      <c r="B578" s="6">
        <f t="shared" si="254"/>
        <v>1</v>
      </c>
      <c r="C578" s="7" t="s">
        <v>151</v>
      </c>
      <c r="D578" s="69">
        <v>70</v>
      </c>
      <c r="E578" s="69">
        <v>0</v>
      </c>
      <c r="F578" s="66">
        <f t="shared" si="252"/>
        <v>0</v>
      </c>
      <c r="G578" s="61" t="e">
        <f t="shared" si="255"/>
        <v>#DIV/0!</v>
      </c>
      <c r="H578" s="66" t="e">
        <f t="shared" si="259"/>
        <v>#DIV/0!</v>
      </c>
      <c r="I578" s="66" t="e">
        <f t="shared" si="259"/>
        <v>#DIV/0!</v>
      </c>
      <c r="J578" s="66" t="e">
        <f t="shared" si="259"/>
        <v>#DIV/0!</v>
      </c>
      <c r="K578" s="70">
        <v>6600</v>
      </c>
      <c r="L578" s="70">
        <f>'Monitoramento Acumulado Geral'!Q578</f>
        <v>0</v>
      </c>
      <c r="M578" s="6">
        <f>L578/K578</f>
        <v>0</v>
      </c>
      <c r="N578" s="35" t="str">
        <f t="shared" si="256"/>
        <v>Desempenho Médio</v>
      </c>
      <c r="O578" s="6">
        <f t="shared" si="261"/>
        <v>3.4274647562211005E-2</v>
      </c>
      <c r="P578" s="6">
        <f t="shared" si="261"/>
        <v>0.10289217685709087</v>
      </c>
      <c r="Q578" s="6">
        <f t="shared" si="261"/>
        <v>-3.4342881732668862E-2</v>
      </c>
      <c r="R578" s="70">
        <v>43</v>
      </c>
      <c r="S578" s="70">
        <v>0</v>
      </c>
      <c r="T578" s="6">
        <f t="shared" si="253"/>
        <v>0</v>
      </c>
      <c r="U578" s="35" t="e">
        <f t="shared" si="257"/>
        <v>#DIV/0!</v>
      </c>
      <c r="V578" s="6" t="e">
        <f t="shared" si="260"/>
        <v>#DIV/0!</v>
      </c>
      <c r="W578" s="6" t="e">
        <f t="shared" si="260"/>
        <v>#DIV/0!</v>
      </c>
      <c r="X578" s="6" t="e">
        <f t="shared" si="260"/>
        <v>#DIV/0!</v>
      </c>
      <c r="Y578" s="6" t="e">
        <f t="shared" si="260"/>
        <v>#DIV/0!</v>
      </c>
      <c r="Z578" s="6" t="e">
        <f t="shared" si="260"/>
        <v>#DIV/0!</v>
      </c>
    </row>
    <row r="579" spans="1:26" x14ac:dyDescent="0.2">
      <c r="A579" s="7" t="s">
        <v>109</v>
      </c>
      <c r="B579" s="6">
        <f t="shared" si="254"/>
        <v>2</v>
      </c>
      <c r="C579" s="7" t="s">
        <v>152</v>
      </c>
      <c r="D579" s="69">
        <v>70</v>
      </c>
      <c r="E579" s="69">
        <v>0</v>
      </c>
      <c r="F579" s="66">
        <f t="shared" si="252"/>
        <v>0</v>
      </c>
      <c r="G579" s="61" t="e">
        <f t="shared" si="255"/>
        <v>#DIV/0!</v>
      </c>
      <c r="H579" s="66" t="e">
        <f t="shared" si="259"/>
        <v>#DIV/0!</v>
      </c>
      <c r="I579" s="66" t="e">
        <f t="shared" si="259"/>
        <v>#DIV/0!</v>
      </c>
      <c r="J579" s="66" t="e">
        <f t="shared" si="259"/>
        <v>#DIV/0!</v>
      </c>
      <c r="K579" s="70">
        <v>6600</v>
      </c>
      <c r="L579" s="70">
        <f>'Monitoramento Acumulado Geral'!Q579</f>
        <v>0</v>
      </c>
      <c r="M579" s="6">
        <f>(SUM(L578:L579))/K578</f>
        <v>0</v>
      </c>
      <c r="N579" s="35" t="str">
        <f t="shared" si="256"/>
        <v>Desempenho Médio</v>
      </c>
      <c r="O579" s="6">
        <f t="shared" si="261"/>
        <v>8.1815188943147363E-2</v>
      </c>
      <c r="P579" s="6">
        <f t="shared" si="261"/>
        <v>0.20623883252423067</v>
      </c>
      <c r="Q579" s="6">
        <f t="shared" si="261"/>
        <v>-4.2608454637935944E-2</v>
      </c>
      <c r="R579" s="70">
        <v>43</v>
      </c>
      <c r="S579" s="70">
        <v>0</v>
      </c>
      <c r="T579" s="6">
        <f t="shared" si="253"/>
        <v>0</v>
      </c>
      <c r="U579" s="35" t="e">
        <f t="shared" si="257"/>
        <v>#DIV/0!</v>
      </c>
      <c r="V579" s="6" t="e">
        <f t="shared" ref="V579:Z589" si="262">V567</f>
        <v>#DIV/0!</v>
      </c>
      <c r="W579" s="6" t="e">
        <f t="shared" si="262"/>
        <v>#DIV/0!</v>
      </c>
      <c r="X579" s="6" t="e">
        <f t="shared" si="262"/>
        <v>#DIV/0!</v>
      </c>
      <c r="Y579" s="6" t="e">
        <f t="shared" si="262"/>
        <v>#DIV/0!</v>
      </c>
      <c r="Z579" s="6" t="e">
        <f t="shared" si="262"/>
        <v>#DIV/0!</v>
      </c>
    </row>
    <row r="580" spans="1:26" x14ac:dyDescent="0.2">
      <c r="A580" s="7" t="s">
        <v>109</v>
      </c>
      <c r="B580" s="6">
        <f t="shared" si="254"/>
        <v>3</v>
      </c>
      <c r="C580" s="7" t="s">
        <v>153</v>
      </c>
      <c r="D580" s="69">
        <v>70</v>
      </c>
      <c r="E580" s="69">
        <v>0</v>
      </c>
      <c r="F580" s="66">
        <f t="shared" si="252"/>
        <v>0</v>
      </c>
      <c r="G580" s="61" t="e">
        <f t="shared" si="255"/>
        <v>#DIV/0!</v>
      </c>
      <c r="H580" s="66" t="e">
        <f t="shared" si="259"/>
        <v>#DIV/0!</v>
      </c>
      <c r="I580" s="66" t="e">
        <f t="shared" si="259"/>
        <v>#DIV/0!</v>
      </c>
      <c r="J580" s="66" t="e">
        <f t="shared" si="259"/>
        <v>#DIV/0!</v>
      </c>
      <c r="K580" s="70">
        <v>6600</v>
      </c>
      <c r="L580" s="70">
        <f>'Monitoramento Acumulado Geral'!Q580</f>
        <v>0</v>
      </c>
      <c r="M580" s="6">
        <f>(SUM(L578:L580))/K579</f>
        <v>0</v>
      </c>
      <c r="N580" s="35" t="str">
        <f t="shared" si="256"/>
        <v>Desempenho Médio</v>
      </c>
      <c r="O580" s="6">
        <f t="shared" si="261"/>
        <v>0.13411292471649494</v>
      </c>
      <c r="P580" s="6">
        <f t="shared" si="261"/>
        <v>0.29721906787058483</v>
      </c>
      <c r="Q580" s="6">
        <f t="shared" si="261"/>
        <v>-2.899321843759492E-2</v>
      </c>
      <c r="R580" s="70">
        <v>43</v>
      </c>
      <c r="S580" s="70">
        <v>0</v>
      </c>
      <c r="T580" s="6">
        <f t="shared" si="253"/>
        <v>0</v>
      </c>
      <c r="U580" s="35" t="e">
        <f t="shared" si="257"/>
        <v>#DIV/0!</v>
      </c>
      <c r="V580" s="6" t="e">
        <f t="shared" si="262"/>
        <v>#DIV/0!</v>
      </c>
      <c r="W580" s="6" t="e">
        <f t="shared" si="262"/>
        <v>#DIV/0!</v>
      </c>
      <c r="X580" s="6" t="e">
        <f t="shared" si="262"/>
        <v>#DIV/0!</v>
      </c>
      <c r="Y580" s="6" t="e">
        <f t="shared" si="262"/>
        <v>#DIV/0!</v>
      </c>
      <c r="Z580" s="6" t="e">
        <f t="shared" si="262"/>
        <v>#DIV/0!</v>
      </c>
    </row>
    <row r="581" spans="1:26" x14ac:dyDescent="0.2">
      <c r="A581" s="7" t="s">
        <v>109</v>
      </c>
      <c r="B581" s="6">
        <f t="shared" si="254"/>
        <v>4</v>
      </c>
      <c r="C581" s="7" t="s">
        <v>154</v>
      </c>
      <c r="D581" s="69">
        <v>70</v>
      </c>
      <c r="E581" s="69">
        <v>0</v>
      </c>
      <c r="F581" s="66">
        <f t="shared" si="252"/>
        <v>0</v>
      </c>
      <c r="G581" s="61" t="e">
        <f t="shared" si="255"/>
        <v>#DIV/0!</v>
      </c>
      <c r="H581" s="66" t="e">
        <f t="shared" si="259"/>
        <v>#DIV/0!</v>
      </c>
      <c r="I581" s="66" t="e">
        <f t="shared" si="259"/>
        <v>#DIV/0!</v>
      </c>
      <c r="J581" s="66" t="e">
        <f t="shared" si="259"/>
        <v>#DIV/0!</v>
      </c>
      <c r="K581" s="70">
        <v>6600</v>
      </c>
      <c r="L581" s="70">
        <f>'Monitoramento Acumulado Geral'!Q581</f>
        <v>0</v>
      </c>
      <c r="M581" s="6">
        <f>(SUM(L578:L581))/K580</f>
        <v>0</v>
      </c>
      <c r="N581" s="35" t="str">
        <f t="shared" si="256"/>
        <v>Desempenho Médio</v>
      </c>
      <c r="O581" s="6">
        <f t="shared" si="261"/>
        <v>0.15392483870093213</v>
      </c>
      <c r="P581" s="6">
        <f t="shared" si="261"/>
        <v>0.32772007016950033</v>
      </c>
      <c r="Q581" s="6">
        <f t="shared" si="261"/>
        <v>-1.9870392767636053E-2</v>
      </c>
      <c r="R581" s="70">
        <v>43</v>
      </c>
      <c r="S581" s="70">
        <v>0</v>
      </c>
      <c r="T581" s="6">
        <f t="shared" si="253"/>
        <v>0</v>
      </c>
      <c r="U581" s="35" t="e">
        <f t="shared" si="257"/>
        <v>#DIV/0!</v>
      </c>
      <c r="V581" s="6" t="e">
        <f t="shared" si="262"/>
        <v>#DIV/0!</v>
      </c>
      <c r="W581" s="6" t="e">
        <f t="shared" si="262"/>
        <v>#DIV/0!</v>
      </c>
      <c r="X581" s="6" t="e">
        <f t="shared" si="262"/>
        <v>#DIV/0!</v>
      </c>
      <c r="Y581" s="6" t="e">
        <f t="shared" si="262"/>
        <v>#DIV/0!</v>
      </c>
      <c r="Z581" s="6" t="e">
        <f t="shared" si="262"/>
        <v>#DIV/0!</v>
      </c>
    </row>
    <row r="582" spans="1:26" x14ac:dyDescent="0.2">
      <c r="A582" s="7" t="s">
        <v>109</v>
      </c>
      <c r="B582" s="6">
        <f t="shared" si="254"/>
        <v>5</v>
      </c>
      <c r="C582" s="7" t="s">
        <v>155</v>
      </c>
      <c r="D582" s="69">
        <v>70</v>
      </c>
      <c r="E582" s="69">
        <v>0</v>
      </c>
      <c r="F582" s="66">
        <f t="shared" si="252"/>
        <v>0</v>
      </c>
      <c r="G582" s="61" t="e">
        <f t="shared" si="255"/>
        <v>#DIV/0!</v>
      </c>
      <c r="H582" s="66" t="e">
        <f t="shared" si="259"/>
        <v>#DIV/0!</v>
      </c>
      <c r="I582" s="66" t="e">
        <f t="shared" si="259"/>
        <v>#DIV/0!</v>
      </c>
      <c r="J582" s="66" t="e">
        <f t="shared" si="259"/>
        <v>#DIV/0!</v>
      </c>
      <c r="K582" s="70">
        <v>6600</v>
      </c>
      <c r="L582" s="70">
        <f>'Monitoramento Acumulado Geral'!Q582</f>
        <v>0</v>
      </c>
      <c r="M582" s="6">
        <f>(SUM(L578:L582))/K581</f>
        <v>0</v>
      </c>
      <c r="N582" s="35" t="str">
        <f t="shared" si="256"/>
        <v>Desempenho Médio</v>
      </c>
      <c r="O582" s="6">
        <f t="shared" si="261"/>
        <v>0.21139287248463789</v>
      </c>
      <c r="P582" s="6">
        <f t="shared" si="261"/>
        <v>0.43680804416292918</v>
      </c>
      <c r="Q582" s="6">
        <f t="shared" si="261"/>
        <v>-1.4022299193653387E-2</v>
      </c>
      <c r="R582" s="70">
        <v>43</v>
      </c>
      <c r="S582" s="70">
        <v>0</v>
      </c>
      <c r="T582" s="6">
        <f t="shared" si="253"/>
        <v>0</v>
      </c>
      <c r="U582" s="35" t="e">
        <f t="shared" si="257"/>
        <v>#DIV/0!</v>
      </c>
      <c r="V582" s="6" t="e">
        <f t="shared" si="262"/>
        <v>#DIV/0!</v>
      </c>
      <c r="W582" s="6" t="e">
        <f t="shared" si="262"/>
        <v>#DIV/0!</v>
      </c>
      <c r="X582" s="6" t="e">
        <f t="shared" si="262"/>
        <v>#DIV/0!</v>
      </c>
      <c r="Y582" s="6" t="e">
        <f t="shared" si="262"/>
        <v>#DIV/0!</v>
      </c>
      <c r="Z582" s="6" t="e">
        <f t="shared" si="262"/>
        <v>#DIV/0!</v>
      </c>
    </row>
    <row r="583" spans="1:26" x14ac:dyDescent="0.2">
      <c r="A583" s="7" t="s">
        <v>109</v>
      </c>
      <c r="B583" s="6">
        <f t="shared" si="254"/>
        <v>6</v>
      </c>
      <c r="C583" s="7" t="s">
        <v>156</v>
      </c>
      <c r="D583" s="69">
        <v>70</v>
      </c>
      <c r="E583" s="69">
        <v>0</v>
      </c>
      <c r="F583" s="66">
        <f t="shared" si="252"/>
        <v>0</v>
      </c>
      <c r="G583" s="61" t="e">
        <f t="shared" si="255"/>
        <v>#DIV/0!</v>
      </c>
      <c r="H583" s="66" t="e">
        <f t="shared" si="259"/>
        <v>#DIV/0!</v>
      </c>
      <c r="I583" s="66" t="e">
        <f t="shared" si="259"/>
        <v>#DIV/0!</v>
      </c>
      <c r="J583" s="66" t="e">
        <f t="shared" si="259"/>
        <v>#DIV/0!</v>
      </c>
      <c r="K583" s="70">
        <v>6600</v>
      </c>
      <c r="L583" s="70">
        <f>'Monitoramento Acumulado Geral'!Q583</f>
        <v>0</v>
      </c>
      <c r="M583" s="6">
        <f>(SUM(L578:L583))/K582</f>
        <v>0</v>
      </c>
      <c r="N583" s="35" t="str">
        <f t="shared" si="256"/>
        <v>Desempenho Deficitário</v>
      </c>
      <c r="O583" s="6">
        <f t="shared" si="261"/>
        <v>0.28403291059934432</v>
      </c>
      <c r="P583" s="6">
        <f t="shared" si="261"/>
        <v>0.56118246348434164</v>
      </c>
      <c r="Q583" s="6">
        <f t="shared" si="261"/>
        <v>6.8833577143469493E-3</v>
      </c>
      <c r="R583" s="70">
        <v>43</v>
      </c>
      <c r="S583" s="70">
        <v>0</v>
      </c>
      <c r="T583" s="6">
        <f t="shared" si="253"/>
        <v>0</v>
      </c>
      <c r="U583" s="35" t="e">
        <f t="shared" si="257"/>
        <v>#DIV/0!</v>
      </c>
      <c r="V583" s="6" t="e">
        <f t="shared" si="262"/>
        <v>#DIV/0!</v>
      </c>
      <c r="W583" s="6" t="e">
        <f t="shared" si="262"/>
        <v>#DIV/0!</v>
      </c>
      <c r="X583" s="6" t="e">
        <f t="shared" si="262"/>
        <v>#DIV/0!</v>
      </c>
      <c r="Y583" s="6" t="e">
        <f t="shared" si="262"/>
        <v>#DIV/0!</v>
      </c>
      <c r="Z583" s="6" t="e">
        <f t="shared" si="262"/>
        <v>#DIV/0!</v>
      </c>
    </row>
    <row r="584" spans="1:26" x14ac:dyDescent="0.2">
      <c r="A584" s="7" t="s">
        <v>109</v>
      </c>
      <c r="B584" s="6">
        <f t="shared" si="254"/>
        <v>7</v>
      </c>
      <c r="C584" s="7" t="s">
        <v>157</v>
      </c>
      <c r="D584" s="69">
        <v>70</v>
      </c>
      <c r="E584" s="69">
        <v>0</v>
      </c>
      <c r="F584" s="66">
        <f t="shared" si="252"/>
        <v>0</v>
      </c>
      <c r="G584" s="61" t="e">
        <f t="shared" si="255"/>
        <v>#DIV/0!</v>
      </c>
      <c r="H584" s="66" t="e">
        <f t="shared" si="259"/>
        <v>#DIV/0!</v>
      </c>
      <c r="I584" s="66" t="e">
        <f t="shared" si="259"/>
        <v>#DIV/0!</v>
      </c>
      <c r="J584" s="66" t="e">
        <f t="shared" si="259"/>
        <v>#DIV/0!</v>
      </c>
      <c r="K584" s="70">
        <v>6600</v>
      </c>
      <c r="L584" s="70">
        <f>'Monitoramento Acumulado Geral'!Q584</f>
        <v>0</v>
      </c>
      <c r="M584" s="6">
        <f>(SUM(L578:L584))/K583</f>
        <v>0</v>
      </c>
      <c r="N584" s="35" t="str">
        <f t="shared" si="256"/>
        <v>Desempenho Médio</v>
      </c>
      <c r="O584" s="6">
        <f t="shared" si="261"/>
        <v>0.42046470140126019</v>
      </c>
      <c r="P584" s="6">
        <f t="shared" si="261"/>
        <v>0.84574683442734511</v>
      </c>
      <c r="Q584" s="6">
        <f t="shared" si="261"/>
        <v>-4.8174316248247306E-3</v>
      </c>
      <c r="R584" s="70">
        <v>43</v>
      </c>
      <c r="S584" s="70">
        <v>0</v>
      </c>
      <c r="T584" s="6">
        <f t="shared" si="253"/>
        <v>0</v>
      </c>
      <c r="U584" s="35" t="e">
        <f t="shared" si="257"/>
        <v>#DIV/0!</v>
      </c>
      <c r="V584" s="6" t="e">
        <f t="shared" si="262"/>
        <v>#DIV/0!</v>
      </c>
      <c r="W584" s="6" t="e">
        <f t="shared" si="262"/>
        <v>#DIV/0!</v>
      </c>
      <c r="X584" s="6" t="e">
        <f t="shared" si="262"/>
        <v>#DIV/0!</v>
      </c>
      <c r="Y584" s="6" t="e">
        <f t="shared" si="262"/>
        <v>#DIV/0!</v>
      </c>
      <c r="Z584" s="6" t="e">
        <f t="shared" si="262"/>
        <v>#DIV/0!</v>
      </c>
    </row>
    <row r="585" spans="1:26" x14ac:dyDescent="0.2">
      <c r="A585" s="7" t="s">
        <v>109</v>
      </c>
      <c r="B585" s="6">
        <f t="shared" si="254"/>
        <v>8</v>
      </c>
      <c r="C585" s="7" t="s">
        <v>158</v>
      </c>
      <c r="D585" s="69">
        <v>70</v>
      </c>
      <c r="E585" s="69">
        <v>0</v>
      </c>
      <c r="F585" s="66">
        <f t="shared" si="252"/>
        <v>0</v>
      </c>
      <c r="G585" s="61" t="e">
        <f t="shared" si="255"/>
        <v>#DIV/0!</v>
      </c>
      <c r="H585" s="66" t="e">
        <f t="shared" si="259"/>
        <v>#DIV/0!</v>
      </c>
      <c r="I585" s="66" t="e">
        <f t="shared" si="259"/>
        <v>#DIV/0!</v>
      </c>
      <c r="J585" s="66" t="e">
        <f t="shared" si="259"/>
        <v>#DIV/0!</v>
      </c>
      <c r="K585" s="70">
        <v>6600</v>
      </c>
      <c r="L585" s="70">
        <f>'Monitoramento Acumulado Geral'!Q585</f>
        <v>0</v>
      </c>
      <c r="M585" s="6">
        <f>(SUM(L578:L585))/K584</f>
        <v>0</v>
      </c>
      <c r="N585" s="35" t="str">
        <f t="shared" si="256"/>
        <v>Desempenho Médio</v>
      </c>
      <c r="O585" s="6">
        <f t="shared" si="261"/>
        <v>0.42046470140126019</v>
      </c>
      <c r="P585" s="6">
        <f t="shared" si="261"/>
        <v>0.84574683442734511</v>
      </c>
      <c r="Q585" s="6">
        <f t="shared" si="261"/>
        <v>-4.8174316248247306E-3</v>
      </c>
      <c r="R585" s="70">
        <v>43</v>
      </c>
      <c r="S585" s="70">
        <v>0</v>
      </c>
      <c r="T585" s="6">
        <f t="shared" si="253"/>
        <v>0</v>
      </c>
      <c r="U585" s="35" t="e">
        <f t="shared" si="257"/>
        <v>#DIV/0!</v>
      </c>
      <c r="V585" s="6" t="e">
        <f t="shared" si="262"/>
        <v>#DIV/0!</v>
      </c>
      <c r="W585" s="6" t="e">
        <f t="shared" si="262"/>
        <v>#DIV/0!</v>
      </c>
      <c r="X585" s="6" t="e">
        <f t="shared" si="262"/>
        <v>#DIV/0!</v>
      </c>
      <c r="Y585" s="6" t="e">
        <f t="shared" si="262"/>
        <v>#DIV/0!</v>
      </c>
      <c r="Z585" s="6" t="e">
        <f t="shared" si="262"/>
        <v>#DIV/0!</v>
      </c>
    </row>
    <row r="586" spans="1:26" x14ac:dyDescent="0.2">
      <c r="A586" s="7" t="s">
        <v>109</v>
      </c>
      <c r="B586" s="6">
        <f t="shared" si="254"/>
        <v>9</v>
      </c>
      <c r="C586" s="7" t="s">
        <v>159</v>
      </c>
      <c r="D586" s="69">
        <v>70</v>
      </c>
      <c r="E586" s="69">
        <v>0</v>
      </c>
      <c r="F586" s="66">
        <f t="shared" si="252"/>
        <v>0</v>
      </c>
      <c r="G586" s="61" t="e">
        <f t="shared" si="255"/>
        <v>#DIV/0!</v>
      </c>
      <c r="H586" s="66" t="e">
        <f t="shared" si="259"/>
        <v>#DIV/0!</v>
      </c>
      <c r="I586" s="66" t="e">
        <f t="shared" si="259"/>
        <v>#DIV/0!</v>
      </c>
      <c r="J586" s="66" t="e">
        <f t="shared" si="259"/>
        <v>#DIV/0!</v>
      </c>
      <c r="K586" s="70">
        <v>6600</v>
      </c>
      <c r="L586" s="70">
        <f>'Monitoramento Acumulado Geral'!Q586</f>
        <v>0</v>
      </c>
      <c r="M586" s="6">
        <f>(SUM(L578:L586))/K585</f>
        <v>0</v>
      </c>
      <c r="N586" s="35" t="str">
        <f t="shared" si="256"/>
        <v>Desempenho Médio</v>
      </c>
      <c r="O586" s="6">
        <f t="shared" ref="O586:Q589" si="263">O574</f>
        <v>0.42046470140126019</v>
      </c>
      <c r="P586" s="6">
        <f t="shared" si="263"/>
        <v>0.84574683442734511</v>
      </c>
      <c r="Q586" s="6">
        <f t="shared" si="263"/>
        <v>-4.8174316248247306E-3</v>
      </c>
      <c r="R586" s="70">
        <v>43</v>
      </c>
      <c r="S586" s="70">
        <v>0</v>
      </c>
      <c r="T586" s="6">
        <f t="shared" si="253"/>
        <v>0</v>
      </c>
      <c r="U586" s="35" t="e">
        <f t="shared" si="257"/>
        <v>#DIV/0!</v>
      </c>
      <c r="V586" s="6" t="e">
        <f t="shared" si="262"/>
        <v>#DIV/0!</v>
      </c>
      <c r="W586" s="6" t="e">
        <f t="shared" si="262"/>
        <v>#DIV/0!</v>
      </c>
      <c r="X586" s="6" t="e">
        <f t="shared" si="262"/>
        <v>#DIV/0!</v>
      </c>
      <c r="Y586" s="6" t="e">
        <f t="shared" si="262"/>
        <v>#DIV/0!</v>
      </c>
      <c r="Z586" s="6" t="e">
        <f t="shared" si="262"/>
        <v>#DIV/0!</v>
      </c>
    </row>
    <row r="587" spans="1:26" x14ac:dyDescent="0.2">
      <c r="A587" s="7" t="s">
        <v>109</v>
      </c>
      <c r="B587" s="6">
        <f t="shared" si="254"/>
        <v>10</v>
      </c>
      <c r="C587" s="7" t="s">
        <v>160</v>
      </c>
      <c r="D587" s="69">
        <v>70</v>
      </c>
      <c r="E587" s="69">
        <v>0</v>
      </c>
      <c r="F587" s="66">
        <f t="shared" si="252"/>
        <v>0</v>
      </c>
      <c r="G587" s="61" t="e">
        <f t="shared" si="255"/>
        <v>#DIV/0!</v>
      </c>
      <c r="H587" s="66" t="e">
        <f t="shared" si="259"/>
        <v>#DIV/0!</v>
      </c>
      <c r="I587" s="66" t="e">
        <f t="shared" si="259"/>
        <v>#DIV/0!</v>
      </c>
      <c r="J587" s="66" t="e">
        <f t="shared" si="259"/>
        <v>#DIV/0!</v>
      </c>
      <c r="K587" s="70">
        <v>6600</v>
      </c>
      <c r="L587" s="70">
        <f>'Monitoramento Acumulado Geral'!Q587</f>
        <v>0</v>
      </c>
      <c r="M587" s="6">
        <f>(SUM(L578:L587))/K586</f>
        <v>0</v>
      </c>
      <c r="N587" s="35" t="str">
        <f t="shared" si="256"/>
        <v>Desempenho Médio</v>
      </c>
      <c r="O587" s="6">
        <f t="shared" si="263"/>
        <v>0.42046470140126019</v>
      </c>
      <c r="P587" s="6">
        <f t="shared" si="263"/>
        <v>0.84574683442734511</v>
      </c>
      <c r="Q587" s="6">
        <f t="shared" si="263"/>
        <v>-4.8174316248247306E-3</v>
      </c>
      <c r="R587" s="70">
        <v>43</v>
      </c>
      <c r="S587" s="70">
        <v>0</v>
      </c>
      <c r="T587" s="6">
        <f t="shared" si="253"/>
        <v>0</v>
      </c>
      <c r="U587" s="35" t="e">
        <f t="shared" si="257"/>
        <v>#DIV/0!</v>
      </c>
      <c r="V587" s="6" t="e">
        <f t="shared" si="262"/>
        <v>#DIV/0!</v>
      </c>
      <c r="W587" s="6" t="e">
        <f t="shared" si="262"/>
        <v>#DIV/0!</v>
      </c>
      <c r="X587" s="6" t="e">
        <f t="shared" si="262"/>
        <v>#DIV/0!</v>
      </c>
      <c r="Y587" s="6" t="e">
        <f t="shared" si="262"/>
        <v>#DIV/0!</v>
      </c>
      <c r="Z587" s="6" t="e">
        <f t="shared" si="262"/>
        <v>#DIV/0!</v>
      </c>
    </row>
    <row r="588" spans="1:26" x14ac:dyDescent="0.2">
      <c r="A588" s="7" t="s">
        <v>109</v>
      </c>
      <c r="B588" s="6">
        <f t="shared" si="254"/>
        <v>11</v>
      </c>
      <c r="C588" s="7" t="s">
        <v>161</v>
      </c>
      <c r="D588" s="69">
        <v>70</v>
      </c>
      <c r="E588" s="69">
        <v>0</v>
      </c>
      <c r="F588" s="66">
        <f t="shared" si="252"/>
        <v>0</v>
      </c>
      <c r="G588" s="61" t="e">
        <f t="shared" si="255"/>
        <v>#DIV/0!</v>
      </c>
      <c r="H588" s="66" t="e">
        <f t="shared" si="259"/>
        <v>#DIV/0!</v>
      </c>
      <c r="I588" s="66" t="e">
        <f t="shared" si="259"/>
        <v>#DIV/0!</v>
      </c>
      <c r="J588" s="66" t="e">
        <f t="shared" si="259"/>
        <v>#DIV/0!</v>
      </c>
      <c r="K588" s="70">
        <v>6600</v>
      </c>
      <c r="L588" s="70">
        <f>'Monitoramento Acumulado Geral'!Q588</f>
        <v>0</v>
      </c>
      <c r="M588" s="6">
        <f>(SUM(L578:L588))/K587</f>
        <v>0</v>
      </c>
      <c r="N588" s="35" t="str">
        <f t="shared" si="256"/>
        <v>Desempenho Médio</v>
      </c>
      <c r="O588" s="6">
        <f t="shared" si="263"/>
        <v>0.42046470140126019</v>
      </c>
      <c r="P588" s="6">
        <f t="shared" si="263"/>
        <v>0.84574683442734511</v>
      </c>
      <c r="Q588" s="6">
        <f t="shared" si="263"/>
        <v>-4.8174316248247306E-3</v>
      </c>
      <c r="R588" s="70">
        <v>43</v>
      </c>
      <c r="S588" s="70">
        <v>0</v>
      </c>
      <c r="T588" s="6">
        <f t="shared" si="253"/>
        <v>0</v>
      </c>
      <c r="U588" s="35" t="e">
        <f t="shared" si="257"/>
        <v>#DIV/0!</v>
      </c>
      <c r="V588" s="6" t="e">
        <f t="shared" si="262"/>
        <v>#DIV/0!</v>
      </c>
      <c r="W588" s="6" t="e">
        <f t="shared" si="262"/>
        <v>#DIV/0!</v>
      </c>
      <c r="X588" s="6" t="e">
        <f t="shared" si="262"/>
        <v>#DIV/0!</v>
      </c>
      <c r="Y588" s="6" t="e">
        <f t="shared" si="262"/>
        <v>#DIV/0!</v>
      </c>
      <c r="Z588" s="6" t="e">
        <f t="shared" si="262"/>
        <v>#DIV/0!</v>
      </c>
    </row>
    <row r="589" spans="1:26" x14ac:dyDescent="0.2">
      <c r="A589" s="7" t="s">
        <v>109</v>
      </c>
      <c r="B589" s="6">
        <f t="shared" si="254"/>
        <v>12</v>
      </c>
      <c r="C589" s="7" t="s">
        <v>162</v>
      </c>
      <c r="D589" s="69">
        <v>70</v>
      </c>
      <c r="E589" s="69">
        <v>0</v>
      </c>
      <c r="F589" s="66">
        <f t="shared" si="252"/>
        <v>0</v>
      </c>
      <c r="G589" s="61" t="e">
        <f t="shared" si="255"/>
        <v>#DIV/0!</v>
      </c>
      <c r="H589" s="66" t="e">
        <f t="shared" si="259"/>
        <v>#DIV/0!</v>
      </c>
      <c r="I589" s="66" t="e">
        <f t="shared" si="259"/>
        <v>#DIV/0!</v>
      </c>
      <c r="J589" s="66" t="e">
        <f t="shared" si="259"/>
        <v>#DIV/0!</v>
      </c>
      <c r="K589" s="70">
        <v>6600</v>
      </c>
      <c r="L589" s="70">
        <f>'Monitoramento Acumulado Geral'!Q589</f>
        <v>0</v>
      </c>
      <c r="M589" s="6">
        <f>(SUM(L578:L589))/K588</f>
        <v>0</v>
      </c>
      <c r="N589" s="35" t="str">
        <f t="shared" si="256"/>
        <v>Desempenho Médio</v>
      </c>
      <c r="O589" s="6">
        <f t="shared" si="263"/>
        <v>0.41824651958307835</v>
      </c>
      <c r="P589" s="6">
        <f t="shared" si="263"/>
        <v>0.84510274859297763</v>
      </c>
      <c r="Q589" s="6">
        <f t="shared" si="263"/>
        <v>-8.6097094268208774E-3</v>
      </c>
      <c r="R589" s="70">
        <v>43</v>
      </c>
      <c r="S589" s="70">
        <v>0</v>
      </c>
      <c r="T589" s="6">
        <f t="shared" si="253"/>
        <v>0</v>
      </c>
      <c r="U589" s="35" t="e">
        <f t="shared" si="257"/>
        <v>#DIV/0!</v>
      </c>
      <c r="V589" s="6" t="e">
        <f t="shared" si="262"/>
        <v>#DIV/0!</v>
      </c>
      <c r="W589" s="6" t="e">
        <f t="shared" si="262"/>
        <v>#DIV/0!</v>
      </c>
      <c r="X589" s="6" t="e">
        <f t="shared" si="262"/>
        <v>#DIV/0!</v>
      </c>
      <c r="Y589" s="6" t="e">
        <f t="shared" si="262"/>
        <v>#DIV/0!</v>
      </c>
      <c r="Z589" s="6" t="e">
        <f t="shared" si="262"/>
        <v>#DIV/0!</v>
      </c>
    </row>
    <row r="590" spans="1:26" x14ac:dyDescent="0.2">
      <c r="A590" t="s">
        <v>111</v>
      </c>
      <c r="B590" s="6">
        <f t="shared" ref="B590:B601" si="264">_xlfn.IFS(C590="Janeiro",1,C590="Fevereiro",2,C590="Março",3,C590="Abril",4,C590="Maio",5,C590="Junho",6,C590="Julho",7,C590="Agosto",8,C590="Setembro",9,C590="Outubro",10,C590="Novembro",11,C590="Dezembro",12,TRUE,0)</f>
        <v>1</v>
      </c>
      <c r="C590" s="7" t="s">
        <v>151</v>
      </c>
      <c r="D590" s="69">
        <v>0</v>
      </c>
      <c r="E590" s="69">
        <v>0</v>
      </c>
      <c r="F590" s="66" t="e">
        <f t="shared" si="252"/>
        <v>#DIV/0!</v>
      </c>
      <c r="G590" s="61" t="e">
        <f t="shared" ref="G590:G601" si="265">IF(F590&gt;=I590,"Desempenho Ótimo",(IF(F590&gt;H590,"Desempenho Bom",(IF(F590&gt;J590,"Desempenho Médio",IF(F590&lt;=J590,"Desempenho Deficitário",0))))))</f>
        <v>#DIV/0!</v>
      </c>
      <c r="H590" s="66" t="e">
        <f t="shared" ref="H590:J590" si="266">H578</f>
        <v>#DIV/0!</v>
      </c>
      <c r="I590" s="66" t="e">
        <f t="shared" si="266"/>
        <v>#DIV/0!</v>
      </c>
      <c r="J590" s="66" t="e">
        <f t="shared" si="266"/>
        <v>#DIV/0!</v>
      </c>
      <c r="K590" s="70">
        <v>0</v>
      </c>
      <c r="L590" s="70">
        <f>'Monitoramento Acumulado Geral'!Q590</f>
        <v>0</v>
      </c>
      <c r="M590" s="6">
        <f>(SUM(L587:L590))/K589</f>
        <v>0</v>
      </c>
      <c r="N590" s="35" t="str">
        <f t="shared" ref="N590:N601" si="267">IF(M590&gt;=P590,"Desempenho Ótimo",(IF(M590&gt;O590,"Desempenho Bom",(IF(M590&gt;Q590,"Desempenho Médio",IF(M590&lt;=Q590,"Desempenho Deficitário",0))))))</f>
        <v>Desempenho Médio</v>
      </c>
      <c r="O590" s="6">
        <f t="shared" ref="O590:Q590" si="268">O578</f>
        <v>3.4274647562211005E-2</v>
      </c>
      <c r="P590" s="6">
        <f t="shared" si="268"/>
        <v>0.10289217685709087</v>
      </c>
      <c r="Q590" s="6">
        <f t="shared" si="268"/>
        <v>-3.4342881732668862E-2</v>
      </c>
      <c r="R590" s="70">
        <v>0</v>
      </c>
      <c r="S590" s="70">
        <v>0</v>
      </c>
      <c r="T590" s="6" t="e">
        <f t="shared" ref="T590:T601" si="269">S590/R590</f>
        <v>#DIV/0!</v>
      </c>
      <c r="U590" s="35" t="e">
        <f t="shared" ref="U590:U601" si="270">IF(T590&gt;=W590,"Desempenho Ótimo",(IF(T590&gt;V590,"Desempenho Bom",(IF(T590&gt;X590,"Desempenho Médio",IF(T590&lt;=X590,"Desempenho Deficitário",0))))))</f>
        <v>#DIV/0!</v>
      </c>
      <c r="V590" s="6" t="e">
        <f t="shared" ref="V590:Z590" si="271">V578</f>
        <v>#DIV/0!</v>
      </c>
      <c r="W590" s="6" t="e">
        <f t="shared" si="271"/>
        <v>#DIV/0!</v>
      </c>
      <c r="X590" s="6" t="e">
        <f t="shared" si="271"/>
        <v>#DIV/0!</v>
      </c>
      <c r="Y590" s="6" t="e">
        <f t="shared" si="271"/>
        <v>#DIV/0!</v>
      </c>
      <c r="Z590" s="6" t="e">
        <f t="shared" si="271"/>
        <v>#DIV/0!</v>
      </c>
    </row>
    <row r="591" spans="1:26" x14ac:dyDescent="0.2">
      <c r="A591" t="s">
        <v>111</v>
      </c>
      <c r="B591" s="6">
        <f t="shared" si="264"/>
        <v>2</v>
      </c>
      <c r="C591" s="7" t="s">
        <v>152</v>
      </c>
      <c r="D591" s="69">
        <v>0</v>
      </c>
      <c r="E591" s="69">
        <v>0</v>
      </c>
      <c r="F591" s="66" t="e">
        <f t="shared" si="252"/>
        <v>#DIV/0!</v>
      </c>
      <c r="G591" s="61" t="e">
        <f t="shared" si="265"/>
        <v>#DIV/0!</v>
      </c>
      <c r="H591" s="66" t="e">
        <f t="shared" ref="H591:J591" si="272">H579</f>
        <v>#DIV/0!</v>
      </c>
      <c r="I591" s="66" t="e">
        <f t="shared" si="272"/>
        <v>#DIV/0!</v>
      </c>
      <c r="J591" s="66" t="e">
        <f t="shared" si="272"/>
        <v>#DIV/0!</v>
      </c>
      <c r="K591" s="70">
        <v>0</v>
      </c>
      <c r="L591" s="70">
        <f>'Monitoramento Acumulado Geral'!Q591</f>
        <v>0</v>
      </c>
      <c r="M591" s="6" t="e">
        <f>(SUM(L587:L591))/K590</f>
        <v>#DIV/0!</v>
      </c>
      <c r="N591" s="35" t="e">
        <f t="shared" si="267"/>
        <v>#DIV/0!</v>
      </c>
      <c r="O591" s="6">
        <f t="shared" ref="O591:Q591" si="273">O579</f>
        <v>8.1815188943147363E-2</v>
      </c>
      <c r="P591" s="6">
        <f t="shared" si="273"/>
        <v>0.20623883252423067</v>
      </c>
      <c r="Q591" s="6">
        <f t="shared" si="273"/>
        <v>-4.2608454637935944E-2</v>
      </c>
      <c r="R591" s="70">
        <v>0</v>
      </c>
      <c r="S591" s="70">
        <v>0</v>
      </c>
      <c r="T591" s="6" t="e">
        <f t="shared" si="269"/>
        <v>#DIV/0!</v>
      </c>
      <c r="U591" s="35" t="e">
        <f t="shared" si="270"/>
        <v>#DIV/0!</v>
      </c>
      <c r="V591" s="6" t="e">
        <f t="shared" ref="V591:Z591" si="274">V579</f>
        <v>#DIV/0!</v>
      </c>
      <c r="W591" s="6" t="e">
        <f t="shared" si="274"/>
        <v>#DIV/0!</v>
      </c>
      <c r="X591" s="6" t="e">
        <f t="shared" si="274"/>
        <v>#DIV/0!</v>
      </c>
      <c r="Y591" s="6" t="e">
        <f t="shared" si="274"/>
        <v>#DIV/0!</v>
      </c>
      <c r="Z591" s="6" t="e">
        <f t="shared" si="274"/>
        <v>#DIV/0!</v>
      </c>
    </row>
    <row r="592" spans="1:26" x14ac:dyDescent="0.2">
      <c r="A592" t="s">
        <v>111</v>
      </c>
      <c r="B592" s="6">
        <f t="shared" si="264"/>
        <v>3</v>
      </c>
      <c r="C592" s="7" t="s">
        <v>153</v>
      </c>
      <c r="D592" s="69">
        <v>0</v>
      </c>
      <c r="E592" s="69">
        <v>15</v>
      </c>
      <c r="F592" s="66" t="e">
        <f t="shared" si="252"/>
        <v>#DIV/0!</v>
      </c>
      <c r="G592" s="61" t="e">
        <f t="shared" si="265"/>
        <v>#DIV/0!</v>
      </c>
      <c r="H592" s="66" t="e">
        <f t="shared" ref="H592:J592" si="275">H580</f>
        <v>#DIV/0!</v>
      </c>
      <c r="I592" s="66" t="e">
        <f t="shared" si="275"/>
        <v>#DIV/0!</v>
      </c>
      <c r="J592" s="66" t="e">
        <f t="shared" si="275"/>
        <v>#DIV/0!</v>
      </c>
      <c r="K592" s="70">
        <v>0</v>
      </c>
      <c r="L592" s="70">
        <f>'Monitoramento Acumulado Geral'!Q592</f>
        <v>0</v>
      </c>
      <c r="M592" s="6" t="e">
        <f>(SUM(L587:L592))/K591</f>
        <v>#DIV/0!</v>
      </c>
      <c r="N592" s="35" t="e">
        <f t="shared" si="267"/>
        <v>#DIV/0!</v>
      </c>
      <c r="O592" s="6">
        <f t="shared" ref="O592:Q592" si="276">O580</f>
        <v>0.13411292471649494</v>
      </c>
      <c r="P592" s="6">
        <f t="shared" si="276"/>
        <v>0.29721906787058483</v>
      </c>
      <c r="Q592" s="6">
        <f t="shared" si="276"/>
        <v>-2.899321843759492E-2</v>
      </c>
      <c r="R592" s="70">
        <v>0</v>
      </c>
      <c r="S592" s="70">
        <v>0</v>
      </c>
      <c r="T592" s="6" t="e">
        <f t="shared" si="269"/>
        <v>#DIV/0!</v>
      </c>
      <c r="U592" s="35" t="e">
        <f t="shared" si="270"/>
        <v>#DIV/0!</v>
      </c>
      <c r="V592" s="6" t="e">
        <f t="shared" ref="V592:Z592" si="277">V580</f>
        <v>#DIV/0!</v>
      </c>
      <c r="W592" s="6" t="e">
        <f t="shared" si="277"/>
        <v>#DIV/0!</v>
      </c>
      <c r="X592" s="6" t="e">
        <f t="shared" si="277"/>
        <v>#DIV/0!</v>
      </c>
      <c r="Y592" s="6" t="e">
        <f t="shared" si="277"/>
        <v>#DIV/0!</v>
      </c>
      <c r="Z592" s="6" t="e">
        <f t="shared" si="277"/>
        <v>#DIV/0!</v>
      </c>
    </row>
    <row r="593" spans="1:26" x14ac:dyDescent="0.2">
      <c r="A593" t="s">
        <v>111</v>
      </c>
      <c r="B593" s="6">
        <f t="shared" si="264"/>
        <v>4</v>
      </c>
      <c r="C593" s="7" t="s">
        <v>154</v>
      </c>
      <c r="D593" s="69">
        <v>0</v>
      </c>
      <c r="E593" s="69">
        <v>15</v>
      </c>
      <c r="F593" s="66" t="e">
        <f t="shared" si="252"/>
        <v>#DIV/0!</v>
      </c>
      <c r="G593" s="61" t="e">
        <f t="shared" si="265"/>
        <v>#DIV/0!</v>
      </c>
      <c r="H593" s="66" t="e">
        <f t="shared" ref="H593:J593" si="278">H581</f>
        <v>#DIV/0!</v>
      </c>
      <c r="I593" s="66" t="e">
        <f t="shared" si="278"/>
        <v>#DIV/0!</v>
      </c>
      <c r="J593" s="66" t="e">
        <f t="shared" si="278"/>
        <v>#DIV/0!</v>
      </c>
      <c r="K593" s="70">
        <v>0</v>
      </c>
      <c r="L593" s="70">
        <f>'Monitoramento Acumulado Geral'!Q593</f>
        <v>0</v>
      </c>
      <c r="M593" s="6" t="e">
        <f>(SUM(L587:L593))/K592</f>
        <v>#DIV/0!</v>
      </c>
      <c r="N593" s="35" t="e">
        <f t="shared" si="267"/>
        <v>#DIV/0!</v>
      </c>
      <c r="O593" s="6">
        <f t="shared" ref="O593:Q593" si="279">O581</f>
        <v>0.15392483870093213</v>
      </c>
      <c r="P593" s="6">
        <f t="shared" si="279"/>
        <v>0.32772007016950033</v>
      </c>
      <c r="Q593" s="6">
        <f t="shared" si="279"/>
        <v>-1.9870392767636053E-2</v>
      </c>
      <c r="R593" s="70">
        <v>0</v>
      </c>
      <c r="S593" s="70">
        <v>0</v>
      </c>
      <c r="T593" s="6" t="e">
        <f t="shared" si="269"/>
        <v>#DIV/0!</v>
      </c>
      <c r="U593" s="35" t="e">
        <f t="shared" si="270"/>
        <v>#DIV/0!</v>
      </c>
      <c r="V593" s="6" t="e">
        <f t="shared" ref="V593:Z593" si="280">V581</f>
        <v>#DIV/0!</v>
      </c>
      <c r="W593" s="6" t="e">
        <f t="shared" si="280"/>
        <v>#DIV/0!</v>
      </c>
      <c r="X593" s="6" t="e">
        <f t="shared" si="280"/>
        <v>#DIV/0!</v>
      </c>
      <c r="Y593" s="6" t="e">
        <f t="shared" si="280"/>
        <v>#DIV/0!</v>
      </c>
      <c r="Z593" s="6" t="e">
        <f t="shared" si="280"/>
        <v>#DIV/0!</v>
      </c>
    </row>
    <row r="594" spans="1:26" x14ac:dyDescent="0.2">
      <c r="A594" t="s">
        <v>111</v>
      </c>
      <c r="B594" s="6">
        <f t="shared" si="264"/>
        <v>5</v>
      </c>
      <c r="C594" s="7" t="s">
        <v>155</v>
      </c>
      <c r="D594" s="69">
        <v>0</v>
      </c>
      <c r="E594" s="69">
        <v>60</v>
      </c>
      <c r="F594" s="66" t="e">
        <f t="shared" si="252"/>
        <v>#DIV/0!</v>
      </c>
      <c r="G594" s="61" t="e">
        <f t="shared" si="265"/>
        <v>#DIV/0!</v>
      </c>
      <c r="H594" s="66" t="e">
        <f t="shared" ref="H594:J594" si="281">H582</f>
        <v>#DIV/0!</v>
      </c>
      <c r="I594" s="66" t="e">
        <f t="shared" si="281"/>
        <v>#DIV/0!</v>
      </c>
      <c r="J594" s="66" t="e">
        <f t="shared" si="281"/>
        <v>#DIV/0!</v>
      </c>
      <c r="K594" s="70">
        <v>0</v>
      </c>
      <c r="L594" s="70">
        <f>'Monitoramento Acumulado Geral'!Q594</f>
        <v>3045</v>
      </c>
      <c r="M594" s="6" t="e">
        <f>(SUM(L587:L594))/K593</f>
        <v>#DIV/0!</v>
      </c>
      <c r="N594" s="35" t="e">
        <f t="shared" si="267"/>
        <v>#DIV/0!</v>
      </c>
      <c r="O594" s="6">
        <f t="shared" ref="O594:Q594" si="282">O582</f>
        <v>0.21139287248463789</v>
      </c>
      <c r="P594" s="6">
        <f t="shared" si="282"/>
        <v>0.43680804416292918</v>
      </c>
      <c r="Q594" s="6">
        <f t="shared" si="282"/>
        <v>-1.4022299193653387E-2</v>
      </c>
      <c r="R594" s="70">
        <v>0</v>
      </c>
      <c r="S594" s="70">
        <v>0</v>
      </c>
      <c r="T594" s="6" t="e">
        <f t="shared" si="269"/>
        <v>#DIV/0!</v>
      </c>
      <c r="U594" s="35" t="e">
        <f t="shared" si="270"/>
        <v>#DIV/0!</v>
      </c>
      <c r="V594" s="6" t="e">
        <f t="shared" ref="V594:Z594" si="283">V582</f>
        <v>#DIV/0!</v>
      </c>
      <c r="W594" s="6" t="e">
        <f t="shared" si="283"/>
        <v>#DIV/0!</v>
      </c>
      <c r="X594" s="6" t="e">
        <f t="shared" si="283"/>
        <v>#DIV/0!</v>
      </c>
      <c r="Y594" s="6" t="e">
        <f t="shared" si="283"/>
        <v>#DIV/0!</v>
      </c>
      <c r="Z594" s="6" t="e">
        <f t="shared" si="283"/>
        <v>#DIV/0!</v>
      </c>
    </row>
    <row r="595" spans="1:26" x14ac:dyDescent="0.2">
      <c r="A595" t="s">
        <v>111</v>
      </c>
      <c r="B595" s="6">
        <f t="shared" si="264"/>
        <v>6</v>
      </c>
      <c r="C595" s="7" t="s">
        <v>156</v>
      </c>
      <c r="D595" s="69">
        <v>0</v>
      </c>
      <c r="E595" s="69">
        <v>75</v>
      </c>
      <c r="F595" s="66" t="e">
        <f t="shared" si="252"/>
        <v>#DIV/0!</v>
      </c>
      <c r="G595" s="61" t="e">
        <f t="shared" si="265"/>
        <v>#DIV/0!</v>
      </c>
      <c r="H595" s="66" t="e">
        <f t="shared" ref="H595:J595" si="284">H583</f>
        <v>#DIV/0!</v>
      </c>
      <c r="I595" s="66" t="e">
        <f t="shared" si="284"/>
        <v>#DIV/0!</v>
      </c>
      <c r="J595" s="66" t="e">
        <f t="shared" si="284"/>
        <v>#DIV/0!</v>
      </c>
      <c r="K595" s="70">
        <v>0</v>
      </c>
      <c r="L595" s="70">
        <f>'Monitoramento Acumulado Geral'!Q595</f>
        <v>2174.89</v>
      </c>
      <c r="M595" s="6" t="e">
        <f>(SUM(L587:L595))/K594</f>
        <v>#DIV/0!</v>
      </c>
      <c r="N595" s="35" t="e">
        <f t="shared" si="267"/>
        <v>#DIV/0!</v>
      </c>
      <c r="O595" s="6">
        <f t="shared" ref="O595:Q595" si="285">O583</f>
        <v>0.28403291059934432</v>
      </c>
      <c r="P595" s="6">
        <f t="shared" si="285"/>
        <v>0.56118246348434164</v>
      </c>
      <c r="Q595" s="6">
        <f t="shared" si="285"/>
        <v>6.8833577143469493E-3</v>
      </c>
      <c r="R595" s="70">
        <v>0</v>
      </c>
      <c r="S595" s="70">
        <v>0</v>
      </c>
      <c r="T595" s="6" t="e">
        <f t="shared" si="269"/>
        <v>#DIV/0!</v>
      </c>
      <c r="U595" s="35" t="e">
        <f t="shared" si="270"/>
        <v>#DIV/0!</v>
      </c>
      <c r="V595" s="6" t="e">
        <f t="shared" ref="V595:Z595" si="286">V583</f>
        <v>#DIV/0!</v>
      </c>
      <c r="W595" s="6" t="e">
        <f t="shared" si="286"/>
        <v>#DIV/0!</v>
      </c>
      <c r="X595" s="6" t="e">
        <f t="shared" si="286"/>
        <v>#DIV/0!</v>
      </c>
      <c r="Y595" s="6" t="e">
        <f t="shared" si="286"/>
        <v>#DIV/0!</v>
      </c>
      <c r="Z595" s="6" t="e">
        <f t="shared" si="286"/>
        <v>#DIV/0!</v>
      </c>
    </row>
    <row r="596" spans="1:26" x14ac:dyDescent="0.2">
      <c r="A596" t="s">
        <v>111</v>
      </c>
      <c r="B596" s="6">
        <f t="shared" si="264"/>
        <v>7</v>
      </c>
      <c r="C596" s="7" t="s">
        <v>157</v>
      </c>
      <c r="D596" s="69">
        <v>0</v>
      </c>
      <c r="E596" s="69">
        <v>80</v>
      </c>
      <c r="F596" s="66" t="e">
        <f t="shared" si="252"/>
        <v>#DIV/0!</v>
      </c>
      <c r="G596" s="61" t="e">
        <f t="shared" si="265"/>
        <v>#DIV/0!</v>
      </c>
      <c r="H596" s="66" t="e">
        <f t="shared" ref="H596:J596" si="287">H584</f>
        <v>#DIV/0!</v>
      </c>
      <c r="I596" s="66" t="e">
        <f t="shared" si="287"/>
        <v>#DIV/0!</v>
      </c>
      <c r="J596" s="66" t="e">
        <f t="shared" si="287"/>
        <v>#DIV/0!</v>
      </c>
      <c r="K596" s="70">
        <v>0</v>
      </c>
      <c r="L596" s="70">
        <f>'Monitoramento Acumulado Geral'!Q596</f>
        <v>1</v>
      </c>
      <c r="M596" s="6" t="e">
        <f>(SUM(L587:L596))/K595</f>
        <v>#DIV/0!</v>
      </c>
      <c r="N596" s="35" t="e">
        <f t="shared" si="267"/>
        <v>#DIV/0!</v>
      </c>
      <c r="O596" s="6">
        <f t="shared" ref="O596:Q596" si="288">O584</f>
        <v>0.42046470140126019</v>
      </c>
      <c r="P596" s="6">
        <f t="shared" si="288"/>
        <v>0.84574683442734511</v>
      </c>
      <c r="Q596" s="6">
        <f t="shared" si="288"/>
        <v>-4.8174316248247306E-3</v>
      </c>
      <c r="R596" s="70">
        <v>0</v>
      </c>
      <c r="S596" s="70">
        <v>0</v>
      </c>
      <c r="T596" s="6" t="e">
        <f t="shared" si="269"/>
        <v>#DIV/0!</v>
      </c>
      <c r="U596" s="35" t="e">
        <f t="shared" si="270"/>
        <v>#DIV/0!</v>
      </c>
      <c r="V596" s="6" t="e">
        <f t="shared" ref="V596:Z596" si="289">V584</f>
        <v>#DIV/0!</v>
      </c>
      <c r="W596" s="6" t="e">
        <f t="shared" si="289"/>
        <v>#DIV/0!</v>
      </c>
      <c r="X596" s="6" t="e">
        <f t="shared" si="289"/>
        <v>#DIV/0!</v>
      </c>
      <c r="Y596" s="6" t="e">
        <f t="shared" si="289"/>
        <v>#DIV/0!</v>
      </c>
      <c r="Z596" s="6" t="e">
        <f t="shared" si="289"/>
        <v>#DIV/0!</v>
      </c>
    </row>
    <row r="597" spans="1:26" x14ac:dyDescent="0.2">
      <c r="A597" t="s">
        <v>111</v>
      </c>
      <c r="B597" s="6">
        <f t="shared" si="264"/>
        <v>8</v>
      </c>
      <c r="C597" s="7" t="s">
        <v>158</v>
      </c>
      <c r="D597" s="69">
        <v>0</v>
      </c>
      <c r="E597" s="69">
        <v>0</v>
      </c>
      <c r="F597" s="66" t="e">
        <f t="shared" si="252"/>
        <v>#DIV/0!</v>
      </c>
      <c r="G597" s="61" t="e">
        <f t="shared" si="265"/>
        <v>#DIV/0!</v>
      </c>
      <c r="H597" s="66" t="e">
        <f t="shared" ref="H597:J597" si="290">H585</f>
        <v>#DIV/0!</v>
      </c>
      <c r="I597" s="66" t="e">
        <f t="shared" si="290"/>
        <v>#DIV/0!</v>
      </c>
      <c r="J597" s="66" t="e">
        <f t="shared" si="290"/>
        <v>#DIV/0!</v>
      </c>
      <c r="K597" s="70">
        <v>0</v>
      </c>
      <c r="L597" s="70">
        <f>'Monitoramento Acumulado Geral'!Q597</f>
        <v>0</v>
      </c>
      <c r="M597" s="6" t="e">
        <f>(SUM(L587:L597))/K596</f>
        <v>#DIV/0!</v>
      </c>
      <c r="N597" s="35" t="e">
        <f t="shared" si="267"/>
        <v>#DIV/0!</v>
      </c>
      <c r="O597" s="6">
        <f t="shared" ref="O597:Q597" si="291">O585</f>
        <v>0.42046470140126019</v>
      </c>
      <c r="P597" s="6">
        <f t="shared" si="291"/>
        <v>0.84574683442734511</v>
      </c>
      <c r="Q597" s="6">
        <f t="shared" si="291"/>
        <v>-4.8174316248247306E-3</v>
      </c>
      <c r="R597" s="70">
        <v>0</v>
      </c>
      <c r="S597" s="70">
        <v>0</v>
      </c>
      <c r="T597" s="6" t="e">
        <f t="shared" si="269"/>
        <v>#DIV/0!</v>
      </c>
      <c r="U597" s="35" t="e">
        <f t="shared" si="270"/>
        <v>#DIV/0!</v>
      </c>
      <c r="V597" s="6" t="e">
        <f t="shared" ref="V597:Z597" si="292">V585</f>
        <v>#DIV/0!</v>
      </c>
      <c r="W597" s="6" t="e">
        <f t="shared" si="292"/>
        <v>#DIV/0!</v>
      </c>
      <c r="X597" s="6" t="e">
        <f t="shared" si="292"/>
        <v>#DIV/0!</v>
      </c>
      <c r="Y597" s="6" t="e">
        <f t="shared" si="292"/>
        <v>#DIV/0!</v>
      </c>
      <c r="Z597" s="6" t="e">
        <f t="shared" si="292"/>
        <v>#DIV/0!</v>
      </c>
    </row>
    <row r="598" spans="1:26" x14ac:dyDescent="0.2">
      <c r="A598" t="s">
        <v>111</v>
      </c>
      <c r="B598" s="6">
        <f t="shared" si="264"/>
        <v>9</v>
      </c>
      <c r="C598" s="7" t="s">
        <v>159</v>
      </c>
      <c r="D598" s="69">
        <v>0</v>
      </c>
      <c r="E598" s="69">
        <v>0</v>
      </c>
      <c r="F598" s="66" t="e">
        <f t="shared" si="252"/>
        <v>#DIV/0!</v>
      </c>
      <c r="G598" s="61" t="e">
        <f t="shared" si="265"/>
        <v>#DIV/0!</v>
      </c>
      <c r="H598" s="66" t="e">
        <f t="shared" ref="H598:J598" si="293">H586</f>
        <v>#DIV/0!</v>
      </c>
      <c r="I598" s="66" t="e">
        <f t="shared" si="293"/>
        <v>#DIV/0!</v>
      </c>
      <c r="J598" s="66" t="e">
        <f t="shared" si="293"/>
        <v>#DIV/0!</v>
      </c>
      <c r="K598" s="70">
        <v>0</v>
      </c>
      <c r="L598" s="70">
        <f>'Monitoramento Acumulado Geral'!Q598</f>
        <v>0</v>
      </c>
      <c r="M598" s="6" t="e">
        <f>(SUM(L587:L598))/K597</f>
        <v>#DIV/0!</v>
      </c>
      <c r="N598" s="35" t="e">
        <f t="shared" si="267"/>
        <v>#DIV/0!</v>
      </c>
      <c r="O598" s="6">
        <f t="shared" ref="O598:Q598" si="294">O586</f>
        <v>0.42046470140126019</v>
      </c>
      <c r="P598" s="6">
        <f t="shared" si="294"/>
        <v>0.84574683442734511</v>
      </c>
      <c r="Q598" s="6">
        <f t="shared" si="294"/>
        <v>-4.8174316248247306E-3</v>
      </c>
      <c r="R598" s="70">
        <v>0</v>
      </c>
      <c r="S598" s="70">
        <v>0</v>
      </c>
      <c r="T598" s="6" t="e">
        <f t="shared" si="269"/>
        <v>#DIV/0!</v>
      </c>
      <c r="U598" s="35" t="e">
        <f t="shared" si="270"/>
        <v>#DIV/0!</v>
      </c>
      <c r="V598" s="6" t="e">
        <f t="shared" ref="V598:Z598" si="295">V586</f>
        <v>#DIV/0!</v>
      </c>
      <c r="W598" s="6" t="e">
        <f t="shared" si="295"/>
        <v>#DIV/0!</v>
      </c>
      <c r="X598" s="6" t="e">
        <f t="shared" si="295"/>
        <v>#DIV/0!</v>
      </c>
      <c r="Y598" s="6" t="e">
        <f t="shared" si="295"/>
        <v>#DIV/0!</v>
      </c>
      <c r="Z598" s="6" t="e">
        <f t="shared" si="295"/>
        <v>#DIV/0!</v>
      </c>
    </row>
    <row r="599" spans="1:26" x14ac:dyDescent="0.2">
      <c r="A599" t="s">
        <v>111</v>
      </c>
      <c r="B599" s="6">
        <f t="shared" si="264"/>
        <v>10</v>
      </c>
      <c r="C599" s="7" t="s">
        <v>160</v>
      </c>
      <c r="D599" s="69">
        <v>0</v>
      </c>
      <c r="E599" s="69">
        <v>0</v>
      </c>
      <c r="F599" s="66" t="e">
        <f t="shared" si="252"/>
        <v>#DIV/0!</v>
      </c>
      <c r="G599" s="61" t="e">
        <f t="shared" si="265"/>
        <v>#DIV/0!</v>
      </c>
      <c r="H599" s="66" t="e">
        <f t="shared" ref="H599:J599" si="296">H587</f>
        <v>#DIV/0!</v>
      </c>
      <c r="I599" s="66" t="e">
        <f t="shared" si="296"/>
        <v>#DIV/0!</v>
      </c>
      <c r="J599" s="66" t="e">
        <f t="shared" si="296"/>
        <v>#DIV/0!</v>
      </c>
      <c r="K599" s="70">
        <v>0</v>
      </c>
      <c r="L599" s="70">
        <f>'Monitoramento Acumulado Geral'!Q599</f>
        <v>0</v>
      </c>
      <c r="M599" s="6" t="e">
        <f>L599/K599</f>
        <v>#DIV/0!</v>
      </c>
      <c r="N599" s="35" t="e">
        <f t="shared" si="267"/>
        <v>#DIV/0!</v>
      </c>
      <c r="O599" s="6">
        <f t="shared" ref="O599:Q599" si="297">O587</f>
        <v>0.42046470140126019</v>
      </c>
      <c r="P599" s="6">
        <f t="shared" si="297"/>
        <v>0.84574683442734511</v>
      </c>
      <c r="Q599" s="6">
        <f t="shared" si="297"/>
        <v>-4.8174316248247306E-3</v>
      </c>
      <c r="R599" s="70">
        <v>0</v>
      </c>
      <c r="S599" s="70">
        <v>0</v>
      </c>
      <c r="T599" s="6" t="e">
        <f t="shared" si="269"/>
        <v>#DIV/0!</v>
      </c>
      <c r="U599" s="35" t="e">
        <f t="shared" si="270"/>
        <v>#DIV/0!</v>
      </c>
      <c r="V599" s="6" t="e">
        <f t="shared" ref="V599:Z599" si="298">V587</f>
        <v>#DIV/0!</v>
      </c>
      <c r="W599" s="6" t="e">
        <f t="shared" si="298"/>
        <v>#DIV/0!</v>
      </c>
      <c r="X599" s="6" t="e">
        <f t="shared" si="298"/>
        <v>#DIV/0!</v>
      </c>
      <c r="Y599" s="6" t="e">
        <f t="shared" si="298"/>
        <v>#DIV/0!</v>
      </c>
      <c r="Z599" s="6" t="e">
        <f t="shared" si="298"/>
        <v>#DIV/0!</v>
      </c>
    </row>
    <row r="600" spans="1:26" x14ac:dyDescent="0.2">
      <c r="A600" t="s">
        <v>111</v>
      </c>
      <c r="B600" s="6">
        <f t="shared" si="264"/>
        <v>11</v>
      </c>
      <c r="C600" s="7" t="s">
        <v>161</v>
      </c>
      <c r="D600" s="69">
        <v>0</v>
      </c>
      <c r="E600" s="69">
        <v>0</v>
      </c>
      <c r="F600" s="66" t="e">
        <f t="shared" si="252"/>
        <v>#DIV/0!</v>
      </c>
      <c r="G600" s="61" t="e">
        <f t="shared" si="265"/>
        <v>#DIV/0!</v>
      </c>
      <c r="H600" s="66" t="e">
        <f t="shared" ref="H600:J600" si="299">H588</f>
        <v>#DIV/0!</v>
      </c>
      <c r="I600" s="66" t="e">
        <f t="shared" si="299"/>
        <v>#DIV/0!</v>
      </c>
      <c r="J600" s="66" t="e">
        <f t="shared" si="299"/>
        <v>#DIV/0!</v>
      </c>
      <c r="K600" s="70">
        <v>0</v>
      </c>
      <c r="L600" s="70">
        <f>'Monitoramento Acumulado Geral'!Q600</f>
        <v>0</v>
      </c>
      <c r="M600" s="6" t="e">
        <f>(SUM(L599:L600))/K599</f>
        <v>#DIV/0!</v>
      </c>
      <c r="N600" s="35" t="e">
        <f t="shared" si="267"/>
        <v>#DIV/0!</v>
      </c>
      <c r="O600" s="6">
        <f t="shared" ref="O600:Q600" si="300">O588</f>
        <v>0.42046470140126019</v>
      </c>
      <c r="P600" s="6">
        <f t="shared" si="300"/>
        <v>0.84574683442734511</v>
      </c>
      <c r="Q600" s="6">
        <f t="shared" si="300"/>
        <v>-4.8174316248247306E-3</v>
      </c>
      <c r="R600" s="70">
        <v>0</v>
      </c>
      <c r="S600" s="70">
        <v>0</v>
      </c>
      <c r="T600" s="6" t="e">
        <f t="shared" si="269"/>
        <v>#DIV/0!</v>
      </c>
      <c r="U600" s="35" t="e">
        <f t="shared" si="270"/>
        <v>#DIV/0!</v>
      </c>
      <c r="V600" s="6" t="e">
        <f t="shared" ref="V600:Z600" si="301">V588</f>
        <v>#DIV/0!</v>
      </c>
      <c r="W600" s="6" t="e">
        <f t="shared" si="301"/>
        <v>#DIV/0!</v>
      </c>
      <c r="X600" s="6" t="e">
        <f t="shared" si="301"/>
        <v>#DIV/0!</v>
      </c>
      <c r="Y600" s="6" t="e">
        <f t="shared" si="301"/>
        <v>#DIV/0!</v>
      </c>
      <c r="Z600" s="6" t="e">
        <f t="shared" si="301"/>
        <v>#DIV/0!</v>
      </c>
    </row>
    <row r="601" spans="1:26" x14ac:dyDescent="0.2">
      <c r="A601" t="s">
        <v>111</v>
      </c>
      <c r="B601" s="6">
        <f t="shared" si="264"/>
        <v>12</v>
      </c>
      <c r="C601" s="7" t="s">
        <v>162</v>
      </c>
      <c r="D601" s="69">
        <v>0</v>
      </c>
      <c r="E601" s="69">
        <v>0</v>
      </c>
      <c r="F601" s="66" t="e">
        <f t="shared" si="252"/>
        <v>#DIV/0!</v>
      </c>
      <c r="G601" s="61" t="e">
        <f t="shared" si="265"/>
        <v>#DIV/0!</v>
      </c>
      <c r="H601" s="66" t="e">
        <f t="shared" ref="H601:J601" si="302">H589</f>
        <v>#DIV/0!</v>
      </c>
      <c r="I601" s="66" t="e">
        <f t="shared" si="302"/>
        <v>#DIV/0!</v>
      </c>
      <c r="J601" s="66" t="e">
        <f t="shared" si="302"/>
        <v>#DIV/0!</v>
      </c>
      <c r="K601" s="70">
        <v>0</v>
      </c>
      <c r="L601" s="70">
        <f>'Monitoramento Acumulado Geral'!Q601</f>
        <v>0</v>
      </c>
      <c r="M601" s="6" t="e">
        <f>(SUM(L599:L601))/K600</f>
        <v>#DIV/0!</v>
      </c>
      <c r="N601" s="35" t="e">
        <f t="shared" si="267"/>
        <v>#DIV/0!</v>
      </c>
      <c r="O601" s="6">
        <f t="shared" ref="O601:Q601" si="303">O589</f>
        <v>0.41824651958307835</v>
      </c>
      <c r="P601" s="6">
        <f t="shared" si="303"/>
        <v>0.84510274859297763</v>
      </c>
      <c r="Q601" s="6">
        <f t="shared" si="303"/>
        <v>-8.6097094268208774E-3</v>
      </c>
      <c r="R601" s="70">
        <v>0</v>
      </c>
      <c r="S601" s="70">
        <v>0</v>
      </c>
      <c r="T601" s="6" t="e">
        <f t="shared" si="269"/>
        <v>#DIV/0!</v>
      </c>
      <c r="U601" s="35" t="e">
        <f t="shared" si="270"/>
        <v>#DIV/0!</v>
      </c>
      <c r="V601" s="6" t="e">
        <f t="shared" ref="V601:Z601" si="304">V589</f>
        <v>#DIV/0!</v>
      </c>
      <c r="W601" s="6" t="e">
        <f t="shared" si="304"/>
        <v>#DIV/0!</v>
      </c>
      <c r="X601" s="6" t="e">
        <f t="shared" si="304"/>
        <v>#DIV/0!</v>
      </c>
      <c r="Y601" s="6" t="e">
        <f t="shared" si="304"/>
        <v>#DIV/0!</v>
      </c>
      <c r="Z601" s="6" t="e">
        <f t="shared" si="304"/>
        <v>#DIV/0!</v>
      </c>
    </row>
    <row r="602" spans="1:26" x14ac:dyDescent="0.2">
      <c r="A602" s="7" t="s">
        <v>96</v>
      </c>
      <c r="B602" s="6">
        <f t="shared" si="254"/>
        <v>1</v>
      </c>
      <c r="C602" s="7" t="s">
        <v>151</v>
      </c>
      <c r="D602" s="69">
        <v>75</v>
      </c>
      <c r="E602" s="69">
        <v>0</v>
      </c>
      <c r="F602" s="66">
        <f t="shared" si="252"/>
        <v>0</v>
      </c>
      <c r="G602" s="61" t="e">
        <f t="shared" si="255"/>
        <v>#DIV/0!</v>
      </c>
      <c r="H602" s="66" t="e">
        <f t="shared" ref="H602:J613" si="305">H578</f>
        <v>#DIV/0!</v>
      </c>
      <c r="I602" s="66" t="e">
        <f t="shared" si="305"/>
        <v>#DIV/0!</v>
      </c>
      <c r="J602" s="66" t="e">
        <f t="shared" si="305"/>
        <v>#DIV/0!</v>
      </c>
      <c r="K602" s="70">
        <v>30000</v>
      </c>
      <c r="L602" s="70">
        <f>'Monitoramento Acumulado Geral'!Q602</f>
        <v>0</v>
      </c>
      <c r="M602" s="6">
        <f>L602/K602</f>
        <v>0</v>
      </c>
      <c r="N602" s="35" t="str">
        <f t="shared" si="256"/>
        <v>Desempenho Médio</v>
      </c>
      <c r="O602" s="6">
        <f t="shared" ref="O602:Q613" si="306">O578</f>
        <v>3.4274647562211005E-2</v>
      </c>
      <c r="P602" s="6">
        <f t="shared" si="306"/>
        <v>0.10289217685709087</v>
      </c>
      <c r="Q602" s="6">
        <f t="shared" si="306"/>
        <v>-3.4342881732668862E-2</v>
      </c>
      <c r="R602" s="70">
        <v>80</v>
      </c>
      <c r="S602" s="70">
        <v>0</v>
      </c>
      <c r="T602" s="6">
        <f t="shared" si="253"/>
        <v>0</v>
      </c>
      <c r="U602" s="35" t="e">
        <f t="shared" si="257"/>
        <v>#DIV/0!</v>
      </c>
      <c r="V602" s="6" t="e">
        <f t="shared" ref="V602:Z613" si="307">V578</f>
        <v>#DIV/0!</v>
      </c>
      <c r="W602" s="6" t="e">
        <f t="shared" si="307"/>
        <v>#DIV/0!</v>
      </c>
      <c r="X602" s="6" t="e">
        <f t="shared" si="307"/>
        <v>#DIV/0!</v>
      </c>
      <c r="Y602" s="6" t="e">
        <f t="shared" si="307"/>
        <v>#DIV/0!</v>
      </c>
      <c r="Z602" s="6" t="e">
        <f t="shared" si="307"/>
        <v>#DIV/0!</v>
      </c>
    </row>
    <row r="603" spans="1:26" x14ac:dyDescent="0.2">
      <c r="A603" s="7" t="s">
        <v>96</v>
      </c>
      <c r="B603" s="6">
        <f t="shared" si="254"/>
        <v>2</v>
      </c>
      <c r="C603" s="7" t="s">
        <v>152</v>
      </c>
      <c r="D603" s="69">
        <v>75</v>
      </c>
      <c r="E603" s="69">
        <v>0</v>
      </c>
      <c r="F603" s="66">
        <f t="shared" si="252"/>
        <v>0</v>
      </c>
      <c r="G603" s="61" t="e">
        <f t="shared" si="255"/>
        <v>#DIV/0!</v>
      </c>
      <c r="H603" s="66" t="e">
        <f t="shared" si="305"/>
        <v>#DIV/0!</v>
      </c>
      <c r="I603" s="66" t="e">
        <f t="shared" si="305"/>
        <v>#DIV/0!</v>
      </c>
      <c r="J603" s="66" t="e">
        <f t="shared" si="305"/>
        <v>#DIV/0!</v>
      </c>
      <c r="K603" s="70">
        <v>30000</v>
      </c>
      <c r="L603" s="70">
        <f>'Monitoramento Acumulado Geral'!Q603</f>
        <v>0</v>
      </c>
      <c r="M603" s="6">
        <f>(SUM(L602:L603))/K602</f>
        <v>0</v>
      </c>
      <c r="N603" s="35" t="str">
        <f t="shared" si="256"/>
        <v>Desempenho Médio</v>
      </c>
      <c r="O603" s="6">
        <f t="shared" si="306"/>
        <v>8.1815188943147363E-2</v>
      </c>
      <c r="P603" s="6">
        <f t="shared" si="306"/>
        <v>0.20623883252423067</v>
      </c>
      <c r="Q603" s="6">
        <f t="shared" si="306"/>
        <v>-4.2608454637935944E-2</v>
      </c>
      <c r="R603" s="70">
        <v>80</v>
      </c>
      <c r="S603" s="70">
        <v>0</v>
      </c>
      <c r="T603" s="6">
        <f t="shared" si="253"/>
        <v>0</v>
      </c>
      <c r="U603" s="35" t="e">
        <f t="shared" si="257"/>
        <v>#DIV/0!</v>
      </c>
      <c r="V603" s="6" t="e">
        <f t="shared" si="307"/>
        <v>#DIV/0!</v>
      </c>
      <c r="W603" s="6" t="e">
        <f t="shared" si="307"/>
        <v>#DIV/0!</v>
      </c>
      <c r="X603" s="6" t="e">
        <f t="shared" si="307"/>
        <v>#DIV/0!</v>
      </c>
      <c r="Y603" s="6" t="e">
        <f t="shared" si="307"/>
        <v>#DIV/0!</v>
      </c>
      <c r="Z603" s="6" t="e">
        <f t="shared" si="307"/>
        <v>#DIV/0!</v>
      </c>
    </row>
    <row r="604" spans="1:26" x14ac:dyDescent="0.2">
      <c r="A604" s="7" t="s">
        <v>96</v>
      </c>
      <c r="B604" s="6">
        <f t="shared" si="254"/>
        <v>3</v>
      </c>
      <c r="C604" s="7" t="s">
        <v>153</v>
      </c>
      <c r="D604" s="69">
        <v>75</v>
      </c>
      <c r="E604" s="69">
        <v>0</v>
      </c>
      <c r="F604" s="66">
        <f t="shared" si="252"/>
        <v>0</v>
      </c>
      <c r="G604" s="61" t="e">
        <f t="shared" si="255"/>
        <v>#DIV/0!</v>
      </c>
      <c r="H604" s="66" t="e">
        <f t="shared" si="305"/>
        <v>#DIV/0!</v>
      </c>
      <c r="I604" s="66" t="e">
        <f t="shared" si="305"/>
        <v>#DIV/0!</v>
      </c>
      <c r="J604" s="66" t="e">
        <f t="shared" si="305"/>
        <v>#DIV/0!</v>
      </c>
      <c r="K604" s="70">
        <v>30000</v>
      </c>
      <c r="L604" s="70">
        <f>'Monitoramento Acumulado Geral'!Q604</f>
        <v>0</v>
      </c>
      <c r="M604" s="6">
        <f>(SUM(L602:L604))/K603</f>
        <v>0</v>
      </c>
      <c r="N604" s="35" t="str">
        <f t="shared" si="256"/>
        <v>Desempenho Médio</v>
      </c>
      <c r="O604" s="6">
        <f t="shared" si="306"/>
        <v>0.13411292471649494</v>
      </c>
      <c r="P604" s="6">
        <f t="shared" si="306"/>
        <v>0.29721906787058483</v>
      </c>
      <c r="Q604" s="6">
        <f t="shared" si="306"/>
        <v>-2.899321843759492E-2</v>
      </c>
      <c r="R604" s="70">
        <v>80</v>
      </c>
      <c r="S604" s="70">
        <v>0</v>
      </c>
      <c r="T604" s="6">
        <f t="shared" si="253"/>
        <v>0</v>
      </c>
      <c r="U604" s="35" t="e">
        <f t="shared" si="257"/>
        <v>#DIV/0!</v>
      </c>
      <c r="V604" s="6" t="e">
        <f t="shared" si="307"/>
        <v>#DIV/0!</v>
      </c>
      <c r="W604" s="6" t="e">
        <f t="shared" si="307"/>
        <v>#DIV/0!</v>
      </c>
      <c r="X604" s="6" t="e">
        <f t="shared" si="307"/>
        <v>#DIV/0!</v>
      </c>
      <c r="Y604" s="6" t="e">
        <f t="shared" si="307"/>
        <v>#DIV/0!</v>
      </c>
      <c r="Z604" s="6" t="e">
        <f t="shared" si="307"/>
        <v>#DIV/0!</v>
      </c>
    </row>
    <row r="605" spans="1:26" x14ac:dyDescent="0.2">
      <c r="A605" s="7" t="s">
        <v>96</v>
      </c>
      <c r="B605" s="6">
        <f t="shared" si="254"/>
        <v>4</v>
      </c>
      <c r="C605" s="7" t="s">
        <v>154</v>
      </c>
      <c r="D605" s="69">
        <v>75</v>
      </c>
      <c r="E605" s="69">
        <v>0</v>
      </c>
      <c r="F605" s="66">
        <f t="shared" si="252"/>
        <v>0</v>
      </c>
      <c r="G605" s="61" t="e">
        <f t="shared" si="255"/>
        <v>#DIV/0!</v>
      </c>
      <c r="H605" s="66" t="e">
        <f t="shared" si="305"/>
        <v>#DIV/0!</v>
      </c>
      <c r="I605" s="66" t="e">
        <f t="shared" si="305"/>
        <v>#DIV/0!</v>
      </c>
      <c r="J605" s="66" t="e">
        <f t="shared" si="305"/>
        <v>#DIV/0!</v>
      </c>
      <c r="K605" s="70">
        <v>30000</v>
      </c>
      <c r="L605" s="70">
        <f>'Monitoramento Acumulado Geral'!Q605</f>
        <v>0</v>
      </c>
      <c r="M605" s="6">
        <f>(SUM(L602:L605))/K604</f>
        <v>0</v>
      </c>
      <c r="N605" s="35" t="str">
        <f t="shared" si="256"/>
        <v>Desempenho Médio</v>
      </c>
      <c r="O605" s="6">
        <f t="shared" si="306"/>
        <v>0.15392483870093213</v>
      </c>
      <c r="P605" s="6">
        <f t="shared" si="306"/>
        <v>0.32772007016950033</v>
      </c>
      <c r="Q605" s="6">
        <f t="shared" si="306"/>
        <v>-1.9870392767636053E-2</v>
      </c>
      <c r="R605" s="70">
        <v>80</v>
      </c>
      <c r="S605" s="70">
        <v>0</v>
      </c>
      <c r="T605" s="6">
        <f t="shared" si="253"/>
        <v>0</v>
      </c>
      <c r="U605" s="35" t="e">
        <f t="shared" si="257"/>
        <v>#DIV/0!</v>
      </c>
      <c r="V605" s="6" t="e">
        <f t="shared" si="307"/>
        <v>#DIV/0!</v>
      </c>
      <c r="W605" s="6" t="e">
        <f t="shared" si="307"/>
        <v>#DIV/0!</v>
      </c>
      <c r="X605" s="6" t="e">
        <f t="shared" si="307"/>
        <v>#DIV/0!</v>
      </c>
      <c r="Y605" s="6" t="e">
        <f t="shared" si="307"/>
        <v>#DIV/0!</v>
      </c>
      <c r="Z605" s="6" t="e">
        <f t="shared" si="307"/>
        <v>#DIV/0!</v>
      </c>
    </row>
    <row r="606" spans="1:26" x14ac:dyDescent="0.2">
      <c r="A606" s="7" t="s">
        <v>96</v>
      </c>
      <c r="B606" s="6">
        <f t="shared" si="254"/>
        <v>5</v>
      </c>
      <c r="C606" s="7" t="s">
        <v>155</v>
      </c>
      <c r="D606" s="69">
        <v>75</v>
      </c>
      <c r="E606" s="69">
        <v>10</v>
      </c>
      <c r="F606" s="66">
        <f t="shared" si="252"/>
        <v>0.13333333333333333</v>
      </c>
      <c r="G606" s="61" t="e">
        <f t="shared" si="255"/>
        <v>#DIV/0!</v>
      </c>
      <c r="H606" s="66" t="e">
        <f t="shared" si="305"/>
        <v>#DIV/0!</v>
      </c>
      <c r="I606" s="66" t="e">
        <f t="shared" si="305"/>
        <v>#DIV/0!</v>
      </c>
      <c r="J606" s="66" t="e">
        <f t="shared" si="305"/>
        <v>#DIV/0!</v>
      </c>
      <c r="K606" s="70">
        <v>30000</v>
      </c>
      <c r="L606" s="70">
        <f>'Monitoramento Acumulado Geral'!Q606</f>
        <v>5640</v>
      </c>
      <c r="M606" s="6">
        <f>(SUM(L602:L606))/K605</f>
        <v>0.188</v>
      </c>
      <c r="N606" s="35" t="str">
        <f t="shared" si="256"/>
        <v>Desempenho Médio</v>
      </c>
      <c r="O606" s="6">
        <f t="shared" si="306"/>
        <v>0.21139287248463789</v>
      </c>
      <c r="P606" s="6">
        <f t="shared" si="306"/>
        <v>0.43680804416292918</v>
      </c>
      <c r="Q606" s="6">
        <f t="shared" si="306"/>
        <v>-1.4022299193653387E-2</v>
      </c>
      <c r="R606" s="70">
        <v>80</v>
      </c>
      <c r="S606" s="70">
        <v>0</v>
      </c>
      <c r="T606" s="6">
        <f t="shared" si="253"/>
        <v>0</v>
      </c>
      <c r="U606" s="35" t="e">
        <f t="shared" si="257"/>
        <v>#DIV/0!</v>
      </c>
      <c r="V606" s="6" t="e">
        <f t="shared" si="307"/>
        <v>#DIV/0!</v>
      </c>
      <c r="W606" s="6" t="e">
        <f t="shared" si="307"/>
        <v>#DIV/0!</v>
      </c>
      <c r="X606" s="6" t="e">
        <f t="shared" si="307"/>
        <v>#DIV/0!</v>
      </c>
      <c r="Y606" s="6" t="e">
        <f t="shared" si="307"/>
        <v>#DIV/0!</v>
      </c>
      <c r="Z606" s="6" t="e">
        <f t="shared" si="307"/>
        <v>#DIV/0!</v>
      </c>
    </row>
    <row r="607" spans="1:26" x14ac:dyDescent="0.2">
      <c r="A607" s="7" t="s">
        <v>96</v>
      </c>
      <c r="B607" s="6">
        <f t="shared" si="254"/>
        <v>6</v>
      </c>
      <c r="C607" s="7" t="s">
        <v>156</v>
      </c>
      <c r="D607" s="69">
        <v>75</v>
      </c>
      <c r="E607" s="69">
        <v>10</v>
      </c>
      <c r="F607" s="66">
        <f t="shared" si="252"/>
        <v>0.13333333333333333</v>
      </c>
      <c r="G607" s="61" t="e">
        <f t="shared" si="255"/>
        <v>#DIV/0!</v>
      </c>
      <c r="H607" s="66" t="e">
        <f t="shared" si="305"/>
        <v>#DIV/0!</v>
      </c>
      <c r="I607" s="66" t="e">
        <f t="shared" si="305"/>
        <v>#DIV/0!</v>
      </c>
      <c r="J607" s="66" t="e">
        <f t="shared" si="305"/>
        <v>#DIV/0!</v>
      </c>
      <c r="K607" s="70">
        <v>30000</v>
      </c>
      <c r="L607" s="70">
        <f>'Monitoramento Acumulado Geral'!Q607</f>
        <v>0</v>
      </c>
      <c r="M607" s="6">
        <f>(SUM(L602:L607))/K606</f>
        <v>0.188</v>
      </c>
      <c r="N607" s="35" t="str">
        <f t="shared" si="256"/>
        <v>Desempenho Médio</v>
      </c>
      <c r="O607" s="6">
        <f t="shared" si="306"/>
        <v>0.28403291059934432</v>
      </c>
      <c r="P607" s="6">
        <f t="shared" si="306"/>
        <v>0.56118246348434164</v>
      </c>
      <c r="Q607" s="6">
        <f t="shared" si="306"/>
        <v>6.8833577143469493E-3</v>
      </c>
      <c r="R607" s="70">
        <v>80</v>
      </c>
      <c r="S607" s="70">
        <v>0</v>
      </c>
      <c r="T607" s="6">
        <f t="shared" si="253"/>
        <v>0</v>
      </c>
      <c r="U607" s="35" t="e">
        <f t="shared" si="257"/>
        <v>#DIV/0!</v>
      </c>
      <c r="V607" s="6" t="e">
        <f t="shared" si="307"/>
        <v>#DIV/0!</v>
      </c>
      <c r="W607" s="6" t="e">
        <f t="shared" si="307"/>
        <v>#DIV/0!</v>
      </c>
      <c r="X607" s="6" t="e">
        <f t="shared" si="307"/>
        <v>#DIV/0!</v>
      </c>
      <c r="Y607" s="6" t="e">
        <f t="shared" si="307"/>
        <v>#DIV/0!</v>
      </c>
      <c r="Z607" s="6" t="e">
        <f t="shared" si="307"/>
        <v>#DIV/0!</v>
      </c>
    </row>
    <row r="608" spans="1:26" x14ac:dyDescent="0.2">
      <c r="A608" s="7" t="s">
        <v>96</v>
      </c>
      <c r="B608" s="6">
        <f t="shared" si="254"/>
        <v>7</v>
      </c>
      <c r="C608" s="7" t="s">
        <v>157</v>
      </c>
      <c r="D608" s="69">
        <v>75</v>
      </c>
      <c r="E608" s="69">
        <v>10</v>
      </c>
      <c r="F608" s="66">
        <f t="shared" si="252"/>
        <v>0.13333333333333333</v>
      </c>
      <c r="G608" s="61" t="e">
        <f t="shared" si="255"/>
        <v>#DIV/0!</v>
      </c>
      <c r="H608" s="66" t="e">
        <f t="shared" si="305"/>
        <v>#DIV/0!</v>
      </c>
      <c r="I608" s="66" t="e">
        <f t="shared" si="305"/>
        <v>#DIV/0!</v>
      </c>
      <c r="J608" s="66" t="e">
        <f t="shared" si="305"/>
        <v>#DIV/0!</v>
      </c>
      <c r="K608" s="70">
        <v>30000</v>
      </c>
      <c r="L608" s="70">
        <f>'Monitoramento Acumulado Geral'!Q608</f>
        <v>0</v>
      </c>
      <c r="M608" s="6">
        <f>(SUM(L602:L608))/K607</f>
        <v>0.188</v>
      </c>
      <c r="N608" s="35" t="str">
        <f t="shared" si="256"/>
        <v>Desempenho Médio</v>
      </c>
      <c r="O608" s="6">
        <f t="shared" si="306"/>
        <v>0.42046470140126019</v>
      </c>
      <c r="P608" s="6">
        <f t="shared" si="306"/>
        <v>0.84574683442734511</v>
      </c>
      <c r="Q608" s="6">
        <f t="shared" si="306"/>
        <v>-4.8174316248247306E-3</v>
      </c>
      <c r="R608" s="70">
        <v>80</v>
      </c>
      <c r="S608" s="70">
        <v>0</v>
      </c>
      <c r="T608" s="6">
        <f t="shared" si="253"/>
        <v>0</v>
      </c>
      <c r="U608" s="35" t="e">
        <f t="shared" si="257"/>
        <v>#DIV/0!</v>
      </c>
      <c r="V608" s="6" t="e">
        <f t="shared" si="307"/>
        <v>#DIV/0!</v>
      </c>
      <c r="W608" s="6" t="e">
        <f t="shared" si="307"/>
        <v>#DIV/0!</v>
      </c>
      <c r="X608" s="6" t="e">
        <f t="shared" si="307"/>
        <v>#DIV/0!</v>
      </c>
      <c r="Y608" s="6" t="e">
        <f t="shared" si="307"/>
        <v>#DIV/0!</v>
      </c>
      <c r="Z608" s="6" t="e">
        <f t="shared" si="307"/>
        <v>#DIV/0!</v>
      </c>
    </row>
    <row r="609" spans="1:26" x14ac:dyDescent="0.2">
      <c r="A609" s="7" t="s">
        <v>96</v>
      </c>
      <c r="B609" s="6">
        <f t="shared" si="254"/>
        <v>8</v>
      </c>
      <c r="C609" s="7" t="s">
        <v>158</v>
      </c>
      <c r="D609" s="69">
        <v>75</v>
      </c>
      <c r="E609" s="69">
        <v>0</v>
      </c>
      <c r="F609" s="66">
        <f t="shared" si="252"/>
        <v>0</v>
      </c>
      <c r="G609" s="61" t="e">
        <f t="shared" si="255"/>
        <v>#DIV/0!</v>
      </c>
      <c r="H609" s="66" t="e">
        <f t="shared" si="305"/>
        <v>#DIV/0!</v>
      </c>
      <c r="I609" s="66" t="e">
        <f t="shared" si="305"/>
        <v>#DIV/0!</v>
      </c>
      <c r="J609" s="66" t="e">
        <f t="shared" si="305"/>
        <v>#DIV/0!</v>
      </c>
      <c r="K609" s="70">
        <v>30000</v>
      </c>
      <c r="L609" s="70">
        <f>'Monitoramento Acumulado Geral'!Q609</f>
        <v>0</v>
      </c>
      <c r="M609" s="6">
        <f>(SUM(L602:L609))/K608</f>
        <v>0.188</v>
      </c>
      <c r="N609" s="35" t="str">
        <f t="shared" si="256"/>
        <v>Desempenho Médio</v>
      </c>
      <c r="O609" s="6">
        <f t="shared" si="306"/>
        <v>0.42046470140126019</v>
      </c>
      <c r="P609" s="6">
        <f t="shared" si="306"/>
        <v>0.84574683442734511</v>
      </c>
      <c r="Q609" s="6">
        <f t="shared" si="306"/>
        <v>-4.8174316248247306E-3</v>
      </c>
      <c r="R609" s="70">
        <v>80</v>
      </c>
      <c r="S609" s="70">
        <v>0</v>
      </c>
      <c r="T609" s="6">
        <f t="shared" si="253"/>
        <v>0</v>
      </c>
      <c r="U609" s="35" t="e">
        <f t="shared" si="257"/>
        <v>#DIV/0!</v>
      </c>
      <c r="V609" s="6" t="e">
        <f t="shared" si="307"/>
        <v>#DIV/0!</v>
      </c>
      <c r="W609" s="6" t="e">
        <f t="shared" si="307"/>
        <v>#DIV/0!</v>
      </c>
      <c r="X609" s="6" t="e">
        <f t="shared" si="307"/>
        <v>#DIV/0!</v>
      </c>
      <c r="Y609" s="6" t="e">
        <f t="shared" si="307"/>
        <v>#DIV/0!</v>
      </c>
      <c r="Z609" s="6" t="e">
        <f t="shared" si="307"/>
        <v>#DIV/0!</v>
      </c>
    </row>
    <row r="610" spans="1:26" x14ac:dyDescent="0.2">
      <c r="A610" s="7" t="s">
        <v>96</v>
      </c>
      <c r="B610" s="6">
        <f t="shared" si="254"/>
        <v>9</v>
      </c>
      <c r="C610" s="7" t="s">
        <v>159</v>
      </c>
      <c r="D610" s="69">
        <v>75</v>
      </c>
      <c r="E610" s="69">
        <v>0</v>
      </c>
      <c r="F610" s="66">
        <f t="shared" si="252"/>
        <v>0</v>
      </c>
      <c r="G610" s="61" t="e">
        <f t="shared" si="255"/>
        <v>#DIV/0!</v>
      </c>
      <c r="H610" s="66" t="e">
        <f t="shared" si="305"/>
        <v>#DIV/0!</v>
      </c>
      <c r="I610" s="66" t="e">
        <f t="shared" si="305"/>
        <v>#DIV/0!</v>
      </c>
      <c r="J610" s="66" t="e">
        <f t="shared" si="305"/>
        <v>#DIV/0!</v>
      </c>
      <c r="K610" s="70">
        <v>30000</v>
      </c>
      <c r="L610" s="70">
        <f>'Monitoramento Acumulado Geral'!Q610</f>
        <v>0</v>
      </c>
      <c r="M610" s="6">
        <f>(SUM(L602:L610))/K609</f>
        <v>0.188</v>
      </c>
      <c r="N610" s="35" t="str">
        <f t="shared" si="256"/>
        <v>Desempenho Médio</v>
      </c>
      <c r="O610" s="6">
        <f t="shared" si="306"/>
        <v>0.42046470140126019</v>
      </c>
      <c r="P610" s="6">
        <f t="shared" si="306"/>
        <v>0.84574683442734511</v>
      </c>
      <c r="Q610" s="6">
        <f t="shared" si="306"/>
        <v>-4.8174316248247306E-3</v>
      </c>
      <c r="R610" s="70">
        <v>80</v>
      </c>
      <c r="S610" s="70">
        <v>0</v>
      </c>
      <c r="T610" s="6">
        <f t="shared" si="253"/>
        <v>0</v>
      </c>
      <c r="U610" s="35" t="e">
        <f t="shared" si="257"/>
        <v>#DIV/0!</v>
      </c>
      <c r="V610" s="6" t="e">
        <f t="shared" si="307"/>
        <v>#DIV/0!</v>
      </c>
      <c r="W610" s="6" t="e">
        <f t="shared" si="307"/>
        <v>#DIV/0!</v>
      </c>
      <c r="X610" s="6" t="e">
        <f t="shared" si="307"/>
        <v>#DIV/0!</v>
      </c>
      <c r="Y610" s="6" t="e">
        <f t="shared" si="307"/>
        <v>#DIV/0!</v>
      </c>
      <c r="Z610" s="6" t="e">
        <f t="shared" si="307"/>
        <v>#DIV/0!</v>
      </c>
    </row>
    <row r="611" spans="1:26" x14ac:dyDescent="0.2">
      <c r="A611" s="7" t="s">
        <v>96</v>
      </c>
      <c r="B611" s="6">
        <f t="shared" si="254"/>
        <v>10</v>
      </c>
      <c r="C611" s="7" t="s">
        <v>160</v>
      </c>
      <c r="D611" s="69">
        <v>75</v>
      </c>
      <c r="E611" s="69">
        <v>0</v>
      </c>
      <c r="F611" s="66">
        <f t="shared" si="252"/>
        <v>0</v>
      </c>
      <c r="G611" s="61" t="e">
        <f t="shared" si="255"/>
        <v>#DIV/0!</v>
      </c>
      <c r="H611" s="66" t="e">
        <f t="shared" si="305"/>
        <v>#DIV/0!</v>
      </c>
      <c r="I611" s="66" t="e">
        <f t="shared" si="305"/>
        <v>#DIV/0!</v>
      </c>
      <c r="J611" s="66" t="e">
        <f t="shared" si="305"/>
        <v>#DIV/0!</v>
      </c>
      <c r="K611" s="70">
        <v>30000</v>
      </c>
      <c r="L611" s="70">
        <f>'Monitoramento Acumulado Geral'!Q611</f>
        <v>0</v>
      </c>
      <c r="M611" s="6">
        <f>(SUM(L602:L611))/K610</f>
        <v>0.188</v>
      </c>
      <c r="N611" s="35" t="str">
        <f t="shared" si="256"/>
        <v>Desempenho Médio</v>
      </c>
      <c r="O611" s="6">
        <f t="shared" si="306"/>
        <v>0.42046470140126019</v>
      </c>
      <c r="P611" s="6">
        <f t="shared" si="306"/>
        <v>0.84574683442734511</v>
      </c>
      <c r="Q611" s="6">
        <f t="shared" si="306"/>
        <v>-4.8174316248247306E-3</v>
      </c>
      <c r="R611" s="70">
        <v>80</v>
      </c>
      <c r="S611" s="70">
        <v>0</v>
      </c>
      <c r="T611" s="6">
        <f t="shared" si="253"/>
        <v>0</v>
      </c>
      <c r="U611" s="35" t="e">
        <f t="shared" si="257"/>
        <v>#DIV/0!</v>
      </c>
      <c r="V611" s="6" t="e">
        <f t="shared" si="307"/>
        <v>#DIV/0!</v>
      </c>
      <c r="W611" s="6" t="e">
        <f t="shared" si="307"/>
        <v>#DIV/0!</v>
      </c>
      <c r="X611" s="6" t="e">
        <f t="shared" si="307"/>
        <v>#DIV/0!</v>
      </c>
      <c r="Y611" s="6" t="e">
        <f t="shared" si="307"/>
        <v>#DIV/0!</v>
      </c>
      <c r="Z611" s="6" t="e">
        <f t="shared" si="307"/>
        <v>#DIV/0!</v>
      </c>
    </row>
    <row r="612" spans="1:26" x14ac:dyDescent="0.2">
      <c r="A612" s="7" t="s">
        <v>96</v>
      </c>
      <c r="B612" s="6">
        <f t="shared" si="254"/>
        <v>11</v>
      </c>
      <c r="C612" s="7" t="s">
        <v>161</v>
      </c>
      <c r="D612" s="69">
        <v>75</v>
      </c>
      <c r="E612" s="69">
        <v>0</v>
      </c>
      <c r="F612" s="66">
        <f t="shared" si="252"/>
        <v>0</v>
      </c>
      <c r="G612" s="61" t="e">
        <f t="shared" si="255"/>
        <v>#DIV/0!</v>
      </c>
      <c r="H612" s="66" t="e">
        <f t="shared" si="305"/>
        <v>#DIV/0!</v>
      </c>
      <c r="I612" s="66" t="e">
        <f t="shared" si="305"/>
        <v>#DIV/0!</v>
      </c>
      <c r="J612" s="66" t="e">
        <f t="shared" si="305"/>
        <v>#DIV/0!</v>
      </c>
      <c r="K612" s="70">
        <v>30000</v>
      </c>
      <c r="L612" s="70">
        <f>'Monitoramento Acumulado Geral'!Q612</f>
        <v>0</v>
      </c>
      <c r="M612" s="6">
        <f>(SUM(L602:L612))/K611</f>
        <v>0.188</v>
      </c>
      <c r="N612" s="35" t="str">
        <f t="shared" si="256"/>
        <v>Desempenho Médio</v>
      </c>
      <c r="O612" s="6">
        <f t="shared" si="306"/>
        <v>0.42046470140126019</v>
      </c>
      <c r="P612" s="6">
        <f t="shared" si="306"/>
        <v>0.84574683442734511</v>
      </c>
      <c r="Q612" s="6">
        <f t="shared" si="306"/>
        <v>-4.8174316248247306E-3</v>
      </c>
      <c r="R612" s="70">
        <v>80</v>
      </c>
      <c r="S612" s="70">
        <v>0</v>
      </c>
      <c r="T612" s="6">
        <f t="shared" si="253"/>
        <v>0</v>
      </c>
      <c r="U612" s="35" t="e">
        <f t="shared" si="257"/>
        <v>#DIV/0!</v>
      </c>
      <c r="V612" s="6" t="e">
        <f t="shared" si="307"/>
        <v>#DIV/0!</v>
      </c>
      <c r="W612" s="6" t="e">
        <f t="shared" si="307"/>
        <v>#DIV/0!</v>
      </c>
      <c r="X612" s="6" t="e">
        <f t="shared" si="307"/>
        <v>#DIV/0!</v>
      </c>
      <c r="Y612" s="6" t="e">
        <f t="shared" si="307"/>
        <v>#DIV/0!</v>
      </c>
      <c r="Z612" s="6" t="e">
        <f t="shared" si="307"/>
        <v>#DIV/0!</v>
      </c>
    </row>
    <row r="613" spans="1:26" x14ac:dyDescent="0.2">
      <c r="A613" s="7" t="s">
        <v>96</v>
      </c>
      <c r="B613" s="6">
        <f t="shared" si="254"/>
        <v>12</v>
      </c>
      <c r="C613" s="7" t="s">
        <v>162</v>
      </c>
      <c r="D613" s="69">
        <v>75</v>
      </c>
      <c r="E613" s="69">
        <v>0</v>
      </c>
      <c r="F613" s="66">
        <f t="shared" si="252"/>
        <v>0</v>
      </c>
      <c r="G613" s="61" t="e">
        <f t="shared" si="255"/>
        <v>#DIV/0!</v>
      </c>
      <c r="H613" s="66" t="e">
        <f t="shared" si="305"/>
        <v>#DIV/0!</v>
      </c>
      <c r="I613" s="66" t="e">
        <f t="shared" si="305"/>
        <v>#DIV/0!</v>
      </c>
      <c r="J613" s="66" t="e">
        <f t="shared" si="305"/>
        <v>#DIV/0!</v>
      </c>
      <c r="K613" s="70">
        <v>30000</v>
      </c>
      <c r="L613" s="70">
        <f>'Monitoramento Acumulado Geral'!Q613</f>
        <v>0</v>
      </c>
      <c r="M613" s="6">
        <f>(SUM(L602:L613))/K612</f>
        <v>0.188</v>
      </c>
      <c r="N613" s="35" t="str">
        <f t="shared" si="256"/>
        <v>Desempenho Médio</v>
      </c>
      <c r="O613" s="6">
        <f t="shared" si="306"/>
        <v>0.41824651958307835</v>
      </c>
      <c r="P613" s="6">
        <f t="shared" si="306"/>
        <v>0.84510274859297763</v>
      </c>
      <c r="Q613" s="6">
        <f t="shared" si="306"/>
        <v>-8.6097094268208774E-3</v>
      </c>
      <c r="R613" s="70">
        <v>80</v>
      </c>
      <c r="S613" s="70">
        <v>0</v>
      </c>
      <c r="T613" s="6">
        <f t="shared" si="253"/>
        <v>0</v>
      </c>
      <c r="U613" s="35" t="e">
        <f t="shared" si="257"/>
        <v>#DIV/0!</v>
      </c>
      <c r="V613" s="6" t="e">
        <f t="shared" si="307"/>
        <v>#DIV/0!</v>
      </c>
      <c r="W613" s="6" t="e">
        <f t="shared" si="307"/>
        <v>#DIV/0!</v>
      </c>
      <c r="X613" s="6" t="e">
        <f t="shared" si="307"/>
        <v>#DIV/0!</v>
      </c>
      <c r="Y613" s="6" t="e">
        <f t="shared" si="307"/>
        <v>#DIV/0!</v>
      </c>
      <c r="Z613" s="6" t="e">
        <f t="shared" si="307"/>
        <v>#DIV/0!</v>
      </c>
    </row>
    <row r="614" spans="1:26" x14ac:dyDescent="0.2">
      <c r="A614" s="7" t="s">
        <v>66</v>
      </c>
      <c r="B614" s="6">
        <f t="shared" si="254"/>
        <v>1</v>
      </c>
      <c r="C614" s="7" t="s">
        <v>151</v>
      </c>
      <c r="D614" s="69">
        <v>75</v>
      </c>
      <c r="E614" s="69">
        <v>0</v>
      </c>
      <c r="F614" s="66">
        <f t="shared" si="252"/>
        <v>0</v>
      </c>
      <c r="G614" s="61" t="e">
        <f t="shared" si="255"/>
        <v>#DIV/0!</v>
      </c>
      <c r="H614" s="66" t="e">
        <f t="shared" si="259"/>
        <v>#DIV/0!</v>
      </c>
      <c r="I614" s="66" t="e">
        <f t="shared" si="259"/>
        <v>#DIV/0!</v>
      </c>
      <c r="J614" s="66" t="e">
        <f t="shared" si="259"/>
        <v>#DIV/0!</v>
      </c>
      <c r="K614" s="70">
        <v>7000</v>
      </c>
      <c r="L614" s="70">
        <f>'Monitoramento Acumulado Geral'!Q614</f>
        <v>0</v>
      </c>
      <c r="M614" s="6">
        <f>L614/K614</f>
        <v>0</v>
      </c>
      <c r="N614" s="35" t="str">
        <f t="shared" si="256"/>
        <v>Desempenho Médio</v>
      </c>
      <c r="O614" s="6">
        <f t="shared" ref="O614:Q629" si="308">O602</f>
        <v>3.4274647562211005E-2</v>
      </c>
      <c r="P614" s="6">
        <f t="shared" si="308"/>
        <v>0.10289217685709087</v>
      </c>
      <c r="Q614" s="6">
        <f t="shared" si="308"/>
        <v>-3.4342881732668862E-2</v>
      </c>
      <c r="R614" s="70">
        <v>80</v>
      </c>
      <c r="S614" s="70">
        <v>0</v>
      </c>
      <c r="T614" s="6">
        <f t="shared" si="253"/>
        <v>0</v>
      </c>
      <c r="U614" s="35" t="e">
        <f t="shared" si="257"/>
        <v>#DIV/0!</v>
      </c>
      <c r="V614" s="6" t="e">
        <f t="shared" ref="V614:Z622" si="309">V602</f>
        <v>#DIV/0!</v>
      </c>
      <c r="W614" s="6" t="e">
        <f t="shared" si="309"/>
        <v>#DIV/0!</v>
      </c>
      <c r="X614" s="6" t="e">
        <f t="shared" si="309"/>
        <v>#DIV/0!</v>
      </c>
      <c r="Y614" s="6" t="e">
        <f t="shared" si="309"/>
        <v>#DIV/0!</v>
      </c>
      <c r="Z614" s="6" t="e">
        <f t="shared" si="309"/>
        <v>#DIV/0!</v>
      </c>
    </row>
    <row r="615" spans="1:26" x14ac:dyDescent="0.2">
      <c r="A615" s="7" t="s">
        <v>66</v>
      </c>
      <c r="B615" s="6">
        <f t="shared" si="254"/>
        <v>2</v>
      </c>
      <c r="C615" s="7" t="s">
        <v>152</v>
      </c>
      <c r="D615" s="69">
        <v>75</v>
      </c>
      <c r="E615" s="69">
        <v>45</v>
      </c>
      <c r="F615" s="66">
        <f t="shared" si="252"/>
        <v>0.6</v>
      </c>
      <c r="G615" s="61" t="e">
        <f t="shared" si="255"/>
        <v>#DIV/0!</v>
      </c>
      <c r="H615" s="66" t="e">
        <f t="shared" si="259"/>
        <v>#DIV/0!</v>
      </c>
      <c r="I615" s="66" t="e">
        <f t="shared" si="259"/>
        <v>#DIV/0!</v>
      </c>
      <c r="J615" s="66" t="e">
        <f t="shared" si="259"/>
        <v>#DIV/0!</v>
      </c>
      <c r="K615" s="70">
        <v>7000</v>
      </c>
      <c r="L615" s="70">
        <f>'Monitoramento Acumulado Geral'!Q615</f>
        <v>3420</v>
      </c>
      <c r="M615" s="6">
        <f>(SUM(L614:L615))/K614</f>
        <v>0.48857142857142855</v>
      </c>
      <c r="N615" s="35" t="str">
        <f t="shared" si="256"/>
        <v>Desempenho Ótimo</v>
      </c>
      <c r="O615" s="6">
        <f t="shared" si="308"/>
        <v>8.1815188943147363E-2</v>
      </c>
      <c r="P615" s="6">
        <f t="shared" si="308"/>
        <v>0.20623883252423067</v>
      </c>
      <c r="Q615" s="6">
        <f t="shared" si="308"/>
        <v>-4.2608454637935944E-2</v>
      </c>
      <c r="R615" s="70">
        <v>80</v>
      </c>
      <c r="S615" s="70">
        <v>0</v>
      </c>
      <c r="T615" s="6">
        <f t="shared" si="253"/>
        <v>0</v>
      </c>
      <c r="U615" s="35" t="e">
        <f t="shared" si="257"/>
        <v>#DIV/0!</v>
      </c>
      <c r="V615" s="6" t="e">
        <f t="shared" si="309"/>
        <v>#DIV/0!</v>
      </c>
      <c r="W615" s="6" t="e">
        <f t="shared" si="309"/>
        <v>#DIV/0!</v>
      </c>
      <c r="X615" s="6" t="e">
        <f t="shared" si="309"/>
        <v>#DIV/0!</v>
      </c>
      <c r="Y615" s="6" t="e">
        <f t="shared" si="309"/>
        <v>#DIV/0!</v>
      </c>
      <c r="Z615" s="6" t="e">
        <f t="shared" si="309"/>
        <v>#DIV/0!</v>
      </c>
    </row>
    <row r="616" spans="1:26" x14ac:dyDescent="0.2">
      <c r="A616" s="7" t="s">
        <v>66</v>
      </c>
      <c r="B616" s="6">
        <f t="shared" si="254"/>
        <v>3</v>
      </c>
      <c r="C616" s="7" t="s">
        <v>153</v>
      </c>
      <c r="D616" s="69">
        <v>75</v>
      </c>
      <c r="E616" s="69">
        <v>45</v>
      </c>
      <c r="F616" s="66">
        <f t="shared" si="252"/>
        <v>0.6</v>
      </c>
      <c r="G616" s="61" t="e">
        <f t="shared" si="255"/>
        <v>#DIV/0!</v>
      </c>
      <c r="H616" s="66" t="e">
        <f t="shared" si="259"/>
        <v>#DIV/0!</v>
      </c>
      <c r="I616" s="66" t="e">
        <f t="shared" si="259"/>
        <v>#DIV/0!</v>
      </c>
      <c r="J616" s="66" t="e">
        <f t="shared" si="259"/>
        <v>#DIV/0!</v>
      </c>
      <c r="K616" s="70">
        <v>7000</v>
      </c>
      <c r="L616" s="70">
        <f>'Monitoramento Acumulado Geral'!Q616</f>
        <v>0</v>
      </c>
      <c r="M616" s="6">
        <f>(SUM(L614:L616))/K615</f>
        <v>0.48857142857142855</v>
      </c>
      <c r="N616" s="35" t="str">
        <f t="shared" si="256"/>
        <v>Desempenho Ótimo</v>
      </c>
      <c r="O616" s="6">
        <f t="shared" si="308"/>
        <v>0.13411292471649494</v>
      </c>
      <c r="P616" s="6">
        <f t="shared" si="308"/>
        <v>0.29721906787058483</v>
      </c>
      <c r="Q616" s="6">
        <f t="shared" si="308"/>
        <v>-2.899321843759492E-2</v>
      </c>
      <c r="R616" s="70">
        <v>80</v>
      </c>
      <c r="S616" s="70">
        <v>0</v>
      </c>
      <c r="T616" s="6">
        <f t="shared" si="253"/>
        <v>0</v>
      </c>
      <c r="U616" s="35" t="e">
        <f t="shared" si="257"/>
        <v>#DIV/0!</v>
      </c>
      <c r="V616" s="6" t="e">
        <f t="shared" si="309"/>
        <v>#DIV/0!</v>
      </c>
      <c r="W616" s="6" t="e">
        <f t="shared" si="309"/>
        <v>#DIV/0!</v>
      </c>
      <c r="X616" s="6" t="e">
        <f t="shared" si="309"/>
        <v>#DIV/0!</v>
      </c>
      <c r="Y616" s="6" t="e">
        <f t="shared" si="309"/>
        <v>#DIV/0!</v>
      </c>
      <c r="Z616" s="6" t="e">
        <f t="shared" si="309"/>
        <v>#DIV/0!</v>
      </c>
    </row>
    <row r="617" spans="1:26" x14ac:dyDescent="0.2">
      <c r="A617" s="7" t="s">
        <v>66</v>
      </c>
      <c r="B617" s="6">
        <f t="shared" si="254"/>
        <v>4</v>
      </c>
      <c r="C617" s="7" t="s">
        <v>154</v>
      </c>
      <c r="D617" s="69">
        <v>75</v>
      </c>
      <c r="E617" s="69">
        <v>45</v>
      </c>
      <c r="F617" s="66">
        <f t="shared" si="252"/>
        <v>0.6</v>
      </c>
      <c r="G617" s="61" t="e">
        <f t="shared" si="255"/>
        <v>#DIV/0!</v>
      </c>
      <c r="H617" s="66" t="e">
        <f t="shared" si="259"/>
        <v>#DIV/0!</v>
      </c>
      <c r="I617" s="66" t="e">
        <f t="shared" si="259"/>
        <v>#DIV/0!</v>
      </c>
      <c r="J617" s="66" t="e">
        <f t="shared" si="259"/>
        <v>#DIV/0!</v>
      </c>
      <c r="K617" s="70">
        <v>7000</v>
      </c>
      <c r="L617" s="70">
        <f>'Monitoramento Acumulado Geral'!Q617</f>
        <v>0</v>
      </c>
      <c r="M617" s="6">
        <f>(SUM(L614:L617))/K616</f>
        <v>0.48857142857142855</v>
      </c>
      <c r="N617" s="35" t="str">
        <f t="shared" si="256"/>
        <v>Desempenho Ótimo</v>
      </c>
      <c r="O617" s="6">
        <f t="shared" si="308"/>
        <v>0.15392483870093213</v>
      </c>
      <c r="P617" s="6">
        <f t="shared" si="308"/>
        <v>0.32772007016950033</v>
      </c>
      <c r="Q617" s="6">
        <f t="shared" si="308"/>
        <v>-1.9870392767636053E-2</v>
      </c>
      <c r="R617" s="70">
        <v>80</v>
      </c>
      <c r="S617" s="70">
        <v>0</v>
      </c>
      <c r="T617" s="6">
        <f t="shared" si="253"/>
        <v>0</v>
      </c>
      <c r="U617" s="35" t="e">
        <f t="shared" si="257"/>
        <v>#DIV/0!</v>
      </c>
      <c r="V617" s="6" t="e">
        <f t="shared" si="309"/>
        <v>#DIV/0!</v>
      </c>
      <c r="W617" s="6" t="e">
        <f t="shared" si="309"/>
        <v>#DIV/0!</v>
      </c>
      <c r="X617" s="6" t="e">
        <f t="shared" si="309"/>
        <v>#DIV/0!</v>
      </c>
      <c r="Y617" s="6" t="e">
        <f t="shared" si="309"/>
        <v>#DIV/0!</v>
      </c>
      <c r="Z617" s="6" t="e">
        <f t="shared" si="309"/>
        <v>#DIV/0!</v>
      </c>
    </row>
    <row r="618" spans="1:26" x14ac:dyDescent="0.2">
      <c r="A618" s="7" t="s">
        <v>66</v>
      </c>
      <c r="B618" s="6">
        <f t="shared" si="254"/>
        <v>5</v>
      </c>
      <c r="C618" s="7" t="s">
        <v>155</v>
      </c>
      <c r="D618" s="69">
        <v>75</v>
      </c>
      <c r="E618" s="69">
        <v>45</v>
      </c>
      <c r="F618" s="66">
        <f t="shared" si="252"/>
        <v>0.6</v>
      </c>
      <c r="G618" s="61" t="e">
        <f t="shared" si="255"/>
        <v>#DIV/0!</v>
      </c>
      <c r="H618" s="66" t="e">
        <f t="shared" si="259"/>
        <v>#DIV/0!</v>
      </c>
      <c r="I618" s="66" t="e">
        <f t="shared" si="259"/>
        <v>#DIV/0!</v>
      </c>
      <c r="J618" s="66" t="e">
        <f t="shared" si="259"/>
        <v>#DIV/0!</v>
      </c>
      <c r="K618" s="70">
        <v>7000</v>
      </c>
      <c r="L618" s="70">
        <f>'Monitoramento Acumulado Geral'!Q618</f>
        <v>0</v>
      </c>
      <c r="M618" s="6">
        <f>(SUM(L614:L618))/K617</f>
        <v>0.48857142857142855</v>
      </c>
      <c r="N618" s="35" t="str">
        <f t="shared" si="256"/>
        <v>Desempenho Ótimo</v>
      </c>
      <c r="O618" s="6">
        <f t="shared" si="308"/>
        <v>0.21139287248463789</v>
      </c>
      <c r="P618" s="6">
        <f t="shared" si="308"/>
        <v>0.43680804416292918</v>
      </c>
      <c r="Q618" s="6">
        <f t="shared" si="308"/>
        <v>-1.4022299193653387E-2</v>
      </c>
      <c r="R618" s="70">
        <v>80</v>
      </c>
      <c r="S618" s="70">
        <v>0</v>
      </c>
      <c r="T618" s="6">
        <f t="shared" si="253"/>
        <v>0</v>
      </c>
      <c r="U618" s="35" t="e">
        <f t="shared" si="257"/>
        <v>#DIV/0!</v>
      </c>
      <c r="V618" s="6" t="e">
        <f t="shared" si="309"/>
        <v>#DIV/0!</v>
      </c>
      <c r="W618" s="6" t="e">
        <f t="shared" si="309"/>
        <v>#DIV/0!</v>
      </c>
      <c r="X618" s="6" t="e">
        <f t="shared" si="309"/>
        <v>#DIV/0!</v>
      </c>
      <c r="Y618" s="6" t="e">
        <f t="shared" si="309"/>
        <v>#DIV/0!</v>
      </c>
      <c r="Z618" s="6" t="e">
        <f t="shared" si="309"/>
        <v>#DIV/0!</v>
      </c>
    </row>
    <row r="619" spans="1:26" x14ac:dyDescent="0.2">
      <c r="A619" s="7" t="s">
        <v>66</v>
      </c>
      <c r="B619" s="6">
        <f t="shared" si="254"/>
        <v>6</v>
      </c>
      <c r="C619" s="7" t="s">
        <v>156</v>
      </c>
      <c r="D619" s="69">
        <v>75</v>
      </c>
      <c r="E619" s="69">
        <v>91</v>
      </c>
      <c r="F619" s="66">
        <f t="shared" si="252"/>
        <v>1.2133333333333334</v>
      </c>
      <c r="G619" s="61" t="e">
        <f t="shared" si="255"/>
        <v>#DIV/0!</v>
      </c>
      <c r="H619" s="66" t="e">
        <f t="shared" si="259"/>
        <v>#DIV/0!</v>
      </c>
      <c r="I619" s="66" t="e">
        <f t="shared" si="259"/>
        <v>#DIV/0!</v>
      </c>
      <c r="J619" s="66" t="e">
        <f t="shared" si="259"/>
        <v>#DIV/0!</v>
      </c>
      <c r="K619" s="70">
        <v>7000</v>
      </c>
      <c r="L619" s="70">
        <f>'Monitoramento Acumulado Geral'!Q619</f>
        <v>1920</v>
      </c>
      <c r="M619" s="6">
        <f>(SUM(L614:L619))/K618</f>
        <v>0.7628571428571429</v>
      </c>
      <c r="N619" s="35" t="str">
        <f t="shared" si="256"/>
        <v>Desempenho Ótimo</v>
      </c>
      <c r="O619" s="6">
        <f t="shared" si="308"/>
        <v>0.28403291059934432</v>
      </c>
      <c r="P619" s="6">
        <f t="shared" si="308"/>
        <v>0.56118246348434164</v>
      </c>
      <c r="Q619" s="6">
        <f t="shared" si="308"/>
        <v>6.8833577143469493E-3</v>
      </c>
      <c r="R619" s="70">
        <v>80</v>
      </c>
      <c r="S619" s="70">
        <v>0</v>
      </c>
      <c r="T619" s="6">
        <f t="shared" si="253"/>
        <v>0</v>
      </c>
      <c r="U619" s="35" t="e">
        <f t="shared" si="257"/>
        <v>#DIV/0!</v>
      </c>
      <c r="V619" s="6" t="e">
        <f t="shared" si="309"/>
        <v>#DIV/0!</v>
      </c>
      <c r="W619" s="6" t="e">
        <f t="shared" si="309"/>
        <v>#DIV/0!</v>
      </c>
      <c r="X619" s="6" t="e">
        <f t="shared" si="309"/>
        <v>#DIV/0!</v>
      </c>
      <c r="Y619" s="6" t="e">
        <f t="shared" si="309"/>
        <v>#DIV/0!</v>
      </c>
      <c r="Z619" s="6" t="e">
        <f t="shared" si="309"/>
        <v>#DIV/0!</v>
      </c>
    </row>
    <row r="620" spans="1:26" x14ac:dyDescent="0.2">
      <c r="A620" s="7" t="s">
        <v>66</v>
      </c>
      <c r="B620" s="6">
        <f t="shared" si="254"/>
        <v>7</v>
      </c>
      <c r="C620" s="7" t="s">
        <v>157</v>
      </c>
      <c r="D620" s="69">
        <v>75</v>
      </c>
      <c r="E620" s="69">
        <v>91</v>
      </c>
      <c r="F620" s="68">
        <f t="shared" si="252"/>
        <v>1.2133333333333334</v>
      </c>
      <c r="G620" s="61" t="e">
        <f t="shared" si="255"/>
        <v>#DIV/0!</v>
      </c>
      <c r="H620" s="66" t="e">
        <f t="shared" si="259"/>
        <v>#DIV/0!</v>
      </c>
      <c r="I620" s="66" t="e">
        <f t="shared" si="259"/>
        <v>#DIV/0!</v>
      </c>
      <c r="J620" s="66" t="e">
        <f t="shared" si="259"/>
        <v>#DIV/0!</v>
      </c>
      <c r="K620" s="70">
        <v>7000</v>
      </c>
      <c r="L620" s="70">
        <f>'Monitoramento Acumulado Geral'!Q620</f>
        <v>0</v>
      </c>
      <c r="M620" s="6">
        <f>(SUM(L614:L620))/K619</f>
        <v>0.7628571428571429</v>
      </c>
      <c r="N620" s="35" t="str">
        <f t="shared" si="256"/>
        <v>Desempenho Bom</v>
      </c>
      <c r="O620" s="6">
        <f t="shared" si="308"/>
        <v>0.42046470140126019</v>
      </c>
      <c r="P620" s="6">
        <f t="shared" si="308"/>
        <v>0.84574683442734511</v>
      </c>
      <c r="Q620" s="6">
        <f t="shared" si="308"/>
        <v>-4.8174316248247306E-3</v>
      </c>
      <c r="R620" s="70">
        <v>80</v>
      </c>
      <c r="S620" s="70">
        <v>0</v>
      </c>
      <c r="T620" s="6">
        <f t="shared" si="253"/>
        <v>0</v>
      </c>
      <c r="U620" s="35" t="e">
        <f t="shared" si="257"/>
        <v>#DIV/0!</v>
      </c>
      <c r="V620" s="6" t="e">
        <f t="shared" si="309"/>
        <v>#DIV/0!</v>
      </c>
      <c r="W620" s="6" t="e">
        <f t="shared" si="309"/>
        <v>#DIV/0!</v>
      </c>
      <c r="X620" s="6" t="e">
        <f t="shared" si="309"/>
        <v>#DIV/0!</v>
      </c>
      <c r="Y620" s="6" t="e">
        <f t="shared" si="309"/>
        <v>#DIV/0!</v>
      </c>
      <c r="Z620" s="6" t="e">
        <f t="shared" si="309"/>
        <v>#DIV/0!</v>
      </c>
    </row>
    <row r="621" spans="1:26" x14ac:dyDescent="0.2">
      <c r="A621" s="7" t="s">
        <v>66</v>
      </c>
      <c r="B621" s="6">
        <f t="shared" si="254"/>
        <v>8</v>
      </c>
      <c r="C621" s="7" t="s">
        <v>158</v>
      </c>
      <c r="D621" s="69">
        <v>75</v>
      </c>
      <c r="E621" s="69">
        <v>0</v>
      </c>
      <c r="F621" s="66">
        <f t="shared" si="252"/>
        <v>0</v>
      </c>
      <c r="G621" s="61" t="e">
        <f t="shared" si="255"/>
        <v>#DIV/0!</v>
      </c>
      <c r="H621" s="66" t="e">
        <f t="shared" si="259"/>
        <v>#DIV/0!</v>
      </c>
      <c r="I621" s="66" t="e">
        <f t="shared" si="259"/>
        <v>#DIV/0!</v>
      </c>
      <c r="J621" s="66" t="e">
        <f t="shared" si="259"/>
        <v>#DIV/0!</v>
      </c>
      <c r="K621" s="70">
        <v>7000</v>
      </c>
      <c r="L621" s="70">
        <f>'Monitoramento Acumulado Geral'!Q621</f>
        <v>0</v>
      </c>
      <c r="M621" s="6">
        <f>(SUM(L614:L621))/K620</f>
        <v>0.7628571428571429</v>
      </c>
      <c r="N621" s="35" t="str">
        <f t="shared" si="256"/>
        <v>Desempenho Bom</v>
      </c>
      <c r="O621" s="6">
        <f t="shared" si="308"/>
        <v>0.42046470140126019</v>
      </c>
      <c r="P621" s="6">
        <f t="shared" si="308"/>
        <v>0.84574683442734511</v>
      </c>
      <c r="Q621" s="6">
        <f t="shared" si="308"/>
        <v>-4.8174316248247306E-3</v>
      </c>
      <c r="R621" s="70">
        <v>80</v>
      </c>
      <c r="S621" s="70">
        <v>0</v>
      </c>
      <c r="T621" s="6">
        <f t="shared" si="253"/>
        <v>0</v>
      </c>
      <c r="U621" s="35" t="e">
        <f t="shared" si="257"/>
        <v>#DIV/0!</v>
      </c>
      <c r="V621" s="6" t="e">
        <f t="shared" si="309"/>
        <v>#DIV/0!</v>
      </c>
      <c r="W621" s="6" t="e">
        <f t="shared" si="309"/>
        <v>#DIV/0!</v>
      </c>
      <c r="X621" s="6" t="e">
        <f t="shared" si="309"/>
        <v>#DIV/0!</v>
      </c>
      <c r="Y621" s="6" t="e">
        <f t="shared" si="309"/>
        <v>#DIV/0!</v>
      </c>
      <c r="Z621" s="6" t="e">
        <f t="shared" si="309"/>
        <v>#DIV/0!</v>
      </c>
    </row>
    <row r="622" spans="1:26" x14ac:dyDescent="0.2">
      <c r="A622" s="7" t="s">
        <v>66</v>
      </c>
      <c r="B622" s="6">
        <f t="shared" si="254"/>
        <v>9</v>
      </c>
      <c r="C622" s="7" t="s">
        <v>159</v>
      </c>
      <c r="D622" s="69">
        <v>75</v>
      </c>
      <c r="E622" s="69">
        <v>0</v>
      </c>
      <c r="F622" s="66">
        <f t="shared" si="252"/>
        <v>0</v>
      </c>
      <c r="G622" s="61" t="e">
        <f t="shared" si="255"/>
        <v>#DIV/0!</v>
      </c>
      <c r="H622" s="66" t="e">
        <f t="shared" si="259"/>
        <v>#DIV/0!</v>
      </c>
      <c r="I622" s="66" t="e">
        <f t="shared" si="259"/>
        <v>#DIV/0!</v>
      </c>
      <c r="J622" s="66" t="e">
        <f t="shared" si="259"/>
        <v>#DIV/0!</v>
      </c>
      <c r="K622" s="70">
        <v>7000</v>
      </c>
      <c r="L622" s="70">
        <f>'Monitoramento Acumulado Geral'!Q622</f>
        <v>0</v>
      </c>
      <c r="M622" s="6">
        <f>(SUM(L614:L622))/K621</f>
        <v>0.7628571428571429</v>
      </c>
      <c r="N622" s="35" t="str">
        <f t="shared" si="256"/>
        <v>Desempenho Bom</v>
      </c>
      <c r="O622" s="6">
        <f t="shared" si="308"/>
        <v>0.42046470140126019</v>
      </c>
      <c r="P622" s="6">
        <f t="shared" si="308"/>
        <v>0.84574683442734511</v>
      </c>
      <c r="Q622" s="6">
        <f t="shared" si="308"/>
        <v>-4.8174316248247306E-3</v>
      </c>
      <c r="R622" s="70">
        <v>80</v>
      </c>
      <c r="S622" s="70">
        <v>0</v>
      </c>
      <c r="T622" s="6">
        <f t="shared" si="253"/>
        <v>0</v>
      </c>
      <c r="U622" s="35" t="e">
        <f t="shared" si="257"/>
        <v>#DIV/0!</v>
      </c>
      <c r="V622" s="6" t="e">
        <f t="shared" si="309"/>
        <v>#DIV/0!</v>
      </c>
      <c r="W622" s="6" t="e">
        <f t="shared" si="309"/>
        <v>#DIV/0!</v>
      </c>
      <c r="X622" s="6" t="e">
        <f t="shared" si="309"/>
        <v>#DIV/0!</v>
      </c>
      <c r="Y622" s="6" t="e">
        <f t="shared" si="309"/>
        <v>#DIV/0!</v>
      </c>
      <c r="Z622" s="6" t="e">
        <f t="shared" si="309"/>
        <v>#DIV/0!</v>
      </c>
    </row>
    <row r="623" spans="1:26" x14ac:dyDescent="0.2">
      <c r="A623" s="7" t="s">
        <v>66</v>
      </c>
      <c r="B623" s="6">
        <f t="shared" si="254"/>
        <v>10</v>
      </c>
      <c r="C623" s="7" t="s">
        <v>160</v>
      </c>
      <c r="D623" s="69">
        <v>75</v>
      </c>
      <c r="E623" s="69">
        <v>0</v>
      </c>
      <c r="F623" s="66">
        <f t="shared" si="252"/>
        <v>0</v>
      </c>
      <c r="G623" s="61" t="e">
        <f t="shared" si="255"/>
        <v>#DIV/0!</v>
      </c>
      <c r="H623" s="66" t="e">
        <f t="shared" si="259"/>
        <v>#DIV/0!</v>
      </c>
      <c r="I623" s="66" t="e">
        <f t="shared" si="259"/>
        <v>#DIV/0!</v>
      </c>
      <c r="J623" s="66" t="e">
        <f t="shared" si="259"/>
        <v>#DIV/0!</v>
      </c>
      <c r="K623" s="70">
        <v>7000</v>
      </c>
      <c r="L623" s="70">
        <f>'Monitoramento Acumulado Geral'!Q623</f>
        <v>0</v>
      </c>
      <c r="M623" s="6">
        <f>(SUM(L614:L623))/K622</f>
        <v>0.7628571428571429</v>
      </c>
      <c r="N623" s="35" t="str">
        <f t="shared" si="256"/>
        <v>Desempenho Bom</v>
      </c>
      <c r="O623" s="6">
        <f t="shared" si="308"/>
        <v>0.42046470140126019</v>
      </c>
      <c r="P623" s="6">
        <f t="shared" si="308"/>
        <v>0.84574683442734511</v>
      </c>
      <c r="Q623" s="6">
        <f t="shared" si="308"/>
        <v>-4.8174316248247306E-3</v>
      </c>
      <c r="R623" s="70">
        <v>80</v>
      </c>
      <c r="S623" s="70">
        <v>0</v>
      </c>
      <c r="T623" s="6">
        <f t="shared" si="253"/>
        <v>0</v>
      </c>
      <c r="U623" s="35" t="e">
        <f t="shared" si="257"/>
        <v>#DIV/0!</v>
      </c>
      <c r="V623" s="6" t="e">
        <f t="shared" ref="V623:Z638" si="310">V611</f>
        <v>#DIV/0!</v>
      </c>
      <c r="W623" s="6" t="e">
        <f t="shared" si="310"/>
        <v>#DIV/0!</v>
      </c>
      <c r="X623" s="6" t="e">
        <f t="shared" si="310"/>
        <v>#DIV/0!</v>
      </c>
      <c r="Y623" s="6" t="e">
        <f t="shared" si="310"/>
        <v>#DIV/0!</v>
      </c>
      <c r="Z623" s="6" t="e">
        <f t="shared" si="310"/>
        <v>#DIV/0!</v>
      </c>
    </row>
    <row r="624" spans="1:26" x14ac:dyDescent="0.2">
      <c r="A624" s="7" t="s">
        <v>66</v>
      </c>
      <c r="B624" s="6">
        <f t="shared" si="254"/>
        <v>11</v>
      </c>
      <c r="C624" s="7" t="s">
        <v>161</v>
      </c>
      <c r="D624" s="69">
        <v>75</v>
      </c>
      <c r="E624" s="69">
        <v>0</v>
      </c>
      <c r="F624" s="66">
        <f t="shared" si="252"/>
        <v>0</v>
      </c>
      <c r="G624" s="61" t="e">
        <f t="shared" si="255"/>
        <v>#DIV/0!</v>
      </c>
      <c r="H624" s="66" t="e">
        <f t="shared" si="259"/>
        <v>#DIV/0!</v>
      </c>
      <c r="I624" s="66" t="e">
        <f t="shared" si="259"/>
        <v>#DIV/0!</v>
      </c>
      <c r="J624" s="66" t="e">
        <f t="shared" si="259"/>
        <v>#DIV/0!</v>
      </c>
      <c r="K624" s="70">
        <v>7000</v>
      </c>
      <c r="L624" s="70">
        <f>'Monitoramento Acumulado Geral'!Q624</f>
        <v>0</v>
      </c>
      <c r="M624" s="6">
        <f>(SUM(L614:L624))/K623</f>
        <v>0.7628571428571429</v>
      </c>
      <c r="N624" s="35" t="str">
        <f t="shared" si="256"/>
        <v>Desempenho Bom</v>
      </c>
      <c r="O624" s="6">
        <f t="shared" si="308"/>
        <v>0.42046470140126019</v>
      </c>
      <c r="P624" s="6">
        <f t="shared" si="308"/>
        <v>0.84574683442734511</v>
      </c>
      <c r="Q624" s="6">
        <f t="shared" si="308"/>
        <v>-4.8174316248247306E-3</v>
      </c>
      <c r="R624" s="70">
        <v>80</v>
      </c>
      <c r="S624" s="70">
        <v>0</v>
      </c>
      <c r="T624" s="6">
        <f t="shared" si="253"/>
        <v>0</v>
      </c>
      <c r="U624" s="35" t="e">
        <f t="shared" si="257"/>
        <v>#DIV/0!</v>
      </c>
      <c r="V624" s="6" t="e">
        <f t="shared" si="310"/>
        <v>#DIV/0!</v>
      </c>
      <c r="W624" s="6" t="e">
        <f t="shared" si="310"/>
        <v>#DIV/0!</v>
      </c>
      <c r="X624" s="6" t="e">
        <f t="shared" si="310"/>
        <v>#DIV/0!</v>
      </c>
      <c r="Y624" s="6" t="e">
        <f t="shared" si="310"/>
        <v>#DIV/0!</v>
      </c>
      <c r="Z624" s="6" t="e">
        <f t="shared" si="310"/>
        <v>#DIV/0!</v>
      </c>
    </row>
    <row r="625" spans="1:26" x14ac:dyDescent="0.2">
      <c r="A625" s="7" t="s">
        <v>66</v>
      </c>
      <c r="B625" s="6">
        <f t="shared" si="254"/>
        <v>12</v>
      </c>
      <c r="C625" s="7" t="s">
        <v>162</v>
      </c>
      <c r="D625" s="69">
        <v>75</v>
      </c>
      <c r="E625" s="69">
        <v>0</v>
      </c>
      <c r="F625" s="66">
        <f t="shared" si="252"/>
        <v>0</v>
      </c>
      <c r="G625" s="61" t="e">
        <f t="shared" si="255"/>
        <v>#DIV/0!</v>
      </c>
      <c r="H625" s="66" t="e">
        <f t="shared" si="259"/>
        <v>#DIV/0!</v>
      </c>
      <c r="I625" s="66" t="e">
        <f t="shared" si="259"/>
        <v>#DIV/0!</v>
      </c>
      <c r="J625" s="66" t="e">
        <f t="shared" si="259"/>
        <v>#DIV/0!</v>
      </c>
      <c r="K625" s="70">
        <v>7000</v>
      </c>
      <c r="L625" s="70">
        <f>'Monitoramento Acumulado Geral'!Q625</f>
        <v>0</v>
      </c>
      <c r="M625" s="6">
        <f>(SUM(L614:L625))/K624</f>
        <v>0.7628571428571429</v>
      </c>
      <c r="N625" s="35" t="str">
        <f t="shared" si="256"/>
        <v>Desempenho Bom</v>
      </c>
      <c r="O625" s="6">
        <f t="shared" si="308"/>
        <v>0.41824651958307835</v>
      </c>
      <c r="P625" s="6">
        <f t="shared" si="308"/>
        <v>0.84510274859297763</v>
      </c>
      <c r="Q625" s="6">
        <f t="shared" si="308"/>
        <v>-8.6097094268208774E-3</v>
      </c>
      <c r="R625" s="70">
        <v>80</v>
      </c>
      <c r="S625" s="70">
        <v>0</v>
      </c>
      <c r="T625" s="6">
        <f t="shared" si="253"/>
        <v>0</v>
      </c>
      <c r="U625" s="35" t="e">
        <f t="shared" si="257"/>
        <v>#DIV/0!</v>
      </c>
      <c r="V625" s="6" t="e">
        <f t="shared" si="310"/>
        <v>#DIV/0!</v>
      </c>
      <c r="W625" s="6" t="e">
        <f t="shared" si="310"/>
        <v>#DIV/0!</v>
      </c>
      <c r="X625" s="6" t="e">
        <f t="shared" si="310"/>
        <v>#DIV/0!</v>
      </c>
      <c r="Y625" s="6" t="e">
        <f t="shared" si="310"/>
        <v>#DIV/0!</v>
      </c>
      <c r="Z625" s="6" t="e">
        <f t="shared" si="310"/>
        <v>#DIV/0!</v>
      </c>
    </row>
    <row r="626" spans="1:26" x14ac:dyDescent="0.2">
      <c r="A626" s="7" t="s">
        <v>146</v>
      </c>
      <c r="B626" s="6">
        <f t="shared" si="254"/>
        <v>1</v>
      </c>
      <c r="C626" s="7" t="s">
        <v>151</v>
      </c>
      <c r="D626" s="69">
        <v>60</v>
      </c>
      <c r="E626" s="69">
        <v>0</v>
      </c>
      <c r="F626" s="66">
        <f t="shared" ref="F626:F701" si="311">E626/D626</f>
        <v>0</v>
      </c>
      <c r="G626" s="61" t="e">
        <f t="shared" si="255"/>
        <v>#DIV/0!</v>
      </c>
      <c r="H626" s="66" t="e">
        <f t="shared" si="259"/>
        <v>#DIV/0!</v>
      </c>
      <c r="I626" s="66" t="e">
        <f t="shared" si="259"/>
        <v>#DIV/0!</v>
      </c>
      <c r="J626" s="66" t="e">
        <f t="shared" si="259"/>
        <v>#DIV/0!</v>
      </c>
      <c r="K626" s="70">
        <v>12000</v>
      </c>
      <c r="L626" s="70">
        <f>'Monitoramento Acumulado Geral'!Q626</f>
        <v>0</v>
      </c>
      <c r="M626" s="6">
        <f>L626/K626</f>
        <v>0</v>
      </c>
      <c r="N626" s="35" t="str">
        <f t="shared" si="256"/>
        <v>Desempenho Médio</v>
      </c>
      <c r="O626" s="6">
        <f t="shared" si="308"/>
        <v>3.4274647562211005E-2</v>
      </c>
      <c r="P626" s="6">
        <f t="shared" si="308"/>
        <v>0.10289217685709087</v>
      </c>
      <c r="Q626" s="6">
        <f t="shared" si="308"/>
        <v>-3.4342881732668862E-2</v>
      </c>
      <c r="R626" s="70">
        <v>66</v>
      </c>
      <c r="S626" s="70">
        <v>0</v>
      </c>
      <c r="T626" s="6">
        <f t="shared" ref="T626:T701" si="312">S626/R626</f>
        <v>0</v>
      </c>
      <c r="U626" s="35" t="e">
        <f t="shared" si="257"/>
        <v>#DIV/0!</v>
      </c>
      <c r="V626" s="6" t="e">
        <f t="shared" si="310"/>
        <v>#DIV/0!</v>
      </c>
      <c r="W626" s="6" t="e">
        <f t="shared" si="310"/>
        <v>#DIV/0!</v>
      </c>
      <c r="X626" s="6" t="e">
        <f t="shared" si="310"/>
        <v>#DIV/0!</v>
      </c>
      <c r="Y626" s="6" t="e">
        <f t="shared" si="310"/>
        <v>#DIV/0!</v>
      </c>
      <c r="Z626" s="6" t="e">
        <f t="shared" si="310"/>
        <v>#DIV/0!</v>
      </c>
    </row>
    <row r="627" spans="1:26" x14ac:dyDescent="0.2">
      <c r="A627" s="7" t="s">
        <v>146</v>
      </c>
      <c r="B627" s="6">
        <f t="shared" ref="B627:B702" si="313">_xlfn.IFS(C627="Janeiro",1,C627="Fevereiro",2,C627="Março",3,C627="Abril",4,C627="Maio",5,C627="Junho",6,C627="Julho",7,C627="Agosto",8,C627="Setembro",9,C627="Outubro",10,C627="Novembro",11,C627="Dezembro",12,TRUE,0)</f>
        <v>2</v>
      </c>
      <c r="C627" s="7" t="s">
        <v>152</v>
      </c>
      <c r="D627" s="69">
        <v>60</v>
      </c>
      <c r="E627" s="69">
        <v>0</v>
      </c>
      <c r="F627" s="66">
        <f t="shared" si="311"/>
        <v>0</v>
      </c>
      <c r="G627" s="61" t="e">
        <f t="shared" ref="G627:G702" si="314">IF(F627&gt;=I627,"Desempenho Ótimo",(IF(F627&gt;H627,"Desempenho Bom",(IF(F627&gt;J627,"Desempenho Médio",IF(F627&lt;=J627,"Desempenho Deficitário",0))))))</f>
        <v>#DIV/0!</v>
      </c>
      <c r="H627" s="66" t="e">
        <f t="shared" si="259"/>
        <v>#DIV/0!</v>
      </c>
      <c r="I627" s="66" t="e">
        <f t="shared" si="259"/>
        <v>#DIV/0!</v>
      </c>
      <c r="J627" s="66" t="e">
        <f t="shared" si="259"/>
        <v>#DIV/0!</v>
      </c>
      <c r="K627" s="70">
        <v>12000</v>
      </c>
      <c r="L627" s="70">
        <f>'Monitoramento Acumulado Geral'!Q627</f>
        <v>0</v>
      </c>
      <c r="M627" s="6">
        <f>(SUM(L626:L627))/K626</f>
        <v>0</v>
      </c>
      <c r="N627" s="35" t="str">
        <f t="shared" ref="N627:N702" si="315">IF(M627&gt;=P627,"Desempenho Ótimo",(IF(M627&gt;O627,"Desempenho Bom",(IF(M627&gt;Q627,"Desempenho Médio",IF(M627&lt;=Q627,"Desempenho Deficitário",0))))))</f>
        <v>Desempenho Médio</v>
      </c>
      <c r="O627" s="6">
        <f t="shared" si="308"/>
        <v>8.1815188943147363E-2</v>
      </c>
      <c r="P627" s="6">
        <f t="shared" si="308"/>
        <v>0.20623883252423067</v>
      </c>
      <c r="Q627" s="6">
        <f t="shared" si="308"/>
        <v>-4.2608454637935944E-2</v>
      </c>
      <c r="R627" s="70">
        <v>66</v>
      </c>
      <c r="S627" s="70">
        <v>0</v>
      </c>
      <c r="T627" s="6">
        <f t="shared" si="312"/>
        <v>0</v>
      </c>
      <c r="U627" s="35" t="e">
        <f t="shared" ref="U627:U702" si="316">IF(T627&gt;=W627,"Desempenho Ótimo",(IF(T627&gt;V627,"Desempenho Bom",(IF(T627&gt;X627,"Desempenho Médio",IF(T627&lt;=X627,"Desempenho Deficitário",0))))))</f>
        <v>#DIV/0!</v>
      </c>
      <c r="V627" s="6" t="e">
        <f t="shared" si="310"/>
        <v>#DIV/0!</v>
      </c>
      <c r="W627" s="6" t="e">
        <f t="shared" si="310"/>
        <v>#DIV/0!</v>
      </c>
      <c r="X627" s="6" t="e">
        <f t="shared" si="310"/>
        <v>#DIV/0!</v>
      </c>
      <c r="Y627" s="6" t="e">
        <f t="shared" si="310"/>
        <v>#DIV/0!</v>
      </c>
      <c r="Z627" s="6" t="e">
        <f t="shared" si="310"/>
        <v>#DIV/0!</v>
      </c>
    </row>
    <row r="628" spans="1:26" x14ac:dyDescent="0.2">
      <c r="A628" s="7" t="s">
        <v>146</v>
      </c>
      <c r="B628" s="6">
        <f t="shared" si="313"/>
        <v>3</v>
      </c>
      <c r="C628" s="7" t="s">
        <v>153</v>
      </c>
      <c r="D628" s="69">
        <v>60</v>
      </c>
      <c r="E628" s="69">
        <v>0</v>
      </c>
      <c r="F628" s="66">
        <f t="shared" si="311"/>
        <v>0</v>
      </c>
      <c r="G628" s="61" t="e">
        <f t="shared" si="314"/>
        <v>#DIV/0!</v>
      </c>
      <c r="H628" s="66" t="e">
        <f t="shared" si="259"/>
        <v>#DIV/0!</v>
      </c>
      <c r="I628" s="66" t="e">
        <f t="shared" si="259"/>
        <v>#DIV/0!</v>
      </c>
      <c r="J628" s="66" t="e">
        <f t="shared" si="259"/>
        <v>#DIV/0!</v>
      </c>
      <c r="K628" s="70">
        <v>12000</v>
      </c>
      <c r="L628" s="70">
        <f>'Monitoramento Acumulado Geral'!Q628</f>
        <v>0</v>
      </c>
      <c r="M628" s="6">
        <f>(SUM(L626:L628))/K627</f>
        <v>0</v>
      </c>
      <c r="N628" s="35" t="str">
        <f t="shared" si="315"/>
        <v>Desempenho Médio</v>
      </c>
      <c r="O628" s="6">
        <f t="shared" si="308"/>
        <v>0.13411292471649494</v>
      </c>
      <c r="P628" s="6">
        <f t="shared" si="308"/>
        <v>0.29721906787058483</v>
      </c>
      <c r="Q628" s="6">
        <f t="shared" si="308"/>
        <v>-2.899321843759492E-2</v>
      </c>
      <c r="R628" s="70">
        <v>66</v>
      </c>
      <c r="S628" s="70">
        <v>0</v>
      </c>
      <c r="T628" s="6">
        <f t="shared" si="312"/>
        <v>0</v>
      </c>
      <c r="U628" s="35" t="e">
        <f t="shared" si="316"/>
        <v>#DIV/0!</v>
      </c>
      <c r="V628" s="6" t="e">
        <f t="shared" si="310"/>
        <v>#DIV/0!</v>
      </c>
      <c r="W628" s="6" t="e">
        <f t="shared" si="310"/>
        <v>#DIV/0!</v>
      </c>
      <c r="X628" s="6" t="e">
        <f t="shared" si="310"/>
        <v>#DIV/0!</v>
      </c>
      <c r="Y628" s="6" t="e">
        <f t="shared" si="310"/>
        <v>#DIV/0!</v>
      </c>
      <c r="Z628" s="6" t="e">
        <f t="shared" si="310"/>
        <v>#DIV/0!</v>
      </c>
    </row>
    <row r="629" spans="1:26" x14ac:dyDescent="0.2">
      <c r="A629" s="7" t="s">
        <v>146</v>
      </c>
      <c r="B629" s="6">
        <f t="shared" si="313"/>
        <v>4</v>
      </c>
      <c r="C629" s="7" t="s">
        <v>154</v>
      </c>
      <c r="D629" s="69">
        <v>60</v>
      </c>
      <c r="E629" s="69">
        <v>37</v>
      </c>
      <c r="F629" s="66">
        <f t="shared" si="311"/>
        <v>0.6166666666666667</v>
      </c>
      <c r="G629" s="61" t="e">
        <f t="shared" si="314"/>
        <v>#DIV/0!</v>
      </c>
      <c r="H629" s="66" t="e">
        <f t="shared" si="259"/>
        <v>#DIV/0!</v>
      </c>
      <c r="I629" s="66" t="e">
        <f t="shared" si="259"/>
        <v>#DIV/0!</v>
      </c>
      <c r="J629" s="66" t="e">
        <f t="shared" si="259"/>
        <v>#DIV/0!</v>
      </c>
      <c r="K629" s="70">
        <v>12000</v>
      </c>
      <c r="L629" s="70">
        <f>'Monitoramento Acumulado Geral'!Q629</f>
        <v>2216.9499999999998</v>
      </c>
      <c r="M629" s="6">
        <f>(SUM(L626:L629))/K628</f>
        <v>0.18474583333333333</v>
      </c>
      <c r="N629" s="35" t="str">
        <f t="shared" si="315"/>
        <v>Desempenho Bom</v>
      </c>
      <c r="O629" s="6">
        <f t="shared" si="308"/>
        <v>0.15392483870093213</v>
      </c>
      <c r="P629" s="6">
        <f t="shared" si="308"/>
        <v>0.32772007016950033</v>
      </c>
      <c r="Q629" s="6">
        <f t="shared" si="308"/>
        <v>-1.9870392767636053E-2</v>
      </c>
      <c r="R629" s="70">
        <v>66</v>
      </c>
      <c r="S629" s="70">
        <v>0</v>
      </c>
      <c r="T629" s="6">
        <f t="shared" si="312"/>
        <v>0</v>
      </c>
      <c r="U629" s="35" t="e">
        <f t="shared" si="316"/>
        <v>#DIV/0!</v>
      </c>
      <c r="V629" s="6" t="e">
        <f t="shared" si="310"/>
        <v>#DIV/0!</v>
      </c>
      <c r="W629" s="6" t="e">
        <f t="shared" si="310"/>
        <v>#DIV/0!</v>
      </c>
      <c r="X629" s="6" t="e">
        <f t="shared" si="310"/>
        <v>#DIV/0!</v>
      </c>
      <c r="Y629" s="6" t="e">
        <f t="shared" si="310"/>
        <v>#DIV/0!</v>
      </c>
      <c r="Z629" s="6" t="e">
        <f t="shared" si="310"/>
        <v>#DIV/0!</v>
      </c>
    </row>
    <row r="630" spans="1:26" x14ac:dyDescent="0.2">
      <c r="A630" s="7" t="s">
        <v>146</v>
      </c>
      <c r="B630" s="6">
        <f t="shared" si="313"/>
        <v>5</v>
      </c>
      <c r="C630" s="7" t="s">
        <v>155</v>
      </c>
      <c r="D630" s="69">
        <v>60</v>
      </c>
      <c r="E630" s="69">
        <v>42</v>
      </c>
      <c r="F630" s="66">
        <f t="shared" si="311"/>
        <v>0.7</v>
      </c>
      <c r="G630" s="61" t="e">
        <f t="shared" si="314"/>
        <v>#DIV/0!</v>
      </c>
      <c r="H630" s="66" t="e">
        <f t="shared" si="259"/>
        <v>#DIV/0!</v>
      </c>
      <c r="I630" s="66" t="e">
        <f t="shared" si="259"/>
        <v>#DIV/0!</v>
      </c>
      <c r="J630" s="66" t="e">
        <f t="shared" si="259"/>
        <v>#DIV/0!</v>
      </c>
      <c r="K630" s="70">
        <v>12000</v>
      </c>
      <c r="L630" s="70">
        <f>'Monitoramento Acumulado Geral'!Q630</f>
        <v>1000</v>
      </c>
      <c r="M630" s="6">
        <f>(SUM(L626:L630))/K629</f>
        <v>0.26807916666666665</v>
      </c>
      <c r="N630" s="35" t="str">
        <f t="shared" si="315"/>
        <v>Desempenho Bom</v>
      </c>
      <c r="O630" s="6">
        <f t="shared" ref="O630:Q645" si="317">O618</f>
        <v>0.21139287248463789</v>
      </c>
      <c r="P630" s="6">
        <f t="shared" si="317"/>
        <v>0.43680804416292918</v>
      </c>
      <c r="Q630" s="6">
        <f t="shared" si="317"/>
        <v>-1.4022299193653387E-2</v>
      </c>
      <c r="R630" s="70">
        <v>66</v>
      </c>
      <c r="S630" s="70">
        <v>0</v>
      </c>
      <c r="T630" s="6">
        <f t="shared" si="312"/>
        <v>0</v>
      </c>
      <c r="U630" s="35" t="e">
        <f t="shared" si="316"/>
        <v>#DIV/0!</v>
      </c>
      <c r="V630" s="6" t="e">
        <f t="shared" si="310"/>
        <v>#DIV/0!</v>
      </c>
      <c r="W630" s="6" t="e">
        <f t="shared" si="310"/>
        <v>#DIV/0!</v>
      </c>
      <c r="X630" s="6" t="e">
        <f t="shared" si="310"/>
        <v>#DIV/0!</v>
      </c>
      <c r="Y630" s="6" t="e">
        <f t="shared" si="310"/>
        <v>#DIV/0!</v>
      </c>
      <c r="Z630" s="6" t="e">
        <f t="shared" si="310"/>
        <v>#DIV/0!</v>
      </c>
    </row>
    <row r="631" spans="1:26" x14ac:dyDescent="0.2">
      <c r="A631" s="7" t="s">
        <v>146</v>
      </c>
      <c r="B631" s="6">
        <f t="shared" si="313"/>
        <v>6</v>
      </c>
      <c r="C631" s="7" t="s">
        <v>156</v>
      </c>
      <c r="D631" s="69">
        <v>60</v>
      </c>
      <c r="E631" s="69">
        <v>42</v>
      </c>
      <c r="F631" s="66">
        <f t="shared" si="311"/>
        <v>0.7</v>
      </c>
      <c r="G631" s="61" t="e">
        <f t="shared" si="314"/>
        <v>#DIV/0!</v>
      </c>
      <c r="H631" s="66" t="e">
        <f t="shared" si="259"/>
        <v>#DIV/0!</v>
      </c>
      <c r="I631" s="66" t="e">
        <f t="shared" si="259"/>
        <v>#DIV/0!</v>
      </c>
      <c r="J631" s="66" t="e">
        <f t="shared" si="259"/>
        <v>#DIV/0!</v>
      </c>
      <c r="K631" s="70">
        <v>12000</v>
      </c>
      <c r="L631" s="70">
        <f>'Monitoramento Acumulado Geral'!Q631</f>
        <v>2550</v>
      </c>
      <c r="M631" s="6">
        <f>(SUM(L626:L631))/K630</f>
        <v>0.48057916666666667</v>
      </c>
      <c r="N631" s="35" t="str">
        <f t="shared" si="315"/>
        <v>Desempenho Bom</v>
      </c>
      <c r="O631" s="6">
        <f t="shared" si="317"/>
        <v>0.28403291059934432</v>
      </c>
      <c r="P631" s="6">
        <f t="shared" si="317"/>
        <v>0.56118246348434164</v>
      </c>
      <c r="Q631" s="6">
        <f t="shared" si="317"/>
        <v>6.8833577143469493E-3</v>
      </c>
      <c r="R631" s="70">
        <v>66</v>
      </c>
      <c r="S631" s="70">
        <v>0</v>
      </c>
      <c r="T631" s="6">
        <f t="shared" si="312"/>
        <v>0</v>
      </c>
      <c r="U631" s="35" t="e">
        <f t="shared" si="316"/>
        <v>#DIV/0!</v>
      </c>
      <c r="V631" s="6" t="e">
        <f t="shared" si="310"/>
        <v>#DIV/0!</v>
      </c>
      <c r="W631" s="6" t="e">
        <f t="shared" si="310"/>
        <v>#DIV/0!</v>
      </c>
      <c r="X631" s="6" t="e">
        <f t="shared" si="310"/>
        <v>#DIV/0!</v>
      </c>
      <c r="Y631" s="6" t="e">
        <f t="shared" si="310"/>
        <v>#DIV/0!</v>
      </c>
      <c r="Z631" s="6" t="e">
        <f t="shared" si="310"/>
        <v>#DIV/0!</v>
      </c>
    </row>
    <row r="632" spans="1:26" x14ac:dyDescent="0.2">
      <c r="A632" s="7" t="s">
        <v>146</v>
      </c>
      <c r="B632" s="6">
        <f t="shared" si="313"/>
        <v>7</v>
      </c>
      <c r="C632" s="7" t="s">
        <v>157</v>
      </c>
      <c r="D632" s="69">
        <v>60</v>
      </c>
      <c r="E632" s="69">
        <v>42</v>
      </c>
      <c r="F632" s="66">
        <f t="shared" si="311"/>
        <v>0.7</v>
      </c>
      <c r="G632" s="61" t="e">
        <f t="shared" si="314"/>
        <v>#DIV/0!</v>
      </c>
      <c r="H632" s="66" t="e">
        <f t="shared" si="259"/>
        <v>#DIV/0!</v>
      </c>
      <c r="I632" s="66" t="e">
        <f t="shared" si="259"/>
        <v>#DIV/0!</v>
      </c>
      <c r="J632" s="66" t="e">
        <f t="shared" si="259"/>
        <v>#DIV/0!</v>
      </c>
      <c r="K632" s="70">
        <v>12000</v>
      </c>
      <c r="L632" s="70">
        <f>'Monitoramento Acumulado Geral'!Q632</f>
        <v>0</v>
      </c>
      <c r="M632" s="6">
        <f>(SUM(L626:L632))/K631</f>
        <v>0.48057916666666667</v>
      </c>
      <c r="N632" s="35" t="str">
        <f t="shared" si="315"/>
        <v>Desempenho Bom</v>
      </c>
      <c r="O632" s="6">
        <f t="shared" si="317"/>
        <v>0.42046470140126019</v>
      </c>
      <c r="P632" s="6">
        <f t="shared" si="317"/>
        <v>0.84574683442734511</v>
      </c>
      <c r="Q632" s="6">
        <f t="shared" si="317"/>
        <v>-4.8174316248247306E-3</v>
      </c>
      <c r="R632" s="70">
        <v>66</v>
      </c>
      <c r="S632" s="70">
        <v>0</v>
      </c>
      <c r="T632" s="6">
        <f t="shared" si="312"/>
        <v>0</v>
      </c>
      <c r="U632" s="35" t="e">
        <f t="shared" si="316"/>
        <v>#DIV/0!</v>
      </c>
      <c r="V632" s="6" t="e">
        <f t="shared" si="310"/>
        <v>#DIV/0!</v>
      </c>
      <c r="W632" s="6" t="e">
        <f t="shared" si="310"/>
        <v>#DIV/0!</v>
      </c>
      <c r="X632" s="6" t="e">
        <f t="shared" si="310"/>
        <v>#DIV/0!</v>
      </c>
      <c r="Y632" s="6" t="e">
        <f t="shared" si="310"/>
        <v>#DIV/0!</v>
      </c>
      <c r="Z632" s="6" t="e">
        <f t="shared" si="310"/>
        <v>#DIV/0!</v>
      </c>
    </row>
    <row r="633" spans="1:26" x14ac:dyDescent="0.2">
      <c r="A633" s="7" t="s">
        <v>146</v>
      </c>
      <c r="B633" s="6">
        <f t="shared" si="313"/>
        <v>8</v>
      </c>
      <c r="C633" s="7" t="s">
        <v>158</v>
      </c>
      <c r="D633" s="69">
        <v>60</v>
      </c>
      <c r="E633" s="69">
        <v>0</v>
      </c>
      <c r="F633" s="66">
        <f t="shared" si="311"/>
        <v>0</v>
      </c>
      <c r="G633" s="61" t="e">
        <f t="shared" si="314"/>
        <v>#DIV/0!</v>
      </c>
      <c r="H633" s="66" t="e">
        <f t="shared" si="259"/>
        <v>#DIV/0!</v>
      </c>
      <c r="I633" s="66" t="e">
        <f t="shared" si="259"/>
        <v>#DIV/0!</v>
      </c>
      <c r="J633" s="66" t="e">
        <f t="shared" si="259"/>
        <v>#DIV/0!</v>
      </c>
      <c r="K633" s="70">
        <v>12000</v>
      </c>
      <c r="L633" s="70">
        <f>'Monitoramento Acumulado Geral'!Q633</f>
        <v>0</v>
      </c>
      <c r="M633" s="6">
        <f>(SUM(L626:L633))/K632</f>
        <v>0.48057916666666667</v>
      </c>
      <c r="N633" s="35" t="str">
        <f t="shared" si="315"/>
        <v>Desempenho Bom</v>
      </c>
      <c r="O633" s="6">
        <f t="shared" si="317"/>
        <v>0.42046470140126019</v>
      </c>
      <c r="P633" s="6">
        <f t="shared" si="317"/>
        <v>0.84574683442734511</v>
      </c>
      <c r="Q633" s="6">
        <f t="shared" si="317"/>
        <v>-4.8174316248247306E-3</v>
      </c>
      <c r="R633" s="70">
        <v>66</v>
      </c>
      <c r="S633" s="70">
        <v>0</v>
      </c>
      <c r="T633" s="6">
        <f t="shared" si="312"/>
        <v>0</v>
      </c>
      <c r="U633" s="35" t="e">
        <f t="shared" si="316"/>
        <v>#DIV/0!</v>
      </c>
      <c r="V633" s="6" t="e">
        <f t="shared" si="310"/>
        <v>#DIV/0!</v>
      </c>
      <c r="W633" s="6" t="e">
        <f t="shared" si="310"/>
        <v>#DIV/0!</v>
      </c>
      <c r="X633" s="6" t="e">
        <f t="shared" si="310"/>
        <v>#DIV/0!</v>
      </c>
      <c r="Y633" s="6" t="e">
        <f t="shared" si="310"/>
        <v>#DIV/0!</v>
      </c>
      <c r="Z633" s="6" t="e">
        <f t="shared" si="310"/>
        <v>#DIV/0!</v>
      </c>
    </row>
    <row r="634" spans="1:26" x14ac:dyDescent="0.2">
      <c r="A634" s="7" t="s">
        <v>146</v>
      </c>
      <c r="B634" s="6">
        <f t="shared" si="313"/>
        <v>9</v>
      </c>
      <c r="C634" s="7" t="s">
        <v>159</v>
      </c>
      <c r="D634" s="69">
        <v>60</v>
      </c>
      <c r="E634" s="69">
        <v>0</v>
      </c>
      <c r="F634" s="66">
        <f t="shared" si="311"/>
        <v>0</v>
      </c>
      <c r="G634" s="61" t="e">
        <f t="shared" si="314"/>
        <v>#DIV/0!</v>
      </c>
      <c r="H634" s="66" t="e">
        <f t="shared" si="259"/>
        <v>#DIV/0!</v>
      </c>
      <c r="I634" s="66" t="e">
        <f t="shared" si="259"/>
        <v>#DIV/0!</v>
      </c>
      <c r="J634" s="66" t="e">
        <f t="shared" si="259"/>
        <v>#DIV/0!</v>
      </c>
      <c r="K634" s="70">
        <v>12000</v>
      </c>
      <c r="L634" s="70">
        <f>'Monitoramento Acumulado Geral'!Q634</f>
        <v>0</v>
      </c>
      <c r="M634" s="6">
        <f>(SUM(L626:L634))/K633</f>
        <v>0.48057916666666667</v>
      </c>
      <c r="N634" s="35" t="str">
        <f t="shared" si="315"/>
        <v>Desempenho Bom</v>
      </c>
      <c r="O634" s="6">
        <f t="shared" si="317"/>
        <v>0.42046470140126019</v>
      </c>
      <c r="P634" s="6">
        <f t="shared" si="317"/>
        <v>0.84574683442734511</v>
      </c>
      <c r="Q634" s="6">
        <f t="shared" si="317"/>
        <v>-4.8174316248247306E-3</v>
      </c>
      <c r="R634" s="70">
        <v>66</v>
      </c>
      <c r="S634" s="70">
        <v>0</v>
      </c>
      <c r="T634" s="6">
        <f t="shared" si="312"/>
        <v>0</v>
      </c>
      <c r="U634" s="35" t="e">
        <f t="shared" si="316"/>
        <v>#DIV/0!</v>
      </c>
      <c r="V634" s="6" t="e">
        <f t="shared" si="310"/>
        <v>#DIV/0!</v>
      </c>
      <c r="W634" s="6" t="e">
        <f t="shared" si="310"/>
        <v>#DIV/0!</v>
      </c>
      <c r="X634" s="6" t="e">
        <f t="shared" si="310"/>
        <v>#DIV/0!</v>
      </c>
      <c r="Y634" s="6" t="e">
        <f t="shared" si="310"/>
        <v>#DIV/0!</v>
      </c>
      <c r="Z634" s="6" t="e">
        <f t="shared" si="310"/>
        <v>#DIV/0!</v>
      </c>
    </row>
    <row r="635" spans="1:26" x14ac:dyDescent="0.2">
      <c r="A635" s="7" t="s">
        <v>146</v>
      </c>
      <c r="B635" s="6">
        <f t="shared" si="313"/>
        <v>10</v>
      </c>
      <c r="C635" s="7" t="s">
        <v>160</v>
      </c>
      <c r="D635" s="69">
        <v>60</v>
      </c>
      <c r="E635" s="69">
        <v>0</v>
      </c>
      <c r="F635" s="66">
        <f t="shared" si="311"/>
        <v>0</v>
      </c>
      <c r="G635" s="61" t="e">
        <f t="shared" si="314"/>
        <v>#DIV/0!</v>
      </c>
      <c r="H635" s="66" t="e">
        <f t="shared" si="259"/>
        <v>#DIV/0!</v>
      </c>
      <c r="I635" s="66" t="e">
        <f t="shared" si="259"/>
        <v>#DIV/0!</v>
      </c>
      <c r="J635" s="66" t="e">
        <f t="shared" si="259"/>
        <v>#DIV/0!</v>
      </c>
      <c r="K635" s="70">
        <v>12000</v>
      </c>
      <c r="L635" s="70">
        <f>'Monitoramento Acumulado Geral'!Q635</f>
        <v>0</v>
      </c>
      <c r="M635" s="6">
        <f>(SUM(L626:L635))/K634</f>
        <v>0.48057916666666667</v>
      </c>
      <c r="N635" s="35" t="str">
        <f t="shared" si="315"/>
        <v>Desempenho Bom</v>
      </c>
      <c r="O635" s="6">
        <f t="shared" si="317"/>
        <v>0.42046470140126019</v>
      </c>
      <c r="P635" s="6">
        <f t="shared" si="317"/>
        <v>0.84574683442734511</v>
      </c>
      <c r="Q635" s="6">
        <f t="shared" si="317"/>
        <v>-4.8174316248247306E-3</v>
      </c>
      <c r="R635" s="70">
        <v>66</v>
      </c>
      <c r="S635" s="70">
        <v>0</v>
      </c>
      <c r="T635" s="6">
        <f t="shared" si="312"/>
        <v>0</v>
      </c>
      <c r="U635" s="35" t="e">
        <f t="shared" si="316"/>
        <v>#DIV/0!</v>
      </c>
      <c r="V635" s="6" t="e">
        <f t="shared" si="310"/>
        <v>#DIV/0!</v>
      </c>
      <c r="W635" s="6" t="e">
        <f t="shared" si="310"/>
        <v>#DIV/0!</v>
      </c>
      <c r="X635" s="6" t="e">
        <f t="shared" si="310"/>
        <v>#DIV/0!</v>
      </c>
      <c r="Y635" s="6" t="e">
        <f t="shared" si="310"/>
        <v>#DIV/0!</v>
      </c>
      <c r="Z635" s="6" t="e">
        <f t="shared" si="310"/>
        <v>#DIV/0!</v>
      </c>
    </row>
    <row r="636" spans="1:26" x14ac:dyDescent="0.2">
      <c r="A636" s="7" t="s">
        <v>146</v>
      </c>
      <c r="B636" s="6">
        <f t="shared" si="313"/>
        <v>11</v>
      </c>
      <c r="C636" s="7" t="s">
        <v>161</v>
      </c>
      <c r="D636" s="69">
        <v>60</v>
      </c>
      <c r="E636" s="69">
        <v>0</v>
      </c>
      <c r="F636" s="66">
        <f t="shared" si="311"/>
        <v>0</v>
      </c>
      <c r="G636" s="61" t="e">
        <f t="shared" si="314"/>
        <v>#DIV/0!</v>
      </c>
      <c r="H636" s="66" t="e">
        <f t="shared" si="259"/>
        <v>#DIV/0!</v>
      </c>
      <c r="I636" s="66" t="e">
        <f t="shared" si="259"/>
        <v>#DIV/0!</v>
      </c>
      <c r="J636" s="66" t="e">
        <f t="shared" si="259"/>
        <v>#DIV/0!</v>
      </c>
      <c r="K636" s="70">
        <v>12000</v>
      </c>
      <c r="L636" s="70">
        <f>'Monitoramento Acumulado Geral'!Q636</f>
        <v>0</v>
      </c>
      <c r="M636" s="6">
        <f>(SUM(L626:L636))/K635</f>
        <v>0.48057916666666667</v>
      </c>
      <c r="N636" s="35" t="str">
        <f t="shared" si="315"/>
        <v>Desempenho Bom</v>
      </c>
      <c r="O636" s="6">
        <f t="shared" si="317"/>
        <v>0.42046470140126019</v>
      </c>
      <c r="P636" s="6">
        <f t="shared" si="317"/>
        <v>0.84574683442734511</v>
      </c>
      <c r="Q636" s="6">
        <f t="shared" si="317"/>
        <v>-4.8174316248247306E-3</v>
      </c>
      <c r="R636" s="70">
        <v>66</v>
      </c>
      <c r="S636" s="70">
        <v>0</v>
      </c>
      <c r="T636" s="6">
        <f t="shared" si="312"/>
        <v>0</v>
      </c>
      <c r="U636" s="35" t="e">
        <f t="shared" si="316"/>
        <v>#DIV/0!</v>
      </c>
      <c r="V636" s="6" t="e">
        <f t="shared" si="310"/>
        <v>#DIV/0!</v>
      </c>
      <c r="W636" s="6" t="e">
        <f t="shared" si="310"/>
        <v>#DIV/0!</v>
      </c>
      <c r="X636" s="6" t="e">
        <f t="shared" si="310"/>
        <v>#DIV/0!</v>
      </c>
      <c r="Y636" s="6" t="e">
        <f t="shared" si="310"/>
        <v>#DIV/0!</v>
      </c>
      <c r="Z636" s="6" t="e">
        <f t="shared" si="310"/>
        <v>#DIV/0!</v>
      </c>
    </row>
    <row r="637" spans="1:26" x14ac:dyDescent="0.2">
      <c r="A637" s="7" t="s">
        <v>146</v>
      </c>
      <c r="B637" s="6">
        <f t="shared" si="313"/>
        <v>12</v>
      </c>
      <c r="C637" s="7" t="s">
        <v>162</v>
      </c>
      <c r="D637" s="69">
        <v>60</v>
      </c>
      <c r="E637" s="69">
        <v>0</v>
      </c>
      <c r="F637" s="66">
        <f t="shared" si="311"/>
        <v>0</v>
      </c>
      <c r="G637" s="61" t="e">
        <f t="shared" si="314"/>
        <v>#DIV/0!</v>
      </c>
      <c r="H637" s="66" t="e">
        <f t="shared" si="259"/>
        <v>#DIV/0!</v>
      </c>
      <c r="I637" s="66" t="e">
        <f t="shared" si="259"/>
        <v>#DIV/0!</v>
      </c>
      <c r="J637" s="66" t="e">
        <f t="shared" si="259"/>
        <v>#DIV/0!</v>
      </c>
      <c r="K637" s="70">
        <v>12000</v>
      </c>
      <c r="L637" s="70">
        <f>'Monitoramento Acumulado Geral'!Q637</f>
        <v>0</v>
      </c>
      <c r="M637" s="6">
        <f>(SUM(L626:L637))/K636</f>
        <v>0.48057916666666667</v>
      </c>
      <c r="N637" s="35" t="str">
        <f t="shared" si="315"/>
        <v>Desempenho Bom</v>
      </c>
      <c r="O637" s="6">
        <f t="shared" si="317"/>
        <v>0.41824651958307835</v>
      </c>
      <c r="P637" s="6">
        <f t="shared" si="317"/>
        <v>0.84510274859297763</v>
      </c>
      <c r="Q637" s="6">
        <f t="shared" si="317"/>
        <v>-8.6097094268208774E-3</v>
      </c>
      <c r="R637" s="70">
        <v>66</v>
      </c>
      <c r="S637" s="70">
        <v>0</v>
      </c>
      <c r="T637" s="6">
        <f t="shared" si="312"/>
        <v>0</v>
      </c>
      <c r="U637" s="35" t="e">
        <f t="shared" si="316"/>
        <v>#DIV/0!</v>
      </c>
      <c r="V637" s="6" t="e">
        <f t="shared" si="310"/>
        <v>#DIV/0!</v>
      </c>
      <c r="W637" s="6" t="e">
        <f t="shared" si="310"/>
        <v>#DIV/0!</v>
      </c>
      <c r="X637" s="6" t="e">
        <f t="shared" si="310"/>
        <v>#DIV/0!</v>
      </c>
      <c r="Y637" s="6" t="e">
        <f t="shared" si="310"/>
        <v>#DIV/0!</v>
      </c>
      <c r="Z637" s="6" t="e">
        <f t="shared" si="310"/>
        <v>#DIV/0!</v>
      </c>
    </row>
    <row r="638" spans="1:26" x14ac:dyDescent="0.2">
      <c r="A638" s="7" t="s">
        <v>131</v>
      </c>
      <c r="B638" s="6">
        <f t="shared" si="313"/>
        <v>1</v>
      </c>
      <c r="C638" s="7" t="s">
        <v>151</v>
      </c>
      <c r="D638" s="69">
        <v>65</v>
      </c>
      <c r="E638" s="69">
        <v>27</v>
      </c>
      <c r="F638" s="66">
        <f t="shared" si="311"/>
        <v>0.41538461538461541</v>
      </c>
      <c r="G638" s="61" t="e">
        <f t="shared" si="314"/>
        <v>#DIV/0!</v>
      </c>
      <c r="H638" s="66" t="e">
        <f t="shared" si="259"/>
        <v>#DIV/0!</v>
      </c>
      <c r="I638" s="66" t="e">
        <f t="shared" si="259"/>
        <v>#DIV/0!</v>
      </c>
      <c r="J638" s="66" t="e">
        <f t="shared" si="259"/>
        <v>#DIV/0!</v>
      </c>
      <c r="K638" s="70">
        <v>16000</v>
      </c>
      <c r="L638" s="70">
        <f>'Monitoramento Acumulado Geral'!Q638</f>
        <v>1600</v>
      </c>
      <c r="M638" s="6">
        <f>L638/K638</f>
        <v>0.1</v>
      </c>
      <c r="N638" s="35" t="str">
        <f t="shared" si="315"/>
        <v>Desempenho Bom</v>
      </c>
      <c r="O638" s="6">
        <f t="shared" si="317"/>
        <v>3.4274647562211005E-2</v>
      </c>
      <c r="P638" s="6">
        <f t="shared" si="317"/>
        <v>0.10289217685709087</v>
      </c>
      <c r="Q638" s="6">
        <f t="shared" si="317"/>
        <v>-3.4342881732668862E-2</v>
      </c>
      <c r="R638" s="70">
        <v>44</v>
      </c>
      <c r="S638" s="70">
        <v>0</v>
      </c>
      <c r="T638" s="6">
        <f t="shared" si="312"/>
        <v>0</v>
      </c>
      <c r="U638" s="35" t="e">
        <f t="shared" si="316"/>
        <v>#DIV/0!</v>
      </c>
      <c r="V638" s="6" t="e">
        <f t="shared" si="310"/>
        <v>#DIV/0!</v>
      </c>
      <c r="W638" s="6" t="e">
        <f t="shared" si="310"/>
        <v>#DIV/0!</v>
      </c>
      <c r="X638" s="6" t="e">
        <f t="shared" si="310"/>
        <v>#DIV/0!</v>
      </c>
      <c r="Y638" s="6" t="e">
        <f t="shared" si="310"/>
        <v>#DIV/0!</v>
      </c>
      <c r="Z638" s="6" t="e">
        <f t="shared" si="310"/>
        <v>#DIV/0!</v>
      </c>
    </row>
    <row r="639" spans="1:26" x14ac:dyDescent="0.2">
      <c r="A639" s="7" t="s">
        <v>131</v>
      </c>
      <c r="B639" s="6">
        <f t="shared" si="313"/>
        <v>2</v>
      </c>
      <c r="C639" s="7" t="s">
        <v>152</v>
      </c>
      <c r="D639" s="69">
        <v>65</v>
      </c>
      <c r="E639" s="69">
        <v>47</v>
      </c>
      <c r="F639" s="66">
        <f t="shared" si="311"/>
        <v>0.72307692307692306</v>
      </c>
      <c r="G639" s="61" t="e">
        <f t="shared" si="314"/>
        <v>#DIV/0!</v>
      </c>
      <c r="H639" s="66" t="e">
        <f t="shared" ref="H639:J709" si="318">H627</f>
        <v>#DIV/0!</v>
      </c>
      <c r="I639" s="66" t="e">
        <f t="shared" si="318"/>
        <v>#DIV/0!</v>
      </c>
      <c r="J639" s="66" t="e">
        <f t="shared" si="318"/>
        <v>#DIV/0!</v>
      </c>
      <c r="K639" s="70">
        <v>16000</v>
      </c>
      <c r="L639" s="70">
        <f>'Monitoramento Acumulado Geral'!Q639</f>
        <v>2600</v>
      </c>
      <c r="M639" s="6">
        <f>(SUM(L638:L639))/K638</f>
        <v>0.26250000000000001</v>
      </c>
      <c r="N639" s="35" t="str">
        <f t="shared" si="315"/>
        <v>Desempenho Ótimo</v>
      </c>
      <c r="O639" s="6">
        <f t="shared" si="317"/>
        <v>8.1815188943147363E-2</v>
      </c>
      <c r="P639" s="6">
        <f t="shared" si="317"/>
        <v>0.20623883252423067</v>
      </c>
      <c r="Q639" s="6">
        <f t="shared" si="317"/>
        <v>-4.2608454637935944E-2</v>
      </c>
      <c r="R639" s="70">
        <v>44</v>
      </c>
      <c r="S639" s="70">
        <v>0</v>
      </c>
      <c r="T639" s="6">
        <f t="shared" si="312"/>
        <v>0</v>
      </c>
      <c r="U639" s="35" t="e">
        <f t="shared" si="316"/>
        <v>#DIV/0!</v>
      </c>
      <c r="V639" s="6" t="e">
        <f t="shared" ref="V639:Z649" si="319">V627</f>
        <v>#DIV/0!</v>
      </c>
      <c r="W639" s="6" t="e">
        <f t="shared" si="319"/>
        <v>#DIV/0!</v>
      </c>
      <c r="X639" s="6" t="e">
        <f t="shared" si="319"/>
        <v>#DIV/0!</v>
      </c>
      <c r="Y639" s="6" t="e">
        <f t="shared" si="319"/>
        <v>#DIV/0!</v>
      </c>
      <c r="Z639" s="6" t="e">
        <f t="shared" si="319"/>
        <v>#DIV/0!</v>
      </c>
    </row>
    <row r="640" spans="1:26" x14ac:dyDescent="0.2">
      <c r="A640" s="7" t="s">
        <v>131</v>
      </c>
      <c r="B640" s="6">
        <f t="shared" si="313"/>
        <v>3</v>
      </c>
      <c r="C640" s="7" t="s">
        <v>153</v>
      </c>
      <c r="D640" s="69">
        <v>65</v>
      </c>
      <c r="E640" s="69">
        <v>67</v>
      </c>
      <c r="F640" s="66">
        <f t="shared" si="311"/>
        <v>1.0307692307692307</v>
      </c>
      <c r="G640" s="61" t="e">
        <f t="shared" si="314"/>
        <v>#DIV/0!</v>
      </c>
      <c r="H640" s="66" t="e">
        <f t="shared" si="318"/>
        <v>#DIV/0!</v>
      </c>
      <c r="I640" s="66" t="e">
        <f t="shared" si="318"/>
        <v>#DIV/0!</v>
      </c>
      <c r="J640" s="66" t="e">
        <f t="shared" si="318"/>
        <v>#DIV/0!</v>
      </c>
      <c r="K640" s="70">
        <v>16000</v>
      </c>
      <c r="L640" s="70">
        <f>'Monitoramento Acumulado Geral'!Q640</f>
        <v>1500</v>
      </c>
      <c r="M640" s="6">
        <f>(SUM(L638:L640))/K639</f>
        <v>0.35625000000000001</v>
      </c>
      <c r="N640" s="35" t="str">
        <f t="shared" si="315"/>
        <v>Desempenho Ótimo</v>
      </c>
      <c r="O640" s="6">
        <f t="shared" si="317"/>
        <v>0.13411292471649494</v>
      </c>
      <c r="P640" s="6">
        <f t="shared" si="317"/>
        <v>0.29721906787058483</v>
      </c>
      <c r="Q640" s="6">
        <f t="shared" si="317"/>
        <v>-2.899321843759492E-2</v>
      </c>
      <c r="R640" s="70">
        <v>44</v>
      </c>
      <c r="S640" s="70">
        <v>0</v>
      </c>
      <c r="T640" s="6">
        <f t="shared" si="312"/>
        <v>0</v>
      </c>
      <c r="U640" s="35" t="e">
        <f t="shared" si="316"/>
        <v>#DIV/0!</v>
      </c>
      <c r="V640" s="6" t="e">
        <f t="shared" si="319"/>
        <v>#DIV/0!</v>
      </c>
      <c r="W640" s="6" t="e">
        <f t="shared" si="319"/>
        <v>#DIV/0!</v>
      </c>
      <c r="X640" s="6" t="e">
        <f t="shared" si="319"/>
        <v>#DIV/0!</v>
      </c>
      <c r="Y640" s="6" t="e">
        <f t="shared" si="319"/>
        <v>#DIV/0!</v>
      </c>
      <c r="Z640" s="6" t="e">
        <f t="shared" si="319"/>
        <v>#DIV/0!</v>
      </c>
    </row>
    <row r="641" spans="1:26" x14ac:dyDescent="0.2">
      <c r="A641" s="7" t="s">
        <v>131</v>
      </c>
      <c r="B641" s="6">
        <f t="shared" si="313"/>
        <v>4</v>
      </c>
      <c r="C641" s="7" t="s">
        <v>154</v>
      </c>
      <c r="D641" s="69">
        <v>65</v>
      </c>
      <c r="E641" s="69">
        <v>67</v>
      </c>
      <c r="F641" s="66">
        <f t="shared" si="311"/>
        <v>1.0307692307692307</v>
      </c>
      <c r="G641" s="61" t="e">
        <f t="shared" si="314"/>
        <v>#DIV/0!</v>
      </c>
      <c r="H641" s="66" t="e">
        <f t="shared" si="318"/>
        <v>#DIV/0!</v>
      </c>
      <c r="I641" s="66" t="e">
        <f t="shared" si="318"/>
        <v>#DIV/0!</v>
      </c>
      <c r="J641" s="66" t="e">
        <f t="shared" si="318"/>
        <v>#DIV/0!</v>
      </c>
      <c r="K641" s="70">
        <v>16000</v>
      </c>
      <c r="L641" s="70">
        <f>'Monitoramento Acumulado Geral'!Q641</f>
        <v>0</v>
      </c>
      <c r="M641" s="6">
        <f>(SUM(L638:L641))/K640</f>
        <v>0.35625000000000001</v>
      </c>
      <c r="N641" s="35" t="str">
        <f t="shared" si="315"/>
        <v>Desempenho Ótimo</v>
      </c>
      <c r="O641" s="6">
        <f t="shared" si="317"/>
        <v>0.15392483870093213</v>
      </c>
      <c r="P641" s="6">
        <f t="shared" si="317"/>
        <v>0.32772007016950033</v>
      </c>
      <c r="Q641" s="6">
        <f t="shared" si="317"/>
        <v>-1.9870392767636053E-2</v>
      </c>
      <c r="R641" s="70">
        <v>44</v>
      </c>
      <c r="S641" s="70">
        <v>0</v>
      </c>
      <c r="T641" s="6">
        <f t="shared" si="312"/>
        <v>0</v>
      </c>
      <c r="U641" s="35" t="e">
        <f t="shared" si="316"/>
        <v>#DIV/0!</v>
      </c>
      <c r="V641" s="6" t="e">
        <f t="shared" si="319"/>
        <v>#DIV/0!</v>
      </c>
      <c r="W641" s="6" t="e">
        <f t="shared" si="319"/>
        <v>#DIV/0!</v>
      </c>
      <c r="X641" s="6" t="e">
        <f t="shared" si="319"/>
        <v>#DIV/0!</v>
      </c>
      <c r="Y641" s="6" t="e">
        <f t="shared" si="319"/>
        <v>#DIV/0!</v>
      </c>
      <c r="Z641" s="6" t="e">
        <f t="shared" si="319"/>
        <v>#DIV/0!</v>
      </c>
    </row>
    <row r="642" spans="1:26" x14ac:dyDescent="0.2">
      <c r="A642" s="7" t="s">
        <v>131</v>
      </c>
      <c r="B642" s="6">
        <f t="shared" si="313"/>
        <v>5</v>
      </c>
      <c r="C642" s="7" t="s">
        <v>155</v>
      </c>
      <c r="D642" s="69">
        <v>65</v>
      </c>
      <c r="E642" s="69">
        <v>93</v>
      </c>
      <c r="F642" s="66">
        <f t="shared" si="311"/>
        <v>1.4307692307692308</v>
      </c>
      <c r="G642" s="61" t="e">
        <f t="shared" si="314"/>
        <v>#DIV/0!</v>
      </c>
      <c r="H642" s="66" t="e">
        <f t="shared" si="318"/>
        <v>#DIV/0!</v>
      </c>
      <c r="I642" s="66" t="e">
        <f t="shared" si="318"/>
        <v>#DIV/0!</v>
      </c>
      <c r="J642" s="66" t="e">
        <f t="shared" si="318"/>
        <v>#DIV/0!</v>
      </c>
      <c r="K642" s="70">
        <v>16000</v>
      </c>
      <c r="L642" s="70">
        <f>'Monitoramento Acumulado Geral'!Q642</f>
        <v>5500</v>
      </c>
      <c r="M642" s="6">
        <f>(SUM(L638:L642))/K641</f>
        <v>0.7</v>
      </c>
      <c r="N642" s="35" t="str">
        <f t="shared" si="315"/>
        <v>Desempenho Ótimo</v>
      </c>
      <c r="O642" s="6">
        <f t="shared" si="317"/>
        <v>0.21139287248463789</v>
      </c>
      <c r="P642" s="6">
        <f t="shared" si="317"/>
        <v>0.43680804416292918</v>
      </c>
      <c r="Q642" s="6">
        <f t="shared" si="317"/>
        <v>-1.4022299193653387E-2</v>
      </c>
      <c r="R642" s="70">
        <v>44</v>
      </c>
      <c r="S642" s="70">
        <v>0</v>
      </c>
      <c r="T642" s="6">
        <f t="shared" si="312"/>
        <v>0</v>
      </c>
      <c r="U642" s="35" t="e">
        <f t="shared" si="316"/>
        <v>#DIV/0!</v>
      </c>
      <c r="V642" s="6" t="e">
        <f t="shared" si="319"/>
        <v>#DIV/0!</v>
      </c>
      <c r="W642" s="6" t="e">
        <f t="shared" si="319"/>
        <v>#DIV/0!</v>
      </c>
      <c r="X642" s="6" t="e">
        <f t="shared" si="319"/>
        <v>#DIV/0!</v>
      </c>
      <c r="Y642" s="6" t="e">
        <f t="shared" si="319"/>
        <v>#DIV/0!</v>
      </c>
      <c r="Z642" s="6" t="e">
        <f t="shared" si="319"/>
        <v>#DIV/0!</v>
      </c>
    </row>
    <row r="643" spans="1:26" x14ac:dyDescent="0.2">
      <c r="A643" s="7" t="s">
        <v>131</v>
      </c>
      <c r="B643" s="6">
        <f t="shared" si="313"/>
        <v>6</v>
      </c>
      <c r="C643" s="7" t="s">
        <v>156</v>
      </c>
      <c r="D643" s="69">
        <v>65</v>
      </c>
      <c r="E643" s="69">
        <v>93</v>
      </c>
      <c r="F643" s="66">
        <f t="shared" si="311"/>
        <v>1.4307692307692308</v>
      </c>
      <c r="G643" s="61" t="e">
        <f t="shared" si="314"/>
        <v>#DIV/0!</v>
      </c>
      <c r="H643" s="66" t="e">
        <f t="shared" si="318"/>
        <v>#DIV/0!</v>
      </c>
      <c r="I643" s="66" t="e">
        <f t="shared" si="318"/>
        <v>#DIV/0!</v>
      </c>
      <c r="J643" s="66" t="e">
        <f t="shared" si="318"/>
        <v>#DIV/0!</v>
      </c>
      <c r="K643" s="70">
        <v>16000</v>
      </c>
      <c r="L643" s="70">
        <f>'Monitoramento Acumulado Geral'!Q643</f>
        <v>0</v>
      </c>
      <c r="M643" s="6">
        <f>(SUM(L638:L643))/K642</f>
        <v>0.7</v>
      </c>
      <c r="N643" s="35" t="str">
        <f t="shared" si="315"/>
        <v>Desempenho Ótimo</v>
      </c>
      <c r="O643" s="6">
        <f t="shared" si="317"/>
        <v>0.28403291059934432</v>
      </c>
      <c r="P643" s="6">
        <f t="shared" si="317"/>
        <v>0.56118246348434164</v>
      </c>
      <c r="Q643" s="6">
        <f t="shared" si="317"/>
        <v>6.8833577143469493E-3</v>
      </c>
      <c r="R643" s="70">
        <v>44</v>
      </c>
      <c r="S643" s="70">
        <v>0</v>
      </c>
      <c r="T643" s="6">
        <f t="shared" si="312"/>
        <v>0</v>
      </c>
      <c r="U643" s="35" t="e">
        <f t="shared" si="316"/>
        <v>#DIV/0!</v>
      </c>
      <c r="V643" s="6" t="e">
        <f t="shared" si="319"/>
        <v>#DIV/0!</v>
      </c>
      <c r="W643" s="6" t="e">
        <f t="shared" si="319"/>
        <v>#DIV/0!</v>
      </c>
      <c r="X643" s="6" t="e">
        <f t="shared" si="319"/>
        <v>#DIV/0!</v>
      </c>
      <c r="Y643" s="6" t="e">
        <f t="shared" si="319"/>
        <v>#DIV/0!</v>
      </c>
      <c r="Z643" s="6" t="e">
        <f t="shared" si="319"/>
        <v>#DIV/0!</v>
      </c>
    </row>
    <row r="644" spans="1:26" x14ac:dyDescent="0.2">
      <c r="A644" s="7" t="s">
        <v>131</v>
      </c>
      <c r="B644" s="6">
        <f t="shared" si="313"/>
        <v>7</v>
      </c>
      <c r="C644" s="7" t="s">
        <v>157</v>
      </c>
      <c r="D644" s="69">
        <v>65</v>
      </c>
      <c r="E644" s="69">
        <v>93</v>
      </c>
      <c r="F644" s="66">
        <f t="shared" si="311"/>
        <v>1.4307692307692308</v>
      </c>
      <c r="G644" s="61" t="e">
        <f t="shared" si="314"/>
        <v>#DIV/0!</v>
      </c>
      <c r="H644" s="66" t="e">
        <f t="shared" si="318"/>
        <v>#DIV/0!</v>
      </c>
      <c r="I644" s="66" t="e">
        <f t="shared" si="318"/>
        <v>#DIV/0!</v>
      </c>
      <c r="J644" s="66" t="e">
        <f t="shared" si="318"/>
        <v>#DIV/0!</v>
      </c>
      <c r="K644" s="70">
        <v>16000</v>
      </c>
      <c r="L644" s="70">
        <f>'Monitoramento Acumulado Geral'!Q644</f>
        <v>0</v>
      </c>
      <c r="M644" s="6">
        <f>(SUM(L638:L644))/K643</f>
        <v>0.7</v>
      </c>
      <c r="N644" s="35" t="str">
        <f t="shared" si="315"/>
        <v>Desempenho Bom</v>
      </c>
      <c r="O644" s="6">
        <f t="shared" si="317"/>
        <v>0.42046470140126019</v>
      </c>
      <c r="P644" s="6">
        <f t="shared" si="317"/>
        <v>0.84574683442734511</v>
      </c>
      <c r="Q644" s="6">
        <f t="shared" si="317"/>
        <v>-4.8174316248247306E-3</v>
      </c>
      <c r="R644" s="70">
        <v>44</v>
      </c>
      <c r="S644" s="70">
        <v>0</v>
      </c>
      <c r="T644" s="6">
        <f t="shared" si="312"/>
        <v>0</v>
      </c>
      <c r="U644" s="35" t="e">
        <f t="shared" si="316"/>
        <v>#DIV/0!</v>
      </c>
      <c r="V644" s="6" t="e">
        <f t="shared" si="319"/>
        <v>#DIV/0!</v>
      </c>
      <c r="W644" s="6" t="e">
        <f t="shared" si="319"/>
        <v>#DIV/0!</v>
      </c>
      <c r="X644" s="6" t="e">
        <f t="shared" si="319"/>
        <v>#DIV/0!</v>
      </c>
      <c r="Y644" s="6" t="e">
        <f t="shared" si="319"/>
        <v>#DIV/0!</v>
      </c>
      <c r="Z644" s="6" t="e">
        <f t="shared" si="319"/>
        <v>#DIV/0!</v>
      </c>
    </row>
    <row r="645" spans="1:26" x14ac:dyDescent="0.2">
      <c r="A645" s="7" t="s">
        <v>131</v>
      </c>
      <c r="B645" s="6">
        <f t="shared" si="313"/>
        <v>8</v>
      </c>
      <c r="C645" s="7" t="s">
        <v>158</v>
      </c>
      <c r="D645" s="69">
        <v>65</v>
      </c>
      <c r="E645" s="69">
        <v>0</v>
      </c>
      <c r="F645" s="66">
        <f t="shared" si="311"/>
        <v>0</v>
      </c>
      <c r="G645" s="61" t="e">
        <f t="shared" si="314"/>
        <v>#DIV/0!</v>
      </c>
      <c r="H645" s="66" t="e">
        <f t="shared" si="318"/>
        <v>#DIV/0!</v>
      </c>
      <c r="I645" s="66" t="e">
        <f t="shared" si="318"/>
        <v>#DIV/0!</v>
      </c>
      <c r="J645" s="66" t="e">
        <f t="shared" si="318"/>
        <v>#DIV/0!</v>
      </c>
      <c r="K645" s="70">
        <v>16000</v>
      </c>
      <c r="L645" s="70">
        <f>'Monitoramento Acumulado Geral'!Q645</f>
        <v>0</v>
      </c>
      <c r="M645" s="6">
        <f>(SUM(L638:L645))/K644</f>
        <v>0.7</v>
      </c>
      <c r="N645" s="35" t="str">
        <f t="shared" si="315"/>
        <v>Desempenho Bom</v>
      </c>
      <c r="O645" s="6">
        <f t="shared" si="317"/>
        <v>0.42046470140126019</v>
      </c>
      <c r="P645" s="6">
        <f t="shared" si="317"/>
        <v>0.84574683442734511</v>
      </c>
      <c r="Q645" s="6">
        <f t="shared" si="317"/>
        <v>-4.8174316248247306E-3</v>
      </c>
      <c r="R645" s="70">
        <v>44</v>
      </c>
      <c r="S645" s="70">
        <v>0</v>
      </c>
      <c r="T645" s="6">
        <f t="shared" si="312"/>
        <v>0</v>
      </c>
      <c r="U645" s="35" t="e">
        <f t="shared" si="316"/>
        <v>#DIV/0!</v>
      </c>
      <c r="V645" s="6" t="e">
        <f t="shared" si="319"/>
        <v>#DIV/0!</v>
      </c>
      <c r="W645" s="6" t="e">
        <f t="shared" si="319"/>
        <v>#DIV/0!</v>
      </c>
      <c r="X645" s="6" t="e">
        <f t="shared" si="319"/>
        <v>#DIV/0!</v>
      </c>
      <c r="Y645" s="6" t="e">
        <f t="shared" si="319"/>
        <v>#DIV/0!</v>
      </c>
      <c r="Z645" s="6" t="e">
        <f t="shared" si="319"/>
        <v>#DIV/0!</v>
      </c>
    </row>
    <row r="646" spans="1:26" x14ac:dyDescent="0.2">
      <c r="A646" s="7" t="s">
        <v>131</v>
      </c>
      <c r="B646" s="6">
        <f t="shared" si="313"/>
        <v>9</v>
      </c>
      <c r="C646" s="7" t="s">
        <v>159</v>
      </c>
      <c r="D646" s="69">
        <v>65</v>
      </c>
      <c r="E646" s="69">
        <v>0</v>
      </c>
      <c r="F646" s="66">
        <f t="shared" si="311"/>
        <v>0</v>
      </c>
      <c r="G646" s="61" t="e">
        <f t="shared" si="314"/>
        <v>#DIV/0!</v>
      </c>
      <c r="H646" s="66" t="e">
        <f t="shared" si="318"/>
        <v>#DIV/0!</v>
      </c>
      <c r="I646" s="66" t="e">
        <f t="shared" si="318"/>
        <v>#DIV/0!</v>
      </c>
      <c r="J646" s="66" t="e">
        <f t="shared" si="318"/>
        <v>#DIV/0!</v>
      </c>
      <c r="K646" s="70">
        <v>16000</v>
      </c>
      <c r="L646" s="70">
        <f>'Monitoramento Acumulado Geral'!Q646</f>
        <v>0</v>
      </c>
      <c r="M646" s="6">
        <f>(SUM(L638:L646))/K645</f>
        <v>0.7</v>
      </c>
      <c r="N646" s="35" t="str">
        <f t="shared" si="315"/>
        <v>Desempenho Bom</v>
      </c>
      <c r="O646" s="6">
        <f t="shared" ref="O646:Q649" si="320">O634</f>
        <v>0.42046470140126019</v>
      </c>
      <c r="P646" s="6">
        <f t="shared" si="320"/>
        <v>0.84574683442734511</v>
      </c>
      <c r="Q646" s="6">
        <f t="shared" si="320"/>
        <v>-4.8174316248247306E-3</v>
      </c>
      <c r="R646" s="70">
        <v>44</v>
      </c>
      <c r="S646" s="70">
        <v>0</v>
      </c>
      <c r="T646" s="6">
        <f t="shared" si="312"/>
        <v>0</v>
      </c>
      <c r="U646" s="35" t="e">
        <f t="shared" si="316"/>
        <v>#DIV/0!</v>
      </c>
      <c r="V646" s="6" t="e">
        <f t="shared" si="319"/>
        <v>#DIV/0!</v>
      </c>
      <c r="W646" s="6" t="e">
        <f t="shared" si="319"/>
        <v>#DIV/0!</v>
      </c>
      <c r="X646" s="6" t="e">
        <f t="shared" si="319"/>
        <v>#DIV/0!</v>
      </c>
      <c r="Y646" s="6" t="e">
        <f t="shared" si="319"/>
        <v>#DIV/0!</v>
      </c>
      <c r="Z646" s="6" t="e">
        <f t="shared" si="319"/>
        <v>#DIV/0!</v>
      </c>
    </row>
    <row r="647" spans="1:26" x14ac:dyDescent="0.2">
      <c r="A647" s="7" t="s">
        <v>131</v>
      </c>
      <c r="B647" s="6">
        <f t="shared" si="313"/>
        <v>10</v>
      </c>
      <c r="C647" s="7" t="s">
        <v>160</v>
      </c>
      <c r="D647" s="69">
        <v>65</v>
      </c>
      <c r="E647" s="69">
        <v>0</v>
      </c>
      <c r="F647" s="66">
        <f t="shared" si="311"/>
        <v>0</v>
      </c>
      <c r="G647" s="61" t="e">
        <f t="shared" si="314"/>
        <v>#DIV/0!</v>
      </c>
      <c r="H647" s="66" t="e">
        <f t="shared" si="318"/>
        <v>#DIV/0!</v>
      </c>
      <c r="I647" s="66" t="e">
        <f t="shared" si="318"/>
        <v>#DIV/0!</v>
      </c>
      <c r="J647" s="66" t="e">
        <f t="shared" si="318"/>
        <v>#DIV/0!</v>
      </c>
      <c r="K647" s="70">
        <v>16000</v>
      </c>
      <c r="L647" s="70">
        <f>'Monitoramento Acumulado Geral'!Q647</f>
        <v>0</v>
      </c>
      <c r="M647" s="6">
        <f>(SUM(L638:L647))/K646</f>
        <v>0.7</v>
      </c>
      <c r="N647" s="35" t="str">
        <f t="shared" si="315"/>
        <v>Desempenho Bom</v>
      </c>
      <c r="O647" s="6">
        <f t="shared" si="320"/>
        <v>0.42046470140126019</v>
      </c>
      <c r="P647" s="6">
        <f t="shared" si="320"/>
        <v>0.84574683442734511</v>
      </c>
      <c r="Q647" s="6">
        <f t="shared" si="320"/>
        <v>-4.8174316248247306E-3</v>
      </c>
      <c r="R647" s="70">
        <v>44</v>
      </c>
      <c r="S647" s="70">
        <v>0</v>
      </c>
      <c r="T647" s="6">
        <f t="shared" si="312"/>
        <v>0</v>
      </c>
      <c r="U647" s="35" t="e">
        <f t="shared" si="316"/>
        <v>#DIV/0!</v>
      </c>
      <c r="V647" s="6" t="e">
        <f t="shared" si="319"/>
        <v>#DIV/0!</v>
      </c>
      <c r="W647" s="6" t="e">
        <f t="shared" si="319"/>
        <v>#DIV/0!</v>
      </c>
      <c r="X647" s="6" t="e">
        <f t="shared" si="319"/>
        <v>#DIV/0!</v>
      </c>
      <c r="Y647" s="6" t="e">
        <f t="shared" si="319"/>
        <v>#DIV/0!</v>
      </c>
      <c r="Z647" s="6" t="e">
        <f t="shared" si="319"/>
        <v>#DIV/0!</v>
      </c>
    </row>
    <row r="648" spans="1:26" x14ac:dyDescent="0.2">
      <c r="A648" s="7" t="s">
        <v>131</v>
      </c>
      <c r="B648" s="6">
        <f t="shared" si="313"/>
        <v>11</v>
      </c>
      <c r="C648" s="7" t="s">
        <v>161</v>
      </c>
      <c r="D648" s="69">
        <v>65</v>
      </c>
      <c r="E648" s="69">
        <v>0</v>
      </c>
      <c r="F648" s="66">
        <f t="shared" si="311"/>
        <v>0</v>
      </c>
      <c r="G648" s="61" t="e">
        <f t="shared" si="314"/>
        <v>#DIV/0!</v>
      </c>
      <c r="H648" s="66" t="e">
        <f t="shared" si="318"/>
        <v>#DIV/0!</v>
      </c>
      <c r="I648" s="66" t="e">
        <f t="shared" si="318"/>
        <v>#DIV/0!</v>
      </c>
      <c r="J648" s="66" t="e">
        <f t="shared" si="318"/>
        <v>#DIV/0!</v>
      </c>
      <c r="K648" s="70">
        <v>16000</v>
      </c>
      <c r="L648" s="70">
        <f>'Monitoramento Acumulado Geral'!Q648</f>
        <v>0</v>
      </c>
      <c r="M648" s="6">
        <f>(SUM(L638:L648))/K647</f>
        <v>0.7</v>
      </c>
      <c r="N648" s="35" t="str">
        <f t="shared" si="315"/>
        <v>Desempenho Bom</v>
      </c>
      <c r="O648" s="6">
        <f t="shared" si="320"/>
        <v>0.42046470140126019</v>
      </c>
      <c r="P648" s="6">
        <f t="shared" si="320"/>
        <v>0.84574683442734511</v>
      </c>
      <c r="Q648" s="6">
        <f t="shared" si="320"/>
        <v>-4.8174316248247306E-3</v>
      </c>
      <c r="R648" s="70">
        <v>44</v>
      </c>
      <c r="S648" s="70">
        <v>0</v>
      </c>
      <c r="T648" s="6">
        <f t="shared" si="312"/>
        <v>0</v>
      </c>
      <c r="U648" s="35" t="e">
        <f t="shared" si="316"/>
        <v>#DIV/0!</v>
      </c>
      <c r="V648" s="6" t="e">
        <f t="shared" si="319"/>
        <v>#DIV/0!</v>
      </c>
      <c r="W648" s="6" t="e">
        <f t="shared" si="319"/>
        <v>#DIV/0!</v>
      </c>
      <c r="X648" s="6" t="e">
        <f t="shared" si="319"/>
        <v>#DIV/0!</v>
      </c>
      <c r="Y648" s="6" t="e">
        <f t="shared" si="319"/>
        <v>#DIV/0!</v>
      </c>
      <c r="Z648" s="6" t="e">
        <f t="shared" si="319"/>
        <v>#DIV/0!</v>
      </c>
    </row>
    <row r="649" spans="1:26" x14ac:dyDescent="0.2">
      <c r="A649" s="7" t="s">
        <v>131</v>
      </c>
      <c r="B649" s="6">
        <f t="shared" si="313"/>
        <v>12</v>
      </c>
      <c r="C649" s="7" t="s">
        <v>162</v>
      </c>
      <c r="D649" s="69">
        <v>65</v>
      </c>
      <c r="E649" s="69">
        <v>0</v>
      </c>
      <c r="F649" s="66">
        <f t="shared" si="311"/>
        <v>0</v>
      </c>
      <c r="G649" s="61" t="e">
        <f t="shared" si="314"/>
        <v>#DIV/0!</v>
      </c>
      <c r="H649" s="66" t="e">
        <f t="shared" si="318"/>
        <v>#DIV/0!</v>
      </c>
      <c r="I649" s="66" t="e">
        <f t="shared" si="318"/>
        <v>#DIV/0!</v>
      </c>
      <c r="J649" s="66" t="e">
        <f t="shared" si="318"/>
        <v>#DIV/0!</v>
      </c>
      <c r="K649" s="70">
        <v>16000</v>
      </c>
      <c r="L649" s="70">
        <f>'Monitoramento Acumulado Geral'!Q649</f>
        <v>0</v>
      </c>
      <c r="M649" s="6">
        <f>(SUM(L638:L649))/K648</f>
        <v>0.7</v>
      </c>
      <c r="N649" s="35" t="str">
        <f t="shared" si="315"/>
        <v>Desempenho Bom</v>
      </c>
      <c r="O649" s="6">
        <f t="shared" si="320"/>
        <v>0.41824651958307835</v>
      </c>
      <c r="P649" s="6">
        <f t="shared" si="320"/>
        <v>0.84510274859297763</v>
      </c>
      <c r="Q649" s="6">
        <f t="shared" si="320"/>
        <v>-8.6097094268208774E-3</v>
      </c>
      <c r="R649" s="70">
        <v>44</v>
      </c>
      <c r="S649" s="70">
        <v>0</v>
      </c>
      <c r="T649" s="6">
        <f t="shared" si="312"/>
        <v>0</v>
      </c>
      <c r="U649" s="35" t="e">
        <f t="shared" si="316"/>
        <v>#DIV/0!</v>
      </c>
      <c r="V649" s="6" t="e">
        <f t="shared" si="319"/>
        <v>#DIV/0!</v>
      </c>
      <c r="W649" s="6" t="e">
        <f t="shared" si="319"/>
        <v>#DIV/0!</v>
      </c>
      <c r="X649" s="6" t="e">
        <f t="shared" si="319"/>
        <v>#DIV/0!</v>
      </c>
      <c r="Y649" s="6" t="e">
        <f t="shared" si="319"/>
        <v>#DIV/0!</v>
      </c>
      <c r="Z649" s="6" t="e">
        <f t="shared" si="319"/>
        <v>#DIV/0!</v>
      </c>
    </row>
    <row r="650" spans="1:26" x14ac:dyDescent="0.2">
      <c r="A650" t="s">
        <v>302</v>
      </c>
      <c r="B650" s="6">
        <f t="shared" ref="B650:B661" si="321">_xlfn.IFS(C650="Janeiro",1,C650="Fevereiro",2,C650="Março",3,C650="Abril",4,C650="Maio",5,C650="Junho",6,C650="Julho",7,C650="Agosto",8,C650="Setembro",9,C650="Outubro",10,C650="Novembro",11,C650="Dezembro",12,TRUE,0)</f>
        <v>1</v>
      </c>
      <c r="C650" s="7" t="s">
        <v>151</v>
      </c>
      <c r="D650" s="69">
        <v>0</v>
      </c>
      <c r="E650" s="69">
        <v>0</v>
      </c>
      <c r="F650" s="66" t="e">
        <f t="shared" si="311"/>
        <v>#DIV/0!</v>
      </c>
      <c r="G650" s="61" t="e">
        <f t="shared" ref="G650:G661" si="322">IF(F650&gt;=I650,"Desempenho Ótimo",(IF(F650&gt;H650,"Desempenho Bom",(IF(F650&gt;J650,"Desempenho Médio",IF(F650&lt;=J650,"Desempenho Deficitário",0))))))</f>
        <v>#DIV/0!</v>
      </c>
      <c r="H650" s="66" t="e">
        <f t="shared" ref="H650:J650" si="323">H638</f>
        <v>#DIV/0!</v>
      </c>
      <c r="I650" s="66" t="e">
        <f t="shared" si="323"/>
        <v>#DIV/0!</v>
      </c>
      <c r="J650" s="66" t="e">
        <f t="shared" si="323"/>
        <v>#DIV/0!</v>
      </c>
      <c r="K650" s="70">
        <v>0</v>
      </c>
      <c r="L650" s="70">
        <f>'Monitoramento Acumulado Geral'!Q650</f>
        <v>0</v>
      </c>
      <c r="M650" s="6">
        <f>(SUM(L647:L650))/K649</f>
        <v>0</v>
      </c>
      <c r="N650" s="35" t="str">
        <f t="shared" ref="N650:N661" si="324">IF(M650&gt;=P650,"Desempenho Ótimo",(IF(M650&gt;O650,"Desempenho Bom",(IF(M650&gt;Q650,"Desempenho Médio",IF(M650&lt;=Q650,"Desempenho Deficitário",0))))))</f>
        <v>Desempenho Médio</v>
      </c>
      <c r="O650" s="6">
        <f t="shared" ref="O650:Q650" si="325">O638</f>
        <v>3.4274647562211005E-2</v>
      </c>
      <c r="P650" s="6">
        <f t="shared" si="325"/>
        <v>0.10289217685709087</v>
      </c>
      <c r="Q650" s="6">
        <f t="shared" si="325"/>
        <v>-3.4342881732668862E-2</v>
      </c>
      <c r="R650" s="70">
        <v>0</v>
      </c>
      <c r="S650" s="70">
        <v>0</v>
      </c>
      <c r="T650" s="6" t="e">
        <f t="shared" ref="T650:T661" si="326">S650/R650</f>
        <v>#DIV/0!</v>
      </c>
      <c r="U650" s="35" t="e">
        <f t="shared" ref="U650:U661" si="327">IF(T650&gt;=W650,"Desempenho Ótimo",(IF(T650&gt;V650,"Desempenho Bom",(IF(T650&gt;X650,"Desempenho Médio",IF(T650&lt;=X650,"Desempenho Deficitário",0))))))</f>
        <v>#DIV/0!</v>
      </c>
      <c r="V650" s="6" t="e">
        <f t="shared" ref="V650:Z650" si="328">V638</f>
        <v>#DIV/0!</v>
      </c>
      <c r="W650" s="6" t="e">
        <f t="shared" si="328"/>
        <v>#DIV/0!</v>
      </c>
      <c r="X650" s="6" t="e">
        <f t="shared" si="328"/>
        <v>#DIV/0!</v>
      </c>
      <c r="Y650" s="6" t="e">
        <f t="shared" si="328"/>
        <v>#DIV/0!</v>
      </c>
      <c r="Z650" s="6" t="e">
        <f t="shared" si="328"/>
        <v>#DIV/0!</v>
      </c>
    </row>
    <row r="651" spans="1:26" x14ac:dyDescent="0.2">
      <c r="A651" t="s">
        <v>302</v>
      </c>
      <c r="B651" s="6">
        <f t="shared" si="321"/>
        <v>2</v>
      </c>
      <c r="C651" s="7" t="s">
        <v>152</v>
      </c>
      <c r="D651" s="69">
        <v>0</v>
      </c>
      <c r="E651" s="69">
        <v>0</v>
      </c>
      <c r="F651" s="66" t="e">
        <f t="shared" si="311"/>
        <v>#DIV/0!</v>
      </c>
      <c r="G651" s="61" t="e">
        <f t="shared" si="322"/>
        <v>#DIV/0!</v>
      </c>
      <c r="H651" s="66" t="e">
        <f t="shared" ref="H651:J651" si="329">H639</f>
        <v>#DIV/0!</v>
      </c>
      <c r="I651" s="66" t="e">
        <f t="shared" si="329"/>
        <v>#DIV/0!</v>
      </c>
      <c r="J651" s="66" t="e">
        <f t="shared" si="329"/>
        <v>#DIV/0!</v>
      </c>
      <c r="K651" s="70">
        <v>0</v>
      </c>
      <c r="L651" s="70">
        <f>'Monitoramento Acumulado Geral'!Q651</f>
        <v>0</v>
      </c>
      <c r="M651" s="6" t="e">
        <f>(SUM(L647:L651))/K650</f>
        <v>#DIV/0!</v>
      </c>
      <c r="N651" s="35" t="e">
        <f t="shared" si="324"/>
        <v>#DIV/0!</v>
      </c>
      <c r="O651" s="6">
        <f t="shared" ref="O651:Q651" si="330">O639</f>
        <v>8.1815188943147363E-2</v>
      </c>
      <c r="P651" s="6">
        <f t="shared" si="330"/>
        <v>0.20623883252423067</v>
      </c>
      <c r="Q651" s="6">
        <f t="shared" si="330"/>
        <v>-4.2608454637935944E-2</v>
      </c>
      <c r="R651" s="70">
        <v>0</v>
      </c>
      <c r="S651" s="70">
        <v>0</v>
      </c>
      <c r="T651" s="6" t="e">
        <f t="shared" si="326"/>
        <v>#DIV/0!</v>
      </c>
      <c r="U651" s="35" t="e">
        <f t="shared" si="327"/>
        <v>#DIV/0!</v>
      </c>
      <c r="V651" s="6" t="e">
        <f t="shared" ref="V651:Z651" si="331">V639</f>
        <v>#DIV/0!</v>
      </c>
      <c r="W651" s="6" t="e">
        <f t="shared" si="331"/>
        <v>#DIV/0!</v>
      </c>
      <c r="X651" s="6" t="e">
        <f t="shared" si="331"/>
        <v>#DIV/0!</v>
      </c>
      <c r="Y651" s="6" t="e">
        <f t="shared" si="331"/>
        <v>#DIV/0!</v>
      </c>
      <c r="Z651" s="6" t="e">
        <f t="shared" si="331"/>
        <v>#DIV/0!</v>
      </c>
    </row>
    <row r="652" spans="1:26" x14ac:dyDescent="0.2">
      <c r="A652" t="s">
        <v>302</v>
      </c>
      <c r="B652" s="6">
        <f t="shared" si="321"/>
        <v>3</v>
      </c>
      <c r="C652" s="7" t="s">
        <v>153</v>
      </c>
      <c r="D652" s="69">
        <v>0</v>
      </c>
      <c r="E652" s="69">
        <v>0</v>
      </c>
      <c r="F652" s="66" t="e">
        <f t="shared" si="311"/>
        <v>#DIV/0!</v>
      </c>
      <c r="G652" s="61" t="e">
        <f t="shared" si="322"/>
        <v>#DIV/0!</v>
      </c>
      <c r="H652" s="66" t="e">
        <f t="shared" ref="H652:J652" si="332">H640</f>
        <v>#DIV/0!</v>
      </c>
      <c r="I652" s="66" t="e">
        <f t="shared" si="332"/>
        <v>#DIV/0!</v>
      </c>
      <c r="J652" s="66" t="e">
        <f t="shared" si="332"/>
        <v>#DIV/0!</v>
      </c>
      <c r="K652" s="70">
        <v>0</v>
      </c>
      <c r="L652" s="70">
        <f>'Monitoramento Acumulado Geral'!Q652</f>
        <v>0</v>
      </c>
      <c r="M652" s="6" t="e">
        <f>(SUM(L647:L652))/K651</f>
        <v>#DIV/0!</v>
      </c>
      <c r="N652" s="35" t="e">
        <f t="shared" si="324"/>
        <v>#DIV/0!</v>
      </c>
      <c r="O652" s="6">
        <f t="shared" ref="O652:Q652" si="333">O640</f>
        <v>0.13411292471649494</v>
      </c>
      <c r="P652" s="6">
        <f t="shared" si="333"/>
        <v>0.29721906787058483</v>
      </c>
      <c r="Q652" s="6">
        <f t="shared" si="333"/>
        <v>-2.899321843759492E-2</v>
      </c>
      <c r="R652" s="70">
        <v>0</v>
      </c>
      <c r="S652" s="70">
        <v>0</v>
      </c>
      <c r="T652" s="6" t="e">
        <f t="shared" si="326"/>
        <v>#DIV/0!</v>
      </c>
      <c r="U652" s="35" t="e">
        <f t="shared" si="327"/>
        <v>#DIV/0!</v>
      </c>
      <c r="V652" s="6" t="e">
        <f t="shared" ref="V652:Z652" si="334">V640</f>
        <v>#DIV/0!</v>
      </c>
      <c r="W652" s="6" t="e">
        <f t="shared" si="334"/>
        <v>#DIV/0!</v>
      </c>
      <c r="X652" s="6" t="e">
        <f t="shared" si="334"/>
        <v>#DIV/0!</v>
      </c>
      <c r="Y652" s="6" t="e">
        <f t="shared" si="334"/>
        <v>#DIV/0!</v>
      </c>
      <c r="Z652" s="6" t="e">
        <f t="shared" si="334"/>
        <v>#DIV/0!</v>
      </c>
    </row>
    <row r="653" spans="1:26" x14ac:dyDescent="0.2">
      <c r="A653" t="s">
        <v>302</v>
      </c>
      <c r="B653" s="6">
        <f t="shared" si="321"/>
        <v>4</v>
      </c>
      <c r="C653" s="7" t="s">
        <v>154</v>
      </c>
      <c r="D653" s="69">
        <v>0</v>
      </c>
      <c r="E653" s="69">
        <v>0</v>
      </c>
      <c r="F653" s="66" t="e">
        <f t="shared" si="311"/>
        <v>#DIV/0!</v>
      </c>
      <c r="G653" s="61" t="e">
        <f t="shared" si="322"/>
        <v>#DIV/0!</v>
      </c>
      <c r="H653" s="66" t="e">
        <f t="shared" ref="H653:J653" si="335">H641</f>
        <v>#DIV/0!</v>
      </c>
      <c r="I653" s="66" t="e">
        <f t="shared" si="335"/>
        <v>#DIV/0!</v>
      </c>
      <c r="J653" s="66" t="e">
        <f t="shared" si="335"/>
        <v>#DIV/0!</v>
      </c>
      <c r="K653" s="70">
        <v>0</v>
      </c>
      <c r="L653" s="70">
        <f>'Monitoramento Acumulado Geral'!Q653</f>
        <v>0</v>
      </c>
      <c r="M653" s="6" t="e">
        <f>(SUM(L647:L653))/K652</f>
        <v>#DIV/0!</v>
      </c>
      <c r="N653" s="35" t="e">
        <f t="shared" si="324"/>
        <v>#DIV/0!</v>
      </c>
      <c r="O653" s="6">
        <f t="shared" ref="O653:Q653" si="336">O641</f>
        <v>0.15392483870093213</v>
      </c>
      <c r="P653" s="6">
        <f t="shared" si="336"/>
        <v>0.32772007016950033</v>
      </c>
      <c r="Q653" s="6">
        <f t="shared" si="336"/>
        <v>-1.9870392767636053E-2</v>
      </c>
      <c r="R653" s="70">
        <v>0</v>
      </c>
      <c r="S653" s="70">
        <v>0</v>
      </c>
      <c r="T653" s="6" t="e">
        <f t="shared" si="326"/>
        <v>#DIV/0!</v>
      </c>
      <c r="U653" s="35" t="e">
        <f t="shared" si="327"/>
        <v>#DIV/0!</v>
      </c>
      <c r="V653" s="6" t="e">
        <f t="shared" ref="V653:Z653" si="337">V641</f>
        <v>#DIV/0!</v>
      </c>
      <c r="W653" s="6" t="e">
        <f t="shared" si="337"/>
        <v>#DIV/0!</v>
      </c>
      <c r="X653" s="6" t="e">
        <f t="shared" si="337"/>
        <v>#DIV/0!</v>
      </c>
      <c r="Y653" s="6" t="e">
        <f t="shared" si="337"/>
        <v>#DIV/0!</v>
      </c>
      <c r="Z653" s="6" t="e">
        <f t="shared" si="337"/>
        <v>#DIV/0!</v>
      </c>
    </row>
    <row r="654" spans="1:26" x14ac:dyDescent="0.2">
      <c r="A654" t="s">
        <v>302</v>
      </c>
      <c r="B654" s="6">
        <f t="shared" si="321"/>
        <v>5</v>
      </c>
      <c r="C654" s="7" t="s">
        <v>155</v>
      </c>
      <c r="D654" s="69">
        <v>0</v>
      </c>
      <c r="E654" s="69">
        <v>0</v>
      </c>
      <c r="F654" s="66" t="e">
        <f t="shared" si="311"/>
        <v>#DIV/0!</v>
      </c>
      <c r="G654" s="61" t="e">
        <f t="shared" si="322"/>
        <v>#DIV/0!</v>
      </c>
      <c r="H654" s="66" t="e">
        <f t="shared" ref="H654:J654" si="338">H642</f>
        <v>#DIV/0!</v>
      </c>
      <c r="I654" s="66" t="e">
        <f t="shared" si="338"/>
        <v>#DIV/0!</v>
      </c>
      <c r="J654" s="66" t="e">
        <f t="shared" si="338"/>
        <v>#DIV/0!</v>
      </c>
      <c r="K654" s="70">
        <v>0</v>
      </c>
      <c r="L654" s="70">
        <f>'Monitoramento Acumulado Geral'!Q654</f>
        <v>0</v>
      </c>
      <c r="M654" s="6" t="e">
        <f>(SUM(L647:L654))/K653</f>
        <v>#DIV/0!</v>
      </c>
      <c r="N654" s="35" t="e">
        <f t="shared" si="324"/>
        <v>#DIV/0!</v>
      </c>
      <c r="O654" s="6">
        <f t="shared" ref="O654:Q654" si="339">O642</f>
        <v>0.21139287248463789</v>
      </c>
      <c r="P654" s="6">
        <f t="shared" si="339"/>
        <v>0.43680804416292918</v>
      </c>
      <c r="Q654" s="6">
        <f t="shared" si="339"/>
        <v>-1.4022299193653387E-2</v>
      </c>
      <c r="R654" s="70">
        <v>0</v>
      </c>
      <c r="S654" s="70">
        <v>0</v>
      </c>
      <c r="T654" s="6" t="e">
        <f t="shared" si="326"/>
        <v>#DIV/0!</v>
      </c>
      <c r="U654" s="35" t="e">
        <f t="shared" si="327"/>
        <v>#DIV/0!</v>
      </c>
      <c r="V654" s="6" t="e">
        <f t="shared" ref="V654:Z654" si="340">V642</f>
        <v>#DIV/0!</v>
      </c>
      <c r="W654" s="6" t="e">
        <f t="shared" si="340"/>
        <v>#DIV/0!</v>
      </c>
      <c r="X654" s="6" t="e">
        <f t="shared" si="340"/>
        <v>#DIV/0!</v>
      </c>
      <c r="Y654" s="6" t="e">
        <f t="shared" si="340"/>
        <v>#DIV/0!</v>
      </c>
      <c r="Z654" s="6" t="e">
        <f t="shared" si="340"/>
        <v>#DIV/0!</v>
      </c>
    </row>
    <row r="655" spans="1:26" x14ac:dyDescent="0.2">
      <c r="A655" t="s">
        <v>302</v>
      </c>
      <c r="B655" s="6">
        <f t="shared" si="321"/>
        <v>6</v>
      </c>
      <c r="C655" s="7" t="s">
        <v>156</v>
      </c>
      <c r="D655" s="69">
        <v>0</v>
      </c>
      <c r="E655" s="69">
        <v>0</v>
      </c>
      <c r="F655" s="66" t="e">
        <f t="shared" si="311"/>
        <v>#DIV/0!</v>
      </c>
      <c r="G655" s="61" t="e">
        <f t="shared" si="322"/>
        <v>#DIV/0!</v>
      </c>
      <c r="H655" s="66" t="e">
        <f t="shared" ref="H655:J655" si="341">H643</f>
        <v>#DIV/0!</v>
      </c>
      <c r="I655" s="66" t="e">
        <f t="shared" si="341"/>
        <v>#DIV/0!</v>
      </c>
      <c r="J655" s="66" t="e">
        <f t="shared" si="341"/>
        <v>#DIV/0!</v>
      </c>
      <c r="K655" s="70">
        <v>0</v>
      </c>
      <c r="L655" s="70">
        <f>'Monitoramento Acumulado Geral'!Q655</f>
        <v>0</v>
      </c>
      <c r="M655" s="6" t="e">
        <f>(SUM(L647:L655))/K654</f>
        <v>#DIV/0!</v>
      </c>
      <c r="N655" s="35" t="e">
        <f t="shared" si="324"/>
        <v>#DIV/0!</v>
      </c>
      <c r="O655" s="6">
        <f t="shared" ref="O655:Q655" si="342">O643</f>
        <v>0.28403291059934432</v>
      </c>
      <c r="P655" s="6">
        <f t="shared" si="342"/>
        <v>0.56118246348434164</v>
      </c>
      <c r="Q655" s="6">
        <f t="shared" si="342"/>
        <v>6.8833577143469493E-3</v>
      </c>
      <c r="R655" s="70">
        <v>0</v>
      </c>
      <c r="S655" s="70">
        <v>0</v>
      </c>
      <c r="T655" s="6" t="e">
        <f t="shared" si="326"/>
        <v>#DIV/0!</v>
      </c>
      <c r="U655" s="35" t="e">
        <f t="shared" si="327"/>
        <v>#DIV/0!</v>
      </c>
      <c r="V655" s="6" t="e">
        <f t="shared" ref="V655:Z655" si="343">V643</f>
        <v>#DIV/0!</v>
      </c>
      <c r="W655" s="6" t="e">
        <f t="shared" si="343"/>
        <v>#DIV/0!</v>
      </c>
      <c r="X655" s="6" t="e">
        <f t="shared" si="343"/>
        <v>#DIV/0!</v>
      </c>
      <c r="Y655" s="6" t="e">
        <f t="shared" si="343"/>
        <v>#DIV/0!</v>
      </c>
      <c r="Z655" s="6" t="e">
        <f t="shared" si="343"/>
        <v>#DIV/0!</v>
      </c>
    </row>
    <row r="656" spans="1:26" x14ac:dyDescent="0.2">
      <c r="A656" t="s">
        <v>302</v>
      </c>
      <c r="B656" s="6">
        <f t="shared" si="321"/>
        <v>7</v>
      </c>
      <c r="C656" s="7" t="s">
        <v>157</v>
      </c>
      <c r="D656" s="69">
        <v>0</v>
      </c>
      <c r="E656" s="69">
        <v>0</v>
      </c>
      <c r="F656" s="66" t="e">
        <f t="shared" si="311"/>
        <v>#DIV/0!</v>
      </c>
      <c r="G656" s="61" t="e">
        <f t="shared" si="322"/>
        <v>#DIV/0!</v>
      </c>
      <c r="H656" s="66" t="e">
        <f t="shared" ref="H656:J656" si="344">H644</f>
        <v>#DIV/0!</v>
      </c>
      <c r="I656" s="66" t="e">
        <f t="shared" si="344"/>
        <v>#DIV/0!</v>
      </c>
      <c r="J656" s="66" t="e">
        <f t="shared" si="344"/>
        <v>#DIV/0!</v>
      </c>
      <c r="K656" s="70">
        <v>0</v>
      </c>
      <c r="L656" s="70">
        <f>'Monitoramento Acumulado Geral'!Q656</f>
        <v>0</v>
      </c>
      <c r="M656" s="6" t="e">
        <f>(SUM(L647:L656))/K655</f>
        <v>#DIV/0!</v>
      </c>
      <c r="N656" s="35" t="e">
        <f t="shared" si="324"/>
        <v>#DIV/0!</v>
      </c>
      <c r="O656" s="6">
        <f t="shared" ref="O656:Q656" si="345">O644</f>
        <v>0.42046470140126019</v>
      </c>
      <c r="P656" s="6">
        <f t="shared" si="345"/>
        <v>0.84574683442734511</v>
      </c>
      <c r="Q656" s="6">
        <f t="shared" si="345"/>
        <v>-4.8174316248247306E-3</v>
      </c>
      <c r="R656" s="70">
        <v>0</v>
      </c>
      <c r="S656" s="70">
        <v>0</v>
      </c>
      <c r="T656" s="6" t="e">
        <f t="shared" si="326"/>
        <v>#DIV/0!</v>
      </c>
      <c r="U656" s="35" t="e">
        <f t="shared" si="327"/>
        <v>#DIV/0!</v>
      </c>
      <c r="V656" s="6" t="e">
        <f t="shared" ref="V656:Z656" si="346">V644</f>
        <v>#DIV/0!</v>
      </c>
      <c r="W656" s="6" t="e">
        <f t="shared" si="346"/>
        <v>#DIV/0!</v>
      </c>
      <c r="X656" s="6" t="e">
        <f t="shared" si="346"/>
        <v>#DIV/0!</v>
      </c>
      <c r="Y656" s="6" t="e">
        <f t="shared" si="346"/>
        <v>#DIV/0!</v>
      </c>
      <c r="Z656" s="6" t="e">
        <f t="shared" si="346"/>
        <v>#DIV/0!</v>
      </c>
    </row>
    <row r="657" spans="1:26" x14ac:dyDescent="0.2">
      <c r="A657" t="s">
        <v>302</v>
      </c>
      <c r="B657" s="6">
        <f t="shared" si="321"/>
        <v>8</v>
      </c>
      <c r="C657" s="7" t="s">
        <v>158</v>
      </c>
      <c r="D657" s="69">
        <v>0</v>
      </c>
      <c r="E657" s="69">
        <v>0</v>
      </c>
      <c r="F657" s="66" t="e">
        <f t="shared" si="311"/>
        <v>#DIV/0!</v>
      </c>
      <c r="G657" s="61" t="e">
        <f t="shared" si="322"/>
        <v>#DIV/0!</v>
      </c>
      <c r="H657" s="66" t="e">
        <f t="shared" ref="H657:J657" si="347">H645</f>
        <v>#DIV/0!</v>
      </c>
      <c r="I657" s="66" t="e">
        <f t="shared" si="347"/>
        <v>#DIV/0!</v>
      </c>
      <c r="J657" s="66" t="e">
        <f t="shared" si="347"/>
        <v>#DIV/0!</v>
      </c>
      <c r="K657" s="70">
        <v>0</v>
      </c>
      <c r="L657" s="70">
        <f>'Monitoramento Acumulado Geral'!Q657</f>
        <v>0</v>
      </c>
      <c r="M657" s="6" t="e">
        <f>(SUM(L647:L657))/K656</f>
        <v>#DIV/0!</v>
      </c>
      <c r="N657" s="35" t="e">
        <f t="shared" si="324"/>
        <v>#DIV/0!</v>
      </c>
      <c r="O657" s="6">
        <f t="shared" ref="O657:Q657" si="348">O645</f>
        <v>0.42046470140126019</v>
      </c>
      <c r="P657" s="6">
        <f t="shared" si="348"/>
        <v>0.84574683442734511</v>
      </c>
      <c r="Q657" s="6">
        <f t="shared" si="348"/>
        <v>-4.8174316248247306E-3</v>
      </c>
      <c r="R657" s="70">
        <v>0</v>
      </c>
      <c r="S657" s="70">
        <v>0</v>
      </c>
      <c r="T657" s="6" t="e">
        <f t="shared" si="326"/>
        <v>#DIV/0!</v>
      </c>
      <c r="U657" s="35" t="e">
        <f t="shared" si="327"/>
        <v>#DIV/0!</v>
      </c>
      <c r="V657" s="6" t="e">
        <f t="shared" ref="V657:Z657" si="349">V645</f>
        <v>#DIV/0!</v>
      </c>
      <c r="W657" s="6" t="e">
        <f t="shared" si="349"/>
        <v>#DIV/0!</v>
      </c>
      <c r="X657" s="6" t="e">
        <f t="shared" si="349"/>
        <v>#DIV/0!</v>
      </c>
      <c r="Y657" s="6" t="e">
        <f t="shared" si="349"/>
        <v>#DIV/0!</v>
      </c>
      <c r="Z657" s="6" t="e">
        <f t="shared" si="349"/>
        <v>#DIV/0!</v>
      </c>
    </row>
    <row r="658" spans="1:26" x14ac:dyDescent="0.2">
      <c r="A658" t="s">
        <v>302</v>
      </c>
      <c r="B658" s="6">
        <f t="shared" si="321"/>
        <v>9</v>
      </c>
      <c r="C658" s="7" t="s">
        <v>159</v>
      </c>
      <c r="D658" s="69">
        <v>0</v>
      </c>
      <c r="E658" s="69">
        <v>0</v>
      </c>
      <c r="F658" s="66" t="e">
        <f t="shared" si="311"/>
        <v>#DIV/0!</v>
      </c>
      <c r="G658" s="61" t="e">
        <f t="shared" si="322"/>
        <v>#DIV/0!</v>
      </c>
      <c r="H658" s="66" t="e">
        <f t="shared" ref="H658:J658" si="350">H646</f>
        <v>#DIV/0!</v>
      </c>
      <c r="I658" s="66" t="e">
        <f t="shared" si="350"/>
        <v>#DIV/0!</v>
      </c>
      <c r="J658" s="66" t="e">
        <f t="shared" si="350"/>
        <v>#DIV/0!</v>
      </c>
      <c r="K658" s="70">
        <v>0</v>
      </c>
      <c r="L658" s="70">
        <f>'Monitoramento Acumulado Geral'!Q658</f>
        <v>0</v>
      </c>
      <c r="M658" s="6" t="e">
        <f>(SUM(L647:L658))/K657</f>
        <v>#DIV/0!</v>
      </c>
      <c r="N658" s="35" t="e">
        <f t="shared" si="324"/>
        <v>#DIV/0!</v>
      </c>
      <c r="O658" s="6">
        <f t="shared" ref="O658:Q658" si="351">O646</f>
        <v>0.42046470140126019</v>
      </c>
      <c r="P658" s="6">
        <f t="shared" si="351"/>
        <v>0.84574683442734511</v>
      </c>
      <c r="Q658" s="6">
        <f t="shared" si="351"/>
        <v>-4.8174316248247306E-3</v>
      </c>
      <c r="R658" s="70">
        <v>0</v>
      </c>
      <c r="S658" s="70">
        <v>0</v>
      </c>
      <c r="T658" s="6" t="e">
        <f t="shared" si="326"/>
        <v>#DIV/0!</v>
      </c>
      <c r="U658" s="35" t="e">
        <f t="shared" si="327"/>
        <v>#DIV/0!</v>
      </c>
      <c r="V658" s="6" t="e">
        <f t="shared" ref="V658:Z658" si="352">V646</f>
        <v>#DIV/0!</v>
      </c>
      <c r="W658" s="6" t="e">
        <f t="shared" si="352"/>
        <v>#DIV/0!</v>
      </c>
      <c r="X658" s="6" t="e">
        <f t="shared" si="352"/>
        <v>#DIV/0!</v>
      </c>
      <c r="Y658" s="6" t="e">
        <f t="shared" si="352"/>
        <v>#DIV/0!</v>
      </c>
      <c r="Z658" s="6" t="e">
        <f t="shared" si="352"/>
        <v>#DIV/0!</v>
      </c>
    </row>
    <row r="659" spans="1:26" x14ac:dyDescent="0.2">
      <c r="A659" t="s">
        <v>302</v>
      </c>
      <c r="B659" s="6">
        <f t="shared" si="321"/>
        <v>10</v>
      </c>
      <c r="C659" s="7" t="s">
        <v>160</v>
      </c>
      <c r="D659" s="69">
        <v>0</v>
      </c>
      <c r="E659" s="69">
        <v>0</v>
      </c>
      <c r="F659" s="66" t="e">
        <f t="shared" si="311"/>
        <v>#DIV/0!</v>
      </c>
      <c r="G659" s="61" t="e">
        <f t="shared" si="322"/>
        <v>#DIV/0!</v>
      </c>
      <c r="H659" s="66" t="e">
        <f t="shared" ref="H659:J659" si="353">H647</f>
        <v>#DIV/0!</v>
      </c>
      <c r="I659" s="66" t="e">
        <f t="shared" si="353"/>
        <v>#DIV/0!</v>
      </c>
      <c r="J659" s="66" t="e">
        <f t="shared" si="353"/>
        <v>#DIV/0!</v>
      </c>
      <c r="K659" s="70">
        <v>0</v>
      </c>
      <c r="L659" s="70">
        <f>'Monitoramento Acumulado Geral'!Q659</f>
        <v>0</v>
      </c>
      <c r="M659" s="6" t="e">
        <f>L659/K659</f>
        <v>#DIV/0!</v>
      </c>
      <c r="N659" s="35" t="e">
        <f t="shared" si="324"/>
        <v>#DIV/0!</v>
      </c>
      <c r="O659" s="6">
        <f t="shared" ref="O659:Q659" si="354">O647</f>
        <v>0.42046470140126019</v>
      </c>
      <c r="P659" s="6">
        <f t="shared" si="354"/>
        <v>0.84574683442734511</v>
      </c>
      <c r="Q659" s="6">
        <f t="shared" si="354"/>
        <v>-4.8174316248247306E-3</v>
      </c>
      <c r="R659" s="70">
        <v>0</v>
      </c>
      <c r="S659" s="70">
        <v>0</v>
      </c>
      <c r="T659" s="6" t="e">
        <f t="shared" si="326"/>
        <v>#DIV/0!</v>
      </c>
      <c r="U659" s="35" t="e">
        <f t="shared" si="327"/>
        <v>#DIV/0!</v>
      </c>
      <c r="V659" s="6" t="e">
        <f t="shared" ref="V659:Z659" si="355">V647</f>
        <v>#DIV/0!</v>
      </c>
      <c r="W659" s="6" t="e">
        <f t="shared" si="355"/>
        <v>#DIV/0!</v>
      </c>
      <c r="X659" s="6" t="e">
        <f t="shared" si="355"/>
        <v>#DIV/0!</v>
      </c>
      <c r="Y659" s="6" t="e">
        <f t="shared" si="355"/>
        <v>#DIV/0!</v>
      </c>
      <c r="Z659" s="6" t="e">
        <f t="shared" si="355"/>
        <v>#DIV/0!</v>
      </c>
    </row>
    <row r="660" spans="1:26" x14ac:dyDescent="0.2">
      <c r="A660" t="s">
        <v>302</v>
      </c>
      <c r="B660" s="6">
        <f t="shared" si="321"/>
        <v>11</v>
      </c>
      <c r="C660" s="7" t="s">
        <v>161</v>
      </c>
      <c r="D660" s="69">
        <v>0</v>
      </c>
      <c r="E660" s="69">
        <v>0</v>
      </c>
      <c r="F660" s="66" t="e">
        <f t="shared" si="311"/>
        <v>#DIV/0!</v>
      </c>
      <c r="G660" s="61" t="e">
        <f t="shared" si="322"/>
        <v>#DIV/0!</v>
      </c>
      <c r="H660" s="66" t="e">
        <f t="shared" ref="H660:J660" si="356">H648</f>
        <v>#DIV/0!</v>
      </c>
      <c r="I660" s="66" t="e">
        <f t="shared" si="356"/>
        <v>#DIV/0!</v>
      </c>
      <c r="J660" s="66" t="e">
        <f t="shared" si="356"/>
        <v>#DIV/0!</v>
      </c>
      <c r="K660" s="70">
        <v>0</v>
      </c>
      <c r="L660" s="70">
        <f>'Monitoramento Acumulado Geral'!Q660</f>
        <v>0</v>
      </c>
      <c r="M660" s="6" t="e">
        <f>(SUM(L659:L660))/K659</f>
        <v>#DIV/0!</v>
      </c>
      <c r="N660" s="35" t="e">
        <f t="shared" si="324"/>
        <v>#DIV/0!</v>
      </c>
      <c r="O660" s="6">
        <f t="shared" ref="O660:Q660" si="357">O648</f>
        <v>0.42046470140126019</v>
      </c>
      <c r="P660" s="6">
        <f t="shared" si="357"/>
        <v>0.84574683442734511</v>
      </c>
      <c r="Q660" s="6">
        <f t="shared" si="357"/>
        <v>-4.8174316248247306E-3</v>
      </c>
      <c r="R660" s="70">
        <v>0</v>
      </c>
      <c r="S660" s="70">
        <v>0</v>
      </c>
      <c r="T660" s="6" t="e">
        <f t="shared" si="326"/>
        <v>#DIV/0!</v>
      </c>
      <c r="U660" s="35" t="e">
        <f t="shared" si="327"/>
        <v>#DIV/0!</v>
      </c>
      <c r="V660" s="6" t="e">
        <f t="shared" ref="V660:Z660" si="358">V648</f>
        <v>#DIV/0!</v>
      </c>
      <c r="W660" s="6" t="e">
        <f t="shared" si="358"/>
        <v>#DIV/0!</v>
      </c>
      <c r="X660" s="6" t="e">
        <f t="shared" si="358"/>
        <v>#DIV/0!</v>
      </c>
      <c r="Y660" s="6" t="e">
        <f t="shared" si="358"/>
        <v>#DIV/0!</v>
      </c>
      <c r="Z660" s="6" t="e">
        <f t="shared" si="358"/>
        <v>#DIV/0!</v>
      </c>
    </row>
    <row r="661" spans="1:26" x14ac:dyDescent="0.2">
      <c r="A661" t="s">
        <v>302</v>
      </c>
      <c r="B661" s="6">
        <f t="shared" si="321"/>
        <v>12</v>
      </c>
      <c r="C661" s="7" t="s">
        <v>162</v>
      </c>
      <c r="D661" s="69">
        <v>0</v>
      </c>
      <c r="E661" s="69">
        <v>0</v>
      </c>
      <c r="F661" s="66" t="e">
        <f t="shared" si="311"/>
        <v>#DIV/0!</v>
      </c>
      <c r="G661" s="61" t="e">
        <f t="shared" si="322"/>
        <v>#DIV/0!</v>
      </c>
      <c r="H661" s="66" t="e">
        <f t="shared" ref="H661:J661" si="359">H649</f>
        <v>#DIV/0!</v>
      </c>
      <c r="I661" s="66" t="e">
        <f t="shared" si="359"/>
        <v>#DIV/0!</v>
      </c>
      <c r="J661" s="66" t="e">
        <f t="shared" si="359"/>
        <v>#DIV/0!</v>
      </c>
      <c r="K661" s="70">
        <v>0</v>
      </c>
      <c r="L661" s="70">
        <f>'Monitoramento Acumulado Geral'!Q661</f>
        <v>0</v>
      </c>
      <c r="M661" s="6" t="e">
        <f>(SUM(L659:L661))/K660</f>
        <v>#DIV/0!</v>
      </c>
      <c r="N661" s="35" t="e">
        <f t="shared" si="324"/>
        <v>#DIV/0!</v>
      </c>
      <c r="O661" s="6">
        <f t="shared" ref="O661:Q661" si="360">O649</f>
        <v>0.41824651958307835</v>
      </c>
      <c r="P661" s="6">
        <f t="shared" si="360"/>
        <v>0.84510274859297763</v>
      </c>
      <c r="Q661" s="6">
        <f t="shared" si="360"/>
        <v>-8.6097094268208774E-3</v>
      </c>
      <c r="R661" s="70">
        <v>0</v>
      </c>
      <c r="S661" s="70">
        <v>0</v>
      </c>
      <c r="T661" s="6" t="e">
        <f t="shared" si="326"/>
        <v>#DIV/0!</v>
      </c>
      <c r="U661" s="35" t="e">
        <f t="shared" si="327"/>
        <v>#DIV/0!</v>
      </c>
      <c r="V661" s="6" t="e">
        <f t="shared" ref="V661:Z661" si="361">V649</f>
        <v>#DIV/0!</v>
      </c>
      <c r="W661" s="6" t="e">
        <f t="shared" si="361"/>
        <v>#DIV/0!</v>
      </c>
      <c r="X661" s="6" t="e">
        <f t="shared" si="361"/>
        <v>#DIV/0!</v>
      </c>
      <c r="Y661" s="6" t="e">
        <f t="shared" si="361"/>
        <v>#DIV/0!</v>
      </c>
      <c r="Z661" s="6" t="e">
        <f t="shared" si="361"/>
        <v>#DIV/0!</v>
      </c>
    </row>
    <row r="662" spans="1:26" x14ac:dyDescent="0.2">
      <c r="A662" s="7" t="s">
        <v>42</v>
      </c>
      <c r="B662" s="6">
        <f t="shared" si="313"/>
        <v>1</v>
      </c>
      <c r="C662" s="7" t="s">
        <v>151</v>
      </c>
      <c r="D662" s="69">
        <v>75</v>
      </c>
      <c r="E662" s="69">
        <v>0</v>
      </c>
      <c r="F662" s="66">
        <f t="shared" si="311"/>
        <v>0</v>
      </c>
      <c r="G662" s="61" t="e">
        <f t="shared" si="314"/>
        <v>#DIV/0!</v>
      </c>
      <c r="H662" s="66" t="e">
        <f t="shared" ref="H662:J673" si="362">H638</f>
        <v>#DIV/0!</v>
      </c>
      <c r="I662" s="66" t="e">
        <f t="shared" si="362"/>
        <v>#DIV/0!</v>
      </c>
      <c r="J662" s="66" t="e">
        <f t="shared" si="362"/>
        <v>#DIV/0!</v>
      </c>
      <c r="K662" s="70">
        <v>10730.07</v>
      </c>
      <c r="L662" s="70">
        <f>'Monitoramento Acumulado Geral'!Q662</f>
        <v>0</v>
      </c>
      <c r="M662" s="6">
        <f>L662/K662</f>
        <v>0</v>
      </c>
      <c r="N662" s="35" t="str">
        <f t="shared" si="315"/>
        <v>Desempenho Médio</v>
      </c>
      <c r="O662" s="6">
        <f t="shared" ref="O662:Q673" si="363">O638</f>
        <v>3.4274647562211005E-2</v>
      </c>
      <c r="P662" s="6">
        <f t="shared" si="363"/>
        <v>0.10289217685709087</v>
      </c>
      <c r="Q662" s="6">
        <f t="shared" si="363"/>
        <v>-3.4342881732668862E-2</v>
      </c>
      <c r="R662" s="70">
        <v>50</v>
      </c>
      <c r="S662" s="70">
        <v>0</v>
      </c>
      <c r="T662" s="6">
        <f t="shared" si="312"/>
        <v>0</v>
      </c>
      <c r="U662" s="35" t="e">
        <f t="shared" si="316"/>
        <v>#DIV/0!</v>
      </c>
      <c r="V662" s="6" t="e">
        <f t="shared" ref="V662:Z673" si="364">V638</f>
        <v>#DIV/0!</v>
      </c>
      <c r="W662" s="6" t="e">
        <f t="shared" si="364"/>
        <v>#DIV/0!</v>
      </c>
      <c r="X662" s="6" t="e">
        <f t="shared" si="364"/>
        <v>#DIV/0!</v>
      </c>
      <c r="Y662" s="6" t="e">
        <f t="shared" si="364"/>
        <v>#DIV/0!</v>
      </c>
      <c r="Z662" s="6" t="e">
        <f t="shared" si="364"/>
        <v>#DIV/0!</v>
      </c>
    </row>
    <row r="663" spans="1:26" x14ac:dyDescent="0.2">
      <c r="A663" s="7" t="s">
        <v>42</v>
      </c>
      <c r="B663" s="6">
        <f t="shared" si="313"/>
        <v>2</v>
      </c>
      <c r="C663" s="7" t="s">
        <v>152</v>
      </c>
      <c r="D663" s="69">
        <v>75</v>
      </c>
      <c r="E663" s="69">
        <v>36</v>
      </c>
      <c r="F663" s="66">
        <f t="shared" si="311"/>
        <v>0.48</v>
      </c>
      <c r="G663" s="61" t="e">
        <f t="shared" si="314"/>
        <v>#DIV/0!</v>
      </c>
      <c r="H663" s="66" t="e">
        <f t="shared" si="362"/>
        <v>#DIV/0!</v>
      </c>
      <c r="I663" s="66" t="e">
        <f t="shared" si="362"/>
        <v>#DIV/0!</v>
      </c>
      <c r="J663" s="66" t="e">
        <f t="shared" si="362"/>
        <v>#DIV/0!</v>
      </c>
      <c r="K663" s="70">
        <v>10730.07</v>
      </c>
      <c r="L663" s="70">
        <f>'Monitoramento Acumulado Geral'!Q663</f>
        <v>600</v>
      </c>
      <c r="M663" s="6">
        <f>(SUM(L662:L663))/K662</f>
        <v>5.5917622159035313E-2</v>
      </c>
      <c r="N663" s="35" t="str">
        <f t="shared" si="315"/>
        <v>Desempenho Médio</v>
      </c>
      <c r="O663" s="6">
        <f t="shared" si="363"/>
        <v>8.1815188943147363E-2</v>
      </c>
      <c r="P663" s="6">
        <f t="shared" si="363"/>
        <v>0.20623883252423067</v>
      </c>
      <c r="Q663" s="6">
        <f t="shared" si="363"/>
        <v>-4.2608454637935944E-2</v>
      </c>
      <c r="R663" s="70">
        <v>50</v>
      </c>
      <c r="S663" s="70">
        <v>0</v>
      </c>
      <c r="T663" s="6">
        <f t="shared" si="312"/>
        <v>0</v>
      </c>
      <c r="U663" s="35" t="e">
        <f t="shared" si="316"/>
        <v>#DIV/0!</v>
      </c>
      <c r="V663" s="6" t="e">
        <f t="shared" si="364"/>
        <v>#DIV/0!</v>
      </c>
      <c r="W663" s="6" t="e">
        <f t="shared" si="364"/>
        <v>#DIV/0!</v>
      </c>
      <c r="X663" s="6" t="e">
        <f t="shared" si="364"/>
        <v>#DIV/0!</v>
      </c>
      <c r="Y663" s="6" t="e">
        <f t="shared" si="364"/>
        <v>#DIV/0!</v>
      </c>
      <c r="Z663" s="6" t="e">
        <f t="shared" si="364"/>
        <v>#DIV/0!</v>
      </c>
    </row>
    <row r="664" spans="1:26" x14ac:dyDescent="0.2">
      <c r="A664" s="7" t="s">
        <v>42</v>
      </c>
      <c r="B664" s="6">
        <f t="shared" si="313"/>
        <v>3</v>
      </c>
      <c r="C664" s="7" t="s">
        <v>153</v>
      </c>
      <c r="D664" s="69">
        <v>75</v>
      </c>
      <c r="E664" s="69">
        <v>36</v>
      </c>
      <c r="F664" s="66">
        <f t="shared" si="311"/>
        <v>0.48</v>
      </c>
      <c r="G664" s="61" t="e">
        <f t="shared" si="314"/>
        <v>#DIV/0!</v>
      </c>
      <c r="H664" s="66" t="e">
        <f t="shared" si="362"/>
        <v>#DIV/0!</v>
      </c>
      <c r="I664" s="66" t="e">
        <f t="shared" si="362"/>
        <v>#DIV/0!</v>
      </c>
      <c r="J664" s="66" t="e">
        <f t="shared" si="362"/>
        <v>#DIV/0!</v>
      </c>
      <c r="K664" s="70">
        <v>10730.07</v>
      </c>
      <c r="L664" s="70">
        <f>'Monitoramento Acumulado Geral'!Q664</f>
        <v>0</v>
      </c>
      <c r="M664" s="6">
        <f>(SUM(L662:L664))/K663</f>
        <v>5.5917622159035313E-2</v>
      </c>
      <c r="N664" s="35" t="str">
        <f t="shared" si="315"/>
        <v>Desempenho Médio</v>
      </c>
      <c r="O664" s="6">
        <f t="shared" si="363"/>
        <v>0.13411292471649494</v>
      </c>
      <c r="P664" s="6">
        <f t="shared" si="363"/>
        <v>0.29721906787058483</v>
      </c>
      <c r="Q664" s="6">
        <f t="shared" si="363"/>
        <v>-2.899321843759492E-2</v>
      </c>
      <c r="R664" s="70">
        <v>50</v>
      </c>
      <c r="S664" s="70">
        <v>0</v>
      </c>
      <c r="T664" s="6">
        <f t="shared" si="312"/>
        <v>0</v>
      </c>
      <c r="U664" s="35" t="e">
        <f t="shared" si="316"/>
        <v>#DIV/0!</v>
      </c>
      <c r="V664" s="6" t="e">
        <f t="shared" si="364"/>
        <v>#DIV/0!</v>
      </c>
      <c r="W664" s="6" t="e">
        <f t="shared" si="364"/>
        <v>#DIV/0!</v>
      </c>
      <c r="X664" s="6" t="e">
        <f t="shared" si="364"/>
        <v>#DIV/0!</v>
      </c>
      <c r="Y664" s="6" t="e">
        <f t="shared" si="364"/>
        <v>#DIV/0!</v>
      </c>
      <c r="Z664" s="6" t="e">
        <f t="shared" si="364"/>
        <v>#DIV/0!</v>
      </c>
    </row>
    <row r="665" spans="1:26" x14ac:dyDescent="0.2">
      <c r="A665" s="7" t="s">
        <v>42</v>
      </c>
      <c r="B665" s="6">
        <f t="shared" si="313"/>
        <v>4</v>
      </c>
      <c r="C665" s="7" t="s">
        <v>154</v>
      </c>
      <c r="D665" s="69">
        <v>75</v>
      </c>
      <c r="E665" s="69">
        <v>36</v>
      </c>
      <c r="F665" s="66">
        <f t="shared" si="311"/>
        <v>0.48</v>
      </c>
      <c r="G665" s="61" t="e">
        <f t="shared" si="314"/>
        <v>#DIV/0!</v>
      </c>
      <c r="H665" s="66" t="e">
        <f t="shared" si="362"/>
        <v>#DIV/0!</v>
      </c>
      <c r="I665" s="66" t="e">
        <f t="shared" si="362"/>
        <v>#DIV/0!</v>
      </c>
      <c r="J665" s="66" t="e">
        <f t="shared" si="362"/>
        <v>#DIV/0!</v>
      </c>
      <c r="K665" s="70">
        <v>10730.07</v>
      </c>
      <c r="L665" s="70">
        <f>'Monitoramento Acumulado Geral'!Q665</f>
        <v>0</v>
      </c>
      <c r="M665" s="6">
        <f>(SUM(L662:L665))/K664</f>
        <v>5.5917622159035313E-2</v>
      </c>
      <c r="N665" s="35" t="str">
        <f t="shared" si="315"/>
        <v>Desempenho Médio</v>
      </c>
      <c r="O665" s="6">
        <f t="shared" si="363"/>
        <v>0.15392483870093213</v>
      </c>
      <c r="P665" s="6">
        <f t="shared" si="363"/>
        <v>0.32772007016950033</v>
      </c>
      <c r="Q665" s="6">
        <f t="shared" si="363"/>
        <v>-1.9870392767636053E-2</v>
      </c>
      <c r="R665" s="70">
        <v>50</v>
      </c>
      <c r="S665" s="70">
        <v>0</v>
      </c>
      <c r="T665" s="6">
        <f t="shared" si="312"/>
        <v>0</v>
      </c>
      <c r="U665" s="35" t="e">
        <f t="shared" si="316"/>
        <v>#DIV/0!</v>
      </c>
      <c r="V665" s="6" t="e">
        <f t="shared" si="364"/>
        <v>#DIV/0!</v>
      </c>
      <c r="W665" s="6" t="e">
        <f t="shared" si="364"/>
        <v>#DIV/0!</v>
      </c>
      <c r="X665" s="6" t="e">
        <f t="shared" si="364"/>
        <v>#DIV/0!</v>
      </c>
      <c r="Y665" s="6" t="e">
        <f t="shared" si="364"/>
        <v>#DIV/0!</v>
      </c>
      <c r="Z665" s="6" t="e">
        <f t="shared" si="364"/>
        <v>#DIV/0!</v>
      </c>
    </row>
    <row r="666" spans="1:26" x14ac:dyDescent="0.2">
      <c r="A666" s="7" t="s">
        <v>42</v>
      </c>
      <c r="B666" s="6">
        <f t="shared" si="313"/>
        <v>5</v>
      </c>
      <c r="C666" s="7" t="s">
        <v>155</v>
      </c>
      <c r="D666" s="69">
        <v>75</v>
      </c>
      <c r="E666" s="69">
        <v>50</v>
      </c>
      <c r="F666" s="66">
        <f t="shared" si="311"/>
        <v>0.66666666666666663</v>
      </c>
      <c r="G666" s="61" t="e">
        <f t="shared" si="314"/>
        <v>#DIV/0!</v>
      </c>
      <c r="H666" s="66" t="e">
        <f t="shared" si="362"/>
        <v>#DIV/0!</v>
      </c>
      <c r="I666" s="66" t="e">
        <f t="shared" si="362"/>
        <v>#DIV/0!</v>
      </c>
      <c r="J666" s="66" t="e">
        <f t="shared" si="362"/>
        <v>#DIV/0!</v>
      </c>
      <c r="K666" s="70">
        <v>10730.07</v>
      </c>
      <c r="L666" s="70">
        <f>'Monitoramento Acumulado Geral'!Q666</f>
        <v>283.5</v>
      </c>
      <c r="M666" s="6">
        <f>(SUM(L662:L666))/K665</f>
        <v>8.2338698629179488E-2</v>
      </c>
      <c r="N666" s="35" t="str">
        <f t="shared" si="315"/>
        <v>Desempenho Médio</v>
      </c>
      <c r="O666" s="6">
        <f t="shared" si="363"/>
        <v>0.21139287248463789</v>
      </c>
      <c r="P666" s="6">
        <f t="shared" si="363"/>
        <v>0.43680804416292918</v>
      </c>
      <c r="Q666" s="6">
        <f t="shared" si="363"/>
        <v>-1.4022299193653387E-2</v>
      </c>
      <c r="R666" s="70">
        <v>50</v>
      </c>
      <c r="S666" s="70">
        <v>0</v>
      </c>
      <c r="T666" s="6">
        <f t="shared" si="312"/>
        <v>0</v>
      </c>
      <c r="U666" s="35" t="e">
        <f t="shared" si="316"/>
        <v>#DIV/0!</v>
      </c>
      <c r="V666" s="6" t="e">
        <f t="shared" si="364"/>
        <v>#DIV/0!</v>
      </c>
      <c r="W666" s="6" t="e">
        <f t="shared" si="364"/>
        <v>#DIV/0!</v>
      </c>
      <c r="X666" s="6" t="e">
        <f t="shared" si="364"/>
        <v>#DIV/0!</v>
      </c>
      <c r="Y666" s="6" t="e">
        <f t="shared" si="364"/>
        <v>#DIV/0!</v>
      </c>
      <c r="Z666" s="6" t="e">
        <f t="shared" si="364"/>
        <v>#DIV/0!</v>
      </c>
    </row>
    <row r="667" spans="1:26" x14ac:dyDescent="0.2">
      <c r="A667" s="7" t="s">
        <v>42</v>
      </c>
      <c r="B667" s="6">
        <f t="shared" si="313"/>
        <v>6</v>
      </c>
      <c r="C667" s="7" t="s">
        <v>156</v>
      </c>
      <c r="D667" s="69">
        <v>75</v>
      </c>
      <c r="E667" s="69">
        <v>50</v>
      </c>
      <c r="F667" s="66">
        <f t="shared" si="311"/>
        <v>0.66666666666666663</v>
      </c>
      <c r="G667" s="61" t="e">
        <f t="shared" si="314"/>
        <v>#DIV/0!</v>
      </c>
      <c r="H667" s="66" t="e">
        <f t="shared" si="362"/>
        <v>#DIV/0!</v>
      </c>
      <c r="I667" s="66" t="e">
        <f t="shared" si="362"/>
        <v>#DIV/0!</v>
      </c>
      <c r="J667" s="66" t="e">
        <f t="shared" si="362"/>
        <v>#DIV/0!</v>
      </c>
      <c r="K667" s="70">
        <v>10730.07</v>
      </c>
      <c r="L667" s="70">
        <f>'Monitoramento Acumulado Geral'!Q667</f>
        <v>0</v>
      </c>
      <c r="M667" s="6">
        <f>(SUM(L662:L667))/K666</f>
        <v>8.2338698629179488E-2</v>
      </c>
      <c r="N667" s="35" t="str">
        <f t="shared" si="315"/>
        <v>Desempenho Médio</v>
      </c>
      <c r="O667" s="6">
        <f t="shared" si="363"/>
        <v>0.28403291059934432</v>
      </c>
      <c r="P667" s="6">
        <f t="shared" si="363"/>
        <v>0.56118246348434164</v>
      </c>
      <c r="Q667" s="6">
        <f t="shared" si="363"/>
        <v>6.8833577143469493E-3</v>
      </c>
      <c r="R667" s="70">
        <v>50</v>
      </c>
      <c r="S667" s="70">
        <v>0</v>
      </c>
      <c r="T667" s="6">
        <f t="shared" si="312"/>
        <v>0</v>
      </c>
      <c r="U667" s="35" t="e">
        <f t="shared" si="316"/>
        <v>#DIV/0!</v>
      </c>
      <c r="V667" s="6" t="e">
        <f t="shared" si="364"/>
        <v>#DIV/0!</v>
      </c>
      <c r="W667" s="6" t="e">
        <f t="shared" si="364"/>
        <v>#DIV/0!</v>
      </c>
      <c r="X667" s="6" t="e">
        <f t="shared" si="364"/>
        <v>#DIV/0!</v>
      </c>
      <c r="Y667" s="6" t="e">
        <f t="shared" si="364"/>
        <v>#DIV/0!</v>
      </c>
      <c r="Z667" s="6" t="e">
        <f t="shared" si="364"/>
        <v>#DIV/0!</v>
      </c>
    </row>
    <row r="668" spans="1:26" x14ac:dyDescent="0.2">
      <c r="A668" s="7" t="s">
        <v>42</v>
      </c>
      <c r="B668" s="6">
        <f t="shared" si="313"/>
        <v>7</v>
      </c>
      <c r="C668" s="7" t="s">
        <v>157</v>
      </c>
      <c r="D668" s="69">
        <v>75</v>
      </c>
      <c r="E668" s="69">
        <v>56</v>
      </c>
      <c r="F668" s="66">
        <f t="shared" si="311"/>
        <v>0.7466666666666667</v>
      </c>
      <c r="G668" s="61" t="e">
        <f t="shared" si="314"/>
        <v>#DIV/0!</v>
      </c>
      <c r="H668" s="66" t="e">
        <f t="shared" si="362"/>
        <v>#DIV/0!</v>
      </c>
      <c r="I668" s="66" t="e">
        <f t="shared" si="362"/>
        <v>#DIV/0!</v>
      </c>
      <c r="J668" s="66" t="e">
        <f t="shared" si="362"/>
        <v>#DIV/0!</v>
      </c>
      <c r="K668" s="70">
        <v>10730.07</v>
      </c>
      <c r="L668" s="70">
        <f>'Monitoramento Acumulado Geral'!Q668</f>
        <v>150</v>
      </c>
      <c r="M668" s="6">
        <f>(SUM(L662:L668))/K667</f>
        <v>9.6318104168938323E-2</v>
      </c>
      <c r="N668" s="35" t="str">
        <f t="shared" si="315"/>
        <v>Desempenho Médio</v>
      </c>
      <c r="O668" s="6">
        <f t="shared" si="363"/>
        <v>0.42046470140126019</v>
      </c>
      <c r="P668" s="6">
        <f t="shared" si="363"/>
        <v>0.84574683442734511</v>
      </c>
      <c r="Q668" s="6">
        <f t="shared" si="363"/>
        <v>-4.8174316248247306E-3</v>
      </c>
      <c r="R668" s="70">
        <v>50</v>
      </c>
      <c r="S668" s="70">
        <v>0</v>
      </c>
      <c r="T668" s="6">
        <f t="shared" si="312"/>
        <v>0</v>
      </c>
      <c r="U668" s="35" t="e">
        <f t="shared" si="316"/>
        <v>#DIV/0!</v>
      </c>
      <c r="V668" s="6" t="e">
        <f t="shared" si="364"/>
        <v>#DIV/0!</v>
      </c>
      <c r="W668" s="6" t="e">
        <f t="shared" si="364"/>
        <v>#DIV/0!</v>
      </c>
      <c r="X668" s="6" t="e">
        <f t="shared" si="364"/>
        <v>#DIV/0!</v>
      </c>
      <c r="Y668" s="6" t="e">
        <f t="shared" si="364"/>
        <v>#DIV/0!</v>
      </c>
      <c r="Z668" s="6" t="e">
        <f t="shared" si="364"/>
        <v>#DIV/0!</v>
      </c>
    </row>
    <row r="669" spans="1:26" x14ac:dyDescent="0.2">
      <c r="A669" s="7" t="s">
        <v>42</v>
      </c>
      <c r="B669" s="6">
        <f t="shared" si="313"/>
        <v>8</v>
      </c>
      <c r="C669" s="7" t="s">
        <v>158</v>
      </c>
      <c r="D669" s="69">
        <v>75</v>
      </c>
      <c r="E669" s="69">
        <v>0</v>
      </c>
      <c r="F669" s="66">
        <f t="shared" si="311"/>
        <v>0</v>
      </c>
      <c r="G669" s="61" t="e">
        <f t="shared" si="314"/>
        <v>#DIV/0!</v>
      </c>
      <c r="H669" s="66" t="e">
        <f t="shared" si="362"/>
        <v>#DIV/0!</v>
      </c>
      <c r="I669" s="66" t="e">
        <f t="shared" si="362"/>
        <v>#DIV/0!</v>
      </c>
      <c r="J669" s="66" t="e">
        <f t="shared" si="362"/>
        <v>#DIV/0!</v>
      </c>
      <c r="K669" s="70">
        <v>10730.07</v>
      </c>
      <c r="L669" s="70">
        <f>'Monitoramento Acumulado Geral'!Q669</f>
        <v>0</v>
      </c>
      <c r="M669" s="6">
        <f>(SUM(L662:L669))/K668</f>
        <v>9.6318104168938323E-2</v>
      </c>
      <c r="N669" s="35" t="str">
        <f t="shared" si="315"/>
        <v>Desempenho Médio</v>
      </c>
      <c r="O669" s="6">
        <f t="shared" si="363"/>
        <v>0.42046470140126019</v>
      </c>
      <c r="P669" s="6">
        <f t="shared" si="363"/>
        <v>0.84574683442734511</v>
      </c>
      <c r="Q669" s="6">
        <f t="shared" si="363"/>
        <v>-4.8174316248247306E-3</v>
      </c>
      <c r="R669" s="70">
        <v>50</v>
      </c>
      <c r="S669" s="70">
        <v>0</v>
      </c>
      <c r="T669" s="6">
        <f t="shared" si="312"/>
        <v>0</v>
      </c>
      <c r="U669" s="35" t="e">
        <f t="shared" si="316"/>
        <v>#DIV/0!</v>
      </c>
      <c r="V669" s="6" t="e">
        <f t="shared" si="364"/>
        <v>#DIV/0!</v>
      </c>
      <c r="W669" s="6" t="e">
        <f t="shared" si="364"/>
        <v>#DIV/0!</v>
      </c>
      <c r="X669" s="6" t="e">
        <f t="shared" si="364"/>
        <v>#DIV/0!</v>
      </c>
      <c r="Y669" s="6" t="e">
        <f t="shared" si="364"/>
        <v>#DIV/0!</v>
      </c>
      <c r="Z669" s="6" t="e">
        <f t="shared" si="364"/>
        <v>#DIV/0!</v>
      </c>
    </row>
    <row r="670" spans="1:26" x14ac:dyDescent="0.2">
      <c r="A670" s="7" t="s">
        <v>42</v>
      </c>
      <c r="B670" s="6">
        <f t="shared" si="313"/>
        <v>9</v>
      </c>
      <c r="C670" s="7" t="s">
        <v>159</v>
      </c>
      <c r="D670" s="69">
        <v>75</v>
      </c>
      <c r="E670" s="69">
        <v>0</v>
      </c>
      <c r="F670" s="66">
        <f t="shared" si="311"/>
        <v>0</v>
      </c>
      <c r="G670" s="61" t="e">
        <f t="shared" si="314"/>
        <v>#DIV/0!</v>
      </c>
      <c r="H670" s="66" t="e">
        <f t="shared" si="362"/>
        <v>#DIV/0!</v>
      </c>
      <c r="I670" s="66" t="e">
        <f t="shared" si="362"/>
        <v>#DIV/0!</v>
      </c>
      <c r="J670" s="66" t="e">
        <f t="shared" si="362"/>
        <v>#DIV/0!</v>
      </c>
      <c r="K670" s="70">
        <v>10730.07</v>
      </c>
      <c r="L670" s="70">
        <f>'Monitoramento Acumulado Geral'!Q670</f>
        <v>0</v>
      </c>
      <c r="M670" s="6">
        <f>(SUM(L662:L670))/K669</f>
        <v>9.6318104168938323E-2</v>
      </c>
      <c r="N670" s="35" t="str">
        <f t="shared" si="315"/>
        <v>Desempenho Médio</v>
      </c>
      <c r="O670" s="6">
        <f t="shared" si="363"/>
        <v>0.42046470140126019</v>
      </c>
      <c r="P670" s="6">
        <f t="shared" si="363"/>
        <v>0.84574683442734511</v>
      </c>
      <c r="Q670" s="6">
        <f t="shared" si="363"/>
        <v>-4.8174316248247306E-3</v>
      </c>
      <c r="R670" s="70">
        <v>50</v>
      </c>
      <c r="S670" s="70">
        <v>0</v>
      </c>
      <c r="T670" s="6">
        <f t="shared" si="312"/>
        <v>0</v>
      </c>
      <c r="U670" s="35" t="e">
        <f t="shared" si="316"/>
        <v>#DIV/0!</v>
      </c>
      <c r="V670" s="6" t="e">
        <f t="shared" si="364"/>
        <v>#DIV/0!</v>
      </c>
      <c r="W670" s="6" t="e">
        <f t="shared" si="364"/>
        <v>#DIV/0!</v>
      </c>
      <c r="X670" s="6" t="e">
        <f t="shared" si="364"/>
        <v>#DIV/0!</v>
      </c>
      <c r="Y670" s="6" t="e">
        <f t="shared" si="364"/>
        <v>#DIV/0!</v>
      </c>
      <c r="Z670" s="6" t="e">
        <f t="shared" si="364"/>
        <v>#DIV/0!</v>
      </c>
    </row>
    <row r="671" spans="1:26" x14ac:dyDescent="0.2">
      <c r="A671" s="7" t="s">
        <v>42</v>
      </c>
      <c r="B671" s="6">
        <f t="shared" si="313"/>
        <v>10</v>
      </c>
      <c r="C671" s="7" t="s">
        <v>160</v>
      </c>
      <c r="D671" s="69">
        <v>75</v>
      </c>
      <c r="E671" s="69">
        <v>0</v>
      </c>
      <c r="F671" s="66">
        <f t="shared" si="311"/>
        <v>0</v>
      </c>
      <c r="G671" s="61" t="e">
        <f t="shared" si="314"/>
        <v>#DIV/0!</v>
      </c>
      <c r="H671" s="66" t="e">
        <f t="shared" si="362"/>
        <v>#DIV/0!</v>
      </c>
      <c r="I671" s="66" t="e">
        <f t="shared" si="362"/>
        <v>#DIV/0!</v>
      </c>
      <c r="J671" s="66" t="e">
        <f t="shared" si="362"/>
        <v>#DIV/0!</v>
      </c>
      <c r="K671" s="70">
        <v>10730.07</v>
      </c>
      <c r="L671" s="70">
        <f>'Monitoramento Acumulado Geral'!Q671</f>
        <v>0</v>
      </c>
      <c r="M671" s="6">
        <f>(SUM(L662:L671))/K670</f>
        <v>9.6318104168938323E-2</v>
      </c>
      <c r="N671" s="35" t="str">
        <f t="shared" si="315"/>
        <v>Desempenho Médio</v>
      </c>
      <c r="O671" s="6">
        <f t="shared" si="363"/>
        <v>0.42046470140126019</v>
      </c>
      <c r="P671" s="6">
        <f t="shared" si="363"/>
        <v>0.84574683442734511</v>
      </c>
      <c r="Q671" s="6">
        <f t="shared" si="363"/>
        <v>-4.8174316248247306E-3</v>
      </c>
      <c r="R671" s="70">
        <v>50</v>
      </c>
      <c r="S671" s="70">
        <v>0</v>
      </c>
      <c r="T671" s="6">
        <f t="shared" si="312"/>
        <v>0</v>
      </c>
      <c r="U671" s="35" t="e">
        <f t="shared" si="316"/>
        <v>#DIV/0!</v>
      </c>
      <c r="V671" s="6" t="e">
        <f t="shared" si="364"/>
        <v>#DIV/0!</v>
      </c>
      <c r="W671" s="6" t="e">
        <f t="shared" si="364"/>
        <v>#DIV/0!</v>
      </c>
      <c r="X671" s="6" t="e">
        <f t="shared" si="364"/>
        <v>#DIV/0!</v>
      </c>
      <c r="Y671" s="6" t="e">
        <f t="shared" si="364"/>
        <v>#DIV/0!</v>
      </c>
      <c r="Z671" s="6" t="e">
        <f t="shared" si="364"/>
        <v>#DIV/0!</v>
      </c>
    </row>
    <row r="672" spans="1:26" x14ac:dyDescent="0.2">
      <c r="A672" s="7" t="s">
        <v>42</v>
      </c>
      <c r="B672" s="6">
        <f t="shared" si="313"/>
        <v>11</v>
      </c>
      <c r="C672" s="7" t="s">
        <v>161</v>
      </c>
      <c r="D672" s="69">
        <v>75</v>
      </c>
      <c r="E672" s="69">
        <v>0</v>
      </c>
      <c r="F672" s="66">
        <f t="shared" si="311"/>
        <v>0</v>
      </c>
      <c r="G672" s="61" t="e">
        <f t="shared" si="314"/>
        <v>#DIV/0!</v>
      </c>
      <c r="H672" s="66" t="e">
        <f t="shared" si="362"/>
        <v>#DIV/0!</v>
      </c>
      <c r="I672" s="66" t="e">
        <f t="shared" si="362"/>
        <v>#DIV/0!</v>
      </c>
      <c r="J672" s="66" t="e">
        <f t="shared" si="362"/>
        <v>#DIV/0!</v>
      </c>
      <c r="K672" s="70">
        <v>10730.07</v>
      </c>
      <c r="L672" s="70">
        <f>'Monitoramento Acumulado Geral'!Q672</f>
        <v>0</v>
      </c>
      <c r="M672" s="6">
        <f>(SUM(L662:L672))/K671</f>
        <v>9.6318104168938323E-2</v>
      </c>
      <c r="N672" s="35" t="str">
        <f t="shared" si="315"/>
        <v>Desempenho Médio</v>
      </c>
      <c r="O672" s="6">
        <f t="shared" si="363"/>
        <v>0.42046470140126019</v>
      </c>
      <c r="P672" s="6">
        <f t="shared" si="363"/>
        <v>0.84574683442734511</v>
      </c>
      <c r="Q672" s="6">
        <f t="shared" si="363"/>
        <v>-4.8174316248247306E-3</v>
      </c>
      <c r="R672" s="70">
        <v>50</v>
      </c>
      <c r="S672" s="70">
        <v>0</v>
      </c>
      <c r="T672" s="6">
        <f t="shared" si="312"/>
        <v>0</v>
      </c>
      <c r="U672" s="35" t="e">
        <f t="shared" si="316"/>
        <v>#DIV/0!</v>
      </c>
      <c r="V672" s="6" t="e">
        <f t="shared" si="364"/>
        <v>#DIV/0!</v>
      </c>
      <c r="W672" s="6" t="e">
        <f t="shared" si="364"/>
        <v>#DIV/0!</v>
      </c>
      <c r="X672" s="6" t="e">
        <f t="shared" si="364"/>
        <v>#DIV/0!</v>
      </c>
      <c r="Y672" s="6" t="e">
        <f t="shared" si="364"/>
        <v>#DIV/0!</v>
      </c>
      <c r="Z672" s="6" t="e">
        <f t="shared" si="364"/>
        <v>#DIV/0!</v>
      </c>
    </row>
    <row r="673" spans="1:26" x14ac:dyDescent="0.2">
      <c r="A673" s="7" t="s">
        <v>42</v>
      </c>
      <c r="B673" s="6">
        <f t="shared" si="313"/>
        <v>12</v>
      </c>
      <c r="C673" s="7" t="s">
        <v>162</v>
      </c>
      <c r="D673" s="69">
        <v>75</v>
      </c>
      <c r="E673" s="69">
        <v>0</v>
      </c>
      <c r="F673" s="66">
        <f t="shared" si="311"/>
        <v>0</v>
      </c>
      <c r="G673" s="61" t="e">
        <f t="shared" si="314"/>
        <v>#DIV/0!</v>
      </c>
      <c r="H673" s="66" t="e">
        <f t="shared" si="362"/>
        <v>#DIV/0!</v>
      </c>
      <c r="I673" s="66" t="e">
        <f t="shared" si="362"/>
        <v>#DIV/0!</v>
      </c>
      <c r="J673" s="66" t="e">
        <f t="shared" si="362"/>
        <v>#DIV/0!</v>
      </c>
      <c r="K673" s="70">
        <v>10730.07</v>
      </c>
      <c r="L673" s="70">
        <f>'Monitoramento Acumulado Geral'!Q673</f>
        <v>0</v>
      </c>
      <c r="M673" s="6">
        <f>(SUM(L662:L673))/K672</f>
        <v>9.6318104168938323E-2</v>
      </c>
      <c r="N673" s="35" t="str">
        <f t="shared" si="315"/>
        <v>Desempenho Médio</v>
      </c>
      <c r="O673" s="6">
        <f t="shared" si="363"/>
        <v>0.41824651958307835</v>
      </c>
      <c r="P673" s="6">
        <f t="shared" si="363"/>
        <v>0.84510274859297763</v>
      </c>
      <c r="Q673" s="6">
        <f t="shared" si="363"/>
        <v>-8.6097094268208774E-3</v>
      </c>
      <c r="R673" s="70">
        <v>50</v>
      </c>
      <c r="S673" s="70">
        <v>0</v>
      </c>
      <c r="T673" s="6">
        <f t="shared" si="312"/>
        <v>0</v>
      </c>
      <c r="U673" s="35" t="e">
        <f t="shared" si="316"/>
        <v>#DIV/0!</v>
      </c>
      <c r="V673" s="6" t="e">
        <f t="shared" si="364"/>
        <v>#DIV/0!</v>
      </c>
      <c r="W673" s="6" t="e">
        <f t="shared" si="364"/>
        <v>#DIV/0!</v>
      </c>
      <c r="X673" s="6" t="e">
        <f t="shared" si="364"/>
        <v>#DIV/0!</v>
      </c>
      <c r="Y673" s="6" t="e">
        <f t="shared" si="364"/>
        <v>#DIV/0!</v>
      </c>
      <c r="Z673" s="6" t="e">
        <f t="shared" si="364"/>
        <v>#DIV/0!</v>
      </c>
    </row>
    <row r="674" spans="1:26" x14ac:dyDescent="0.2">
      <c r="A674" s="7" t="s">
        <v>108</v>
      </c>
      <c r="B674" s="6">
        <f t="shared" si="313"/>
        <v>1</v>
      </c>
      <c r="C674" s="7" t="s">
        <v>151</v>
      </c>
      <c r="D674" s="69">
        <v>75</v>
      </c>
      <c r="E674" s="69">
        <v>0</v>
      </c>
      <c r="F674" s="66">
        <f t="shared" si="311"/>
        <v>0</v>
      </c>
      <c r="G674" s="61" t="e">
        <f t="shared" si="314"/>
        <v>#DIV/0!</v>
      </c>
      <c r="H674" s="66" t="e">
        <f t="shared" si="318"/>
        <v>#DIV/0!</v>
      </c>
      <c r="I674" s="66" t="e">
        <f t="shared" si="318"/>
        <v>#DIV/0!</v>
      </c>
      <c r="J674" s="66" t="e">
        <f t="shared" si="318"/>
        <v>#DIV/0!</v>
      </c>
      <c r="K674" s="70">
        <v>18000</v>
      </c>
      <c r="L674" s="70">
        <f>'Monitoramento Acumulado Geral'!Q674</f>
        <v>0</v>
      </c>
      <c r="M674" s="6">
        <f>L674/K674</f>
        <v>0</v>
      </c>
      <c r="N674" s="35" t="str">
        <f t="shared" si="315"/>
        <v>Desempenho Médio</v>
      </c>
      <c r="O674" s="6">
        <f t="shared" ref="O674:Q689" si="365">O662</f>
        <v>3.4274647562211005E-2</v>
      </c>
      <c r="P674" s="6">
        <f t="shared" si="365"/>
        <v>0.10289217685709087</v>
      </c>
      <c r="Q674" s="6">
        <f t="shared" si="365"/>
        <v>-3.4342881732668862E-2</v>
      </c>
      <c r="R674" s="70">
        <v>80</v>
      </c>
      <c r="S674" s="70">
        <v>0</v>
      </c>
      <c r="T674" s="6">
        <f t="shared" si="312"/>
        <v>0</v>
      </c>
      <c r="U674" s="35" t="e">
        <f t="shared" si="316"/>
        <v>#DIV/0!</v>
      </c>
      <c r="V674" s="6" t="e">
        <f t="shared" ref="V674:Z682" si="366">V662</f>
        <v>#DIV/0!</v>
      </c>
      <c r="W674" s="6" t="e">
        <f t="shared" si="366"/>
        <v>#DIV/0!</v>
      </c>
      <c r="X674" s="6" t="e">
        <f t="shared" si="366"/>
        <v>#DIV/0!</v>
      </c>
      <c r="Y674" s="6" t="e">
        <f t="shared" si="366"/>
        <v>#DIV/0!</v>
      </c>
      <c r="Z674" s="6" t="e">
        <f t="shared" si="366"/>
        <v>#DIV/0!</v>
      </c>
    </row>
    <row r="675" spans="1:26" x14ac:dyDescent="0.2">
      <c r="A675" s="7" t="s">
        <v>108</v>
      </c>
      <c r="B675" s="6">
        <f t="shared" si="313"/>
        <v>2</v>
      </c>
      <c r="C675" s="7" t="s">
        <v>152</v>
      </c>
      <c r="D675" s="69">
        <v>75</v>
      </c>
      <c r="E675" s="69">
        <v>0</v>
      </c>
      <c r="F675" s="66">
        <f t="shared" si="311"/>
        <v>0</v>
      </c>
      <c r="G675" s="61" t="e">
        <f t="shared" si="314"/>
        <v>#DIV/0!</v>
      </c>
      <c r="H675" s="66" t="e">
        <f t="shared" si="318"/>
        <v>#DIV/0!</v>
      </c>
      <c r="I675" s="66" t="e">
        <f t="shared" si="318"/>
        <v>#DIV/0!</v>
      </c>
      <c r="J675" s="66" t="e">
        <f t="shared" si="318"/>
        <v>#DIV/0!</v>
      </c>
      <c r="K675" s="70">
        <v>18000</v>
      </c>
      <c r="L675" s="70">
        <f>'Monitoramento Acumulado Geral'!Q675</f>
        <v>0</v>
      </c>
      <c r="M675" s="6">
        <f>(SUM(L674:L675))/K674</f>
        <v>0</v>
      </c>
      <c r="N675" s="35" t="str">
        <f t="shared" si="315"/>
        <v>Desempenho Médio</v>
      </c>
      <c r="O675" s="6">
        <f t="shared" si="365"/>
        <v>8.1815188943147363E-2</v>
      </c>
      <c r="P675" s="6">
        <f t="shared" si="365"/>
        <v>0.20623883252423067</v>
      </c>
      <c r="Q675" s="6">
        <f t="shared" si="365"/>
        <v>-4.2608454637935944E-2</v>
      </c>
      <c r="R675" s="70">
        <v>80</v>
      </c>
      <c r="S675" s="70">
        <v>0</v>
      </c>
      <c r="T675" s="6">
        <f t="shared" si="312"/>
        <v>0</v>
      </c>
      <c r="U675" s="35" t="e">
        <f t="shared" si="316"/>
        <v>#DIV/0!</v>
      </c>
      <c r="V675" s="6" t="e">
        <f t="shared" si="366"/>
        <v>#DIV/0!</v>
      </c>
      <c r="W675" s="6" t="e">
        <f t="shared" si="366"/>
        <v>#DIV/0!</v>
      </c>
      <c r="X675" s="6" t="e">
        <f t="shared" si="366"/>
        <v>#DIV/0!</v>
      </c>
      <c r="Y675" s="6" t="e">
        <f t="shared" si="366"/>
        <v>#DIV/0!</v>
      </c>
      <c r="Z675" s="6" t="e">
        <f t="shared" si="366"/>
        <v>#DIV/0!</v>
      </c>
    </row>
    <row r="676" spans="1:26" x14ac:dyDescent="0.2">
      <c r="A676" s="7" t="s">
        <v>108</v>
      </c>
      <c r="B676" s="6">
        <f t="shared" si="313"/>
        <v>3</v>
      </c>
      <c r="C676" s="7" t="s">
        <v>153</v>
      </c>
      <c r="D676" s="69">
        <v>75</v>
      </c>
      <c r="E676" s="69">
        <v>0</v>
      </c>
      <c r="F676" s="66">
        <f t="shared" si="311"/>
        <v>0</v>
      </c>
      <c r="G676" s="61" t="e">
        <f t="shared" si="314"/>
        <v>#DIV/0!</v>
      </c>
      <c r="H676" s="66" t="e">
        <f t="shared" si="318"/>
        <v>#DIV/0!</v>
      </c>
      <c r="I676" s="66" t="e">
        <f t="shared" si="318"/>
        <v>#DIV/0!</v>
      </c>
      <c r="J676" s="66" t="e">
        <f t="shared" si="318"/>
        <v>#DIV/0!</v>
      </c>
      <c r="K676" s="70">
        <v>18000</v>
      </c>
      <c r="L676" s="70">
        <f>'Monitoramento Acumulado Geral'!Q676</f>
        <v>0</v>
      </c>
      <c r="M676" s="6">
        <f>(SUM(L674:L676))/K675</f>
        <v>0</v>
      </c>
      <c r="N676" s="35" t="str">
        <f t="shared" si="315"/>
        <v>Desempenho Médio</v>
      </c>
      <c r="O676" s="6">
        <f t="shared" si="365"/>
        <v>0.13411292471649494</v>
      </c>
      <c r="P676" s="6">
        <f t="shared" si="365"/>
        <v>0.29721906787058483</v>
      </c>
      <c r="Q676" s="6">
        <f t="shared" si="365"/>
        <v>-2.899321843759492E-2</v>
      </c>
      <c r="R676" s="70">
        <v>80</v>
      </c>
      <c r="S676" s="70">
        <v>0</v>
      </c>
      <c r="T676" s="6">
        <f t="shared" si="312"/>
        <v>0</v>
      </c>
      <c r="U676" s="35" t="e">
        <f t="shared" si="316"/>
        <v>#DIV/0!</v>
      </c>
      <c r="V676" s="6" t="e">
        <f t="shared" si="366"/>
        <v>#DIV/0!</v>
      </c>
      <c r="W676" s="6" t="e">
        <f t="shared" si="366"/>
        <v>#DIV/0!</v>
      </c>
      <c r="X676" s="6" t="e">
        <f t="shared" si="366"/>
        <v>#DIV/0!</v>
      </c>
      <c r="Y676" s="6" t="e">
        <f t="shared" si="366"/>
        <v>#DIV/0!</v>
      </c>
      <c r="Z676" s="6" t="e">
        <f t="shared" si="366"/>
        <v>#DIV/0!</v>
      </c>
    </row>
    <row r="677" spans="1:26" x14ac:dyDescent="0.2">
      <c r="A677" s="7" t="s">
        <v>108</v>
      </c>
      <c r="B677" s="6">
        <f t="shared" si="313"/>
        <v>4</v>
      </c>
      <c r="C677" s="7" t="s">
        <v>154</v>
      </c>
      <c r="D677" s="69">
        <v>75</v>
      </c>
      <c r="E677" s="69">
        <v>0</v>
      </c>
      <c r="F677" s="66">
        <f t="shared" si="311"/>
        <v>0</v>
      </c>
      <c r="G677" s="61" t="e">
        <f t="shared" si="314"/>
        <v>#DIV/0!</v>
      </c>
      <c r="H677" s="66" t="e">
        <f t="shared" si="318"/>
        <v>#DIV/0!</v>
      </c>
      <c r="I677" s="66" t="e">
        <f t="shared" si="318"/>
        <v>#DIV/0!</v>
      </c>
      <c r="J677" s="66" t="e">
        <f t="shared" si="318"/>
        <v>#DIV/0!</v>
      </c>
      <c r="K677" s="70">
        <v>18000</v>
      </c>
      <c r="L677" s="70">
        <f>'Monitoramento Acumulado Geral'!Q677</f>
        <v>0</v>
      </c>
      <c r="M677" s="6">
        <f>(SUM(L674:L677))/K676</f>
        <v>0</v>
      </c>
      <c r="N677" s="35" t="str">
        <f t="shared" si="315"/>
        <v>Desempenho Médio</v>
      </c>
      <c r="O677" s="6">
        <f t="shared" si="365"/>
        <v>0.15392483870093213</v>
      </c>
      <c r="P677" s="6">
        <f t="shared" si="365"/>
        <v>0.32772007016950033</v>
      </c>
      <c r="Q677" s="6">
        <f t="shared" si="365"/>
        <v>-1.9870392767636053E-2</v>
      </c>
      <c r="R677" s="70">
        <v>80</v>
      </c>
      <c r="S677" s="70">
        <v>0</v>
      </c>
      <c r="T677" s="6">
        <f t="shared" si="312"/>
        <v>0</v>
      </c>
      <c r="U677" s="35" t="e">
        <f t="shared" si="316"/>
        <v>#DIV/0!</v>
      </c>
      <c r="V677" s="6" t="e">
        <f t="shared" si="366"/>
        <v>#DIV/0!</v>
      </c>
      <c r="W677" s="6" t="e">
        <f t="shared" si="366"/>
        <v>#DIV/0!</v>
      </c>
      <c r="X677" s="6" t="e">
        <f t="shared" si="366"/>
        <v>#DIV/0!</v>
      </c>
      <c r="Y677" s="6" t="e">
        <f t="shared" si="366"/>
        <v>#DIV/0!</v>
      </c>
      <c r="Z677" s="6" t="e">
        <f t="shared" si="366"/>
        <v>#DIV/0!</v>
      </c>
    </row>
    <row r="678" spans="1:26" x14ac:dyDescent="0.2">
      <c r="A678" s="7" t="s">
        <v>108</v>
      </c>
      <c r="B678" s="6">
        <f t="shared" si="313"/>
        <v>5</v>
      </c>
      <c r="C678" s="7" t="s">
        <v>155</v>
      </c>
      <c r="D678" s="69">
        <v>75</v>
      </c>
      <c r="E678" s="69">
        <v>0</v>
      </c>
      <c r="F678" s="66">
        <f t="shared" si="311"/>
        <v>0</v>
      </c>
      <c r="G678" s="61" t="e">
        <f t="shared" si="314"/>
        <v>#DIV/0!</v>
      </c>
      <c r="H678" s="66" t="e">
        <f t="shared" si="318"/>
        <v>#DIV/0!</v>
      </c>
      <c r="I678" s="66" t="e">
        <f t="shared" si="318"/>
        <v>#DIV/0!</v>
      </c>
      <c r="J678" s="66" t="e">
        <f t="shared" si="318"/>
        <v>#DIV/0!</v>
      </c>
      <c r="K678" s="70">
        <v>18000</v>
      </c>
      <c r="L678" s="70">
        <f>'Monitoramento Acumulado Geral'!Q678</f>
        <v>0</v>
      </c>
      <c r="M678" s="6">
        <f>(SUM(L674:L678))/K677</f>
        <v>0</v>
      </c>
      <c r="N678" s="35" t="str">
        <f t="shared" si="315"/>
        <v>Desempenho Médio</v>
      </c>
      <c r="O678" s="6">
        <f t="shared" si="365"/>
        <v>0.21139287248463789</v>
      </c>
      <c r="P678" s="6">
        <f t="shared" si="365"/>
        <v>0.43680804416292918</v>
      </c>
      <c r="Q678" s="6">
        <f t="shared" si="365"/>
        <v>-1.4022299193653387E-2</v>
      </c>
      <c r="R678" s="70">
        <v>80</v>
      </c>
      <c r="S678" s="70">
        <v>0</v>
      </c>
      <c r="T678" s="6">
        <f t="shared" si="312"/>
        <v>0</v>
      </c>
      <c r="U678" s="35" t="e">
        <f t="shared" si="316"/>
        <v>#DIV/0!</v>
      </c>
      <c r="V678" s="6" t="e">
        <f t="shared" si="366"/>
        <v>#DIV/0!</v>
      </c>
      <c r="W678" s="6" t="e">
        <f t="shared" si="366"/>
        <v>#DIV/0!</v>
      </c>
      <c r="X678" s="6" t="e">
        <f t="shared" si="366"/>
        <v>#DIV/0!</v>
      </c>
      <c r="Y678" s="6" t="e">
        <f t="shared" si="366"/>
        <v>#DIV/0!</v>
      </c>
      <c r="Z678" s="6" t="e">
        <f t="shared" si="366"/>
        <v>#DIV/0!</v>
      </c>
    </row>
    <row r="679" spans="1:26" x14ac:dyDescent="0.2">
      <c r="A679" s="7" t="s">
        <v>108</v>
      </c>
      <c r="B679" s="6">
        <f t="shared" si="313"/>
        <v>6</v>
      </c>
      <c r="C679" s="7" t="s">
        <v>156</v>
      </c>
      <c r="D679" s="69">
        <v>75</v>
      </c>
      <c r="E679" s="69">
        <v>0</v>
      </c>
      <c r="F679" s="66">
        <f t="shared" si="311"/>
        <v>0</v>
      </c>
      <c r="G679" s="61" t="e">
        <f t="shared" si="314"/>
        <v>#DIV/0!</v>
      </c>
      <c r="H679" s="66" t="e">
        <f t="shared" si="318"/>
        <v>#DIV/0!</v>
      </c>
      <c r="I679" s="66" t="e">
        <f t="shared" si="318"/>
        <v>#DIV/0!</v>
      </c>
      <c r="J679" s="66" t="e">
        <f t="shared" si="318"/>
        <v>#DIV/0!</v>
      </c>
      <c r="K679" s="70">
        <v>18000</v>
      </c>
      <c r="L679" s="70">
        <f>'Monitoramento Acumulado Geral'!Q679</f>
        <v>0</v>
      </c>
      <c r="M679" s="6">
        <f>(SUM(L674:L679))/K678</f>
        <v>0</v>
      </c>
      <c r="N679" s="35" t="str">
        <f t="shared" si="315"/>
        <v>Desempenho Deficitário</v>
      </c>
      <c r="O679" s="6">
        <f t="shared" si="365"/>
        <v>0.28403291059934432</v>
      </c>
      <c r="P679" s="6">
        <f t="shared" si="365"/>
        <v>0.56118246348434164</v>
      </c>
      <c r="Q679" s="6">
        <f t="shared" si="365"/>
        <v>6.8833577143469493E-3</v>
      </c>
      <c r="R679" s="70">
        <v>80</v>
      </c>
      <c r="S679" s="70">
        <v>0</v>
      </c>
      <c r="T679" s="6">
        <f t="shared" si="312"/>
        <v>0</v>
      </c>
      <c r="U679" s="35" t="e">
        <f t="shared" si="316"/>
        <v>#DIV/0!</v>
      </c>
      <c r="V679" s="6" t="e">
        <f t="shared" si="366"/>
        <v>#DIV/0!</v>
      </c>
      <c r="W679" s="6" t="e">
        <f t="shared" si="366"/>
        <v>#DIV/0!</v>
      </c>
      <c r="X679" s="6" t="e">
        <f t="shared" si="366"/>
        <v>#DIV/0!</v>
      </c>
      <c r="Y679" s="6" t="e">
        <f t="shared" si="366"/>
        <v>#DIV/0!</v>
      </c>
      <c r="Z679" s="6" t="e">
        <f t="shared" si="366"/>
        <v>#DIV/0!</v>
      </c>
    </row>
    <row r="680" spans="1:26" x14ac:dyDescent="0.2">
      <c r="A680" s="7" t="s">
        <v>108</v>
      </c>
      <c r="B680" s="6">
        <f t="shared" si="313"/>
        <v>7</v>
      </c>
      <c r="C680" s="7" t="s">
        <v>157</v>
      </c>
      <c r="D680" s="69">
        <v>75</v>
      </c>
      <c r="E680" s="69">
        <v>0</v>
      </c>
      <c r="F680" s="66">
        <f t="shared" si="311"/>
        <v>0</v>
      </c>
      <c r="G680" s="61" t="e">
        <f t="shared" si="314"/>
        <v>#DIV/0!</v>
      </c>
      <c r="H680" s="66" t="e">
        <f t="shared" si="318"/>
        <v>#DIV/0!</v>
      </c>
      <c r="I680" s="66" t="e">
        <f t="shared" si="318"/>
        <v>#DIV/0!</v>
      </c>
      <c r="J680" s="66" t="e">
        <f t="shared" si="318"/>
        <v>#DIV/0!</v>
      </c>
      <c r="K680" s="70">
        <v>18000</v>
      </c>
      <c r="L680" s="70">
        <f>'Monitoramento Acumulado Geral'!Q680</f>
        <v>0</v>
      </c>
      <c r="M680" s="6">
        <f>(SUM(L674:L680))/K679</f>
        <v>0</v>
      </c>
      <c r="N680" s="35" t="str">
        <f t="shared" si="315"/>
        <v>Desempenho Médio</v>
      </c>
      <c r="O680" s="6">
        <f t="shared" si="365"/>
        <v>0.42046470140126019</v>
      </c>
      <c r="P680" s="6">
        <f t="shared" si="365"/>
        <v>0.84574683442734511</v>
      </c>
      <c r="Q680" s="6">
        <f t="shared" si="365"/>
        <v>-4.8174316248247306E-3</v>
      </c>
      <c r="R680" s="70">
        <v>80</v>
      </c>
      <c r="S680" s="70">
        <v>0</v>
      </c>
      <c r="T680" s="6">
        <f t="shared" si="312"/>
        <v>0</v>
      </c>
      <c r="U680" s="35" t="e">
        <f t="shared" si="316"/>
        <v>#DIV/0!</v>
      </c>
      <c r="V680" s="6" t="e">
        <f t="shared" si="366"/>
        <v>#DIV/0!</v>
      </c>
      <c r="W680" s="6" t="e">
        <f t="shared" si="366"/>
        <v>#DIV/0!</v>
      </c>
      <c r="X680" s="6" t="e">
        <f t="shared" si="366"/>
        <v>#DIV/0!</v>
      </c>
      <c r="Y680" s="6" t="e">
        <f t="shared" si="366"/>
        <v>#DIV/0!</v>
      </c>
      <c r="Z680" s="6" t="e">
        <f t="shared" si="366"/>
        <v>#DIV/0!</v>
      </c>
    </row>
    <row r="681" spans="1:26" x14ac:dyDescent="0.2">
      <c r="A681" s="7" t="s">
        <v>108</v>
      </c>
      <c r="B681" s="6">
        <f t="shared" si="313"/>
        <v>8</v>
      </c>
      <c r="C681" s="7" t="s">
        <v>158</v>
      </c>
      <c r="D681" s="69">
        <v>75</v>
      </c>
      <c r="E681" s="69">
        <v>0</v>
      </c>
      <c r="F681" s="66">
        <f t="shared" si="311"/>
        <v>0</v>
      </c>
      <c r="G681" s="61" t="e">
        <f t="shared" si="314"/>
        <v>#DIV/0!</v>
      </c>
      <c r="H681" s="66" t="e">
        <f t="shared" si="318"/>
        <v>#DIV/0!</v>
      </c>
      <c r="I681" s="66" t="e">
        <f t="shared" si="318"/>
        <v>#DIV/0!</v>
      </c>
      <c r="J681" s="66" t="e">
        <f t="shared" si="318"/>
        <v>#DIV/0!</v>
      </c>
      <c r="K681" s="70">
        <v>18000</v>
      </c>
      <c r="L681" s="70">
        <f>'Monitoramento Acumulado Geral'!Q681</f>
        <v>0</v>
      </c>
      <c r="M681" s="6">
        <f>(SUM(L674:L681))/K680</f>
        <v>0</v>
      </c>
      <c r="N681" s="35" t="str">
        <f t="shared" si="315"/>
        <v>Desempenho Médio</v>
      </c>
      <c r="O681" s="6">
        <f t="shared" si="365"/>
        <v>0.42046470140126019</v>
      </c>
      <c r="P681" s="6">
        <f t="shared" si="365"/>
        <v>0.84574683442734511</v>
      </c>
      <c r="Q681" s="6">
        <f t="shared" si="365"/>
        <v>-4.8174316248247306E-3</v>
      </c>
      <c r="R681" s="70">
        <v>80</v>
      </c>
      <c r="S681" s="70">
        <v>0</v>
      </c>
      <c r="T681" s="6">
        <f t="shared" si="312"/>
        <v>0</v>
      </c>
      <c r="U681" s="35" t="e">
        <f t="shared" si="316"/>
        <v>#DIV/0!</v>
      </c>
      <c r="V681" s="6" t="e">
        <f t="shared" si="366"/>
        <v>#DIV/0!</v>
      </c>
      <c r="W681" s="6" t="e">
        <f t="shared" si="366"/>
        <v>#DIV/0!</v>
      </c>
      <c r="X681" s="6" t="e">
        <f t="shared" si="366"/>
        <v>#DIV/0!</v>
      </c>
      <c r="Y681" s="6" t="e">
        <f t="shared" si="366"/>
        <v>#DIV/0!</v>
      </c>
      <c r="Z681" s="6" t="e">
        <f t="shared" si="366"/>
        <v>#DIV/0!</v>
      </c>
    </row>
    <row r="682" spans="1:26" x14ac:dyDescent="0.2">
      <c r="A682" s="7" t="s">
        <v>108</v>
      </c>
      <c r="B682" s="6">
        <f t="shared" si="313"/>
        <v>9</v>
      </c>
      <c r="C682" s="7" t="s">
        <v>159</v>
      </c>
      <c r="D682" s="69">
        <v>75</v>
      </c>
      <c r="E682" s="69">
        <v>0</v>
      </c>
      <c r="F682" s="66">
        <f t="shared" si="311"/>
        <v>0</v>
      </c>
      <c r="G682" s="61" t="e">
        <f t="shared" si="314"/>
        <v>#DIV/0!</v>
      </c>
      <c r="H682" s="66" t="e">
        <f t="shared" si="318"/>
        <v>#DIV/0!</v>
      </c>
      <c r="I682" s="66" t="e">
        <f t="shared" si="318"/>
        <v>#DIV/0!</v>
      </c>
      <c r="J682" s="66" t="e">
        <f t="shared" si="318"/>
        <v>#DIV/0!</v>
      </c>
      <c r="K682" s="70">
        <v>18000</v>
      </c>
      <c r="L682" s="70">
        <f>'Monitoramento Acumulado Geral'!Q682</f>
        <v>0</v>
      </c>
      <c r="M682" s="6">
        <f>(SUM(L674:L682))/K681</f>
        <v>0</v>
      </c>
      <c r="N682" s="35" t="str">
        <f t="shared" si="315"/>
        <v>Desempenho Médio</v>
      </c>
      <c r="O682" s="6">
        <f t="shared" si="365"/>
        <v>0.42046470140126019</v>
      </c>
      <c r="P682" s="6">
        <f t="shared" si="365"/>
        <v>0.84574683442734511</v>
      </c>
      <c r="Q682" s="6">
        <f t="shared" si="365"/>
        <v>-4.8174316248247306E-3</v>
      </c>
      <c r="R682" s="70">
        <v>80</v>
      </c>
      <c r="S682" s="70">
        <v>0</v>
      </c>
      <c r="T682" s="6">
        <f t="shared" si="312"/>
        <v>0</v>
      </c>
      <c r="U682" s="35" t="e">
        <f t="shared" si="316"/>
        <v>#DIV/0!</v>
      </c>
      <c r="V682" s="6" t="e">
        <f t="shared" si="366"/>
        <v>#DIV/0!</v>
      </c>
      <c r="W682" s="6" t="e">
        <f t="shared" si="366"/>
        <v>#DIV/0!</v>
      </c>
      <c r="X682" s="6" t="e">
        <f t="shared" si="366"/>
        <v>#DIV/0!</v>
      </c>
      <c r="Y682" s="6" t="e">
        <f t="shared" si="366"/>
        <v>#DIV/0!</v>
      </c>
      <c r="Z682" s="6" t="e">
        <f t="shared" si="366"/>
        <v>#DIV/0!</v>
      </c>
    </row>
    <row r="683" spans="1:26" x14ac:dyDescent="0.2">
      <c r="A683" s="7" t="s">
        <v>108</v>
      </c>
      <c r="B683" s="6">
        <f t="shared" si="313"/>
        <v>10</v>
      </c>
      <c r="C683" s="7" t="s">
        <v>160</v>
      </c>
      <c r="D683" s="69">
        <v>75</v>
      </c>
      <c r="E683" s="69">
        <v>0</v>
      </c>
      <c r="F683" s="66">
        <f t="shared" si="311"/>
        <v>0</v>
      </c>
      <c r="G683" s="61" t="e">
        <f t="shared" si="314"/>
        <v>#DIV/0!</v>
      </c>
      <c r="H683" s="66" t="e">
        <f t="shared" si="318"/>
        <v>#DIV/0!</v>
      </c>
      <c r="I683" s="66" t="e">
        <f t="shared" si="318"/>
        <v>#DIV/0!</v>
      </c>
      <c r="J683" s="66" t="e">
        <f t="shared" si="318"/>
        <v>#DIV/0!</v>
      </c>
      <c r="K683" s="70">
        <v>18000</v>
      </c>
      <c r="L683" s="70">
        <f>'Monitoramento Acumulado Geral'!Q683</f>
        <v>0</v>
      </c>
      <c r="M683" s="6">
        <f>(SUM(L674:L683))/K682</f>
        <v>0</v>
      </c>
      <c r="N683" s="35" t="str">
        <f t="shared" si="315"/>
        <v>Desempenho Médio</v>
      </c>
      <c r="O683" s="6">
        <f t="shared" si="365"/>
        <v>0.42046470140126019</v>
      </c>
      <c r="P683" s="6">
        <f t="shared" si="365"/>
        <v>0.84574683442734511</v>
      </c>
      <c r="Q683" s="6">
        <f t="shared" si="365"/>
        <v>-4.8174316248247306E-3</v>
      </c>
      <c r="R683" s="70">
        <v>80</v>
      </c>
      <c r="S683" s="70">
        <v>0</v>
      </c>
      <c r="T683" s="6">
        <f t="shared" si="312"/>
        <v>0</v>
      </c>
      <c r="U683" s="35" t="e">
        <f t="shared" si="316"/>
        <v>#DIV/0!</v>
      </c>
      <c r="V683" s="6" t="e">
        <f t="shared" ref="V683:Z698" si="367">V671</f>
        <v>#DIV/0!</v>
      </c>
      <c r="W683" s="6" t="e">
        <f t="shared" si="367"/>
        <v>#DIV/0!</v>
      </c>
      <c r="X683" s="6" t="e">
        <f t="shared" si="367"/>
        <v>#DIV/0!</v>
      </c>
      <c r="Y683" s="6" t="e">
        <f t="shared" si="367"/>
        <v>#DIV/0!</v>
      </c>
      <c r="Z683" s="6" t="e">
        <f t="shared" si="367"/>
        <v>#DIV/0!</v>
      </c>
    </row>
    <row r="684" spans="1:26" x14ac:dyDescent="0.2">
      <c r="A684" s="7" t="s">
        <v>108</v>
      </c>
      <c r="B684" s="6">
        <f t="shared" si="313"/>
        <v>11</v>
      </c>
      <c r="C684" s="7" t="s">
        <v>161</v>
      </c>
      <c r="D684" s="69">
        <v>75</v>
      </c>
      <c r="E684" s="69">
        <v>0</v>
      </c>
      <c r="F684" s="66">
        <f t="shared" si="311"/>
        <v>0</v>
      </c>
      <c r="G684" s="61" t="e">
        <f t="shared" si="314"/>
        <v>#DIV/0!</v>
      </c>
      <c r="H684" s="66" t="e">
        <f t="shared" si="318"/>
        <v>#DIV/0!</v>
      </c>
      <c r="I684" s="66" t="e">
        <f t="shared" si="318"/>
        <v>#DIV/0!</v>
      </c>
      <c r="J684" s="66" t="e">
        <f t="shared" si="318"/>
        <v>#DIV/0!</v>
      </c>
      <c r="K684" s="70">
        <v>18000</v>
      </c>
      <c r="L684" s="70">
        <f>'Monitoramento Acumulado Geral'!Q684</f>
        <v>0</v>
      </c>
      <c r="M684" s="6">
        <f>(SUM(L674:L684))/K683</f>
        <v>0</v>
      </c>
      <c r="N684" s="35" t="str">
        <f t="shared" si="315"/>
        <v>Desempenho Médio</v>
      </c>
      <c r="O684" s="6">
        <f t="shared" si="365"/>
        <v>0.42046470140126019</v>
      </c>
      <c r="P684" s="6">
        <f t="shared" si="365"/>
        <v>0.84574683442734511</v>
      </c>
      <c r="Q684" s="6">
        <f t="shared" si="365"/>
        <v>-4.8174316248247306E-3</v>
      </c>
      <c r="R684" s="70">
        <v>80</v>
      </c>
      <c r="S684" s="70">
        <v>0</v>
      </c>
      <c r="T684" s="6">
        <f t="shared" si="312"/>
        <v>0</v>
      </c>
      <c r="U684" s="35" t="e">
        <f t="shared" si="316"/>
        <v>#DIV/0!</v>
      </c>
      <c r="V684" s="6" t="e">
        <f t="shared" si="367"/>
        <v>#DIV/0!</v>
      </c>
      <c r="W684" s="6" t="e">
        <f t="shared" si="367"/>
        <v>#DIV/0!</v>
      </c>
      <c r="X684" s="6" t="e">
        <f t="shared" si="367"/>
        <v>#DIV/0!</v>
      </c>
      <c r="Y684" s="6" t="e">
        <f t="shared" si="367"/>
        <v>#DIV/0!</v>
      </c>
      <c r="Z684" s="6" t="e">
        <f t="shared" si="367"/>
        <v>#DIV/0!</v>
      </c>
    </row>
    <row r="685" spans="1:26" x14ac:dyDescent="0.2">
      <c r="A685" s="7" t="s">
        <v>108</v>
      </c>
      <c r="B685" s="6">
        <f t="shared" si="313"/>
        <v>12</v>
      </c>
      <c r="C685" s="7" t="s">
        <v>162</v>
      </c>
      <c r="D685" s="69">
        <v>75</v>
      </c>
      <c r="E685" s="69">
        <v>0</v>
      </c>
      <c r="F685" s="66">
        <f t="shared" si="311"/>
        <v>0</v>
      </c>
      <c r="G685" s="61" t="e">
        <f t="shared" si="314"/>
        <v>#DIV/0!</v>
      </c>
      <c r="H685" s="66" t="e">
        <f t="shared" si="318"/>
        <v>#DIV/0!</v>
      </c>
      <c r="I685" s="66" t="e">
        <f t="shared" si="318"/>
        <v>#DIV/0!</v>
      </c>
      <c r="J685" s="66" t="e">
        <f t="shared" si="318"/>
        <v>#DIV/0!</v>
      </c>
      <c r="K685" s="70">
        <v>18000</v>
      </c>
      <c r="L685" s="70">
        <f>'Monitoramento Acumulado Geral'!Q685</f>
        <v>0</v>
      </c>
      <c r="M685" s="6">
        <f>(SUM(L674:L685))/K684</f>
        <v>0</v>
      </c>
      <c r="N685" s="35" t="str">
        <f t="shared" si="315"/>
        <v>Desempenho Médio</v>
      </c>
      <c r="O685" s="6">
        <f t="shared" si="365"/>
        <v>0.41824651958307835</v>
      </c>
      <c r="P685" s="6">
        <f t="shared" si="365"/>
        <v>0.84510274859297763</v>
      </c>
      <c r="Q685" s="6">
        <f t="shared" si="365"/>
        <v>-8.6097094268208774E-3</v>
      </c>
      <c r="R685" s="70">
        <v>80</v>
      </c>
      <c r="S685" s="70">
        <v>0</v>
      </c>
      <c r="T685" s="6">
        <f t="shared" si="312"/>
        <v>0</v>
      </c>
      <c r="U685" s="35" t="e">
        <f t="shared" si="316"/>
        <v>#DIV/0!</v>
      </c>
      <c r="V685" s="6" t="e">
        <f t="shared" si="367"/>
        <v>#DIV/0!</v>
      </c>
      <c r="W685" s="6" t="e">
        <f t="shared" si="367"/>
        <v>#DIV/0!</v>
      </c>
      <c r="X685" s="6" t="e">
        <f t="shared" si="367"/>
        <v>#DIV/0!</v>
      </c>
      <c r="Y685" s="6" t="e">
        <f t="shared" si="367"/>
        <v>#DIV/0!</v>
      </c>
      <c r="Z685" s="6" t="e">
        <f t="shared" si="367"/>
        <v>#DIV/0!</v>
      </c>
    </row>
    <row r="686" spans="1:26" x14ac:dyDescent="0.2">
      <c r="A686" s="7" t="s">
        <v>129</v>
      </c>
      <c r="B686" s="6">
        <f t="shared" si="313"/>
        <v>1</v>
      </c>
      <c r="C686" s="7" t="s">
        <v>151</v>
      </c>
      <c r="D686" s="69">
        <v>25</v>
      </c>
      <c r="E686" s="69">
        <v>0</v>
      </c>
      <c r="F686" s="66">
        <f t="shared" si="311"/>
        <v>0</v>
      </c>
      <c r="G686" s="61" t="e">
        <f t="shared" si="314"/>
        <v>#DIV/0!</v>
      </c>
      <c r="H686" s="66" t="e">
        <f t="shared" si="318"/>
        <v>#DIV/0!</v>
      </c>
      <c r="I686" s="66" t="e">
        <f t="shared" si="318"/>
        <v>#DIV/0!</v>
      </c>
      <c r="J686" s="66" t="e">
        <f t="shared" si="318"/>
        <v>#DIV/0!</v>
      </c>
      <c r="K686" s="70">
        <v>4800</v>
      </c>
      <c r="L686" s="70">
        <f>'Monitoramento Acumulado Geral'!Q686</f>
        <v>0</v>
      </c>
      <c r="M686" s="6">
        <f>L686/K686</f>
        <v>0</v>
      </c>
      <c r="N686" s="35" t="str">
        <f t="shared" si="315"/>
        <v>Desempenho Médio</v>
      </c>
      <c r="O686" s="6">
        <f t="shared" si="365"/>
        <v>3.4274647562211005E-2</v>
      </c>
      <c r="P686" s="6">
        <f t="shared" si="365"/>
        <v>0.10289217685709087</v>
      </c>
      <c r="Q686" s="6">
        <f t="shared" si="365"/>
        <v>-3.4342881732668862E-2</v>
      </c>
      <c r="R686" s="70">
        <v>43</v>
      </c>
      <c r="S686" s="70">
        <v>0</v>
      </c>
      <c r="T686" s="6">
        <f t="shared" si="312"/>
        <v>0</v>
      </c>
      <c r="U686" s="35" t="e">
        <f t="shared" si="316"/>
        <v>#DIV/0!</v>
      </c>
      <c r="V686" s="6" t="e">
        <f t="shared" si="367"/>
        <v>#DIV/0!</v>
      </c>
      <c r="W686" s="6" t="e">
        <f t="shared" si="367"/>
        <v>#DIV/0!</v>
      </c>
      <c r="X686" s="6" t="e">
        <f t="shared" si="367"/>
        <v>#DIV/0!</v>
      </c>
      <c r="Y686" s="6" t="e">
        <f t="shared" si="367"/>
        <v>#DIV/0!</v>
      </c>
      <c r="Z686" s="6" t="e">
        <f t="shared" si="367"/>
        <v>#DIV/0!</v>
      </c>
    </row>
    <row r="687" spans="1:26" x14ac:dyDescent="0.2">
      <c r="A687" s="7" t="s">
        <v>129</v>
      </c>
      <c r="B687" s="6">
        <f t="shared" si="313"/>
        <v>2</v>
      </c>
      <c r="C687" s="7" t="s">
        <v>152</v>
      </c>
      <c r="D687" s="69">
        <v>25</v>
      </c>
      <c r="E687" s="69">
        <v>0</v>
      </c>
      <c r="F687" s="66">
        <f t="shared" si="311"/>
        <v>0</v>
      </c>
      <c r="G687" s="61" t="e">
        <f t="shared" si="314"/>
        <v>#DIV/0!</v>
      </c>
      <c r="H687" s="66" t="e">
        <f t="shared" si="318"/>
        <v>#DIV/0!</v>
      </c>
      <c r="I687" s="66" t="e">
        <f t="shared" si="318"/>
        <v>#DIV/0!</v>
      </c>
      <c r="J687" s="66" t="e">
        <f t="shared" si="318"/>
        <v>#DIV/0!</v>
      </c>
      <c r="K687" s="70">
        <v>4800</v>
      </c>
      <c r="L687" s="70">
        <f>'Monitoramento Acumulado Geral'!Q687</f>
        <v>0</v>
      </c>
      <c r="M687" s="6">
        <f>(SUM(L686:L687))/K686</f>
        <v>0</v>
      </c>
      <c r="N687" s="35" t="str">
        <f t="shared" si="315"/>
        <v>Desempenho Médio</v>
      </c>
      <c r="O687" s="6">
        <f t="shared" si="365"/>
        <v>8.1815188943147363E-2</v>
      </c>
      <c r="P687" s="6">
        <f t="shared" si="365"/>
        <v>0.20623883252423067</v>
      </c>
      <c r="Q687" s="6">
        <f t="shared" si="365"/>
        <v>-4.2608454637935944E-2</v>
      </c>
      <c r="R687" s="70">
        <v>43</v>
      </c>
      <c r="S687" s="70">
        <v>0</v>
      </c>
      <c r="T687" s="6">
        <f t="shared" si="312"/>
        <v>0</v>
      </c>
      <c r="U687" s="35" t="e">
        <f t="shared" si="316"/>
        <v>#DIV/0!</v>
      </c>
      <c r="V687" s="6" t="e">
        <f t="shared" si="367"/>
        <v>#DIV/0!</v>
      </c>
      <c r="W687" s="6" t="e">
        <f t="shared" si="367"/>
        <v>#DIV/0!</v>
      </c>
      <c r="X687" s="6" t="e">
        <f t="shared" si="367"/>
        <v>#DIV/0!</v>
      </c>
      <c r="Y687" s="6" t="e">
        <f t="shared" si="367"/>
        <v>#DIV/0!</v>
      </c>
      <c r="Z687" s="6" t="e">
        <f t="shared" si="367"/>
        <v>#DIV/0!</v>
      </c>
    </row>
    <row r="688" spans="1:26" x14ac:dyDescent="0.2">
      <c r="A688" s="7" t="s">
        <v>129</v>
      </c>
      <c r="B688" s="6">
        <f t="shared" si="313"/>
        <v>3</v>
      </c>
      <c r="C688" s="7" t="s">
        <v>153</v>
      </c>
      <c r="D688" s="69">
        <v>25</v>
      </c>
      <c r="E688" s="69">
        <v>0</v>
      </c>
      <c r="F688" s="66">
        <f t="shared" si="311"/>
        <v>0</v>
      </c>
      <c r="G688" s="61" t="e">
        <f t="shared" si="314"/>
        <v>#DIV/0!</v>
      </c>
      <c r="H688" s="66" t="e">
        <f t="shared" si="318"/>
        <v>#DIV/0!</v>
      </c>
      <c r="I688" s="66" t="e">
        <f t="shared" si="318"/>
        <v>#DIV/0!</v>
      </c>
      <c r="J688" s="66" t="e">
        <f t="shared" si="318"/>
        <v>#DIV/0!</v>
      </c>
      <c r="K688" s="70">
        <v>4800</v>
      </c>
      <c r="L688" s="70">
        <f>'Monitoramento Acumulado Geral'!Q688</f>
        <v>0</v>
      </c>
      <c r="M688" s="6">
        <f>(SUM(L686:L688))/K687</f>
        <v>0</v>
      </c>
      <c r="N688" s="35" t="str">
        <f t="shared" si="315"/>
        <v>Desempenho Médio</v>
      </c>
      <c r="O688" s="6">
        <f t="shared" si="365"/>
        <v>0.13411292471649494</v>
      </c>
      <c r="P688" s="6">
        <f t="shared" si="365"/>
        <v>0.29721906787058483</v>
      </c>
      <c r="Q688" s="6">
        <f t="shared" si="365"/>
        <v>-2.899321843759492E-2</v>
      </c>
      <c r="R688" s="70">
        <v>43</v>
      </c>
      <c r="S688" s="70">
        <v>0</v>
      </c>
      <c r="T688" s="6">
        <f t="shared" si="312"/>
        <v>0</v>
      </c>
      <c r="U688" s="35" t="e">
        <f t="shared" si="316"/>
        <v>#DIV/0!</v>
      </c>
      <c r="V688" s="6" t="e">
        <f t="shared" si="367"/>
        <v>#DIV/0!</v>
      </c>
      <c r="W688" s="6" t="e">
        <f t="shared" si="367"/>
        <v>#DIV/0!</v>
      </c>
      <c r="X688" s="6" t="e">
        <f t="shared" si="367"/>
        <v>#DIV/0!</v>
      </c>
      <c r="Y688" s="6" t="e">
        <f t="shared" si="367"/>
        <v>#DIV/0!</v>
      </c>
      <c r="Z688" s="6" t="e">
        <f t="shared" si="367"/>
        <v>#DIV/0!</v>
      </c>
    </row>
    <row r="689" spans="1:26" x14ac:dyDescent="0.2">
      <c r="A689" s="7" t="s">
        <v>129</v>
      </c>
      <c r="B689" s="6">
        <f t="shared" si="313"/>
        <v>4</v>
      </c>
      <c r="C689" s="7" t="s">
        <v>154</v>
      </c>
      <c r="D689" s="69">
        <v>25</v>
      </c>
      <c r="E689" s="69">
        <v>0</v>
      </c>
      <c r="F689" s="66">
        <f t="shared" si="311"/>
        <v>0</v>
      </c>
      <c r="G689" s="61" t="e">
        <f t="shared" si="314"/>
        <v>#DIV/0!</v>
      </c>
      <c r="H689" s="66" t="e">
        <f t="shared" si="318"/>
        <v>#DIV/0!</v>
      </c>
      <c r="I689" s="66" t="e">
        <f t="shared" si="318"/>
        <v>#DIV/0!</v>
      </c>
      <c r="J689" s="66" t="e">
        <f t="shared" si="318"/>
        <v>#DIV/0!</v>
      </c>
      <c r="K689" s="70">
        <v>4800</v>
      </c>
      <c r="L689" s="70">
        <f>'Monitoramento Acumulado Geral'!Q689</f>
        <v>0</v>
      </c>
      <c r="M689" s="6">
        <f>(SUM(L686:L689))/K688</f>
        <v>0</v>
      </c>
      <c r="N689" s="35" t="str">
        <f t="shared" si="315"/>
        <v>Desempenho Médio</v>
      </c>
      <c r="O689" s="6">
        <f t="shared" si="365"/>
        <v>0.15392483870093213</v>
      </c>
      <c r="P689" s="6">
        <f t="shared" si="365"/>
        <v>0.32772007016950033</v>
      </c>
      <c r="Q689" s="6">
        <f t="shared" si="365"/>
        <v>-1.9870392767636053E-2</v>
      </c>
      <c r="R689" s="70">
        <v>43</v>
      </c>
      <c r="S689" s="70">
        <v>0</v>
      </c>
      <c r="T689" s="6">
        <f t="shared" si="312"/>
        <v>0</v>
      </c>
      <c r="U689" s="35" t="e">
        <f t="shared" si="316"/>
        <v>#DIV/0!</v>
      </c>
      <c r="V689" s="6" t="e">
        <f t="shared" si="367"/>
        <v>#DIV/0!</v>
      </c>
      <c r="W689" s="6" t="e">
        <f t="shared" si="367"/>
        <v>#DIV/0!</v>
      </c>
      <c r="X689" s="6" t="e">
        <f t="shared" si="367"/>
        <v>#DIV/0!</v>
      </c>
      <c r="Y689" s="6" t="e">
        <f t="shared" si="367"/>
        <v>#DIV/0!</v>
      </c>
      <c r="Z689" s="6" t="e">
        <f t="shared" si="367"/>
        <v>#DIV/0!</v>
      </c>
    </row>
    <row r="690" spans="1:26" x14ac:dyDescent="0.2">
      <c r="A690" s="7" t="s">
        <v>129</v>
      </c>
      <c r="B690" s="6">
        <f t="shared" si="313"/>
        <v>5</v>
      </c>
      <c r="C690" s="7" t="s">
        <v>155</v>
      </c>
      <c r="D690" s="69">
        <v>25</v>
      </c>
      <c r="E690" s="69">
        <v>0</v>
      </c>
      <c r="F690" s="66">
        <f t="shared" si="311"/>
        <v>0</v>
      </c>
      <c r="G690" s="61" t="e">
        <f t="shared" si="314"/>
        <v>#DIV/0!</v>
      </c>
      <c r="H690" s="66" t="e">
        <f t="shared" si="318"/>
        <v>#DIV/0!</v>
      </c>
      <c r="I690" s="66" t="e">
        <f t="shared" si="318"/>
        <v>#DIV/0!</v>
      </c>
      <c r="J690" s="66" t="e">
        <f t="shared" si="318"/>
        <v>#DIV/0!</v>
      </c>
      <c r="K690" s="70">
        <v>4800</v>
      </c>
      <c r="L690" s="70">
        <f>'Monitoramento Acumulado Geral'!Q690</f>
        <v>0</v>
      </c>
      <c r="M690" s="6">
        <f>(SUM(L686:L690))/K689</f>
        <v>0</v>
      </c>
      <c r="N690" s="35" t="str">
        <f t="shared" si="315"/>
        <v>Desempenho Médio</v>
      </c>
      <c r="O690" s="6">
        <f t="shared" ref="O690:Q705" si="368">O678</f>
        <v>0.21139287248463789</v>
      </c>
      <c r="P690" s="6">
        <f t="shared" si="368"/>
        <v>0.43680804416292918</v>
      </c>
      <c r="Q690" s="6">
        <f t="shared" si="368"/>
        <v>-1.4022299193653387E-2</v>
      </c>
      <c r="R690" s="70">
        <v>43</v>
      </c>
      <c r="S690" s="70">
        <v>0</v>
      </c>
      <c r="T690" s="6">
        <f t="shared" si="312"/>
        <v>0</v>
      </c>
      <c r="U690" s="35" t="e">
        <f t="shared" si="316"/>
        <v>#DIV/0!</v>
      </c>
      <c r="V690" s="6" t="e">
        <f t="shared" si="367"/>
        <v>#DIV/0!</v>
      </c>
      <c r="W690" s="6" t="e">
        <f t="shared" si="367"/>
        <v>#DIV/0!</v>
      </c>
      <c r="X690" s="6" t="e">
        <f t="shared" si="367"/>
        <v>#DIV/0!</v>
      </c>
      <c r="Y690" s="6" t="e">
        <f t="shared" si="367"/>
        <v>#DIV/0!</v>
      </c>
      <c r="Z690" s="6" t="e">
        <f t="shared" si="367"/>
        <v>#DIV/0!</v>
      </c>
    </row>
    <row r="691" spans="1:26" x14ac:dyDescent="0.2">
      <c r="A691" s="7" t="s">
        <v>129</v>
      </c>
      <c r="B691" s="6">
        <f t="shared" si="313"/>
        <v>6</v>
      </c>
      <c r="C691" s="7" t="s">
        <v>156</v>
      </c>
      <c r="D691" s="69">
        <v>25</v>
      </c>
      <c r="E691" s="69">
        <v>0</v>
      </c>
      <c r="F691" s="66">
        <f t="shared" si="311"/>
        <v>0</v>
      </c>
      <c r="G691" s="61" t="e">
        <f t="shared" si="314"/>
        <v>#DIV/0!</v>
      </c>
      <c r="H691" s="66" t="e">
        <f t="shared" si="318"/>
        <v>#DIV/0!</v>
      </c>
      <c r="I691" s="66" t="e">
        <f t="shared" si="318"/>
        <v>#DIV/0!</v>
      </c>
      <c r="J691" s="66" t="e">
        <f t="shared" si="318"/>
        <v>#DIV/0!</v>
      </c>
      <c r="K691" s="70">
        <v>4800</v>
      </c>
      <c r="L691" s="70">
        <f>'Monitoramento Acumulado Geral'!Q691</f>
        <v>0</v>
      </c>
      <c r="M691" s="6">
        <f>(SUM(L686:L691))/K690</f>
        <v>0</v>
      </c>
      <c r="N691" s="35" t="str">
        <f t="shared" si="315"/>
        <v>Desempenho Deficitário</v>
      </c>
      <c r="O691" s="6">
        <f t="shared" si="368"/>
        <v>0.28403291059934432</v>
      </c>
      <c r="P691" s="6">
        <f t="shared" si="368"/>
        <v>0.56118246348434164</v>
      </c>
      <c r="Q691" s="6">
        <f t="shared" si="368"/>
        <v>6.8833577143469493E-3</v>
      </c>
      <c r="R691" s="70">
        <v>43</v>
      </c>
      <c r="S691" s="70">
        <v>0</v>
      </c>
      <c r="T691" s="6">
        <f t="shared" si="312"/>
        <v>0</v>
      </c>
      <c r="U691" s="35" t="e">
        <f t="shared" si="316"/>
        <v>#DIV/0!</v>
      </c>
      <c r="V691" s="6" t="e">
        <f t="shared" si="367"/>
        <v>#DIV/0!</v>
      </c>
      <c r="W691" s="6" t="e">
        <f t="shared" si="367"/>
        <v>#DIV/0!</v>
      </c>
      <c r="X691" s="6" t="e">
        <f t="shared" si="367"/>
        <v>#DIV/0!</v>
      </c>
      <c r="Y691" s="6" t="e">
        <f t="shared" si="367"/>
        <v>#DIV/0!</v>
      </c>
      <c r="Z691" s="6" t="e">
        <f t="shared" si="367"/>
        <v>#DIV/0!</v>
      </c>
    </row>
    <row r="692" spans="1:26" x14ac:dyDescent="0.2">
      <c r="A692" s="7" t="s">
        <v>129</v>
      </c>
      <c r="B692" s="6">
        <f t="shared" si="313"/>
        <v>7</v>
      </c>
      <c r="C692" s="7" t="s">
        <v>157</v>
      </c>
      <c r="D692" s="69">
        <v>25</v>
      </c>
      <c r="E692" s="69">
        <v>0</v>
      </c>
      <c r="F692" s="66">
        <f t="shared" si="311"/>
        <v>0</v>
      </c>
      <c r="G692" s="61" t="e">
        <f t="shared" si="314"/>
        <v>#DIV/0!</v>
      </c>
      <c r="H692" s="66" t="e">
        <f t="shared" si="318"/>
        <v>#DIV/0!</v>
      </c>
      <c r="I692" s="66" t="e">
        <f t="shared" si="318"/>
        <v>#DIV/0!</v>
      </c>
      <c r="J692" s="66" t="e">
        <f t="shared" si="318"/>
        <v>#DIV/0!</v>
      </c>
      <c r="K692" s="70">
        <v>4800</v>
      </c>
      <c r="L692" s="70">
        <f>'Monitoramento Acumulado Geral'!Q692</f>
        <v>0</v>
      </c>
      <c r="M692" s="6">
        <f>(SUM(L686:L692))/K691</f>
        <v>0</v>
      </c>
      <c r="N692" s="35" t="str">
        <f t="shared" si="315"/>
        <v>Desempenho Médio</v>
      </c>
      <c r="O692" s="6">
        <f t="shared" si="368"/>
        <v>0.42046470140126019</v>
      </c>
      <c r="P692" s="6">
        <f t="shared" si="368"/>
        <v>0.84574683442734511</v>
      </c>
      <c r="Q692" s="6">
        <f t="shared" si="368"/>
        <v>-4.8174316248247306E-3</v>
      </c>
      <c r="R692" s="70">
        <v>43</v>
      </c>
      <c r="S692" s="70">
        <v>0</v>
      </c>
      <c r="T692" s="6">
        <f t="shared" si="312"/>
        <v>0</v>
      </c>
      <c r="U692" s="35" t="e">
        <f t="shared" si="316"/>
        <v>#DIV/0!</v>
      </c>
      <c r="V692" s="6" t="e">
        <f t="shared" si="367"/>
        <v>#DIV/0!</v>
      </c>
      <c r="W692" s="6" t="e">
        <f t="shared" si="367"/>
        <v>#DIV/0!</v>
      </c>
      <c r="X692" s="6" t="e">
        <f t="shared" si="367"/>
        <v>#DIV/0!</v>
      </c>
      <c r="Y692" s="6" t="e">
        <f t="shared" si="367"/>
        <v>#DIV/0!</v>
      </c>
      <c r="Z692" s="6" t="e">
        <f t="shared" si="367"/>
        <v>#DIV/0!</v>
      </c>
    </row>
    <row r="693" spans="1:26" x14ac:dyDescent="0.2">
      <c r="A693" s="7" t="s">
        <v>129</v>
      </c>
      <c r="B693" s="6">
        <f t="shared" si="313"/>
        <v>8</v>
      </c>
      <c r="C693" s="7" t="s">
        <v>158</v>
      </c>
      <c r="D693" s="69">
        <v>25</v>
      </c>
      <c r="E693" s="69">
        <v>0</v>
      </c>
      <c r="F693" s="66">
        <f t="shared" si="311"/>
        <v>0</v>
      </c>
      <c r="G693" s="61" t="e">
        <f t="shared" si="314"/>
        <v>#DIV/0!</v>
      </c>
      <c r="H693" s="66" t="e">
        <f t="shared" si="318"/>
        <v>#DIV/0!</v>
      </c>
      <c r="I693" s="66" t="e">
        <f t="shared" si="318"/>
        <v>#DIV/0!</v>
      </c>
      <c r="J693" s="66" t="e">
        <f t="shared" si="318"/>
        <v>#DIV/0!</v>
      </c>
      <c r="K693" s="70">
        <v>4800</v>
      </c>
      <c r="L693" s="70">
        <f>'Monitoramento Acumulado Geral'!Q693</f>
        <v>0</v>
      </c>
      <c r="M693" s="6">
        <f>(SUM(L686:L693))/K692</f>
        <v>0</v>
      </c>
      <c r="N693" s="35" t="str">
        <f t="shared" si="315"/>
        <v>Desempenho Médio</v>
      </c>
      <c r="O693" s="6">
        <f t="shared" si="368"/>
        <v>0.42046470140126019</v>
      </c>
      <c r="P693" s="6">
        <f t="shared" si="368"/>
        <v>0.84574683442734511</v>
      </c>
      <c r="Q693" s="6">
        <f t="shared" si="368"/>
        <v>-4.8174316248247306E-3</v>
      </c>
      <c r="R693" s="70">
        <v>43</v>
      </c>
      <c r="S693" s="70">
        <v>0</v>
      </c>
      <c r="T693" s="6">
        <f t="shared" si="312"/>
        <v>0</v>
      </c>
      <c r="U693" s="35" t="e">
        <f t="shared" si="316"/>
        <v>#DIV/0!</v>
      </c>
      <c r="V693" s="6" t="e">
        <f t="shared" si="367"/>
        <v>#DIV/0!</v>
      </c>
      <c r="W693" s="6" t="e">
        <f t="shared" si="367"/>
        <v>#DIV/0!</v>
      </c>
      <c r="X693" s="6" t="e">
        <f t="shared" si="367"/>
        <v>#DIV/0!</v>
      </c>
      <c r="Y693" s="6" t="e">
        <f t="shared" si="367"/>
        <v>#DIV/0!</v>
      </c>
      <c r="Z693" s="6" t="e">
        <f t="shared" si="367"/>
        <v>#DIV/0!</v>
      </c>
    </row>
    <row r="694" spans="1:26" x14ac:dyDescent="0.2">
      <c r="A694" s="7" t="s">
        <v>129</v>
      </c>
      <c r="B694" s="6">
        <f t="shared" si="313"/>
        <v>9</v>
      </c>
      <c r="C694" s="7" t="s">
        <v>159</v>
      </c>
      <c r="D694" s="69">
        <v>25</v>
      </c>
      <c r="E694" s="69">
        <v>0</v>
      </c>
      <c r="F694" s="66">
        <f t="shared" si="311"/>
        <v>0</v>
      </c>
      <c r="G694" s="61" t="e">
        <f t="shared" si="314"/>
        <v>#DIV/0!</v>
      </c>
      <c r="H694" s="66" t="e">
        <f t="shared" si="318"/>
        <v>#DIV/0!</v>
      </c>
      <c r="I694" s="66" t="e">
        <f t="shared" si="318"/>
        <v>#DIV/0!</v>
      </c>
      <c r="J694" s="66" t="e">
        <f t="shared" si="318"/>
        <v>#DIV/0!</v>
      </c>
      <c r="K694" s="70">
        <v>4800</v>
      </c>
      <c r="L694" s="70">
        <f>'Monitoramento Acumulado Geral'!Q694</f>
        <v>0</v>
      </c>
      <c r="M694" s="6">
        <f>(SUM(L686:L694))/K693</f>
        <v>0</v>
      </c>
      <c r="N694" s="35" t="str">
        <f t="shared" si="315"/>
        <v>Desempenho Médio</v>
      </c>
      <c r="O694" s="6">
        <f t="shared" si="368"/>
        <v>0.42046470140126019</v>
      </c>
      <c r="P694" s="6">
        <f t="shared" si="368"/>
        <v>0.84574683442734511</v>
      </c>
      <c r="Q694" s="6">
        <f t="shared" si="368"/>
        <v>-4.8174316248247306E-3</v>
      </c>
      <c r="R694" s="70">
        <v>43</v>
      </c>
      <c r="S694" s="70">
        <v>0</v>
      </c>
      <c r="T694" s="6">
        <f t="shared" si="312"/>
        <v>0</v>
      </c>
      <c r="U694" s="35" t="e">
        <f t="shared" si="316"/>
        <v>#DIV/0!</v>
      </c>
      <c r="V694" s="6" t="e">
        <f t="shared" si="367"/>
        <v>#DIV/0!</v>
      </c>
      <c r="W694" s="6" t="e">
        <f t="shared" si="367"/>
        <v>#DIV/0!</v>
      </c>
      <c r="X694" s="6" t="e">
        <f t="shared" si="367"/>
        <v>#DIV/0!</v>
      </c>
      <c r="Y694" s="6" t="e">
        <f t="shared" si="367"/>
        <v>#DIV/0!</v>
      </c>
      <c r="Z694" s="6" t="e">
        <f t="shared" si="367"/>
        <v>#DIV/0!</v>
      </c>
    </row>
    <row r="695" spans="1:26" x14ac:dyDescent="0.2">
      <c r="A695" s="7" t="s">
        <v>129</v>
      </c>
      <c r="B695" s="6">
        <f t="shared" si="313"/>
        <v>10</v>
      </c>
      <c r="C695" s="7" t="s">
        <v>160</v>
      </c>
      <c r="D695" s="69">
        <v>25</v>
      </c>
      <c r="E695" s="69">
        <v>0</v>
      </c>
      <c r="F695" s="66">
        <f t="shared" si="311"/>
        <v>0</v>
      </c>
      <c r="G695" s="61" t="e">
        <f t="shared" si="314"/>
        <v>#DIV/0!</v>
      </c>
      <c r="H695" s="66" t="e">
        <f t="shared" si="318"/>
        <v>#DIV/0!</v>
      </c>
      <c r="I695" s="66" t="e">
        <f t="shared" si="318"/>
        <v>#DIV/0!</v>
      </c>
      <c r="J695" s="66" t="e">
        <f t="shared" si="318"/>
        <v>#DIV/0!</v>
      </c>
      <c r="K695" s="70">
        <v>4800</v>
      </c>
      <c r="L695" s="70">
        <f>'Monitoramento Acumulado Geral'!Q695</f>
        <v>0</v>
      </c>
      <c r="M695" s="6">
        <f>(SUM(L686:L695))/K694</f>
        <v>0</v>
      </c>
      <c r="N695" s="35" t="str">
        <f t="shared" si="315"/>
        <v>Desempenho Médio</v>
      </c>
      <c r="O695" s="6">
        <f t="shared" si="368"/>
        <v>0.42046470140126019</v>
      </c>
      <c r="P695" s="6">
        <f t="shared" si="368"/>
        <v>0.84574683442734511</v>
      </c>
      <c r="Q695" s="6">
        <f t="shared" si="368"/>
        <v>-4.8174316248247306E-3</v>
      </c>
      <c r="R695" s="70">
        <v>43</v>
      </c>
      <c r="S695" s="70">
        <v>0</v>
      </c>
      <c r="T695" s="6">
        <f t="shared" si="312"/>
        <v>0</v>
      </c>
      <c r="U695" s="35" t="e">
        <f t="shared" si="316"/>
        <v>#DIV/0!</v>
      </c>
      <c r="V695" s="6" t="e">
        <f t="shared" si="367"/>
        <v>#DIV/0!</v>
      </c>
      <c r="W695" s="6" t="e">
        <f t="shared" si="367"/>
        <v>#DIV/0!</v>
      </c>
      <c r="X695" s="6" t="e">
        <f t="shared" si="367"/>
        <v>#DIV/0!</v>
      </c>
      <c r="Y695" s="6" t="e">
        <f t="shared" si="367"/>
        <v>#DIV/0!</v>
      </c>
      <c r="Z695" s="6" t="e">
        <f t="shared" si="367"/>
        <v>#DIV/0!</v>
      </c>
    </row>
    <row r="696" spans="1:26" x14ac:dyDescent="0.2">
      <c r="A696" s="7" t="s">
        <v>129</v>
      </c>
      <c r="B696" s="6">
        <f t="shared" si="313"/>
        <v>11</v>
      </c>
      <c r="C696" s="7" t="s">
        <v>161</v>
      </c>
      <c r="D696" s="69">
        <v>25</v>
      </c>
      <c r="E696" s="69">
        <v>0</v>
      </c>
      <c r="F696" s="66">
        <f t="shared" si="311"/>
        <v>0</v>
      </c>
      <c r="G696" s="61" t="e">
        <f t="shared" si="314"/>
        <v>#DIV/0!</v>
      </c>
      <c r="H696" s="66" t="e">
        <f t="shared" si="318"/>
        <v>#DIV/0!</v>
      </c>
      <c r="I696" s="66" t="e">
        <f t="shared" si="318"/>
        <v>#DIV/0!</v>
      </c>
      <c r="J696" s="66" t="e">
        <f t="shared" si="318"/>
        <v>#DIV/0!</v>
      </c>
      <c r="K696" s="70">
        <v>4800</v>
      </c>
      <c r="L696" s="70">
        <f>'Monitoramento Acumulado Geral'!Q696</f>
        <v>0</v>
      </c>
      <c r="M696" s="6">
        <f>(SUM(L686:L696))/K695</f>
        <v>0</v>
      </c>
      <c r="N696" s="35" t="str">
        <f t="shared" si="315"/>
        <v>Desempenho Médio</v>
      </c>
      <c r="O696" s="6">
        <f t="shared" si="368"/>
        <v>0.42046470140126019</v>
      </c>
      <c r="P696" s="6">
        <f t="shared" si="368"/>
        <v>0.84574683442734511</v>
      </c>
      <c r="Q696" s="6">
        <f t="shared" si="368"/>
        <v>-4.8174316248247306E-3</v>
      </c>
      <c r="R696" s="70">
        <v>43</v>
      </c>
      <c r="S696" s="70">
        <v>0</v>
      </c>
      <c r="T696" s="6">
        <f t="shared" si="312"/>
        <v>0</v>
      </c>
      <c r="U696" s="35" t="e">
        <f t="shared" si="316"/>
        <v>#DIV/0!</v>
      </c>
      <c r="V696" s="6" t="e">
        <f t="shared" si="367"/>
        <v>#DIV/0!</v>
      </c>
      <c r="W696" s="6" t="e">
        <f t="shared" si="367"/>
        <v>#DIV/0!</v>
      </c>
      <c r="X696" s="6" t="e">
        <f t="shared" si="367"/>
        <v>#DIV/0!</v>
      </c>
      <c r="Y696" s="6" t="e">
        <f t="shared" si="367"/>
        <v>#DIV/0!</v>
      </c>
      <c r="Z696" s="6" t="e">
        <f t="shared" si="367"/>
        <v>#DIV/0!</v>
      </c>
    </row>
    <row r="697" spans="1:26" x14ac:dyDescent="0.2">
      <c r="A697" s="7" t="s">
        <v>129</v>
      </c>
      <c r="B697" s="6">
        <f t="shared" si="313"/>
        <v>12</v>
      </c>
      <c r="C697" s="7" t="s">
        <v>162</v>
      </c>
      <c r="D697" s="69">
        <v>25</v>
      </c>
      <c r="E697" s="69">
        <v>0</v>
      </c>
      <c r="F697" s="66">
        <f t="shared" si="311"/>
        <v>0</v>
      </c>
      <c r="G697" s="61" t="e">
        <f t="shared" si="314"/>
        <v>#DIV/0!</v>
      </c>
      <c r="H697" s="66" t="e">
        <f t="shared" si="318"/>
        <v>#DIV/0!</v>
      </c>
      <c r="I697" s="66" t="e">
        <f t="shared" si="318"/>
        <v>#DIV/0!</v>
      </c>
      <c r="J697" s="66" t="e">
        <f t="shared" si="318"/>
        <v>#DIV/0!</v>
      </c>
      <c r="K697" s="70">
        <v>4800</v>
      </c>
      <c r="L697" s="70">
        <f>'Monitoramento Acumulado Geral'!Q697</f>
        <v>0</v>
      </c>
      <c r="M697" s="6">
        <f>(SUM(L686:L697))/K696</f>
        <v>0</v>
      </c>
      <c r="N697" s="35" t="str">
        <f t="shared" si="315"/>
        <v>Desempenho Médio</v>
      </c>
      <c r="O697" s="6">
        <f t="shared" si="368"/>
        <v>0.41824651958307835</v>
      </c>
      <c r="P697" s="6">
        <f t="shared" si="368"/>
        <v>0.84510274859297763</v>
      </c>
      <c r="Q697" s="6">
        <f t="shared" si="368"/>
        <v>-8.6097094268208774E-3</v>
      </c>
      <c r="R697" s="70">
        <v>43</v>
      </c>
      <c r="S697" s="70">
        <v>0</v>
      </c>
      <c r="T697" s="6">
        <f t="shared" si="312"/>
        <v>0</v>
      </c>
      <c r="U697" s="35" t="e">
        <f t="shared" si="316"/>
        <v>#DIV/0!</v>
      </c>
      <c r="V697" s="6" t="e">
        <f t="shared" si="367"/>
        <v>#DIV/0!</v>
      </c>
      <c r="W697" s="6" t="e">
        <f t="shared" si="367"/>
        <v>#DIV/0!</v>
      </c>
      <c r="X697" s="6" t="e">
        <f t="shared" si="367"/>
        <v>#DIV/0!</v>
      </c>
      <c r="Y697" s="6" t="e">
        <f t="shared" si="367"/>
        <v>#DIV/0!</v>
      </c>
      <c r="Z697" s="6" t="e">
        <f t="shared" si="367"/>
        <v>#DIV/0!</v>
      </c>
    </row>
    <row r="698" spans="1:26" x14ac:dyDescent="0.2">
      <c r="A698" s="7" t="s">
        <v>125</v>
      </c>
      <c r="B698" s="6">
        <f t="shared" si="313"/>
        <v>1</v>
      </c>
      <c r="C698" s="7" t="s">
        <v>151</v>
      </c>
      <c r="D698" s="69">
        <v>75</v>
      </c>
      <c r="E698" s="69">
        <v>0</v>
      </c>
      <c r="F698" s="66">
        <f t="shared" si="311"/>
        <v>0</v>
      </c>
      <c r="G698" s="61" t="e">
        <f t="shared" si="314"/>
        <v>#DIV/0!</v>
      </c>
      <c r="H698" s="66" t="e">
        <f t="shared" si="318"/>
        <v>#DIV/0!</v>
      </c>
      <c r="I698" s="66" t="e">
        <f t="shared" si="318"/>
        <v>#DIV/0!</v>
      </c>
      <c r="J698" s="66" t="e">
        <f t="shared" si="318"/>
        <v>#DIV/0!</v>
      </c>
      <c r="K698" s="70">
        <v>6920.5</v>
      </c>
      <c r="L698" s="70">
        <f>'Monitoramento Acumulado Geral'!Q698</f>
        <v>0</v>
      </c>
      <c r="M698" s="6">
        <f>L698/K698</f>
        <v>0</v>
      </c>
      <c r="N698" s="35" t="str">
        <f t="shared" si="315"/>
        <v>Desempenho Médio</v>
      </c>
      <c r="O698" s="6">
        <f t="shared" si="368"/>
        <v>3.4274647562211005E-2</v>
      </c>
      <c r="P698" s="6">
        <f t="shared" si="368"/>
        <v>0.10289217685709087</v>
      </c>
      <c r="Q698" s="6">
        <f t="shared" si="368"/>
        <v>-3.4342881732668862E-2</v>
      </c>
      <c r="R698" s="70">
        <v>80</v>
      </c>
      <c r="S698" s="70">
        <v>0</v>
      </c>
      <c r="T698" s="6">
        <f t="shared" si="312"/>
        <v>0</v>
      </c>
      <c r="U698" s="35" t="e">
        <f t="shared" si="316"/>
        <v>#DIV/0!</v>
      </c>
      <c r="V698" s="6" t="e">
        <f t="shared" si="367"/>
        <v>#DIV/0!</v>
      </c>
      <c r="W698" s="6" t="e">
        <f t="shared" si="367"/>
        <v>#DIV/0!</v>
      </c>
      <c r="X698" s="6" t="e">
        <f t="shared" si="367"/>
        <v>#DIV/0!</v>
      </c>
      <c r="Y698" s="6" t="e">
        <f t="shared" si="367"/>
        <v>#DIV/0!</v>
      </c>
      <c r="Z698" s="6" t="e">
        <f t="shared" si="367"/>
        <v>#DIV/0!</v>
      </c>
    </row>
    <row r="699" spans="1:26" x14ac:dyDescent="0.2">
      <c r="A699" s="7" t="s">
        <v>125</v>
      </c>
      <c r="B699" s="6">
        <f t="shared" si="313"/>
        <v>2</v>
      </c>
      <c r="C699" s="7" t="s">
        <v>152</v>
      </c>
      <c r="D699" s="69">
        <v>75</v>
      </c>
      <c r="E699" s="69">
        <v>0</v>
      </c>
      <c r="F699" s="66">
        <f t="shared" si="311"/>
        <v>0</v>
      </c>
      <c r="G699" s="61" t="e">
        <f t="shared" si="314"/>
        <v>#DIV/0!</v>
      </c>
      <c r="H699" s="66" t="e">
        <f t="shared" si="318"/>
        <v>#DIV/0!</v>
      </c>
      <c r="I699" s="66" t="e">
        <f t="shared" si="318"/>
        <v>#DIV/0!</v>
      </c>
      <c r="J699" s="66" t="e">
        <f t="shared" si="318"/>
        <v>#DIV/0!</v>
      </c>
      <c r="K699" s="70">
        <v>6920.5</v>
      </c>
      <c r="L699" s="70">
        <f>'Monitoramento Acumulado Geral'!Q699</f>
        <v>0</v>
      </c>
      <c r="M699" s="6">
        <f>(SUM(L698:L699))/K698</f>
        <v>0</v>
      </c>
      <c r="N699" s="35" t="str">
        <f t="shared" si="315"/>
        <v>Desempenho Médio</v>
      </c>
      <c r="O699" s="6">
        <f t="shared" si="368"/>
        <v>8.1815188943147363E-2</v>
      </c>
      <c r="P699" s="6">
        <f t="shared" si="368"/>
        <v>0.20623883252423067</v>
      </c>
      <c r="Q699" s="6">
        <f t="shared" si="368"/>
        <v>-4.2608454637935944E-2</v>
      </c>
      <c r="R699" s="70">
        <v>80</v>
      </c>
      <c r="S699" s="70">
        <v>0</v>
      </c>
      <c r="T699" s="6">
        <f t="shared" si="312"/>
        <v>0</v>
      </c>
      <c r="U699" s="35" t="e">
        <f t="shared" si="316"/>
        <v>#DIV/0!</v>
      </c>
      <c r="V699" s="6" t="e">
        <f t="shared" ref="V699:Z709" si="369">V687</f>
        <v>#DIV/0!</v>
      </c>
      <c r="W699" s="6" t="e">
        <f t="shared" si="369"/>
        <v>#DIV/0!</v>
      </c>
      <c r="X699" s="6" t="e">
        <f t="shared" si="369"/>
        <v>#DIV/0!</v>
      </c>
      <c r="Y699" s="6" t="e">
        <f t="shared" si="369"/>
        <v>#DIV/0!</v>
      </c>
      <c r="Z699" s="6" t="e">
        <f t="shared" si="369"/>
        <v>#DIV/0!</v>
      </c>
    </row>
    <row r="700" spans="1:26" x14ac:dyDescent="0.2">
      <c r="A700" s="7" t="s">
        <v>125</v>
      </c>
      <c r="B700" s="6">
        <f t="shared" si="313"/>
        <v>3</v>
      </c>
      <c r="C700" s="7" t="s">
        <v>153</v>
      </c>
      <c r="D700" s="69">
        <v>75</v>
      </c>
      <c r="E700" s="69">
        <v>27</v>
      </c>
      <c r="F700" s="66">
        <f t="shared" si="311"/>
        <v>0.36</v>
      </c>
      <c r="G700" s="61" t="e">
        <f t="shared" si="314"/>
        <v>#DIV/0!</v>
      </c>
      <c r="H700" s="66" t="e">
        <f t="shared" si="318"/>
        <v>#DIV/0!</v>
      </c>
      <c r="I700" s="66" t="e">
        <f t="shared" si="318"/>
        <v>#DIV/0!</v>
      </c>
      <c r="J700" s="66" t="e">
        <f t="shared" si="318"/>
        <v>#DIV/0!</v>
      </c>
      <c r="K700" s="70">
        <v>6920.5</v>
      </c>
      <c r="L700" s="70">
        <f>'Monitoramento Acumulado Geral'!Q700</f>
        <v>1500</v>
      </c>
      <c r="M700" s="6">
        <f>(SUM(L698:L700))/K699</f>
        <v>0.21674734484502564</v>
      </c>
      <c r="N700" s="35" t="str">
        <f t="shared" si="315"/>
        <v>Desempenho Bom</v>
      </c>
      <c r="O700" s="6">
        <f t="shared" si="368"/>
        <v>0.13411292471649494</v>
      </c>
      <c r="P700" s="6">
        <f t="shared" si="368"/>
        <v>0.29721906787058483</v>
      </c>
      <c r="Q700" s="6">
        <f t="shared" si="368"/>
        <v>-2.899321843759492E-2</v>
      </c>
      <c r="R700" s="70">
        <v>80</v>
      </c>
      <c r="S700" s="70">
        <v>0</v>
      </c>
      <c r="T700" s="6">
        <f t="shared" si="312"/>
        <v>0</v>
      </c>
      <c r="U700" s="35" t="e">
        <f t="shared" si="316"/>
        <v>#DIV/0!</v>
      </c>
      <c r="V700" s="6" t="e">
        <f t="shared" si="369"/>
        <v>#DIV/0!</v>
      </c>
      <c r="W700" s="6" t="e">
        <f t="shared" si="369"/>
        <v>#DIV/0!</v>
      </c>
      <c r="X700" s="6" t="e">
        <f t="shared" si="369"/>
        <v>#DIV/0!</v>
      </c>
      <c r="Y700" s="6" t="e">
        <f t="shared" si="369"/>
        <v>#DIV/0!</v>
      </c>
      <c r="Z700" s="6" t="e">
        <f t="shared" si="369"/>
        <v>#DIV/0!</v>
      </c>
    </row>
    <row r="701" spans="1:26" x14ac:dyDescent="0.2">
      <c r="A701" s="7" t="s">
        <v>125</v>
      </c>
      <c r="B701" s="6">
        <f t="shared" si="313"/>
        <v>4</v>
      </c>
      <c r="C701" s="7" t="s">
        <v>154</v>
      </c>
      <c r="D701" s="69">
        <v>75</v>
      </c>
      <c r="E701" s="69">
        <v>27</v>
      </c>
      <c r="F701" s="66">
        <f t="shared" si="311"/>
        <v>0.36</v>
      </c>
      <c r="G701" s="61" t="e">
        <f t="shared" si="314"/>
        <v>#DIV/0!</v>
      </c>
      <c r="H701" s="66" t="e">
        <f t="shared" si="318"/>
        <v>#DIV/0!</v>
      </c>
      <c r="I701" s="66" t="e">
        <f t="shared" si="318"/>
        <v>#DIV/0!</v>
      </c>
      <c r="J701" s="66" t="e">
        <f t="shared" si="318"/>
        <v>#DIV/0!</v>
      </c>
      <c r="K701" s="70">
        <v>6920.5</v>
      </c>
      <c r="L701" s="70">
        <f>'Monitoramento Acumulado Geral'!Q701</f>
        <v>0</v>
      </c>
      <c r="M701" s="6">
        <f>(SUM(L698:L701))/K700</f>
        <v>0.21674734484502564</v>
      </c>
      <c r="N701" s="35" t="str">
        <f t="shared" si="315"/>
        <v>Desempenho Bom</v>
      </c>
      <c r="O701" s="6">
        <f t="shared" si="368"/>
        <v>0.15392483870093213</v>
      </c>
      <c r="P701" s="6">
        <f t="shared" si="368"/>
        <v>0.32772007016950033</v>
      </c>
      <c r="Q701" s="6">
        <f t="shared" si="368"/>
        <v>-1.9870392767636053E-2</v>
      </c>
      <c r="R701" s="70">
        <v>80</v>
      </c>
      <c r="S701" s="70">
        <v>0</v>
      </c>
      <c r="T701" s="6">
        <f t="shared" si="312"/>
        <v>0</v>
      </c>
      <c r="U701" s="35" t="e">
        <f t="shared" si="316"/>
        <v>#DIV/0!</v>
      </c>
      <c r="V701" s="6" t="e">
        <f t="shared" si="369"/>
        <v>#DIV/0!</v>
      </c>
      <c r="W701" s="6" t="e">
        <f t="shared" si="369"/>
        <v>#DIV/0!</v>
      </c>
      <c r="X701" s="6" t="e">
        <f t="shared" si="369"/>
        <v>#DIV/0!</v>
      </c>
      <c r="Y701" s="6" t="e">
        <f t="shared" si="369"/>
        <v>#DIV/0!</v>
      </c>
      <c r="Z701" s="6" t="e">
        <f t="shared" si="369"/>
        <v>#DIV/0!</v>
      </c>
    </row>
    <row r="702" spans="1:26" x14ac:dyDescent="0.2">
      <c r="A702" s="7" t="s">
        <v>125</v>
      </c>
      <c r="B702" s="6">
        <f t="shared" si="313"/>
        <v>5</v>
      </c>
      <c r="C702" s="7" t="s">
        <v>155</v>
      </c>
      <c r="D702" s="69">
        <v>75</v>
      </c>
      <c r="E702" s="69">
        <v>27</v>
      </c>
      <c r="F702" s="66">
        <f>E702/D702</f>
        <v>0.36</v>
      </c>
      <c r="G702" s="61" t="e">
        <f t="shared" si="314"/>
        <v>#DIV/0!</v>
      </c>
      <c r="H702" s="66" t="e">
        <f t="shared" si="318"/>
        <v>#DIV/0!</v>
      </c>
      <c r="I702" s="66" t="e">
        <f t="shared" si="318"/>
        <v>#DIV/0!</v>
      </c>
      <c r="J702" s="66" t="e">
        <f t="shared" si="318"/>
        <v>#DIV/0!</v>
      </c>
      <c r="K702" s="70">
        <v>6920.5</v>
      </c>
      <c r="L702" s="70">
        <f>'Monitoramento Acumulado Geral'!Q702</f>
        <v>0</v>
      </c>
      <c r="M702" s="6">
        <f>(SUM(L698:L702))/K701</f>
        <v>0.21674734484502564</v>
      </c>
      <c r="N702" s="35" t="str">
        <f t="shared" si="315"/>
        <v>Desempenho Bom</v>
      </c>
      <c r="O702" s="6">
        <f t="shared" si="368"/>
        <v>0.21139287248463789</v>
      </c>
      <c r="P702" s="6">
        <f t="shared" si="368"/>
        <v>0.43680804416292918</v>
      </c>
      <c r="Q702" s="6">
        <f t="shared" si="368"/>
        <v>-1.4022299193653387E-2</v>
      </c>
      <c r="R702" s="70">
        <v>80</v>
      </c>
      <c r="S702" s="70">
        <v>0</v>
      </c>
      <c r="T702" s="6">
        <f t="shared" ref="T702" si="370">S702/R702</f>
        <v>0</v>
      </c>
      <c r="U702" s="35" t="e">
        <f t="shared" si="316"/>
        <v>#DIV/0!</v>
      </c>
      <c r="V702" s="6" t="e">
        <f t="shared" si="369"/>
        <v>#DIV/0!</v>
      </c>
      <c r="W702" s="6" t="e">
        <f t="shared" si="369"/>
        <v>#DIV/0!</v>
      </c>
      <c r="X702" s="6" t="e">
        <f t="shared" si="369"/>
        <v>#DIV/0!</v>
      </c>
      <c r="Y702" s="6" t="e">
        <f t="shared" si="369"/>
        <v>#DIV/0!</v>
      </c>
      <c r="Z702" s="6" t="e">
        <f t="shared" si="369"/>
        <v>#DIV/0!</v>
      </c>
    </row>
    <row r="703" spans="1:26" x14ac:dyDescent="0.2">
      <c r="A703" s="7" t="s">
        <v>125</v>
      </c>
      <c r="B703" s="6">
        <f t="shared" ref="B703:B709" si="371">_xlfn.IFS(C703="Janeiro",1,C703="Fevereiro",2,C703="Março",3,C703="Abril",4,C703="Maio",5,C703="Junho",6,C703="Julho",7,C703="Agosto",8,C703="Setembro",9,C703="Outubro",10,C703="Novembro",11,C703="Dezembro",12,TRUE,0)</f>
        <v>6</v>
      </c>
      <c r="C703" s="7" t="s">
        <v>156</v>
      </c>
      <c r="D703" s="69">
        <v>75</v>
      </c>
      <c r="E703" s="69">
        <v>27</v>
      </c>
      <c r="F703" s="66">
        <f t="shared" ref="F703:F709" si="372">E703/D703</f>
        <v>0.36</v>
      </c>
      <c r="G703" s="61" t="e">
        <f t="shared" ref="G703:G709" si="373">IF(F703&gt;=I703,"Desempenho Ótimo",(IF(F703&gt;H703,"Desempenho Bom",(IF(F703&gt;J703,"Desempenho Médio",IF(F703&lt;=J703,"Desempenho Deficitário",0))))))</f>
        <v>#DIV/0!</v>
      </c>
      <c r="H703" s="66" t="e">
        <f t="shared" si="318"/>
        <v>#DIV/0!</v>
      </c>
      <c r="I703" s="66" t="e">
        <f t="shared" si="318"/>
        <v>#DIV/0!</v>
      </c>
      <c r="J703" s="66" t="e">
        <f t="shared" si="318"/>
        <v>#DIV/0!</v>
      </c>
      <c r="K703" s="70">
        <v>6920.5</v>
      </c>
      <c r="L703" s="70">
        <f>'Monitoramento Acumulado Geral'!Q703</f>
        <v>0</v>
      </c>
      <c r="M703" s="6">
        <f>(SUM(L698:L703))/K702</f>
        <v>0.21674734484502564</v>
      </c>
      <c r="N703" s="35" t="str">
        <f t="shared" ref="N703:N709" si="374">IF(M703&gt;=P703,"Desempenho Ótimo",(IF(M703&gt;O703,"Desempenho Bom",(IF(M703&gt;Q703,"Desempenho Médio",IF(M703&lt;=Q703,"Desempenho Deficitário",0))))))</f>
        <v>Desempenho Médio</v>
      </c>
      <c r="O703" s="6">
        <f t="shared" si="368"/>
        <v>0.28403291059934432</v>
      </c>
      <c r="P703" s="6">
        <f t="shared" si="368"/>
        <v>0.56118246348434164</v>
      </c>
      <c r="Q703" s="6">
        <f t="shared" si="368"/>
        <v>6.8833577143469493E-3</v>
      </c>
      <c r="R703" s="70">
        <v>80</v>
      </c>
      <c r="S703" s="70">
        <v>0</v>
      </c>
      <c r="T703" s="6">
        <f t="shared" ref="T703:T709" si="375">S703/R703</f>
        <v>0</v>
      </c>
      <c r="U703" s="35" t="e">
        <f t="shared" ref="U703:U709" si="376">IF(T703&gt;=W703,"Desempenho Ótimo",(IF(T703&gt;V703,"Desempenho Bom",(IF(T703&gt;X703,"Desempenho Médio",IF(T703&lt;=X703,"Desempenho Deficitário",0))))))</f>
        <v>#DIV/0!</v>
      </c>
      <c r="V703" s="6" t="e">
        <f t="shared" si="369"/>
        <v>#DIV/0!</v>
      </c>
      <c r="W703" s="6" t="e">
        <f t="shared" si="369"/>
        <v>#DIV/0!</v>
      </c>
      <c r="X703" s="6" t="e">
        <f t="shared" si="369"/>
        <v>#DIV/0!</v>
      </c>
      <c r="Y703" s="6" t="e">
        <f t="shared" si="369"/>
        <v>#DIV/0!</v>
      </c>
      <c r="Z703" s="6" t="e">
        <f t="shared" si="369"/>
        <v>#DIV/0!</v>
      </c>
    </row>
    <row r="704" spans="1:26" x14ac:dyDescent="0.2">
      <c r="A704" s="7" t="s">
        <v>125</v>
      </c>
      <c r="B704" s="6">
        <f t="shared" si="371"/>
        <v>7</v>
      </c>
      <c r="C704" s="7" t="s">
        <v>157</v>
      </c>
      <c r="D704" s="69">
        <v>75</v>
      </c>
      <c r="E704" s="69">
        <v>64</v>
      </c>
      <c r="F704" s="66">
        <f t="shared" si="372"/>
        <v>0.85333333333333339</v>
      </c>
      <c r="G704" s="61" t="e">
        <f t="shared" si="373"/>
        <v>#DIV/0!</v>
      </c>
      <c r="H704" s="66" t="e">
        <f t="shared" si="318"/>
        <v>#DIV/0!</v>
      </c>
      <c r="I704" s="66" t="e">
        <f t="shared" si="318"/>
        <v>#DIV/0!</v>
      </c>
      <c r="J704" s="66" t="e">
        <f t="shared" si="318"/>
        <v>#DIV/0!</v>
      </c>
      <c r="K704" s="70">
        <v>6920.5</v>
      </c>
      <c r="L704" s="70">
        <f>'Monitoramento Acumulado Geral'!Q704</f>
        <v>2552.5</v>
      </c>
      <c r="M704" s="6">
        <f>(SUM(L698:L704))/K703</f>
        <v>0.58557907665631093</v>
      </c>
      <c r="N704" s="35" t="str">
        <f t="shared" si="374"/>
        <v>Desempenho Bom</v>
      </c>
      <c r="O704" s="6">
        <f t="shared" si="368"/>
        <v>0.42046470140126019</v>
      </c>
      <c r="P704" s="6">
        <f t="shared" si="368"/>
        <v>0.84574683442734511</v>
      </c>
      <c r="Q704" s="6">
        <f t="shared" si="368"/>
        <v>-4.8174316248247306E-3</v>
      </c>
      <c r="R704" s="70">
        <v>80</v>
      </c>
      <c r="S704" s="70">
        <v>0</v>
      </c>
      <c r="T704" s="6">
        <f t="shared" si="375"/>
        <v>0</v>
      </c>
      <c r="U704" s="35" t="e">
        <f t="shared" si="376"/>
        <v>#DIV/0!</v>
      </c>
      <c r="V704" s="6" t="e">
        <f t="shared" si="369"/>
        <v>#DIV/0!</v>
      </c>
      <c r="W704" s="6" t="e">
        <f t="shared" si="369"/>
        <v>#DIV/0!</v>
      </c>
      <c r="X704" s="6" t="e">
        <f t="shared" si="369"/>
        <v>#DIV/0!</v>
      </c>
      <c r="Y704" s="6" t="e">
        <f t="shared" si="369"/>
        <v>#DIV/0!</v>
      </c>
      <c r="Z704" s="6" t="e">
        <f t="shared" si="369"/>
        <v>#DIV/0!</v>
      </c>
    </row>
    <row r="705" spans="1:26" x14ac:dyDescent="0.2">
      <c r="A705" s="7" t="s">
        <v>125</v>
      </c>
      <c r="B705" s="6">
        <f t="shared" si="371"/>
        <v>8</v>
      </c>
      <c r="C705" s="7" t="s">
        <v>158</v>
      </c>
      <c r="D705" s="69">
        <v>75</v>
      </c>
      <c r="E705" s="69">
        <v>0</v>
      </c>
      <c r="F705" s="66">
        <f t="shared" si="372"/>
        <v>0</v>
      </c>
      <c r="G705" s="61" t="e">
        <f t="shared" si="373"/>
        <v>#DIV/0!</v>
      </c>
      <c r="H705" s="66" t="e">
        <f t="shared" si="318"/>
        <v>#DIV/0!</v>
      </c>
      <c r="I705" s="66" t="e">
        <f t="shared" si="318"/>
        <v>#DIV/0!</v>
      </c>
      <c r="J705" s="66" t="e">
        <f t="shared" si="318"/>
        <v>#DIV/0!</v>
      </c>
      <c r="K705" s="70">
        <v>6920.5</v>
      </c>
      <c r="L705" s="70">
        <f>'Monitoramento Acumulado Geral'!Q705</f>
        <v>0</v>
      </c>
      <c r="M705" s="6">
        <f>(SUM(L698:L705))/K704</f>
        <v>0.58557907665631093</v>
      </c>
      <c r="N705" s="35" t="str">
        <f t="shared" si="374"/>
        <v>Desempenho Bom</v>
      </c>
      <c r="O705" s="6">
        <f t="shared" si="368"/>
        <v>0.42046470140126019</v>
      </c>
      <c r="P705" s="6">
        <f t="shared" si="368"/>
        <v>0.84574683442734511</v>
      </c>
      <c r="Q705" s="6">
        <f t="shared" si="368"/>
        <v>-4.8174316248247306E-3</v>
      </c>
      <c r="R705" s="70">
        <v>80</v>
      </c>
      <c r="S705" s="70">
        <v>0</v>
      </c>
      <c r="T705" s="6">
        <f t="shared" si="375"/>
        <v>0</v>
      </c>
      <c r="U705" s="35" t="e">
        <f t="shared" si="376"/>
        <v>#DIV/0!</v>
      </c>
      <c r="V705" s="6" t="e">
        <f t="shared" si="369"/>
        <v>#DIV/0!</v>
      </c>
      <c r="W705" s="6" t="e">
        <f t="shared" si="369"/>
        <v>#DIV/0!</v>
      </c>
      <c r="X705" s="6" t="e">
        <f t="shared" si="369"/>
        <v>#DIV/0!</v>
      </c>
      <c r="Y705" s="6" t="e">
        <f t="shared" si="369"/>
        <v>#DIV/0!</v>
      </c>
      <c r="Z705" s="6" t="e">
        <f t="shared" si="369"/>
        <v>#DIV/0!</v>
      </c>
    </row>
    <row r="706" spans="1:26" x14ac:dyDescent="0.2">
      <c r="A706" s="7" t="s">
        <v>125</v>
      </c>
      <c r="B706" s="6">
        <f t="shared" si="371"/>
        <v>9</v>
      </c>
      <c r="C706" s="7" t="s">
        <v>159</v>
      </c>
      <c r="D706" s="69">
        <v>75</v>
      </c>
      <c r="E706" s="69">
        <v>0</v>
      </c>
      <c r="F706" s="66">
        <f t="shared" si="372"/>
        <v>0</v>
      </c>
      <c r="G706" s="61" t="e">
        <f t="shared" si="373"/>
        <v>#DIV/0!</v>
      </c>
      <c r="H706" s="66" t="e">
        <f t="shared" si="318"/>
        <v>#DIV/0!</v>
      </c>
      <c r="I706" s="66" t="e">
        <f t="shared" si="318"/>
        <v>#DIV/0!</v>
      </c>
      <c r="J706" s="66" t="e">
        <f t="shared" si="318"/>
        <v>#DIV/0!</v>
      </c>
      <c r="K706" s="70">
        <v>6920.5</v>
      </c>
      <c r="L706" s="70">
        <f>'Monitoramento Acumulado Geral'!Q706</f>
        <v>0</v>
      </c>
      <c r="M706" s="6">
        <f>(SUM(L698:L706))/K705</f>
        <v>0.58557907665631093</v>
      </c>
      <c r="N706" s="35" t="str">
        <f t="shared" si="374"/>
        <v>Desempenho Bom</v>
      </c>
      <c r="O706" s="6">
        <f t="shared" ref="O706:Q709" si="377">O694</f>
        <v>0.42046470140126019</v>
      </c>
      <c r="P706" s="6">
        <f t="shared" si="377"/>
        <v>0.84574683442734511</v>
      </c>
      <c r="Q706" s="6">
        <f t="shared" si="377"/>
        <v>-4.8174316248247306E-3</v>
      </c>
      <c r="R706" s="70">
        <v>80</v>
      </c>
      <c r="S706" s="70">
        <v>0</v>
      </c>
      <c r="T706" s="6">
        <f t="shared" si="375"/>
        <v>0</v>
      </c>
      <c r="U706" s="35" t="e">
        <f t="shared" si="376"/>
        <v>#DIV/0!</v>
      </c>
      <c r="V706" s="6" t="e">
        <f t="shared" si="369"/>
        <v>#DIV/0!</v>
      </c>
      <c r="W706" s="6" t="e">
        <f t="shared" si="369"/>
        <v>#DIV/0!</v>
      </c>
      <c r="X706" s="6" t="e">
        <f t="shared" si="369"/>
        <v>#DIV/0!</v>
      </c>
      <c r="Y706" s="6" t="e">
        <f t="shared" si="369"/>
        <v>#DIV/0!</v>
      </c>
      <c r="Z706" s="6" t="e">
        <f t="shared" si="369"/>
        <v>#DIV/0!</v>
      </c>
    </row>
    <row r="707" spans="1:26" x14ac:dyDescent="0.2">
      <c r="A707" s="7" t="s">
        <v>125</v>
      </c>
      <c r="B707" s="6">
        <f t="shared" si="371"/>
        <v>10</v>
      </c>
      <c r="C707" s="7" t="s">
        <v>160</v>
      </c>
      <c r="D707" s="69">
        <v>75</v>
      </c>
      <c r="E707" s="69">
        <v>0</v>
      </c>
      <c r="F707" s="66">
        <f t="shared" si="372"/>
        <v>0</v>
      </c>
      <c r="G707" s="61" t="e">
        <f t="shared" si="373"/>
        <v>#DIV/0!</v>
      </c>
      <c r="H707" s="66" t="e">
        <f t="shared" si="318"/>
        <v>#DIV/0!</v>
      </c>
      <c r="I707" s="66" t="e">
        <f t="shared" si="318"/>
        <v>#DIV/0!</v>
      </c>
      <c r="J707" s="66" t="e">
        <f t="shared" si="318"/>
        <v>#DIV/0!</v>
      </c>
      <c r="K707" s="70">
        <v>6920.5</v>
      </c>
      <c r="L707" s="70">
        <f>'Monitoramento Acumulado Geral'!Q707</f>
        <v>0</v>
      </c>
      <c r="M707" s="6">
        <f>(SUM(L698:L707))/K706</f>
        <v>0.58557907665631093</v>
      </c>
      <c r="N707" s="35" t="str">
        <f t="shared" si="374"/>
        <v>Desempenho Bom</v>
      </c>
      <c r="O707" s="6">
        <f t="shared" si="377"/>
        <v>0.42046470140126019</v>
      </c>
      <c r="P707" s="6">
        <f t="shared" si="377"/>
        <v>0.84574683442734511</v>
      </c>
      <c r="Q707" s="6">
        <f t="shared" si="377"/>
        <v>-4.8174316248247306E-3</v>
      </c>
      <c r="R707" s="70">
        <v>80</v>
      </c>
      <c r="S707" s="70">
        <v>0</v>
      </c>
      <c r="T707" s="6">
        <f t="shared" si="375"/>
        <v>0</v>
      </c>
      <c r="U707" s="35" t="e">
        <f t="shared" si="376"/>
        <v>#DIV/0!</v>
      </c>
      <c r="V707" s="6" t="e">
        <f t="shared" si="369"/>
        <v>#DIV/0!</v>
      </c>
      <c r="W707" s="6" t="e">
        <f t="shared" si="369"/>
        <v>#DIV/0!</v>
      </c>
      <c r="X707" s="6" t="e">
        <f t="shared" si="369"/>
        <v>#DIV/0!</v>
      </c>
      <c r="Y707" s="6" t="e">
        <f t="shared" si="369"/>
        <v>#DIV/0!</v>
      </c>
      <c r="Z707" s="6" t="e">
        <f t="shared" si="369"/>
        <v>#DIV/0!</v>
      </c>
    </row>
    <row r="708" spans="1:26" x14ac:dyDescent="0.2">
      <c r="A708" s="7" t="s">
        <v>125</v>
      </c>
      <c r="B708" s="6">
        <f t="shared" si="371"/>
        <v>11</v>
      </c>
      <c r="C708" s="7" t="s">
        <v>161</v>
      </c>
      <c r="D708" s="69">
        <v>75</v>
      </c>
      <c r="E708" s="69">
        <v>0</v>
      </c>
      <c r="F708" s="66">
        <f t="shared" si="372"/>
        <v>0</v>
      </c>
      <c r="G708" s="61" t="e">
        <f t="shared" si="373"/>
        <v>#DIV/0!</v>
      </c>
      <c r="H708" s="66" t="e">
        <f t="shared" si="318"/>
        <v>#DIV/0!</v>
      </c>
      <c r="I708" s="66" t="e">
        <f t="shared" si="318"/>
        <v>#DIV/0!</v>
      </c>
      <c r="J708" s="66" t="e">
        <f t="shared" si="318"/>
        <v>#DIV/0!</v>
      </c>
      <c r="K708" s="70">
        <v>6920.5</v>
      </c>
      <c r="L708" s="70">
        <f>'Monitoramento Acumulado Geral'!Q708</f>
        <v>0</v>
      </c>
      <c r="M708" s="6">
        <f>(SUM(L698:L708))/K707</f>
        <v>0.58557907665631093</v>
      </c>
      <c r="N708" s="35" t="str">
        <f t="shared" si="374"/>
        <v>Desempenho Bom</v>
      </c>
      <c r="O708" s="6">
        <f t="shared" si="377"/>
        <v>0.42046470140126019</v>
      </c>
      <c r="P708" s="6">
        <f t="shared" si="377"/>
        <v>0.84574683442734511</v>
      </c>
      <c r="Q708" s="6">
        <f t="shared" si="377"/>
        <v>-4.8174316248247306E-3</v>
      </c>
      <c r="R708" s="70">
        <v>80</v>
      </c>
      <c r="S708" s="70">
        <v>0</v>
      </c>
      <c r="T708" s="6">
        <f t="shared" si="375"/>
        <v>0</v>
      </c>
      <c r="U708" s="35" t="e">
        <f t="shared" si="376"/>
        <v>#DIV/0!</v>
      </c>
      <c r="V708" s="6" t="e">
        <f t="shared" si="369"/>
        <v>#DIV/0!</v>
      </c>
      <c r="W708" s="6" t="e">
        <f t="shared" si="369"/>
        <v>#DIV/0!</v>
      </c>
      <c r="X708" s="6" t="e">
        <f>X696</f>
        <v>#DIV/0!</v>
      </c>
      <c r="Y708" s="6" t="e">
        <f t="shared" si="369"/>
        <v>#DIV/0!</v>
      </c>
      <c r="Z708" s="6" t="e">
        <f t="shared" si="369"/>
        <v>#DIV/0!</v>
      </c>
    </row>
    <row r="709" spans="1:26" x14ac:dyDescent="0.2">
      <c r="A709" s="7" t="s">
        <v>125</v>
      </c>
      <c r="B709" s="6">
        <f t="shared" si="371"/>
        <v>12</v>
      </c>
      <c r="C709" s="7" t="s">
        <v>162</v>
      </c>
      <c r="D709" s="69">
        <v>75</v>
      </c>
      <c r="E709" s="69">
        <v>0</v>
      </c>
      <c r="F709" s="66">
        <f t="shared" si="372"/>
        <v>0</v>
      </c>
      <c r="G709" s="61" t="e">
        <f t="shared" si="373"/>
        <v>#DIV/0!</v>
      </c>
      <c r="H709" s="66" t="e">
        <f t="shared" si="318"/>
        <v>#DIV/0!</v>
      </c>
      <c r="I709" s="66" t="e">
        <f t="shared" si="318"/>
        <v>#DIV/0!</v>
      </c>
      <c r="J709" s="66" t="e">
        <f t="shared" si="318"/>
        <v>#DIV/0!</v>
      </c>
      <c r="K709" s="70">
        <v>6920.5</v>
      </c>
      <c r="L709" s="70">
        <f>'Monitoramento Acumulado Geral'!Q709</f>
        <v>0</v>
      </c>
      <c r="M709" s="6">
        <f>(SUM(L698:L709))/K708</f>
        <v>0.58557907665631093</v>
      </c>
      <c r="N709" s="35" t="str">
        <f t="shared" si="374"/>
        <v>Desempenho Bom</v>
      </c>
      <c r="O709" s="6">
        <f t="shared" si="377"/>
        <v>0.41824651958307835</v>
      </c>
      <c r="P709" s="6">
        <f t="shared" si="377"/>
        <v>0.84510274859297763</v>
      </c>
      <c r="Q709" s="6">
        <f t="shared" si="377"/>
        <v>-8.6097094268208774E-3</v>
      </c>
      <c r="R709" s="70">
        <v>80</v>
      </c>
      <c r="S709" s="70">
        <v>0</v>
      </c>
      <c r="T709" s="6">
        <f t="shared" si="375"/>
        <v>0</v>
      </c>
      <c r="U709" s="35" t="e">
        <f t="shared" si="376"/>
        <v>#DIV/0!</v>
      </c>
      <c r="V709" s="6" t="e">
        <f t="shared" si="369"/>
        <v>#DIV/0!</v>
      </c>
      <c r="W709" s="6" t="e">
        <f t="shared" si="369"/>
        <v>#DIV/0!</v>
      </c>
      <c r="X709" s="6" t="e">
        <f t="shared" si="369"/>
        <v>#DIV/0!</v>
      </c>
      <c r="Y709" s="6" t="e">
        <f t="shared" si="369"/>
        <v>#DIV/0!</v>
      </c>
      <c r="Z709" s="6" t="e">
        <f t="shared" si="369"/>
        <v>#DIV/0!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3"/>
  <sheetViews>
    <sheetView showGridLines="0" workbookViewId="0">
      <pane xSplit="1" ySplit="1" topLeftCell="D2" activePane="bottomRight" state="frozen"/>
      <selection pane="topRight" activeCell="B1" sqref="B1"/>
      <selection pane="bottomLeft" activeCell="A2" sqref="A2"/>
      <selection pane="bottomRight" activeCell="G11" sqref="G11"/>
    </sheetView>
  </sheetViews>
  <sheetFormatPr defaultColWidth="16.75" defaultRowHeight="14.25" x14ac:dyDescent="0.2"/>
  <cols>
    <col min="1" max="16384" width="16.75" style="3"/>
  </cols>
  <sheetData>
    <row r="1" spans="1:64" s="29" customFormat="1" ht="15" x14ac:dyDescent="0.2">
      <c r="A1" s="26" t="s">
        <v>165</v>
      </c>
      <c r="B1" s="27" t="s">
        <v>83</v>
      </c>
      <c r="C1" s="27" t="s">
        <v>94</v>
      </c>
      <c r="D1" s="27" t="s">
        <v>55</v>
      </c>
      <c r="E1" s="27" t="s">
        <v>142</v>
      </c>
      <c r="F1" s="27" t="s">
        <v>65</v>
      </c>
      <c r="G1" s="27" t="s">
        <v>41</v>
      </c>
      <c r="H1" s="27" t="s">
        <v>62</v>
      </c>
      <c r="I1" s="27" t="s">
        <v>114</v>
      </c>
      <c r="J1" s="27" t="s">
        <v>47</v>
      </c>
      <c r="K1" s="27" t="s">
        <v>303</v>
      </c>
      <c r="L1" s="27" t="s">
        <v>89</v>
      </c>
      <c r="M1" s="27" t="s">
        <v>113</v>
      </c>
      <c r="N1" s="27" t="s">
        <v>117</v>
      </c>
      <c r="O1" s="27" t="s">
        <v>99</v>
      </c>
      <c r="P1" s="27" t="s">
        <v>123</v>
      </c>
      <c r="Q1" s="27" t="s">
        <v>92</v>
      </c>
      <c r="R1" s="27" t="s">
        <v>37</v>
      </c>
      <c r="S1" s="27" t="s">
        <v>91</v>
      </c>
      <c r="T1" s="27" t="s">
        <v>126</v>
      </c>
      <c r="U1" s="27" t="s">
        <v>73</v>
      </c>
      <c r="V1" s="27" t="s">
        <v>56</v>
      </c>
      <c r="W1" s="27" t="s">
        <v>300</v>
      </c>
      <c r="X1" s="27" t="s">
        <v>90</v>
      </c>
      <c r="Y1" s="27" t="s">
        <v>54</v>
      </c>
      <c r="Z1" s="27" t="s">
        <v>301</v>
      </c>
      <c r="AA1" s="27" t="s">
        <v>147</v>
      </c>
      <c r="AB1" s="27" t="s">
        <v>71</v>
      </c>
      <c r="AC1" s="27" t="s">
        <v>75</v>
      </c>
      <c r="AD1" s="27" t="s">
        <v>46</v>
      </c>
      <c r="AE1" s="27" t="s">
        <v>36</v>
      </c>
      <c r="AF1" s="27" t="s">
        <v>82</v>
      </c>
      <c r="AG1" s="27" t="s">
        <v>64</v>
      </c>
      <c r="AH1" s="27" t="s">
        <v>135</v>
      </c>
      <c r="AI1" s="27" t="s">
        <v>103</v>
      </c>
      <c r="AJ1" s="27" t="s">
        <v>85</v>
      </c>
      <c r="AK1" s="27" t="s">
        <v>121</v>
      </c>
      <c r="AL1" s="27" t="s">
        <v>116</v>
      </c>
      <c r="AM1" s="27" t="s">
        <v>86</v>
      </c>
      <c r="AN1" s="27" t="s">
        <v>102</v>
      </c>
      <c r="AO1" s="27" t="s">
        <v>106</v>
      </c>
      <c r="AP1" s="27" t="s">
        <v>31</v>
      </c>
      <c r="AQ1" s="27" t="s">
        <v>143</v>
      </c>
      <c r="AR1" s="27" t="s">
        <v>70</v>
      </c>
      <c r="AS1" s="27" t="s">
        <v>80</v>
      </c>
      <c r="AT1" s="27" t="s">
        <v>77</v>
      </c>
      <c r="AU1" s="27" t="s">
        <v>52</v>
      </c>
      <c r="AV1" s="27" t="s">
        <v>105</v>
      </c>
      <c r="AW1" s="27" t="s">
        <v>98</v>
      </c>
      <c r="AX1" s="27" t="s">
        <v>109</v>
      </c>
      <c r="AY1" s="27" t="s">
        <v>111</v>
      </c>
      <c r="AZ1" s="27" t="s">
        <v>96</v>
      </c>
      <c r="BA1" s="27" t="s">
        <v>66</v>
      </c>
      <c r="BB1" s="27" t="s">
        <v>146</v>
      </c>
      <c r="BC1" s="27" t="s">
        <v>131</v>
      </c>
      <c r="BD1" s="27" t="s">
        <v>302</v>
      </c>
      <c r="BE1" s="27" t="s">
        <v>42</v>
      </c>
      <c r="BF1" s="27" t="s">
        <v>108</v>
      </c>
      <c r="BG1" s="27" t="s">
        <v>129</v>
      </c>
      <c r="BH1" s="27" t="s">
        <v>125</v>
      </c>
      <c r="BI1" s="28" t="s">
        <v>171</v>
      </c>
      <c r="BJ1" s="28" t="s">
        <v>169</v>
      </c>
      <c r="BK1" s="28" t="s">
        <v>170</v>
      </c>
      <c r="BL1" s="28" t="s">
        <v>163</v>
      </c>
    </row>
    <row r="2" spans="1:64" ht="15" x14ac:dyDescent="0.2">
      <c r="A2" s="20" t="s">
        <v>151</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t="e">
        <f>Indicadores!$T110</f>
        <v>#DIV/0!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t="e">
        <f>Indicadores!$T254</f>
        <v>#DIV/0!</v>
      </c>
      <c r="X2" s="21">
        <f>Indicadores!$T266</f>
        <v>0</v>
      </c>
      <c r="Y2" s="21">
        <f>Indicadores!$T278</f>
        <v>0</v>
      </c>
      <c r="Z2" s="21" t="e">
        <f>Indicadores!$T290</f>
        <v>#DIV/0!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t="e">
        <f>Indicadores!$T590</f>
        <v>#DIV/0!</v>
      </c>
      <c r="AZ2" s="21">
        <f>Indicadores!$T602</f>
        <v>0</v>
      </c>
      <c r="BA2" s="21">
        <f>Indicadores!$T614</f>
        <v>0</v>
      </c>
      <c r="BB2" s="21">
        <f>Indicadores!$T626</f>
        <v>0</v>
      </c>
      <c r="BC2" s="21">
        <f>Indicadores!$T638</f>
        <v>0</v>
      </c>
      <c r="BD2" s="21" t="e">
        <f>Indicadores!$T650</f>
        <v>#DIV/0!</v>
      </c>
      <c r="BE2" s="21">
        <f>Indicadores!$T662</f>
        <v>0</v>
      </c>
      <c r="BF2" s="21">
        <f>Indicadores!$T674</f>
        <v>0</v>
      </c>
      <c r="BG2" s="21">
        <f>Indicadores!$T686</f>
        <v>0</v>
      </c>
      <c r="BH2" s="21">
        <f>Indicadores!$T698</f>
        <v>0</v>
      </c>
      <c r="BI2" s="4" t="e">
        <f>AVERAGE(B2:BH2)</f>
        <v>#DIV/0!</v>
      </c>
      <c r="BJ2" s="4" t="e">
        <f>BI2+BL2</f>
        <v>#DIV/0!</v>
      </c>
      <c r="BK2" s="4" t="e">
        <f t="shared" ref="BK2:BK13" si="0">BI2-BL2</f>
        <v>#DIV/0!</v>
      </c>
      <c r="BL2" s="3" t="e">
        <f t="shared" ref="BL2:BL13" si="1">STDEV(B2:BH2)</f>
        <v>#DIV/0!</v>
      </c>
    </row>
    <row r="3" spans="1:64" ht="15" x14ac:dyDescent="0.2">
      <c r="A3" s="20" t="s">
        <v>152</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t="e">
        <f>Indicadores!$T111</f>
        <v>#DIV/0!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t="e">
        <f>Indicadores!$T255</f>
        <v>#DIV/0!</v>
      </c>
      <c r="X3" s="21">
        <f>Indicadores!$T267</f>
        <v>0</v>
      </c>
      <c r="Y3" s="21">
        <f>Indicadores!$T279</f>
        <v>0</v>
      </c>
      <c r="Z3" s="21" t="e">
        <f>Indicadores!$T291</f>
        <v>#DIV/0!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t="e">
        <f>Indicadores!$T591</f>
        <v>#DIV/0!</v>
      </c>
      <c r="AZ3" s="21">
        <f>Indicadores!$T603</f>
        <v>0</v>
      </c>
      <c r="BA3" s="21">
        <f>Indicadores!$T615</f>
        <v>0</v>
      </c>
      <c r="BB3" s="21">
        <f>Indicadores!$T627</f>
        <v>0</v>
      </c>
      <c r="BC3" s="21">
        <f>Indicadores!$T639</f>
        <v>0</v>
      </c>
      <c r="BD3" s="21" t="e">
        <f>Indicadores!$T651</f>
        <v>#DIV/0!</v>
      </c>
      <c r="BE3" s="21">
        <f>Indicadores!$T663</f>
        <v>0</v>
      </c>
      <c r="BF3" s="21">
        <f>Indicadores!$T675</f>
        <v>0</v>
      </c>
      <c r="BG3" s="21">
        <f>Indicadores!$T687</f>
        <v>0</v>
      </c>
      <c r="BH3" s="21">
        <f>Indicadores!$T699</f>
        <v>0</v>
      </c>
      <c r="BI3" s="4" t="e">
        <f>AVERAGE(B3:BH3)</f>
        <v>#DIV/0!</v>
      </c>
      <c r="BJ3" s="4" t="e">
        <f t="shared" ref="BJ3:BJ13" si="2">BI3+BL3</f>
        <v>#DIV/0!</v>
      </c>
      <c r="BK3" s="4" t="e">
        <f t="shared" si="0"/>
        <v>#DIV/0!</v>
      </c>
      <c r="BL3" s="3" t="e">
        <f t="shared" si="1"/>
        <v>#DIV/0!</v>
      </c>
    </row>
    <row r="4" spans="1:64" ht="15" x14ac:dyDescent="0.2">
      <c r="A4" s="20" t="s">
        <v>153</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t="e">
        <f>Indicadores!$T112</f>
        <v>#DIV/0!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t="e">
        <f>Indicadores!$T256</f>
        <v>#DIV/0!</v>
      </c>
      <c r="X4" s="21">
        <f>Indicadores!$T268</f>
        <v>0</v>
      </c>
      <c r="Y4" s="21">
        <f>Indicadores!$T280</f>
        <v>0</v>
      </c>
      <c r="Z4" s="21" t="e">
        <f>Indicadores!$T292</f>
        <v>#DIV/0!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t="e">
        <f>Indicadores!$T592</f>
        <v>#DIV/0!</v>
      </c>
      <c r="AZ4" s="21">
        <f>Indicadores!$T604</f>
        <v>0</v>
      </c>
      <c r="BA4" s="21">
        <f>Indicadores!$T616</f>
        <v>0</v>
      </c>
      <c r="BB4" s="21">
        <f>Indicadores!$T628</f>
        <v>0</v>
      </c>
      <c r="BC4" s="21">
        <f>Indicadores!$T640</f>
        <v>0</v>
      </c>
      <c r="BD4" s="21" t="e">
        <f>Indicadores!$T652</f>
        <v>#DIV/0!</v>
      </c>
      <c r="BE4" s="21">
        <f>Indicadores!$T664</f>
        <v>0</v>
      </c>
      <c r="BF4" s="21">
        <f>Indicadores!$T676</f>
        <v>0</v>
      </c>
      <c r="BG4" s="21">
        <f>Indicadores!$T688</f>
        <v>0</v>
      </c>
      <c r="BH4" s="21">
        <f>Indicadores!$T700</f>
        <v>0</v>
      </c>
      <c r="BI4" s="4" t="e">
        <f>AVERAGE(B4:BH4)</f>
        <v>#DIV/0!</v>
      </c>
      <c r="BJ4" s="4" t="e">
        <f>BI4+BL4</f>
        <v>#DIV/0!</v>
      </c>
      <c r="BK4" s="4" t="e">
        <f>BI4-BL4</f>
        <v>#DIV/0!</v>
      </c>
      <c r="BL4" s="3" t="e">
        <f t="shared" si="1"/>
        <v>#DIV/0!</v>
      </c>
    </row>
    <row r="5" spans="1:64" ht="15" x14ac:dyDescent="0.2">
      <c r="A5" s="20" t="s">
        <v>154</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t="e">
        <f>Indicadores!$T113</f>
        <v>#DIV/0!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t="e">
        <f>Indicadores!$T257</f>
        <v>#DIV/0!</v>
      </c>
      <c r="X5" s="21">
        <f>Indicadores!$T269</f>
        <v>0</v>
      </c>
      <c r="Y5" s="21">
        <f>Indicadores!$T281</f>
        <v>0</v>
      </c>
      <c r="Z5" s="21" t="e">
        <f>Indicadores!$T293</f>
        <v>#DIV/0!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t="e">
        <f>Indicadores!$T593</f>
        <v>#DIV/0!</v>
      </c>
      <c r="AZ5" s="21">
        <f>Indicadores!$T605</f>
        <v>0</v>
      </c>
      <c r="BA5" s="21">
        <f>Indicadores!$T617</f>
        <v>0</v>
      </c>
      <c r="BB5" s="21">
        <f>Indicadores!$T629</f>
        <v>0</v>
      </c>
      <c r="BC5" s="21">
        <f>Indicadores!$T641</f>
        <v>0</v>
      </c>
      <c r="BD5" s="21" t="e">
        <f>Indicadores!$T653</f>
        <v>#DIV/0!</v>
      </c>
      <c r="BE5" s="21">
        <f>Indicadores!$T665</f>
        <v>0</v>
      </c>
      <c r="BF5" s="21">
        <f>Indicadores!$T677</f>
        <v>0</v>
      </c>
      <c r="BG5" s="21">
        <f>Indicadores!$T689</f>
        <v>0</v>
      </c>
      <c r="BH5" s="21">
        <f>Indicadores!$T701</f>
        <v>0</v>
      </c>
      <c r="BI5" s="4" t="e">
        <f t="shared" ref="BI5:BI13" si="3">AVERAGE(B5:BH5)</f>
        <v>#DIV/0!</v>
      </c>
      <c r="BJ5" s="4" t="e">
        <f t="shared" si="2"/>
        <v>#DIV/0!</v>
      </c>
      <c r="BK5" s="4" t="e">
        <f t="shared" si="0"/>
        <v>#DIV/0!</v>
      </c>
      <c r="BL5" s="3" t="e">
        <f t="shared" si="1"/>
        <v>#DIV/0!</v>
      </c>
    </row>
    <row r="6" spans="1:64" ht="15" x14ac:dyDescent="0.2">
      <c r="A6" s="20" t="s">
        <v>155</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t="e">
        <f>Indicadores!$T114</f>
        <v>#DIV/0!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t="e">
        <f>Indicadores!$T258</f>
        <v>#DIV/0!</v>
      </c>
      <c r="X6" s="21">
        <f>Indicadores!$T270</f>
        <v>0</v>
      </c>
      <c r="Y6" s="21">
        <f>Indicadores!$T282</f>
        <v>0</v>
      </c>
      <c r="Z6" s="21" t="e">
        <f>Indicadores!$T294</f>
        <v>#DIV/0!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t="e">
        <f>Indicadores!$T594</f>
        <v>#DIV/0!</v>
      </c>
      <c r="AZ6" s="21">
        <f>Indicadores!$T606</f>
        <v>0</v>
      </c>
      <c r="BA6" s="21">
        <f>Indicadores!$T618</f>
        <v>0</v>
      </c>
      <c r="BB6" s="21">
        <f>Indicadores!$T630</f>
        <v>0</v>
      </c>
      <c r="BC6" s="21">
        <f>Indicadores!$T642</f>
        <v>0</v>
      </c>
      <c r="BD6" s="21" t="e">
        <f>Indicadores!$T654</f>
        <v>#DIV/0!</v>
      </c>
      <c r="BE6" s="21">
        <f>Indicadores!$T666</f>
        <v>0</v>
      </c>
      <c r="BF6" s="21">
        <f>Indicadores!$T678</f>
        <v>0</v>
      </c>
      <c r="BG6" s="21">
        <f>Indicadores!$T690</f>
        <v>0</v>
      </c>
      <c r="BH6" s="21">
        <f>Indicadores!$T702</f>
        <v>0</v>
      </c>
      <c r="BI6" s="4" t="e">
        <f t="shared" si="3"/>
        <v>#DIV/0!</v>
      </c>
      <c r="BJ6" s="4" t="e">
        <f t="shared" si="2"/>
        <v>#DIV/0!</v>
      </c>
      <c r="BK6" s="4" t="e">
        <f t="shared" si="0"/>
        <v>#DIV/0!</v>
      </c>
      <c r="BL6" s="3" t="e">
        <f t="shared" si="1"/>
        <v>#DIV/0!</v>
      </c>
    </row>
    <row r="7" spans="1:64" ht="15" x14ac:dyDescent="0.2">
      <c r="A7" s="20" t="s">
        <v>156</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t="e">
        <f>Indicadores!$T115</f>
        <v>#DIV/0!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t="e">
        <f>Indicadores!$T259</f>
        <v>#DIV/0!</v>
      </c>
      <c r="X7" s="21">
        <f>Indicadores!$T271</f>
        <v>0</v>
      </c>
      <c r="Y7" s="21">
        <f>Indicadores!$T283</f>
        <v>0</v>
      </c>
      <c r="Z7" s="21" t="e">
        <f>Indicadores!$T295</f>
        <v>#DIV/0!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t="e">
        <f>Indicadores!$T595</f>
        <v>#DIV/0!</v>
      </c>
      <c r="AZ7" s="21">
        <f>Indicadores!$T607</f>
        <v>0</v>
      </c>
      <c r="BA7" s="21">
        <f>Indicadores!$T619</f>
        <v>0</v>
      </c>
      <c r="BB7" s="21">
        <f>Indicadores!$T631</f>
        <v>0</v>
      </c>
      <c r="BC7" s="21">
        <f>Indicadores!$T643</f>
        <v>0</v>
      </c>
      <c r="BD7" s="21" t="e">
        <f>Indicadores!$T655</f>
        <v>#DIV/0!</v>
      </c>
      <c r="BE7" s="21">
        <f>Indicadores!$T667</f>
        <v>0</v>
      </c>
      <c r="BF7" s="21">
        <f>Indicadores!$T679</f>
        <v>0</v>
      </c>
      <c r="BG7" s="21">
        <f>Indicadores!$T691</f>
        <v>0</v>
      </c>
      <c r="BH7" s="21">
        <f>Indicadores!$T703</f>
        <v>0</v>
      </c>
      <c r="BI7" s="4" t="e">
        <f t="shared" si="3"/>
        <v>#DIV/0!</v>
      </c>
      <c r="BJ7" s="4" t="e">
        <f t="shared" si="2"/>
        <v>#DIV/0!</v>
      </c>
      <c r="BK7" s="4" t="e">
        <f t="shared" si="0"/>
        <v>#DIV/0!</v>
      </c>
      <c r="BL7" s="3" t="e">
        <f t="shared" si="1"/>
        <v>#DIV/0!</v>
      </c>
    </row>
    <row r="8" spans="1:64" ht="15" x14ac:dyDescent="0.2">
      <c r="A8" s="20" t="s">
        <v>157</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t="e">
        <f>Indicadores!$T116</f>
        <v>#DIV/0!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t="e">
        <f>Indicadores!$T260</f>
        <v>#DIV/0!</v>
      </c>
      <c r="X8" s="21">
        <f>Indicadores!$T272</f>
        <v>0</v>
      </c>
      <c r="Y8" s="21">
        <f>Indicadores!$T284</f>
        <v>0</v>
      </c>
      <c r="Z8" s="21" t="e">
        <f>Indicadores!$T296</f>
        <v>#DIV/0!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t="e">
        <f>Indicadores!$T596</f>
        <v>#DIV/0!</v>
      </c>
      <c r="AZ8" s="21">
        <f>Indicadores!$T608</f>
        <v>0</v>
      </c>
      <c r="BA8" s="21">
        <f>Indicadores!$T620</f>
        <v>0</v>
      </c>
      <c r="BB8" s="21">
        <f>Indicadores!$T632</f>
        <v>0</v>
      </c>
      <c r="BC8" s="21">
        <f>Indicadores!$T644</f>
        <v>0</v>
      </c>
      <c r="BD8" s="21" t="e">
        <f>Indicadores!$T656</f>
        <v>#DIV/0!</v>
      </c>
      <c r="BE8" s="21">
        <f>Indicadores!$T668</f>
        <v>0</v>
      </c>
      <c r="BF8" s="21">
        <f>Indicadores!$T680</f>
        <v>0</v>
      </c>
      <c r="BG8" s="21">
        <f>Indicadores!$T692</f>
        <v>0</v>
      </c>
      <c r="BH8" s="21">
        <f>Indicadores!$T704</f>
        <v>0</v>
      </c>
      <c r="BI8" s="4" t="e">
        <f t="shared" si="3"/>
        <v>#DIV/0!</v>
      </c>
      <c r="BJ8" s="4" t="e">
        <f t="shared" si="2"/>
        <v>#DIV/0!</v>
      </c>
      <c r="BK8" s="4" t="e">
        <f t="shared" si="0"/>
        <v>#DIV/0!</v>
      </c>
      <c r="BL8" s="3" t="e">
        <f t="shared" si="1"/>
        <v>#DIV/0!</v>
      </c>
    </row>
    <row r="9" spans="1:64" ht="15" x14ac:dyDescent="0.2">
      <c r="A9" s="20" t="s">
        <v>158</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t="e">
        <f>Indicadores!$T117</f>
        <v>#DIV/0!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t="e">
        <f>Indicadores!$T261</f>
        <v>#DIV/0!</v>
      </c>
      <c r="X9" s="21">
        <f>Indicadores!$T273</f>
        <v>0</v>
      </c>
      <c r="Y9" s="21">
        <f>Indicadores!$T285</f>
        <v>0</v>
      </c>
      <c r="Z9" s="21" t="e">
        <f>Indicadores!$T297</f>
        <v>#DIV/0!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t="e">
        <f>Indicadores!$T597</f>
        <v>#DIV/0!</v>
      </c>
      <c r="AZ9" s="21">
        <f>Indicadores!$T609</f>
        <v>0</v>
      </c>
      <c r="BA9" s="21">
        <f>Indicadores!$T621</f>
        <v>0</v>
      </c>
      <c r="BB9" s="21">
        <f>Indicadores!$T633</f>
        <v>0</v>
      </c>
      <c r="BC9" s="21">
        <f>Indicadores!$T645</f>
        <v>0</v>
      </c>
      <c r="BD9" s="21" t="e">
        <f>Indicadores!$T657</f>
        <v>#DIV/0!</v>
      </c>
      <c r="BE9" s="21">
        <f>Indicadores!$T669</f>
        <v>0</v>
      </c>
      <c r="BF9" s="21">
        <f>Indicadores!$T681</f>
        <v>0</v>
      </c>
      <c r="BG9" s="21">
        <f>Indicadores!$T693</f>
        <v>0</v>
      </c>
      <c r="BH9" s="21">
        <f>Indicadores!$T705</f>
        <v>0</v>
      </c>
      <c r="BI9" s="4" t="e">
        <f t="shared" si="3"/>
        <v>#DIV/0!</v>
      </c>
      <c r="BJ9" s="4" t="e">
        <f t="shared" si="2"/>
        <v>#DIV/0!</v>
      </c>
      <c r="BK9" s="4" t="e">
        <f t="shared" si="0"/>
        <v>#DIV/0!</v>
      </c>
      <c r="BL9" s="3" t="e">
        <f t="shared" si="1"/>
        <v>#DIV/0!</v>
      </c>
    </row>
    <row r="10" spans="1:64" ht="15" x14ac:dyDescent="0.2">
      <c r="A10" s="20" t="s">
        <v>159</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t="e">
        <f>Indicadores!$T118</f>
        <v>#DIV/0!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t="e">
        <f>Indicadores!$T262</f>
        <v>#DIV/0!</v>
      </c>
      <c r="X10" s="21">
        <f>Indicadores!$T274</f>
        <v>0</v>
      </c>
      <c r="Y10" s="21">
        <f>Indicadores!$T286</f>
        <v>0</v>
      </c>
      <c r="Z10" s="21" t="e">
        <f>Indicadores!$T298</f>
        <v>#DIV/0!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t="e">
        <f>Indicadores!$T598</f>
        <v>#DIV/0!</v>
      </c>
      <c r="AZ10" s="21">
        <f>Indicadores!$T610</f>
        <v>0</v>
      </c>
      <c r="BA10" s="21">
        <f>Indicadores!$T622</f>
        <v>0</v>
      </c>
      <c r="BB10" s="21">
        <f>Indicadores!$T634</f>
        <v>0</v>
      </c>
      <c r="BC10" s="21">
        <f>Indicadores!$T646</f>
        <v>0</v>
      </c>
      <c r="BD10" s="21" t="e">
        <f>Indicadores!$T658</f>
        <v>#DIV/0!</v>
      </c>
      <c r="BE10" s="21">
        <f>Indicadores!$T670</f>
        <v>0</v>
      </c>
      <c r="BF10" s="21">
        <f>Indicadores!$T682</f>
        <v>0</v>
      </c>
      <c r="BG10" s="21">
        <f>Indicadores!$T694</f>
        <v>0</v>
      </c>
      <c r="BH10" s="21">
        <f>Indicadores!$T706</f>
        <v>0</v>
      </c>
      <c r="BI10" s="4" t="e">
        <f t="shared" si="3"/>
        <v>#DIV/0!</v>
      </c>
      <c r="BJ10" s="4" t="e">
        <f t="shared" si="2"/>
        <v>#DIV/0!</v>
      </c>
      <c r="BK10" s="4" t="e">
        <f t="shared" si="0"/>
        <v>#DIV/0!</v>
      </c>
      <c r="BL10" s="3" t="e">
        <f t="shared" si="1"/>
        <v>#DIV/0!</v>
      </c>
    </row>
    <row r="11" spans="1:64" ht="15" x14ac:dyDescent="0.2">
      <c r="A11" s="20" t="s">
        <v>160</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t="e">
        <f>Indicadores!$T119</f>
        <v>#DIV/0!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t="e">
        <f>Indicadores!$T263</f>
        <v>#DIV/0!</v>
      </c>
      <c r="X11" s="21">
        <f>Indicadores!$T275</f>
        <v>0</v>
      </c>
      <c r="Y11" s="21">
        <f>Indicadores!$T287</f>
        <v>0</v>
      </c>
      <c r="Z11" s="21" t="e">
        <f>Indicadores!$T299</f>
        <v>#DIV/0!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t="e">
        <f>Indicadores!$T599</f>
        <v>#DIV/0!</v>
      </c>
      <c r="AZ11" s="21">
        <f>Indicadores!$T611</f>
        <v>0</v>
      </c>
      <c r="BA11" s="21">
        <f>Indicadores!$T623</f>
        <v>0</v>
      </c>
      <c r="BB11" s="21">
        <f>Indicadores!$T635</f>
        <v>0</v>
      </c>
      <c r="BC11" s="21">
        <f>Indicadores!$T647</f>
        <v>0</v>
      </c>
      <c r="BD11" s="21" t="e">
        <f>Indicadores!$T659</f>
        <v>#DIV/0!</v>
      </c>
      <c r="BE11" s="21">
        <f>Indicadores!$T671</f>
        <v>0</v>
      </c>
      <c r="BF11" s="21">
        <f>Indicadores!$T683</f>
        <v>0</v>
      </c>
      <c r="BG11" s="21">
        <f>Indicadores!$T695</f>
        <v>0</v>
      </c>
      <c r="BH11" s="21">
        <f>Indicadores!$T707</f>
        <v>0</v>
      </c>
      <c r="BI11" s="4" t="e">
        <f t="shared" si="3"/>
        <v>#DIV/0!</v>
      </c>
      <c r="BJ11" s="4" t="e">
        <f t="shared" si="2"/>
        <v>#DIV/0!</v>
      </c>
      <c r="BK11" s="4" t="e">
        <f t="shared" si="0"/>
        <v>#DIV/0!</v>
      </c>
      <c r="BL11" s="3" t="e">
        <f t="shared" si="1"/>
        <v>#DIV/0!</v>
      </c>
    </row>
    <row r="12" spans="1:64" ht="15" x14ac:dyDescent="0.2">
      <c r="A12" s="20" t="s">
        <v>161</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t="e">
        <f>Indicadores!$T120</f>
        <v>#DIV/0!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t="e">
        <f>Indicadores!$T264</f>
        <v>#DIV/0!</v>
      </c>
      <c r="X12" s="21">
        <f>Indicadores!$T276</f>
        <v>0</v>
      </c>
      <c r="Y12" s="21">
        <f>Indicadores!$T288</f>
        <v>0</v>
      </c>
      <c r="Z12" s="21" t="e">
        <f>Indicadores!$T300</f>
        <v>#DIV/0!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t="e">
        <f>Indicadores!$T600</f>
        <v>#DIV/0!</v>
      </c>
      <c r="AZ12" s="21">
        <f>Indicadores!$T612</f>
        <v>0</v>
      </c>
      <c r="BA12" s="21">
        <f>Indicadores!$T624</f>
        <v>0</v>
      </c>
      <c r="BB12" s="21">
        <f>Indicadores!$T636</f>
        <v>0</v>
      </c>
      <c r="BC12" s="21">
        <f>Indicadores!$T648</f>
        <v>0</v>
      </c>
      <c r="BD12" s="21" t="e">
        <f>Indicadores!$T660</f>
        <v>#DIV/0!</v>
      </c>
      <c r="BE12" s="21">
        <f>Indicadores!$T672</f>
        <v>0</v>
      </c>
      <c r="BF12" s="21">
        <f>Indicadores!$T684</f>
        <v>0</v>
      </c>
      <c r="BG12" s="21">
        <f>Indicadores!$T696</f>
        <v>0</v>
      </c>
      <c r="BH12" s="21">
        <f>Indicadores!$T708</f>
        <v>0</v>
      </c>
      <c r="BI12" s="4" t="e">
        <f t="shared" si="3"/>
        <v>#DIV/0!</v>
      </c>
      <c r="BJ12" s="4" t="e">
        <f t="shared" si="2"/>
        <v>#DIV/0!</v>
      </c>
      <c r="BK12" s="4" t="e">
        <f t="shared" si="0"/>
        <v>#DIV/0!</v>
      </c>
      <c r="BL12" s="3" t="e">
        <f t="shared" si="1"/>
        <v>#DIV/0!</v>
      </c>
    </row>
    <row r="13" spans="1:64" ht="15" x14ac:dyDescent="0.2">
      <c r="A13" s="20" t="s">
        <v>162</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t="e">
        <f>Indicadores!$T121</f>
        <v>#DIV/0!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t="e">
        <f>Indicadores!$T265</f>
        <v>#DIV/0!</v>
      </c>
      <c r="X13" s="21">
        <f>Indicadores!$T277</f>
        <v>0</v>
      </c>
      <c r="Y13" s="21">
        <f>Indicadores!$T289</f>
        <v>0</v>
      </c>
      <c r="Z13" s="21" t="e">
        <f>Indicadores!$T301</f>
        <v>#DIV/0!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t="e">
        <f>Indicadores!$T601</f>
        <v>#DIV/0!</v>
      </c>
      <c r="AZ13" s="21">
        <f>Indicadores!$T613</f>
        <v>0</v>
      </c>
      <c r="BA13" s="21">
        <f>Indicadores!$T625</f>
        <v>0</v>
      </c>
      <c r="BB13" s="21">
        <f>Indicadores!$T637</f>
        <v>0</v>
      </c>
      <c r="BC13" s="21">
        <f>Indicadores!$T649</f>
        <v>0</v>
      </c>
      <c r="BD13" s="21" t="e">
        <f>Indicadores!$T661</f>
        <v>#DIV/0!</v>
      </c>
      <c r="BE13" s="21">
        <f>Indicadores!$T673</f>
        <v>0</v>
      </c>
      <c r="BF13" s="21">
        <f>Indicadores!$T685</f>
        <v>0</v>
      </c>
      <c r="BG13" s="21">
        <f>Indicadores!$T697</f>
        <v>0</v>
      </c>
      <c r="BH13" s="21">
        <f>Indicadores!$T709</f>
        <v>0</v>
      </c>
      <c r="BI13" s="4" t="e">
        <f t="shared" si="3"/>
        <v>#DIV/0!</v>
      </c>
      <c r="BJ13" s="4" t="e">
        <f t="shared" si="2"/>
        <v>#DIV/0!</v>
      </c>
      <c r="BK13" s="4" t="e">
        <f t="shared" si="0"/>
        <v>#DIV/0!</v>
      </c>
      <c r="BL13" s="3" t="e">
        <f t="shared" si="1"/>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74"/>
  <sheetViews>
    <sheetView showGridLines="0" workbookViewId="0">
      <pane xSplit="1" ySplit="1" topLeftCell="BG2" activePane="bottomRight" state="frozen"/>
      <selection pane="topRight" activeCell="B1" sqref="B1"/>
      <selection pane="bottomLeft" activeCell="A2" sqref="A2"/>
      <selection pane="bottomRight" activeCell="BL14" sqref="BL14"/>
    </sheetView>
  </sheetViews>
  <sheetFormatPr defaultColWidth="17.5" defaultRowHeight="14.25" x14ac:dyDescent="0.2"/>
  <cols>
    <col min="1" max="16384" width="17.5" style="3"/>
  </cols>
  <sheetData>
    <row r="1" spans="1:64" s="33" customFormat="1" ht="15" x14ac:dyDescent="0.2">
      <c r="A1" s="30" t="s">
        <v>165</v>
      </c>
      <c r="B1" s="31" t="s">
        <v>83</v>
      </c>
      <c r="C1" s="31" t="s">
        <v>94</v>
      </c>
      <c r="D1" s="31" t="s">
        <v>55</v>
      </c>
      <c r="E1" s="31" t="s">
        <v>142</v>
      </c>
      <c r="F1" s="31" t="s">
        <v>65</v>
      </c>
      <c r="G1" s="31" t="s">
        <v>41</v>
      </c>
      <c r="H1" s="31" t="s">
        <v>62</v>
      </c>
      <c r="I1" s="31" t="s">
        <v>114</v>
      </c>
      <c r="J1" s="31" t="s">
        <v>47</v>
      </c>
      <c r="K1" s="31" t="s">
        <v>303</v>
      </c>
      <c r="L1" s="31" t="s">
        <v>89</v>
      </c>
      <c r="M1" s="31" t="s">
        <v>113</v>
      </c>
      <c r="N1" s="31" t="s">
        <v>117</v>
      </c>
      <c r="O1" s="31" t="s">
        <v>99</v>
      </c>
      <c r="P1" s="31" t="s">
        <v>123</v>
      </c>
      <c r="Q1" s="31" t="s">
        <v>92</v>
      </c>
      <c r="R1" s="31" t="s">
        <v>37</v>
      </c>
      <c r="S1" s="31" t="s">
        <v>91</v>
      </c>
      <c r="T1" s="31" t="s">
        <v>126</v>
      </c>
      <c r="U1" s="31" t="s">
        <v>73</v>
      </c>
      <c r="V1" s="31" t="s">
        <v>56</v>
      </c>
      <c r="W1" s="31" t="s">
        <v>300</v>
      </c>
      <c r="X1" s="31" t="s">
        <v>90</v>
      </c>
      <c r="Y1" s="31" t="s">
        <v>54</v>
      </c>
      <c r="Z1" s="31" t="s">
        <v>301</v>
      </c>
      <c r="AA1" s="31" t="s">
        <v>147</v>
      </c>
      <c r="AB1" s="31" t="s">
        <v>71</v>
      </c>
      <c r="AC1" s="31" t="s">
        <v>75</v>
      </c>
      <c r="AD1" s="31" t="s">
        <v>46</v>
      </c>
      <c r="AE1" s="31" t="s">
        <v>36</v>
      </c>
      <c r="AF1" s="31" t="s">
        <v>82</v>
      </c>
      <c r="AG1" s="31" t="s">
        <v>64</v>
      </c>
      <c r="AH1" s="31" t="s">
        <v>135</v>
      </c>
      <c r="AI1" s="31" t="s">
        <v>103</v>
      </c>
      <c r="AJ1" s="31" t="s">
        <v>85</v>
      </c>
      <c r="AK1" s="31" t="s">
        <v>121</v>
      </c>
      <c r="AL1" s="31" t="s">
        <v>116</v>
      </c>
      <c r="AM1" s="31" t="s">
        <v>86</v>
      </c>
      <c r="AN1" s="31" t="s">
        <v>102</v>
      </c>
      <c r="AO1" s="31" t="s">
        <v>106</v>
      </c>
      <c r="AP1" s="31" t="s">
        <v>31</v>
      </c>
      <c r="AQ1" s="31" t="s">
        <v>143</v>
      </c>
      <c r="AR1" s="31" t="s">
        <v>70</v>
      </c>
      <c r="AS1" s="31" t="s">
        <v>80</v>
      </c>
      <c r="AT1" s="31" t="s">
        <v>77</v>
      </c>
      <c r="AU1" s="31" t="s">
        <v>52</v>
      </c>
      <c r="AV1" s="31" t="s">
        <v>105</v>
      </c>
      <c r="AW1" s="31" t="s">
        <v>98</v>
      </c>
      <c r="AX1" s="31" t="s">
        <v>109</v>
      </c>
      <c r="AY1" s="31" t="s">
        <v>111</v>
      </c>
      <c r="AZ1" s="31" t="s">
        <v>96</v>
      </c>
      <c r="BA1" s="31" t="s">
        <v>66</v>
      </c>
      <c r="BB1" s="31" t="s">
        <v>146</v>
      </c>
      <c r="BC1" s="31" t="s">
        <v>131</v>
      </c>
      <c r="BD1" s="31" t="s">
        <v>302</v>
      </c>
      <c r="BE1" s="31" t="s">
        <v>42</v>
      </c>
      <c r="BF1" s="31" t="s">
        <v>108</v>
      </c>
      <c r="BG1" s="31" t="s">
        <v>129</v>
      </c>
      <c r="BH1" s="31" t="s">
        <v>125</v>
      </c>
      <c r="BI1" s="32" t="s">
        <v>171</v>
      </c>
      <c r="BJ1" s="32" t="s">
        <v>169</v>
      </c>
      <c r="BK1" s="32" t="s">
        <v>170</v>
      </c>
      <c r="BL1" s="32" t="s">
        <v>163</v>
      </c>
    </row>
    <row r="2" spans="1:64" ht="15" x14ac:dyDescent="0.2">
      <c r="A2" s="20" t="s">
        <v>151</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0</v>
      </c>
      <c r="L2" s="83">
        <f>Indicadores!$M122</f>
        <v>3.880597014925373E-2</v>
      </c>
      <c r="M2" s="83">
        <f>Indicadores!$M134</f>
        <v>0</v>
      </c>
      <c r="N2" s="83">
        <f>Indicadores!$M146</f>
        <v>0</v>
      </c>
      <c r="O2" s="83">
        <f>Indicadores!$M158</f>
        <v>8.3333333333333332E-3</v>
      </c>
      <c r="P2" s="83">
        <f>Indicadores!$M170</f>
        <v>4.0935672514619881E-2</v>
      </c>
      <c r="Q2" s="83">
        <f>Indicadores!$M182</f>
        <v>0</v>
      </c>
      <c r="R2" s="83">
        <f>Indicadores!$M194</f>
        <v>0</v>
      </c>
      <c r="S2" s="83">
        <f>Indicadores!$M206</f>
        <v>0.16228000000000001</v>
      </c>
      <c r="T2" s="83">
        <f>Indicadores!$M218</f>
        <v>9.2083333333333336E-2</v>
      </c>
      <c r="U2" s="83">
        <f>Indicadores!$M230</f>
        <v>0</v>
      </c>
      <c r="V2" s="83">
        <f>Indicadores!$M242</f>
        <v>0</v>
      </c>
      <c r="W2" s="83">
        <f>Indicadores!$M254</f>
        <v>0</v>
      </c>
      <c r="X2" s="83">
        <f>Indicadores!$M266</f>
        <v>5.2382544366851025E-2</v>
      </c>
      <c r="Y2" s="83">
        <f>Indicadores!$M278</f>
        <v>1.0565971549008411E-3</v>
      </c>
      <c r="Z2" s="83">
        <f>Indicadores!$M290</f>
        <v>0</v>
      </c>
      <c r="AA2" s="83">
        <f>Indicadores!$M302</f>
        <v>0</v>
      </c>
      <c r="AB2" s="83">
        <f>Indicadores!$M314</f>
        <v>0</v>
      </c>
      <c r="AC2" s="83">
        <f>Indicadores!$M326</f>
        <v>1.5027777777777777E-2</v>
      </c>
      <c r="AD2" s="83">
        <f>Indicadores!$M338</f>
        <v>0</v>
      </c>
      <c r="AE2" s="83">
        <f>Indicadores!$M350</f>
        <v>0</v>
      </c>
      <c r="AF2" s="83">
        <f>Indicadores!$M362</f>
        <v>0</v>
      </c>
      <c r="AG2" s="83">
        <f>Indicadores!$M374</f>
        <v>0</v>
      </c>
      <c r="AH2" s="83">
        <f>Indicadores!$M386</f>
        <v>0</v>
      </c>
      <c r="AI2" s="83">
        <f>Indicadores!$M398</f>
        <v>0</v>
      </c>
      <c r="AJ2" s="83">
        <f>Indicadores!$M410</f>
        <v>0</v>
      </c>
      <c r="AK2" s="83">
        <f>Indicadores!$M422</f>
        <v>7.1801254128572106E-2</v>
      </c>
      <c r="AL2" s="83">
        <f>Indicadores!$M434</f>
        <v>5.6577470398667484E-4</v>
      </c>
      <c r="AM2" s="83">
        <f>Indicadores!$M446</f>
        <v>0</v>
      </c>
      <c r="AN2" s="83">
        <f>Indicadores!$M458</f>
        <v>0</v>
      </c>
      <c r="AO2" s="83">
        <f>Indicadores!$M470</f>
        <v>8.2431796801505169E-2</v>
      </c>
      <c r="AP2" s="83">
        <f>Indicadores!$M482</f>
        <v>0</v>
      </c>
      <c r="AQ2" s="83">
        <f>Indicadores!$M494</f>
        <v>0.03</v>
      </c>
      <c r="AR2" s="83">
        <f>Indicadores!$M506</f>
        <v>0.23333333333333334</v>
      </c>
      <c r="AS2" s="83">
        <f>Indicadores!$M518</f>
        <v>0</v>
      </c>
      <c r="AT2" s="83">
        <f>Indicadores!$M530</f>
        <v>7.407407407407407E-2</v>
      </c>
      <c r="AU2" s="83">
        <f>Indicadores!$M542</f>
        <v>0</v>
      </c>
      <c r="AV2" s="83">
        <f>Indicadores!$M554</f>
        <v>0</v>
      </c>
      <c r="AW2" s="83">
        <f>Indicadores!$M566</f>
        <v>0.13853222222222222</v>
      </c>
      <c r="AX2" s="83">
        <f>Indicadores!$M578</f>
        <v>0</v>
      </c>
      <c r="AY2" s="83">
        <f>Indicadores!$M590</f>
        <v>0</v>
      </c>
      <c r="AZ2" s="83">
        <f>Indicadores!$M602</f>
        <v>0</v>
      </c>
      <c r="BA2" s="83">
        <f>Indicadores!$M614</f>
        <v>0</v>
      </c>
      <c r="BB2" s="83">
        <f>Indicadores!$M626</f>
        <v>0</v>
      </c>
      <c r="BC2" s="83">
        <f>Indicadores!$M638</f>
        <v>0.1</v>
      </c>
      <c r="BD2" s="83">
        <f>Indicadores!$M650</f>
        <v>0</v>
      </c>
      <c r="BE2" s="83">
        <f>Indicadores!$M662</f>
        <v>0</v>
      </c>
      <c r="BF2" s="83">
        <f>Indicadores!$M674</f>
        <v>0</v>
      </c>
      <c r="BG2" s="83">
        <f>Indicadores!$M686</f>
        <v>0</v>
      </c>
      <c r="BH2" s="83">
        <f>Indicadores!$M698</f>
        <v>0</v>
      </c>
      <c r="BI2" s="84">
        <f t="shared" ref="BI2" si="0">AVERAGE(B2:BH2)</f>
        <v>3.4274647562211005E-2</v>
      </c>
      <c r="BJ2" s="84">
        <f>BI2+BL2</f>
        <v>0.10289217685709087</v>
      </c>
      <c r="BK2" s="84">
        <f t="shared" ref="BK2:BK13" si="1">BI2-BL2</f>
        <v>-3.4342881732668862E-2</v>
      </c>
      <c r="BL2" s="85">
        <f>STDEV(B2:BH2)</f>
        <v>6.8617529294879867E-2</v>
      </c>
    </row>
    <row r="3" spans="1:64" ht="15" x14ac:dyDescent="0.2">
      <c r="A3" s="20" t="s">
        <v>152</v>
      </c>
      <c r="B3" s="83">
        <f>Indicadores!$M3</f>
        <v>0.44892215568862276</v>
      </c>
      <c r="C3" s="83">
        <f>Indicadores!$M15</f>
        <v>0.122</v>
      </c>
      <c r="D3" s="83">
        <f>Indicadores!$M27</f>
        <v>4.5414979374030204E-2</v>
      </c>
      <c r="E3" s="83">
        <f>Indicadores!$M39</f>
        <v>0.153476</v>
      </c>
      <c r="F3" s="83">
        <f>Indicadores!$M51</f>
        <v>0.375</v>
      </c>
      <c r="G3" s="83">
        <f>Indicadores!$M63</f>
        <v>0.29415384615384615</v>
      </c>
      <c r="H3" s="83">
        <f>Indicadores!$M75</f>
        <v>6.6666666666666666E-2</v>
      </c>
      <c r="I3" s="83">
        <f>Indicadores!$M87</f>
        <v>4.7500000000000001E-2</v>
      </c>
      <c r="J3" s="83">
        <f>Indicadores!$M99</f>
        <v>0.2333996213161644</v>
      </c>
      <c r="K3" s="83" t="e">
        <f>Indicadores!$M111</f>
        <v>#DIV/0!</v>
      </c>
      <c r="L3" s="83">
        <f>Indicadores!$M123</f>
        <v>3.880597014925373E-2</v>
      </c>
      <c r="M3" s="83">
        <f>Indicadores!$M135</f>
        <v>0</v>
      </c>
      <c r="N3" s="83">
        <f>Indicadores!$M147</f>
        <v>2.6992192508316971E-3</v>
      </c>
      <c r="O3" s="83">
        <f>Indicadores!$M159</f>
        <v>8.3333333333333332E-3</v>
      </c>
      <c r="P3" s="83">
        <f>Indicadores!$M171</f>
        <v>4.0935672514619881E-2</v>
      </c>
      <c r="Q3" s="83">
        <f>Indicadores!$M183</f>
        <v>0</v>
      </c>
      <c r="R3" s="83">
        <f>Indicadores!$M195</f>
        <v>0</v>
      </c>
      <c r="S3" s="83">
        <f>Indicadores!$M207</f>
        <v>0.16228000000000001</v>
      </c>
      <c r="T3" s="83">
        <f>Indicadores!$M219</f>
        <v>0.15458333333333332</v>
      </c>
      <c r="U3" s="83">
        <f>Indicadores!$M231</f>
        <v>0</v>
      </c>
      <c r="V3" s="83">
        <f>Indicadores!$M243</f>
        <v>9.5706975017998228E-2</v>
      </c>
      <c r="W3" s="83" t="e">
        <f>Indicadores!$M255</f>
        <v>#DIV/0!</v>
      </c>
      <c r="X3" s="83">
        <f>Indicadores!$M267</f>
        <v>0.3586535808086499</v>
      </c>
      <c r="Y3" s="83">
        <f>Indicadores!$M279</f>
        <v>1.0565971549008411E-3</v>
      </c>
      <c r="Z3" s="83">
        <f>Indicadores!$M291</f>
        <v>0</v>
      </c>
      <c r="AA3" s="83">
        <f>Indicadores!$M303</f>
        <v>0</v>
      </c>
      <c r="AB3" s="83">
        <f>Indicadores!$M315</f>
        <v>0</v>
      </c>
      <c r="AC3" s="83">
        <f>Indicadores!$M327</f>
        <v>0.11224444444444445</v>
      </c>
      <c r="AD3" s="83">
        <f>Indicadores!$M339</f>
        <v>0</v>
      </c>
      <c r="AE3" s="83">
        <f>Indicadores!$M351</f>
        <v>0</v>
      </c>
      <c r="AF3" s="83">
        <f>Indicadores!$M363</f>
        <v>0</v>
      </c>
      <c r="AG3" s="83">
        <f>Indicadores!$M375</f>
        <v>0</v>
      </c>
      <c r="AH3" s="83">
        <f>Indicadores!$M387</f>
        <v>0</v>
      </c>
      <c r="AI3" s="83">
        <f>Indicadores!$M399</f>
        <v>3.8235294117647062E-2</v>
      </c>
      <c r="AJ3" s="83">
        <f>Indicadores!$M411</f>
        <v>0</v>
      </c>
      <c r="AK3" s="83">
        <f>Indicadores!$M423</f>
        <v>0.10849967290539786</v>
      </c>
      <c r="AL3" s="83">
        <f>Indicadores!$M435</f>
        <v>5.6577470398667484E-4</v>
      </c>
      <c r="AM3" s="83">
        <f>Indicadores!$M447</f>
        <v>0</v>
      </c>
      <c r="AN3" s="83">
        <f>Indicadores!$M459</f>
        <v>0</v>
      </c>
      <c r="AO3" s="83">
        <f>Indicadores!$M471</f>
        <v>8.2431796801505169E-2</v>
      </c>
      <c r="AP3" s="83">
        <f>Indicadores!$M483</f>
        <v>0</v>
      </c>
      <c r="AQ3" s="83">
        <f>Indicadores!$M495</f>
        <v>0.16833333333333333</v>
      </c>
      <c r="AR3" s="83">
        <f>Indicadores!$M507</f>
        <v>0.23333333333333334</v>
      </c>
      <c r="AS3" s="83">
        <f>Indicadores!$M519</f>
        <v>0</v>
      </c>
      <c r="AT3" s="83">
        <f>Indicadores!$M531</f>
        <v>7.407407407407407E-2</v>
      </c>
      <c r="AU3" s="83">
        <f>Indicadores!$M543</f>
        <v>0</v>
      </c>
      <c r="AV3" s="83">
        <f>Indicadores!$M555</f>
        <v>0</v>
      </c>
      <c r="AW3" s="83">
        <f>Indicadores!$M567</f>
        <v>0.22554066666666664</v>
      </c>
      <c r="AX3" s="83">
        <f>Indicadores!$M579</f>
        <v>0</v>
      </c>
      <c r="AY3" s="83" t="e">
        <f>Indicadores!$M591</f>
        <v>#DIV/0!</v>
      </c>
      <c r="AZ3" s="83">
        <f>Indicadores!$M603</f>
        <v>0</v>
      </c>
      <c r="BA3" s="83">
        <f>Indicadores!$M615</f>
        <v>0.48857142857142855</v>
      </c>
      <c r="BB3" s="83">
        <f>Indicadores!$M627</f>
        <v>0</v>
      </c>
      <c r="BC3" s="83">
        <f>Indicadores!$M639</f>
        <v>0.26250000000000001</v>
      </c>
      <c r="BD3" s="83" t="e">
        <f>Indicadores!$M651</f>
        <v>#DIV/0!</v>
      </c>
      <c r="BE3" s="83">
        <f>Indicadores!$M663</f>
        <v>5.5917622159035313E-2</v>
      </c>
      <c r="BF3" s="83">
        <f>Indicadores!$M675</f>
        <v>0</v>
      </c>
      <c r="BG3" s="83">
        <f>Indicadores!$M687</f>
        <v>0</v>
      </c>
      <c r="BH3" s="83">
        <f>Indicadores!$M699</f>
        <v>0</v>
      </c>
      <c r="BI3" s="84">
        <f t="shared" ref="BI3:BI13" si="2">AVERAGE(B3,C3,D3,E3,F3,G3,H3,I3,J3,L3,M3,N3,O3,P3,Q3,R3,S3,T3,U3,V3,X3,Y3,Z3,AA3,AB3,AC3,AD3,AE3,AF3,AG3,AH3,AI3,AJ3,AK3,AL3,AM3,AN3,AO3,AP3,AQ3,AR3,AS3,AT3,AU3,AV3,AW3,AX3,AZ3,BA3,BB3,BC3,BE3,BF3,BG3,BH3)</f>
        <v>8.1815188943147363E-2</v>
      </c>
      <c r="BJ3" s="84">
        <f>BI3+BL3</f>
        <v>0.20623883252423067</v>
      </c>
      <c r="BK3" s="84">
        <f>BI3-BL3</f>
        <v>-4.2608454637935944E-2</v>
      </c>
      <c r="BL3" s="85">
        <f t="shared" ref="BL3:BL13" si="3">STDEV(B3,C3,D3,E3,F3,G3,H3,I3,J3,L3,M3,N3,O3,P3,Q3,R3,S3,T3,U3,V3,X3,Y3,Z3,AA3,AB3,AC3,AD3,AE3,AF3,AG3,AH3,AI3,AJ3,AK3,AL3,AM3,AN3,AO3,AP3,AQ3,AR3,AS3,AT3,AU3,AV3,AW3,AX3,AZ3,BA3,BB3,BC3,BE3,BF3,BG3,BH3)</f>
        <v>0.12442364358108331</v>
      </c>
    </row>
    <row r="4" spans="1:64" ht="15" x14ac:dyDescent="0.2">
      <c r="A4" s="20" t="s">
        <v>153</v>
      </c>
      <c r="B4" s="83">
        <f>Indicadores!$M4</f>
        <v>0.44892215568862276</v>
      </c>
      <c r="C4" s="83">
        <f>Indicadores!$M16</f>
        <v>0.122</v>
      </c>
      <c r="D4" s="83">
        <f>Indicadores!$M28</f>
        <v>0.22021622576290859</v>
      </c>
      <c r="E4" s="83">
        <f>Indicadores!$M40</f>
        <v>0.22347599999999998</v>
      </c>
      <c r="F4" s="83">
        <f>Indicadores!$M52</f>
        <v>0.43333333333333335</v>
      </c>
      <c r="G4" s="83">
        <f>Indicadores!$M64</f>
        <v>0.31261538461538463</v>
      </c>
      <c r="H4" s="83">
        <f>Indicadores!$M76</f>
        <v>6.6666666666666666E-2</v>
      </c>
      <c r="I4" s="83">
        <f>Indicadores!$M88</f>
        <v>4.7500000000000001E-2</v>
      </c>
      <c r="J4" s="83">
        <f>Indicadores!$M100</f>
        <v>0.24218918810039153</v>
      </c>
      <c r="K4" s="83" t="e">
        <f>Indicadores!$M112</f>
        <v>#DIV/0!</v>
      </c>
      <c r="L4" s="83">
        <f>Indicadores!$M124</f>
        <v>3.880597014925373E-2</v>
      </c>
      <c r="M4" s="83">
        <f>Indicadores!$M136</f>
        <v>0</v>
      </c>
      <c r="N4" s="83">
        <f>Indicadores!$M148</f>
        <v>4.1186846704590697E-2</v>
      </c>
      <c r="O4" s="83">
        <f>Indicadores!$M160</f>
        <v>8.3333333333333332E-3</v>
      </c>
      <c r="P4" s="83">
        <f>Indicadores!$M172</f>
        <v>4.0935672514619881E-2</v>
      </c>
      <c r="Q4" s="83">
        <f>Indicadores!$M184</f>
        <v>5.0294117647058822E-2</v>
      </c>
      <c r="R4" s="83">
        <f>Indicadores!$M196</f>
        <v>0.27272727272727271</v>
      </c>
      <c r="S4" s="83">
        <f>Indicadores!$M208</f>
        <v>0.23227999999999999</v>
      </c>
      <c r="T4" s="83">
        <f>Indicadores!$M220</f>
        <v>0.30541666666666667</v>
      </c>
      <c r="U4" s="83">
        <f>Indicadores!$M232</f>
        <v>0</v>
      </c>
      <c r="V4" s="83">
        <f>Indicadores!$M244</f>
        <v>9.5706975017998228E-2</v>
      </c>
      <c r="W4" s="83" t="e">
        <f>Indicadores!$M256</f>
        <v>#DIV/0!</v>
      </c>
      <c r="X4" s="83">
        <f>Indicadores!$M268</f>
        <v>0.52200951546379271</v>
      </c>
      <c r="Y4" s="83">
        <f>Indicadores!$M280</f>
        <v>2.0075345943115979E-2</v>
      </c>
      <c r="Z4" s="83">
        <f>Indicadores!$M292</f>
        <v>0</v>
      </c>
      <c r="AA4" s="83">
        <f>Indicadores!$M304</f>
        <v>0</v>
      </c>
      <c r="AB4" s="83">
        <f>Indicadores!$M316</f>
        <v>0.1855</v>
      </c>
      <c r="AC4" s="83">
        <f>Indicadores!$M328</f>
        <v>0.18846666666666667</v>
      </c>
      <c r="AD4" s="83">
        <f>Indicadores!$M340</f>
        <v>0</v>
      </c>
      <c r="AE4" s="83">
        <f>Indicadores!$M352</f>
        <v>0</v>
      </c>
      <c r="AF4" s="83">
        <f>Indicadores!$M364</f>
        <v>8.5714285714285715E-2</v>
      </c>
      <c r="AG4" s="83">
        <f>Indicadores!$M376</f>
        <v>0</v>
      </c>
      <c r="AH4" s="83">
        <f>Indicadores!$M388</f>
        <v>0</v>
      </c>
      <c r="AI4" s="83">
        <f>Indicadores!$M400</f>
        <v>0.11666666666666667</v>
      </c>
      <c r="AJ4" s="83">
        <f>Indicadores!$M412</f>
        <v>0</v>
      </c>
      <c r="AK4" s="83">
        <f>Indicadores!$M424</f>
        <v>0.26710066535828825</v>
      </c>
      <c r="AL4" s="83">
        <f>Indicadores!$M436</f>
        <v>5.6577470398667484E-4</v>
      </c>
      <c r="AM4" s="83">
        <f>Indicadores!$M448</f>
        <v>0</v>
      </c>
      <c r="AN4" s="83">
        <f>Indicadores!$M460</f>
        <v>0</v>
      </c>
      <c r="AO4" s="83">
        <f>Indicadores!$M472</f>
        <v>0.12797899027908435</v>
      </c>
      <c r="AP4" s="83">
        <f>Indicadores!$M484</f>
        <v>0</v>
      </c>
      <c r="AQ4" s="83">
        <f>Indicadores!$M496</f>
        <v>0.28083333333333332</v>
      </c>
      <c r="AR4" s="83">
        <f>Indicadores!$M508</f>
        <v>0.23333333333333334</v>
      </c>
      <c r="AS4" s="83">
        <f>Indicadores!$M520</f>
        <v>0</v>
      </c>
      <c r="AT4" s="83">
        <f>Indicadores!$M532</f>
        <v>7.407407407407407E-2</v>
      </c>
      <c r="AU4" s="83">
        <f>Indicadores!$M544</f>
        <v>0.65151515151515149</v>
      </c>
      <c r="AV4" s="83">
        <f>Indicadores!$M556</f>
        <v>0</v>
      </c>
      <c r="AW4" s="83">
        <f>Indicadores!$M568</f>
        <v>0.30228485185185189</v>
      </c>
      <c r="AX4" s="83">
        <f>Indicadores!$M580</f>
        <v>0</v>
      </c>
      <c r="AY4" s="83" t="e">
        <f>Indicadores!$M592</f>
        <v>#DIV/0!</v>
      </c>
      <c r="AZ4" s="83">
        <f>Indicadores!$M604</f>
        <v>0</v>
      </c>
      <c r="BA4" s="83">
        <f>Indicadores!$M616</f>
        <v>0.48857142857142855</v>
      </c>
      <c r="BB4" s="83">
        <f>Indicadores!$M628</f>
        <v>0</v>
      </c>
      <c r="BC4" s="83">
        <f>Indicadores!$M640</f>
        <v>0.35625000000000001</v>
      </c>
      <c r="BD4" s="83" t="e">
        <f>Indicadores!$M652</f>
        <v>#DIV/0!</v>
      </c>
      <c r="BE4" s="83">
        <f>Indicadores!$M664</f>
        <v>5.5917622159035313E-2</v>
      </c>
      <c r="BF4" s="83">
        <f>Indicadores!$M676</f>
        <v>0</v>
      </c>
      <c r="BG4" s="83">
        <f>Indicadores!$M688</f>
        <v>0</v>
      </c>
      <c r="BH4" s="83">
        <f>Indicadores!$M700</f>
        <v>0.21674734484502564</v>
      </c>
      <c r="BI4" s="84">
        <f t="shared" si="2"/>
        <v>0.13411292471649494</v>
      </c>
      <c r="BJ4" s="84">
        <f>BI4+BL4</f>
        <v>0.29721906787058483</v>
      </c>
      <c r="BK4" s="84">
        <f>BI4-BL4</f>
        <v>-2.899321843759492E-2</v>
      </c>
      <c r="BL4" s="85">
        <f t="shared" si="3"/>
        <v>0.16310614315408986</v>
      </c>
    </row>
    <row r="5" spans="1:64" ht="15" x14ac:dyDescent="0.2">
      <c r="A5" s="20" t="s">
        <v>154</v>
      </c>
      <c r="B5" s="83">
        <f>Indicadores!$M5</f>
        <v>0.44892215568862276</v>
      </c>
      <c r="C5" s="83">
        <f>Indicadores!$M17</f>
        <v>0.183</v>
      </c>
      <c r="D5" s="83">
        <f>Indicadores!$M29</f>
        <v>0.29358664799606404</v>
      </c>
      <c r="E5" s="83">
        <f>Indicadores!$M41</f>
        <v>0.22347599999999998</v>
      </c>
      <c r="F5" s="83">
        <f>Indicadores!$M53</f>
        <v>0.43333333333333335</v>
      </c>
      <c r="G5" s="83">
        <f>Indicadores!$M65</f>
        <v>0.37784615384615383</v>
      </c>
      <c r="H5" s="83">
        <f>Indicadores!$M77</f>
        <v>6.6666666666666666E-2</v>
      </c>
      <c r="I5" s="83">
        <f>Indicadores!$M89</f>
        <v>4.7500000000000001E-2</v>
      </c>
      <c r="J5" s="83">
        <f>Indicadores!$M101</f>
        <v>0.29437724088174005</v>
      </c>
      <c r="K5" s="83" t="e">
        <f>Indicadores!$M113</f>
        <v>#DIV/0!</v>
      </c>
      <c r="L5" s="83">
        <f>Indicadores!$M125</f>
        <v>3.880597014925373E-2</v>
      </c>
      <c r="M5" s="83">
        <f>Indicadores!$M137</f>
        <v>0</v>
      </c>
      <c r="N5" s="83">
        <f>Indicadores!$M149</f>
        <v>4.423696445803052E-2</v>
      </c>
      <c r="O5" s="83">
        <f>Indicadores!$M161</f>
        <v>4.2361111111111113E-2</v>
      </c>
      <c r="P5" s="83">
        <f>Indicadores!$M173</f>
        <v>4.0935672514619881E-2</v>
      </c>
      <c r="Q5" s="83">
        <f>Indicadores!$M185</f>
        <v>5.0294117647058822E-2</v>
      </c>
      <c r="R5" s="83">
        <f>Indicadores!$M197</f>
        <v>0.27272727272727271</v>
      </c>
      <c r="S5" s="83">
        <f>Indicadores!$M209</f>
        <v>0.23227999999999999</v>
      </c>
      <c r="T5" s="83">
        <f>Indicadores!$M221</f>
        <v>0.30541666666666667</v>
      </c>
      <c r="U5" s="83">
        <f>Indicadores!$M233</f>
        <v>0</v>
      </c>
      <c r="V5" s="83">
        <f>Indicadores!$M245</f>
        <v>9.5706975017998228E-2</v>
      </c>
      <c r="W5" s="83" t="e">
        <f>Indicadores!$M257</f>
        <v>#DIV/0!</v>
      </c>
      <c r="X5" s="83">
        <f>Indicadores!$M269</f>
        <v>0.52200951546379271</v>
      </c>
      <c r="Y5" s="83">
        <f>Indicadores!$M281</f>
        <v>2.0075345943115979E-2</v>
      </c>
      <c r="Z5" s="83">
        <f>Indicadores!$M293</f>
        <v>0</v>
      </c>
      <c r="AA5" s="83">
        <f>Indicadores!$M305</f>
        <v>0</v>
      </c>
      <c r="AB5" s="83">
        <f>Indicadores!$M317</f>
        <v>0.45100000000000001</v>
      </c>
      <c r="AC5" s="83">
        <f>Indicadores!$M329</f>
        <v>0.32027222222222218</v>
      </c>
      <c r="AD5" s="83">
        <f>Indicadores!$M341</f>
        <v>0</v>
      </c>
      <c r="AE5" s="83">
        <f>Indicadores!$M353</f>
        <v>0</v>
      </c>
      <c r="AF5" s="83">
        <f>Indicadores!$M365</f>
        <v>8.5714285714285715E-2</v>
      </c>
      <c r="AG5" s="83">
        <f>Indicadores!$M377</f>
        <v>0</v>
      </c>
      <c r="AH5" s="83">
        <f>Indicadores!$M389</f>
        <v>0</v>
      </c>
      <c r="AI5" s="83">
        <f>Indicadores!$M401</f>
        <v>0.11666666666666667</v>
      </c>
      <c r="AJ5" s="83">
        <f>Indicadores!$M413</f>
        <v>0</v>
      </c>
      <c r="AK5" s="83">
        <f>Indicadores!$M425</f>
        <v>0.36985623793340033</v>
      </c>
      <c r="AL5" s="83">
        <f>Indicadores!$M437</f>
        <v>5.6577470398667484E-4</v>
      </c>
      <c r="AM5" s="83">
        <f>Indicadores!$M449</f>
        <v>0</v>
      </c>
      <c r="AN5" s="83">
        <f>Indicadores!$M461</f>
        <v>0</v>
      </c>
      <c r="AO5" s="83">
        <f>Indicadores!$M473</f>
        <v>0.17031201003449356</v>
      </c>
      <c r="AP5" s="83">
        <f>Indicadores!$M485</f>
        <v>0</v>
      </c>
      <c r="AQ5" s="83">
        <f>Indicadores!$M497</f>
        <v>0.31666666666666665</v>
      </c>
      <c r="AR5" s="83">
        <f>Indicadores!$M509</f>
        <v>0.23333333333333334</v>
      </c>
      <c r="AS5" s="83">
        <f>Indicadores!$M521</f>
        <v>0</v>
      </c>
      <c r="AT5" s="83">
        <f>Indicadores!$M533</f>
        <v>0.1111111111111111</v>
      </c>
      <c r="AU5" s="83">
        <f>Indicadores!$M545</f>
        <v>0.65151515151515149</v>
      </c>
      <c r="AV5" s="83">
        <f>Indicadores!$M557</f>
        <v>0</v>
      </c>
      <c r="AW5" s="83">
        <f>Indicadores!$M569</f>
        <v>0.30306262962962965</v>
      </c>
      <c r="AX5" s="83">
        <f>Indicadores!$M581</f>
        <v>0</v>
      </c>
      <c r="AY5" s="83" t="e">
        <f>Indicadores!$M593</f>
        <v>#DIV/0!</v>
      </c>
      <c r="AZ5" s="83">
        <f>Indicadores!$M605</f>
        <v>0</v>
      </c>
      <c r="BA5" s="83">
        <f>Indicadores!$M617</f>
        <v>0.48857142857142855</v>
      </c>
      <c r="BB5" s="83">
        <f>Indicadores!$M629</f>
        <v>0.18474583333333333</v>
      </c>
      <c r="BC5" s="83">
        <f>Indicadores!$M641</f>
        <v>0.35625000000000001</v>
      </c>
      <c r="BD5" s="83" t="e">
        <f>Indicadores!$M653</f>
        <v>#DIV/0!</v>
      </c>
      <c r="BE5" s="83">
        <f>Indicadores!$M665</f>
        <v>5.5917622159035313E-2</v>
      </c>
      <c r="BF5" s="83">
        <f>Indicadores!$M677</f>
        <v>0</v>
      </c>
      <c r="BG5" s="83">
        <f>Indicadores!$M689</f>
        <v>0</v>
      </c>
      <c r="BH5" s="83">
        <f>Indicadores!$M701</f>
        <v>0.21674734484502564</v>
      </c>
      <c r="BI5" s="84">
        <f t="shared" si="2"/>
        <v>0.15392483870093213</v>
      </c>
      <c r="BJ5" s="84">
        <f t="shared" ref="BJ5:BJ13" si="4">BI5+BL5</f>
        <v>0.32772007016950033</v>
      </c>
      <c r="BK5" s="84">
        <f t="shared" si="1"/>
        <v>-1.9870392767636053E-2</v>
      </c>
      <c r="BL5" s="85">
        <f t="shared" si="3"/>
        <v>0.17379523146856818</v>
      </c>
    </row>
    <row r="6" spans="1:64" ht="15" x14ac:dyDescent="0.2">
      <c r="A6" s="20" t="s">
        <v>155</v>
      </c>
      <c r="B6" s="83">
        <f>Indicadores!$M6</f>
        <v>0.44892215568862276</v>
      </c>
      <c r="C6" s="83">
        <f>Indicadores!$M18</f>
        <v>0.183</v>
      </c>
      <c r="D6" s="83">
        <f>Indicadores!$M30</f>
        <v>0.29358664799606404</v>
      </c>
      <c r="E6" s="83">
        <f>Indicadores!$M42</f>
        <v>0.36147599999999996</v>
      </c>
      <c r="F6" s="83">
        <f>Indicadores!$M54</f>
        <v>0.43333333333333335</v>
      </c>
      <c r="G6" s="83">
        <f>Indicadores!$M66</f>
        <v>0.46076923076923076</v>
      </c>
      <c r="H6" s="83">
        <f>Indicadores!$M78</f>
        <v>6.6666666666666666E-2</v>
      </c>
      <c r="I6" s="83">
        <f>Indicadores!$M90</f>
        <v>0.19056909999999999</v>
      </c>
      <c r="J6" s="83">
        <f>Indicadores!$M102</f>
        <v>0.39208792496639822</v>
      </c>
      <c r="K6" s="83" t="e">
        <f>Indicadores!$M114</f>
        <v>#DIV/0!</v>
      </c>
      <c r="L6" s="83">
        <f>Indicadores!$M126</f>
        <v>0.19179104477611941</v>
      </c>
      <c r="M6" s="83">
        <f>Indicadores!$M138</f>
        <v>0</v>
      </c>
      <c r="N6" s="83">
        <f>Indicadores!$M150</f>
        <v>8.3240682632548538E-2</v>
      </c>
      <c r="O6" s="83">
        <f>Indicadores!$M162</f>
        <v>0.12256944444444444</v>
      </c>
      <c r="P6" s="83">
        <f>Indicadores!$M174</f>
        <v>4.0935672514619881E-2</v>
      </c>
      <c r="Q6" s="83">
        <f>Indicadores!$M186</f>
        <v>0.12794117647058822</v>
      </c>
      <c r="R6" s="83">
        <f>Indicadores!$M198</f>
        <v>0.27272727272727271</v>
      </c>
      <c r="S6" s="83">
        <f>Indicadores!$M210</f>
        <v>0.31228</v>
      </c>
      <c r="T6" s="83">
        <f>Indicadores!$M222</f>
        <v>0.42841666666666667</v>
      </c>
      <c r="U6" s="83">
        <f>Indicadores!$M234</f>
        <v>0</v>
      </c>
      <c r="V6" s="83">
        <f>Indicadores!$M246</f>
        <v>9.5706975017998228E-2</v>
      </c>
      <c r="W6" s="83" t="e">
        <f>Indicadores!$M258</f>
        <v>#DIV/0!</v>
      </c>
      <c r="X6" s="83">
        <f>Indicadores!$M270</f>
        <v>0.68396520650518255</v>
      </c>
      <c r="Y6" s="83">
        <f>Indicadores!$M282</f>
        <v>2.0075345943115979E-2</v>
      </c>
      <c r="Z6" s="83">
        <f>Indicadores!$M294</f>
        <v>0</v>
      </c>
      <c r="AA6" s="83">
        <f>Indicadores!$M306</f>
        <v>0</v>
      </c>
      <c r="AB6" s="83">
        <f>Indicadores!$M318</f>
        <v>0.4511</v>
      </c>
      <c r="AC6" s="83">
        <f>Indicadores!$M330</f>
        <v>0.43835555555555555</v>
      </c>
      <c r="AD6" s="83">
        <f>Indicadores!$M342</f>
        <v>0</v>
      </c>
      <c r="AE6" s="83">
        <f>Indicadores!$M354</f>
        <v>0</v>
      </c>
      <c r="AF6" s="83">
        <f>Indicadores!$M366</f>
        <v>8.5714285714285715E-2</v>
      </c>
      <c r="AG6" s="83">
        <f>Indicadores!$M378</f>
        <v>0</v>
      </c>
      <c r="AH6" s="83">
        <f>Indicadores!$M390</f>
        <v>0.2</v>
      </c>
      <c r="AI6" s="83">
        <f>Indicadores!$M402</f>
        <v>0.11666666666666667</v>
      </c>
      <c r="AJ6" s="83">
        <f>Indicadores!$M414</f>
        <v>3.7037037037037035E-2</v>
      </c>
      <c r="AK6" s="83">
        <f>Indicadores!$M426</f>
        <v>0.36985623793340033</v>
      </c>
      <c r="AL6" s="83">
        <f>Indicadores!$M438</f>
        <v>8.7129304413947929E-3</v>
      </c>
      <c r="AM6" s="83">
        <f>Indicadores!$M450</f>
        <v>0</v>
      </c>
      <c r="AN6" s="83">
        <f>Indicadores!$M462</f>
        <v>0</v>
      </c>
      <c r="AO6" s="83">
        <f>Indicadores!$M474</f>
        <v>0.17031201003449356</v>
      </c>
      <c r="AP6" s="83">
        <f>Indicadores!$M486</f>
        <v>0</v>
      </c>
      <c r="AQ6" s="83">
        <f>Indicadores!$M498</f>
        <v>0.4</v>
      </c>
      <c r="AR6" s="83">
        <f>Indicadores!$M510</f>
        <v>0.95</v>
      </c>
      <c r="AS6" s="83">
        <f>Indicadores!$M522</f>
        <v>0</v>
      </c>
      <c r="AT6" s="83">
        <f>Indicadores!$M534</f>
        <v>0.1111111111111111</v>
      </c>
      <c r="AU6" s="83">
        <f>Indicadores!$M546</f>
        <v>0.65151515151515149</v>
      </c>
      <c r="AV6" s="83">
        <f>Indicadores!$M558</f>
        <v>0</v>
      </c>
      <c r="AW6" s="83">
        <f>Indicadores!$M570</f>
        <v>0.48242981481481484</v>
      </c>
      <c r="AX6" s="83">
        <f>Indicadores!$M582</f>
        <v>0</v>
      </c>
      <c r="AY6" s="83" t="e">
        <f>Indicadores!$M594</f>
        <v>#DIV/0!</v>
      </c>
      <c r="AZ6" s="83">
        <f>Indicadores!$M606</f>
        <v>0.188</v>
      </c>
      <c r="BA6" s="83">
        <f>Indicadores!$M618</f>
        <v>0.48857142857142855</v>
      </c>
      <c r="BB6" s="83">
        <f>Indicadores!$M630</f>
        <v>0.26807916666666665</v>
      </c>
      <c r="BC6" s="83">
        <f>Indicadores!$M642</f>
        <v>0.7</v>
      </c>
      <c r="BD6" s="83" t="e">
        <f>Indicadores!$M654</f>
        <v>#DIV/0!</v>
      </c>
      <c r="BE6" s="83">
        <f>Indicadores!$M666</f>
        <v>8.2338698629179488E-2</v>
      </c>
      <c r="BF6" s="83">
        <f>Indicadores!$M678</f>
        <v>0</v>
      </c>
      <c r="BG6" s="83">
        <f>Indicadores!$M690</f>
        <v>0</v>
      </c>
      <c r="BH6" s="83">
        <f>Indicadores!$M702</f>
        <v>0.21674734484502564</v>
      </c>
      <c r="BI6" s="84">
        <f t="shared" si="2"/>
        <v>0.21139287248463789</v>
      </c>
      <c r="BJ6" s="84">
        <f t="shared" si="4"/>
        <v>0.43680804416292918</v>
      </c>
      <c r="BK6" s="84">
        <f t="shared" si="1"/>
        <v>-1.4022299193653387E-2</v>
      </c>
      <c r="BL6" s="85">
        <f t="shared" si="3"/>
        <v>0.22541517167829128</v>
      </c>
    </row>
    <row r="7" spans="1:64" ht="15" x14ac:dyDescent="0.2">
      <c r="A7" s="20" t="s">
        <v>156</v>
      </c>
      <c r="B7" s="83">
        <f>Indicadores!$M7</f>
        <v>0.58185628742514972</v>
      </c>
      <c r="C7" s="83">
        <f>Indicadores!$M19</f>
        <v>0.1835</v>
      </c>
      <c r="D7" s="83">
        <f>Indicadores!$M31</f>
        <v>0.3087249744540741</v>
      </c>
      <c r="E7" s="83">
        <f>Indicadores!$M43</f>
        <v>0.405476</v>
      </c>
      <c r="F7" s="83">
        <f>Indicadores!$M55</f>
        <v>0.98699999999999999</v>
      </c>
      <c r="G7" s="83">
        <f>Indicadores!$M67</f>
        <v>0.5356153846153846</v>
      </c>
      <c r="H7" s="83">
        <f>Indicadores!$M79</f>
        <v>6.6666666666666666E-2</v>
      </c>
      <c r="I7" s="83">
        <f>Indicadores!$M91</f>
        <v>0.56354229999999994</v>
      </c>
      <c r="J7" s="83">
        <f>Indicadores!$M103</f>
        <v>0.45962109642520999</v>
      </c>
      <c r="K7" s="83" t="e">
        <f>Indicadores!$M115</f>
        <v>#DIV/0!</v>
      </c>
      <c r="L7" s="83">
        <f>Indicadores!$M127</f>
        <v>0.19179104477611941</v>
      </c>
      <c r="M7" s="83">
        <f>Indicadores!$M139</f>
        <v>0</v>
      </c>
      <c r="N7" s="83">
        <f>Indicadores!$M151</f>
        <v>0.13409397331821771</v>
      </c>
      <c r="O7" s="83">
        <f>Indicadores!$M163</f>
        <v>0.17118055555555556</v>
      </c>
      <c r="P7" s="83">
        <f>Indicadores!$M175</f>
        <v>4.0935672514619881E-2</v>
      </c>
      <c r="Q7" s="83">
        <f>Indicadores!$M187</f>
        <v>0.12794117647058822</v>
      </c>
      <c r="R7" s="83">
        <f>Indicadores!$M199</f>
        <v>0.45151515151515154</v>
      </c>
      <c r="S7" s="83">
        <f>Indicadores!$M211</f>
        <v>0.51807999999999998</v>
      </c>
      <c r="T7" s="83">
        <f>Indicadores!$M223</f>
        <v>0.60099999999999998</v>
      </c>
      <c r="U7" s="83">
        <f>Indicadores!$M235</f>
        <v>0</v>
      </c>
      <c r="V7" s="83">
        <f>Indicadores!$M247</f>
        <v>9.5706975017998228E-2</v>
      </c>
      <c r="W7" s="83" t="e">
        <f>Indicadores!$M259</f>
        <v>#DIV/0!</v>
      </c>
      <c r="X7" s="83">
        <f>Indicadores!$M271</f>
        <v>0.80599057641907024</v>
      </c>
      <c r="Y7" s="83">
        <f>Indicadores!$M283</f>
        <v>0.57361946336487102</v>
      </c>
      <c r="Z7" s="83">
        <f>Indicadores!$M295</f>
        <v>0</v>
      </c>
      <c r="AA7" s="83">
        <f>Indicadores!$M307</f>
        <v>0</v>
      </c>
      <c r="AB7" s="83">
        <f>Indicadores!$M319</f>
        <v>0.4511</v>
      </c>
      <c r="AC7" s="83">
        <f>Indicadores!$M331</f>
        <v>0.48004999999999998</v>
      </c>
      <c r="AD7" s="83">
        <f>Indicadores!$M343</f>
        <v>0</v>
      </c>
      <c r="AE7" s="83">
        <f>Indicadores!$M355</f>
        <v>0</v>
      </c>
      <c r="AF7" s="83">
        <f>Indicadores!$M367</f>
        <v>0.33904761904761904</v>
      </c>
      <c r="AG7" s="83">
        <f>Indicadores!$M379</f>
        <v>0</v>
      </c>
      <c r="AH7" s="83">
        <f>Indicadores!$M391</f>
        <v>0.4</v>
      </c>
      <c r="AI7" s="83">
        <f>Indicadores!$M403</f>
        <v>0.11666666666666667</v>
      </c>
      <c r="AJ7" s="83">
        <f>Indicadores!$M415</f>
        <v>0.10493827160493827</v>
      </c>
      <c r="AK7" s="83">
        <f>Indicadores!$M427</f>
        <v>0.37222089256936802</v>
      </c>
      <c r="AL7" s="83">
        <f>Indicadores!$M439</f>
        <v>1.2107578665314842E-2</v>
      </c>
      <c r="AM7" s="83">
        <f>Indicadores!$M451</f>
        <v>0</v>
      </c>
      <c r="AN7" s="83">
        <f>Indicadores!$M463</f>
        <v>0</v>
      </c>
      <c r="AO7" s="83">
        <f>Indicadores!$M475</f>
        <v>0.19853402320476637</v>
      </c>
      <c r="AP7" s="83">
        <f>Indicadores!$M487</f>
        <v>0.13913167259786477</v>
      </c>
      <c r="AQ7" s="83">
        <f>Indicadores!$M499</f>
        <v>0.45950000000000002</v>
      </c>
      <c r="AR7" s="83">
        <f>Indicadores!$M511</f>
        <v>0.95</v>
      </c>
      <c r="AS7" s="83">
        <f>Indicadores!$M523</f>
        <v>0</v>
      </c>
      <c r="AT7" s="83">
        <f>Indicadores!$M535</f>
        <v>0.1111111111111111</v>
      </c>
      <c r="AU7" s="83">
        <f>Indicadores!$M547</f>
        <v>0.65151515151515149</v>
      </c>
      <c r="AV7" s="83">
        <f>Indicadores!$M559</f>
        <v>0</v>
      </c>
      <c r="AW7" s="83">
        <f>Indicadores!$M571</f>
        <v>0.60150744444444448</v>
      </c>
      <c r="AX7" s="83">
        <f>Indicadores!$M583</f>
        <v>0</v>
      </c>
      <c r="AY7" s="83" t="e">
        <f>Indicadores!$M595</f>
        <v>#DIV/0!</v>
      </c>
      <c r="AZ7" s="83">
        <f>Indicadores!$M607</f>
        <v>0.188</v>
      </c>
      <c r="BA7" s="83">
        <f>Indicadores!$M619</f>
        <v>0.7628571428571429</v>
      </c>
      <c r="BB7" s="83">
        <f>Indicadores!$M631</f>
        <v>0.48057916666666667</v>
      </c>
      <c r="BC7" s="83">
        <f>Indicadores!$M643</f>
        <v>0.7</v>
      </c>
      <c r="BD7" s="83" t="e">
        <f>Indicadores!$M655</f>
        <v>#DIV/0!</v>
      </c>
      <c r="BE7" s="83">
        <f>Indicadores!$M667</f>
        <v>8.2338698629179488E-2</v>
      </c>
      <c r="BF7" s="83">
        <f>Indicadores!$M679</f>
        <v>0</v>
      </c>
      <c r="BG7" s="83">
        <f>Indicadores!$M691</f>
        <v>0</v>
      </c>
      <c r="BH7" s="83">
        <f>Indicadores!$M703</f>
        <v>0.21674734484502564</v>
      </c>
      <c r="BI7" s="84">
        <f t="shared" si="2"/>
        <v>0.28403291059934432</v>
      </c>
      <c r="BJ7" s="84">
        <f t="shared" si="4"/>
        <v>0.56118246348434164</v>
      </c>
      <c r="BK7" s="84">
        <f t="shared" si="1"/>
        <v>6.8833577143469493E-3</v>
      </c>
      <c r="BL7" s="85">
        <f t="shared" si="3"/>
        <v>0.27714955288499737</v>
      </c>
    </row>
    <row r="8" spans="1:64" ht="15" x14ac:dyDescent="0.2">
      <c r="A8" s="20" t="s">
        <v>157</v>
      </c>
      <c r="B8" s="83">
        <f>Indicadores!$M8</f>
        <v>0.58185628742514972</v>
      </c>
      <c r="C8" s="83">
        <f>Indicadores!$M20</f>
        <v>0.1835</v>
      </c>
      <c r="D8" s="83">
        <f>Indicadores!$M32</f>
        <v>1.0222447615082819</v>
      </c>
      <c r="E8" s="83">
        <f>Indicadores!$M44</f>
        <v>0.405476</v>
      </c>
      <c r="F8" s="83">
        <f>Indicadores!$M56</f>
        <v>1.2743249999999999</v>
      </c>
      <c r="G8" s="83">
        <f>Indicadores!$M68</f>
        <v>0.59886769230769232</v>
      </c>
      <c r="H8" s="83">
        <f>Indicadores!$M80</f>
        <v>6.6666666666666666E-2</v>
      </c>
      <c r="I8" s="83">
        <f>Indicadores!$M92</f>
        <v>0.56354229999999994</v>
      </c>
      <c r="J8" s="83">
        <f>Indicadores!$M104</f>
        <v>0.59695807742875873</v>
      </c>
      <c r="K8" s="83" t="e">
        <f>Indicadores!$M116</f>
        <v>#DIV/0!</v>
      </c>
      <c r="L8" s="83">
        <f>Indicadores!$M128</f>
        <v>0.54626865671641789</v>
      </c>
      <c r="M8" s="83">
        <f>Indicadores!$M140</f>
        <v>0</v>
      </c>
      <c r="N8" s="83">
        <f>Indicadores!$M152</f>
        <v>0.25906782463172529</v>
      </c>
      <c r="O8" s="83">
        <f>Indicadores!$M164</f>
        <v>0.36562499999999998</v>
      </c>
      <c r="P8" s="83">
        <f>Indicadores!$M176</f>
        <v>0.34795321637426901</v>
      </c>
      <c r="Q8" s="83">
        <f>Indicadores!$M188</f>
        <v>0.16029411764705884</v>
      </c>
      <c r="R8" s="83">
        <f>Indicadores!$M200</f>
        <v>1.5060606060606061</v>
      </c>
      <c r="S8" s="83">
        <f>Indicadores!$M212</f>
        <v>0.72287199999999996</v>
      </c>
      <c r="T8" s="83">
        <f>Indicadores!$M224</f>
        <v>0.61224999999999996</v>
      </c>
      <c r="U8" s="83">
        <f>Indicadores!$M236</f>
        <v>7.4999999999999997E-2</v>
      </c>
      <c r="V8" s="83">
        <f>Indicadores!$M248</f>
        <v>9.5706975017998228E-2</v>
      </c>
      <c r="W8" s="83" t="e">
        <f>Indicadores!$M260</f>
        <v>#DIV/0!</v>
      </c>
      <c r="X8" s="83">
        <f>Indicadores!$M272</f>
        <v>0.90396533532743983</v>
      </c>
      <c r="Y8" s="83">
        <f>Indicadores!$M284</f>
        <v>0.65709063860203742</v>
      </c>
      <c r="Z8" s="83">
        <f>Indicadores!$M296</f>
        <v>0</v>
      </c>
      <c r="AA8" s="83">
        <f>Indicadores!$M308</f>
        <v>0</v>
      </c>
      <c r="AB8" s="83">
        <f>Indicadores!$M320</f>
        <v>0.4511</v>
      </c>
      <c r="AC8" s="83">
        <f>Indicadores!$M332</f>
        <v>0.73573888888888883</v>
      </c>
      <c r="AD8" s="83">
        <f>Indicadores!$M344</f>
        <v>0</v>
      </c>
      <c r="AE8" s="83">
        <f>Indicadores!$M356</f>
        <v>0</v>
      </c>
      <c r="AF8" s="83">
        <f>Indicadores!$M368</f>
        <v>1.9875347619047621</v>
      </c>
      <c r="AG8" s="83">
        <f>Indicadores!$M380</f>
        <v>0</v>
      </c>
      <c r="AH8" s="83">
        <f>Indicadores!$M392</f>
        <v>0.5714285714285714</v>
      </c>
      <c r="AI8" s="83">
        <f>Indicadores!$M404</f>
        <v>0.11666666666666667</v>
      </c>
      <c r="AJ8" s="83">
        <f>Indicadores!$M416</f>
        <v>0.48765432098765432</v>
      </c>
      <c r="AK8" s="83">
        <f>Indicadores!$M428</f>
        <v>0.64840226253729683</v>
      </c>
      <c r="AL8" s="83">
        <f>Indicadores!$M440</f>
        <v>1.2107578665314842E-2</v>
      </c>
      <c r="AM8" s="83">
        <f>Indicadores!$M452</f>
        <v>0</v>
      </c>
      <c r="AN8" s="83">
        <f>Indicadores!$M464</f>
        <v>0</v>
      </c>
      <c r="AO8" s="83">
        <f>Indicadores!$M476</f>
        <v>0.26551426779554721</v>
      </c>
      <c r="AP8" s="83">
        <f>Indicadores!$M488</f>
        <v>0.13913167259786477</v>
      </c>
      <c r="AQ8" s="83">
        <f>Indicadores!$M500</f>
        <v>0.54283333333333328</v>
      </c>
      <c r="AR8" s="83">
        <f>Indicadores!$M512</f>
        <v>1.2</v>
      </c>
      <c r="AS8" s="83">
        <f>Indicadores!$M524</f>
        <v>0.13210445468509985</v>
      </c>
      <c r="AT8" s="83">
        <f>Indicadores!$M536</f>
        <v>0.1111111111111111</v>
      </c>
      <c r="AU8" s="83">
        <f>Indicadores!$M548</f>
        <v>0.65151515151515149</v>
      </c>
      <c r="AV8" s="83">
        <f>Indicadores!$M560</f>
        <v>0</v>
      </c>
      <c r="AW8" s="83">
        <f>Indicadores!$M572</f>
        <v>0.71379088888888886</v>
      </c>
      <c r="AX8" s="83">
        <f>Indicadores!$M584</f>
        <v>0</v>
      </c>
      <c r="AY8" s="83" t="e">
        <f>Indicadores!$M596</f>
        <v>#DIV/0!</v>
      </c>
      <c r="AZ8" s="83">
        <f>Indicadores!$M608</f>
        <v>0.188</v>
      </c>
      <c r="BA8" s="83">
        <f>Indicadores!$M620</f>
        <v>0.7628571428571429</v>
      </c>
      <c r="BB8" s="83">
        <f>Indicadores!$M632</f>
        <v>0.48057916666666667</v>
      </c>
      <c r="BC8" s="83">
        <f>Indicadores!$M644</f>
        <v>0.7</v>
      </c>
      <c r="BD8" s="83" t="e">
        <f>Indicadores!$M656</f>
        <v>#DIV/0!</v>
      </c>
      <c r="BE8" s="83">
        <f>Indicadores!$M668</f>
        <v>9.6318104168938323E-2</v>
      </c>
      <c r="BF8" s="83">
        <f>Indicadores!$M680</f>
        <v>0</v>
      </c>
      <c r="BG8" s="83">
        <f>Indicadores!$M692</f>
        <v>0</v>
      </c>
      <c r="BH8" s="83">
        <f>Indicadores!$M704</f>
        <v>0.58557907665631093</v>
      </c>
      <c r="BI8" s="84">
        <f t="shared" si="2"/>
        <v>0.42046470140126019</v>
      </c>
      <c r="BJ8" s="84">
        <f t="shared" si="4"/>
        <v>0.84574683442734511</v>
      </c>
      <c r="BK8" s="84">
        <f t="shared" si="1"/>
        <v>-4.8174316248247306E-3</v>
      </c>
      <c r="BL8" s="85">
        <f t="shared" si="3"/>
        <v>0.42528213302608492</v>
      </c>
    </row>
    <row r="9" spans="1:64" ht="15" x14ac:dyDescent="0.2">
      <c r="A9" s="20" t="s">
        <v>158</v>
      </c>
      <c r="B9" s="83">
        <f>Indicadores!$M9</f>
        <v>0.58185628742514972</v>
      </c>
      <c r="C9" s="83">
        <f>Indicadores!$M21</f>
        <v>0.1835</v>
      </c>
      <c r="D9" s="83">
        <f>Indicadores!$M33</f>
        <v>1.0222447615082819</v>
      </c>
      <c r="E9" s="83">
        <f>Indicadores!$M45</f>
        <v>0.405476</v>
      </c>
      <c r="F9" s="83">
        <f>Indicadores!$M57</f>
        <v>1.2743249999999999</v>
      </c>
      <c r="G9" s="83">
        <f>Indicadores!$M69</f>
        <v>0.59886769230769232</v>
      </c>
      <c r="H9" s="83">
        <f>Indicadores!$M81</f>
        <v>6.6666666666666666E-2</v>
      </c>
      <c r="I9" s="83">
        <f>Indicadores!$M93</f>
        <v>0.56354229999999994</v>
      </c>
      <c r="J9" s="83">
        <f>Indicadores!$M105</f>
        <v>0.59695807742875873</v>
      </c>
      <c r="K9" s="83" t="e">
        <f>Indicadores!$M117</f>
        <v>#DIV/0!</v>
      </c>
      <c r="L9" s="83">
        <f>Indicadores!$M129</f>
        <v>0.54626865671641789</v>
      </c>
      <c r="M9" s="83">
        <f>Indicadores!$M141</f>
        <v>0</v>
      </c>
      <c r="N9" s="83">
        <f>Indicadores!$M153</f>
        <v>0.25906782463172529</v>
      </c>
      <c r="O9" s="83">
        <f>Indicadores!$M165</f>
        <v>0.36562499999999998</v>
      </c>
      <c r="P9" s="83">
        <f>Indicadores!$M177</f>
        <v>0.34795321637426901</v>
      </c>
      <c r="Q9" s="83">
        <f>Indicadores!$M189</f>
        <v>0.16029411764705884</v>
      </c>
      <c r="R9" s="83">
        <f>Indicadores!$M201</f>
        <v>1.5060606060606061</v>
      </c>
      <c r="S9" s="83">
        <f>Indicadores!$M213</f>
        <v>0.72287199999999996</v>
      </c>
      <c r="T9" s="83">
        <f>Indicadores!$M225</f>
        <v>0.61224999999999996</v>
      </c>
      <c r="U9" s="83">
        <f>Indicadores!$M237</f>
        <v>7.4999999999999997E-2</v>
      </c>
      <c r="V9" s="83">
        <f>Indicadores!$M249</f>
        <v>9.5706975017998228E-2</v>
      </c>
      <c r="W9" s="83" t="e">
        <f>Indicadores!$M261</f>
        <v>#DIV/0!</v>
      </c>
      <c r="X9" s="83">
        <f>Indicadores!$M273</f>
        <v>0.90396533532743983</v>
      </c>
      <c r="Y9" s="83">
        <f>Indicadores!$M285</f>
        <v>0.65709063860203742</v>
      </c>
      <c r="Z9" s="83">
        <f>Indicadores!$M297</f>
        <v>0</v>
      </c>
      <c r="AA9" s="83">
        <f>Indicadores!$M309</f>
        <v>0</v>
      </c>
      <c r="AB9" s="83">
        <f>Indicadores!$M321</f>
        <v>0.4511</v>
      </c>
      <c r="AC9" s="83">
        <f>Indicadores!$M333</f>
        <v>0.73573888888888883</v>
      </c>
      <c r="AD9" s="83">
        <f>Indicadores!$M345</f>
        <v>0</v>
      </c>
      <c r="AE9" s="83">
        <f>Indicadores!$M357</f>
        <v>0</v>
      </c>
      <c r="AF9" s="83">
        <f>Indicadores!$M369</f>
        <v>1.9875347619047621</v>
      </c>
      <c r="AG9" s="83">
        <f>Indicadores!$M381</f>
        <v>0</v>
      </c>
      <c r="AH9" s="83">
        <f>Indicadores!$M393</f>
        <v>0.5714285714285714</v>
      </c>
      <c r="AI9" s="83">
        <f>Indicadores!$M405</f>
        <v>0.11666666666666667</v>
      </c>
      <c r="AJ9" s="83">
        <f>Indicadores!$M417</f>
        <v>0.48765432098765432</v>
      </c>
      <c r="AK9" s="83">
        <f>Indicadores!$M429</f>
        <v>0.64840226253729683</v>
      </c>
      <c r="AL9" s="83">
        <f>Indicadores!$M441</f>
        <v>1.2107578665314842E-2</v>
      </c>
      <c r="AM9" s="83">
        <f>Indicadores!$M453</f>
        <v>0</v>
      </c>
      <c r="AN9" s="83">
        <f>Indicadores!$M465</f>
        <v>0</v>
      </c>
      <c r="AO9" s="83">
        <f>Indicadores!$M477</f>
        <v>0.26551426779554721</v>
      </c>
      <c r="AP9" s="83">
        <f>Indicadores!$M489</f>
        <v>0.13913167259786477</v>
      </c>
      <c r="AQ9" s="83">
        <f>Indicadores!$M501</f>
        <v>0.54283333333333328</v>
      </c>
      <c r="AR9" s="83">
        <f>Indicadores!$M513</f>
        <v>1.2</v>
      </c>
      <c r="AS9" s="83">
        <f>Indicadores!$M525</f>
        <v>0.13210445468509985</v>
      </c>
      <c r="AT9" s="83">
        <f>Indicadores!$M537</f>
        <v>0.1111111111111111</v>
      </c>
      <c r="AU9" s="83">
        <f>Indicadores!$M549</f>
        <v>0.65151515151515149</v>
      </c>
      <c r="AV9" s="83">
        <f>Indicadores!$M561</f>
        <v>0</v>
      </c>
      <c r="AW9" s="83">
        <f>Indicadores!$M573</f>
        <v>0.71379088888888886</v>
      </c>
      <c r="AX9" s="83">
        <f>Indicadores!$M585</f>
        <v>0</v>
      </c>
      <c r="AY9" s="83" t="e">
        <f>Indicadores!$M597</f>
        <v>#DIV/0!</v>
      </c>
      <c r="AZ9" s="83">
        <f>Indicadores!$M609</f>
        <v>0.188</v>
      </c>
      <c r="BA9" s="83">
        <f>Indicadores!$M621</f>
        <v>0.7628571428571429</v>
      </c>
      <c r="BB9" s="83">
        <f>Indicadores!$M633</f>
        <v>0.48057916666666667</v>
      </c>
      <c r="BC9" s="83">
        <f>Indicadores!$M645</f>
        <v>0.7</v>
      </c>
      <c r="BD9" s="83" t="e">
        <f>Indicadores!$M657</f>
        <v>#DIV/0!</v>
      </c>
      <c r="BE9" s="83">
        <f>Indicadores!$M669</f>
        <v>9.6318104168938323E-2</v>
      </c>
      <c r="BF9" s="83">
        <f>Indicadores!$M681</f>
        <v>0</v>
      </c>
      <c r="BG9" s="83">
        <f>Indicadores!$M693</f>
        <v>0</v>
      </c>
      <c r="BH9" s="83">
        <f>Indicadores!$M705</f>
        <v>0.58557907665631093</v>
      </c>
      <c r="BI9" s="84">
        <f t="shared" si="2"/>
        <v>0.42046470140126019</v>
      </c>
      <c r="BJ9" s="84">
        <f t="shared" si="4"/>
        <v>0.84574683442734511</v>
      </c>
      <c r="BK9" s="84">
        <f t="shared" si="1"/>
        <v>-4.8174316248247306E-3</v>
      </c>
      <c r="BL9" s="85">
        <f t="shared" si="3"/>
        <v>0.42528213302608492</v>
      </c>
    </row>
    <row r="10" spans="1:64" ht="15" x14ac:dyDescent="0.2">
      <c r="A10" s="20" t="s">
        <v>159</v>
      </c>
      <c r="B10" s="83">
        <f>Indicadores!$M10</f>
        <v>0.58185628742514972</v>
      </c>
      <c r="C10" s="83">
        <f>Indicadores!$M22</f>
        <v>0.1835</v>
      </c>
      <c r="D10" s="83">
        <f>Indicadores!$M34</f>
        <v>1.0222447615082819</v>
      </c>
      <c r="E10" s="83">
        <f>Indicadores!$M46</f>
        <v>0.405476</v>
      </c>
      <c r="F10" s="83">
        <f>Indicadores!$M58</f>
        <v>1.2743249999999999</v>
      </c>
      <c r="G10" s="83">
        <f>Indicadores!$M70</f>
        <v>0.59886769230769232</v>
      </c>
      <c r="H10" s="83">
        <f>Indicadores!$M82</f>
        <v>6.6666666666666666E-2</v>
      </c>
      <c r="I10" s="83">
        <f>Indicadores!$M94</f>
        <v>0.56354229999999994</v>
      </c>
      <c r="J10" s="83">
        <f>Indicadores!$M106</f>
        <v>0.59695807742875873</v>
      </c>
      <c r="K10" s="83" t="e">
        <f>Indicadores!$M118</f>
        <v>#DIV/0!</v>
      </c>
      <c r="L10" s="83">
        <f>Indicadores!$M130</f>
        <v>0.54626865671641789</v>
      </c>
      <c r="M10" s="83">
        <f>Indicadores!$M142</f>
        <v>0</v>
      </c>
      <c r="N10" s="83">
        <f>Indicadores!$M154</f>
        <v>0.25906782463172529</v>
      </c>
      <c r="O10" s="83">
        <f>Indicadores!$M166</f>
        <v>0.36562499999999998</v>
      </c>
      <c r="P10" s="83">
        <f>Indicadores!$M178</f>
        <v>0.34795321637426901</v>
      </c>
      <c r="Q10" s="83">
        <f>Indicadores!$M190</f>
        <v>0.16029411764705884</v>
      </c>
      <c r="R10" s="83">
        <f>Indicadores!$M202</f>
        <v>1.5060606060606061</v>
      </c>
      <c r="S10" s="83">
        <f>Indicadores!$M214</f>
        <v>0.72287199999999996</v>
      </c>
      <c r="T10" s="83">
        <f>Indicadores!$M226</f>
        <v>0.61224999999999996</v>
      </c>
      <c r="U10" s="83">
        <f>Indicadores!$M238</f>
        <v>7.4999999999999997E-2</v>
      </c>
      <c r="V10" s="83">
        <f>Indicadores!$M250</f>
        <v>9.5706975017998228E-2</v>
      </c>
      <c r="W10" s="83" t="e">
        <f>Indicadores!$M262</f>
        <v>#DIV/0!</v>
      </c>
      <c r="X10" s="83">
        <f>Indicadores!$M274</f>
        <v>0.90396533532743983</v>
      </c>
      <c r="Y10" s="83">
        <f>Indicadores!$M286</f>
        <v>0.65709063860203742</v>
      </c>
      <c r="Z10" s="83">
        <f>Indicadores!$M298</f>
        <v>0</v>
      </c>
      <c r="AA10" s="83">
        <f>Indicadores!$M310</f>
        <v>0</v>
      </c>
      <c r="AB10" s="83">
        <f>Indicadores!$M322</f>
        <v>0.4511</v>
      </c>
      <c r="AC10" s="83">
        <f>Indicadores!$M334</f>
        <v>0.73573888888888883</v>
      </c>
      <c r="AD10" s="83">
        <f>Indicadores!$M346</f>
        <v>0</v>
      </c>
      <c r="AE10" s="83">
        <f>Indicadores!$M358</f>
        <v>0</v>
      </c>
      <c r="AF10" s="83">
        <f>Indicadores!$M370</f>
        <v>1.9875347619047621</v>
      </c>
      <c r="AG10" s="83">
        <f>Indicadores!$M382</f>
        <v>0</v>
      </c>
      <c r="AH10" s="83">
        <f>Indicadores!$M394</f>
        <v>0.5714285714285714</v>
      </c>
      <c r="AI10" s="83">
        <f>Indicadores!$M406</f>
        <v>0.11666666666666667</v>
      </c>
      <c r="AJ10" s="83">
        <f>Indicadores!$M418</f>
        <v>0.48765432098765432</v>
      </c>
      <c r="AK10" s="83">
        <f>Indicadores!$M430</f>
        <v>0.64840226253729683</v>
      </c>
      <c r="AL10" s="83">
        <f>Indicadores!$M442</f>
        <v>1.2107578665314842E-2</v>
      </c>
      <c r="AM10" s="83">
        <f>Indicadores!$M454</f>
        <v>0</v>
      </c>
      <c r="AN10" s="83">
        <f>Indicadores!$M466</f>
        <v>0</v>
      </c>
      <c r="AO10" s="83">
        <f>Indicadores!$M478</f>
        <v>0.26551426779554721</v>
      </c>
      <c r="AP10" s="83">
        <f>Indicadores!$M490</f>
        <v>0.13913167259786477</v>
      </c>
      <c r="AQ10" s="83">
        <f>Indicadores!$M502</f>
        <v>0.54283333333333328</v>
      </c>
      <c r="AR10" s="83">
        <f>Indicadores!$M514</f>
        <v>1.2</v>
      </c>
      <c r="AS10" s="83">
        <f>Indicadores!$M526</f>
        <v>0.13210445468509985</v>
      </c>
      <c r="AT10" s="83">
        <f>Indicadores!$M538</f>
        <v>0.1111111111111111</v>
      </c>
      <c r="AU10" s="83">
        <f>Indicadores!$M550</f>
        <v>0.65151515151515149</v>
      </c>
      <c r="AV10" s="83">
        <f>Indicadores!$M562</f>
        <v>0</v>
      </c>
      <c r="AW10" s="83">
        <f>Indicadores!$M574</f>
        <v>0.71379088888888886</v>
      </c>
      <c r="AX10" s="83">
        <f>Indicadores!$M586</f>
        <v>0</v>
      </c>
      <c r="AY10" s="83" t="e">
        <f>Indicadores!$M598</f>
        <v>#DIV/0!</v>
      </c>
      <c r="AZ10" s="83">
        <f>Indicadores!$M610</f>
        <v>0.188</v>
      </c>
      <c r="BA10" s="83">
        <f>Indicadores!$M622</f>
        <v>0.7628571428571429</v>
      </c>
      <c r="BB10" s="83">
        <f>Indicadores!$M634</f>
        <v>0.48057916666666667</v>
      </c>
      <c r="BC10" s="83">
        <f>Indicadores!$M646</f>
        <v>0.7</v>
      </c>
      <c r="BD10" s="83" t="e">
        <f>Indicadores!$M658</f>
        <v>#DIV/0!</v>
      </c>
      <c r="BE10" s="83">
        <f>Indicadores!$M670</f>
        <v>9.6318104168938323E-2</v>
      </c>
      <c r="BF10" s="83">
        <f>Indicadores!$M682</f>
        <v>0</v>
      </c>
      <c r="BG10" s="83">
        <f>Indicadores!$M694</f>
        <v>0</v>
      </c>
      <c r="BH10" s="83">
        <f>Indicadores!$M706</f>
        <v>0.58557907665631093</v>
      </c>
      <c r="BI10" s="84">
        <f t="shared" si="2"/>
        <v>0.42046470140126019</v>
      </c>
      <c r="BJ10" s="84">
        <f t="shared" si="4"/>
        <v>0.84574683442734511</v>
      </c>
      <c r="BK10" s="84">
        <f t="shared" si="1"/>
        <v>-4.8174316248247306E-3</v>
      </c>
      <c r="BL10" s="85">
        <f t="shared" si="3"/>
        <v>0.42528213302608492</v>
      </c>
    </row>
    <row r="11" spans="1:64" ht="15" x14ac:dyDescent="0.2">
      <c r="A11" s="20" t="s">
        <v>160</v>
      </c>
      <c r="B11" s="83">
        <f>Indicadores!$M11</f>
        <v>0.58185628742514972</v>
      </c>
      <c r="C11" s="83">
        <f>Indicadores!$M23</f>
        <v>0.1835</v>
      </c>
      <c r="D11" s="83">
        <f>Indicadores!$M35</f>
        <v>1.0222447615082819</v>
      </c>
      <c r="E11" s="83">
        <f>Indicadores!$M47</f>
        <v>0.405476</v>
      </c>
      <c r="F11" s="83">
        <f>Indicadores!$M59</f>
        <v>1.2743249999999999</v>
      </c>
      <c r="G11" s="83">
        <f>Indicadores!$M71</f>
        <v>0.59886769230769232</v>
      </c>
      <c r="H11" s="83">
        <f>Indicadores!$M83</f>
        <v>6.6666666666666666E-2</v>
      </c>
      <c r="I11" s="83">
        <f>Indicadores!$M95</f>
        <v>0.56354229999999994</v>
      </c>
      <c r="J11" s="83">
        <f>Indicadores!$M107</f>
        <v>0.59695807742875873</v>
      </c>
      <c r="K11" s="83" t="e">
        <f>Indicadores!$M119</f>
        <v>#DIV/0!</v>
      </c>
      <c r="L11" s="83">
        <f>Indicadores!$M131</f>
        <v>0.54626865671641789</v>
      </c>
      <c r="M11" s="83">
        <f>Indicadores!$M143</f>
        <v>0</v>
      </c>
      <c r="N11" s="83">
        <f>Indicadores!$M155</f>
        <v>0.25906782463172529</v>
      </c>
      <c r="O11" s="83">
        <f>Indicadores!$M167</f>
        <v>0.36562499999999998</v>
      </c>
      <c r="P11" s="83">
        <f>Indicadores!$M179</f>
        <v>0.34795321637426901</v>
      </c>
      <c r="Q11" s="83">
        <f>Indicadores!$M191</f>
        <v>0.16029411764705884</v>
      </c>
      <c r="R11" s="83">
        <f>Indicadores!$M203</f>
        <v>1.5060606060606061</v>
      </c>
      <c r="S11" s="83">
        <f>Indicadores!$M215</f>
        <v>0.72287199999999996</v>
      </c>
      <c r="T11" s="83">
        <f>Indicadores!$M227</f>
        <v>0.61224999999999996</v>
      </c>
      <c r="U11" s="83">
        <f>Indicadores!$M239</f>
        <v>7.4999999999999997E-2</v>
      </c>
      <c r="V11" s="83">
        <f>Indicadores!$M251</f>
        <v>9.5706975017998228E-2</v>
      </c>
      <c r="W11" s="83" t="e">
        <f>Indicadores!$M263</f>
        <v>#DIV/0!</v>
      </c>
      <c r="X11" s="83">
        <f>Indicadores!$M275</f>
        <v>0.90396533532743983</v>
      </c>
      <c r="Y11" s="83">
        <f>Indicadores!$M287</f>
        <v>0.65709063860203742</v>
      </c>
      <c r="Z11" s="83">
        <f>Indicadores!$M299</f>
        <v>0</v>
      </c>
      <c r="AA11" s="83">
        <f>Indicadores!$M311</f>
        <v>0</v>
      </c>
      <c r="AB11" s="83">
        <f>Indicadores!$M323</f>
        <v>0.4511</v>
      </c>
      <c r="AC11" s="83">
        <f>Indicadores!$M335</f>
        <v>0.73573888888888883</v>
      </c>
      <c r="AD11" s="83">
        <f>Indicadores!$M347</f>
        <v>0</v>
      </c>
      <c r="AE11" s="83">
        <f>Indicadores!$M359</f>
        <v>0</v>
      </c>
      <c r="AF11" s="83">
        <f>Indicadores!$M371</f>
        <v>1.9875347619047621</v>
      </c>
      <c r="AG11" s="83">
        <f>Indicadores!$M383</f>
        <v>0</v>
      </c>
      <c r="AH11" s="83">
        <f>Indicadores!$M395</f>
        <v>0.5714285714285714</v>
      </c>
      <c r="AI11" s="83">
        <f>Indicadores!$M407</f>
        <v>0.11666666666666667</v>
      </c>
      <c r="AJ11" s="83">
        <f>Indicadores!$M419</f>
        <v>0.48765432098765432</v>
      </c>
      <c r="AK11" s="83">
        <f>Indicadores!$M431</f>
        <v>0.64840226253729683</v>
      </c>
      <c r="AL11" s="83">
        <f>Indicadores!$M443</f>
        <v>1.2107578665314842E-2</v>
      </c>
      <c r="AM11" s="83">
        <f>Indicadores!$M455</f>
        <v>0</v>
      </c>
      <c r="AN11" s="83">
        <f>Indicadores!$M467</f>
        <v>0</v>
      </c>
      <c r="AO11" s="83">
        <f>Indicadores!$M479</f>
        <v>0.26551426779554721</v>
      </c>
      <c r="AP11" s="83">
        <f>Indicadores!$M491</f>
        <v>0.13913167259786477</v>
      </c>
      <c r="AQ11" s="83">
        <f>Indicadores!$M503</f>
        <v>0.54283333333333328</v>
      </c>
      <c r="AR11" s="83">
        <f>Indicadores!$M515</f>
        <v>1.2</v>
      </c>
      <c r="AS11" s="83">
        <f>Indicadores!$M527</f>
        <v>0.13210445468509985</v>
      </c>
      <c r="AT11" s="83">
        <f>Indicadores!$M539</f>
        <v>0.1111111111111111</v>
      </c>
      <c r="AU11" s="83">
        <f>Indicadores!$M551</f>
        <v>0.65151515151515149</v>
      </c>
      <c r="AV11" s="83">
        <f>Indicadores!$M563</f>
        <v>0</v>
      </c>
      <c r="AW11" s="83">
        <f>Indicadores!$M575</f>
        <v>0.71379088888888886</v>
      </c>
      <c r="AX11" s="83">
        <f>Indicadores!$M587</f>
        <v>0</v>
      </c>
      <c r="AY11" s="83" t="e">
        <f>Indicadores!$M599</f>
        <v>#DIV/0!</v>
      </c>
      <c r="AZ11" s="83">
        <f>Indicadores!$M611</f>
        <v>0.188</v>
      </c>
      <c r="BA11" s="83">
        <f>Indicadores!$M623</f>
        <v>0.7628571428571429</v>
      </c>
      <c r="BB11" s="83">
        <f>Indicadores!$M635</f>
        <v>0.48057916666666667</v>
      </c>
      <c r="BC11" s="83">
        <f>Indicadores!$M647</f>
        <v>0.7</v>
      </c>
      <c r="BD11" s="83" t="e">
        <f>Indicadores!$M659</f>
        <v>#DIV/0!</v>
      </c>
      <c r="BE11" s="83">
        <f>Indicadores!$M671</f>
        <v>9.6318104168938323E-2</v>
      </c>
      <c r="BF11" s="83">
        <f>Indicadores!$M683</f>
        <v>0</v>
      </c>
      <c r="BG11" s="83">
        <f>Indicadores!$M695</f>
        <v>0</v>
      </c>
      <c r="BH11" s="83">
        <f>Indicadores!$M707</f>
        <v>0.58557907665631093</v>
      </c>
      <c r="BI11" s="84">
        <f t="shared" si="2"/>
        <v>0.42046470140126019</v>
      </c>
      <c r="BJ11" s="84">
        <f t="shared" si="4"/>
        <v>0.84574683442734511</v>
      </c>
      <c r="BK11" s="84">
        <f t="shared" si="1"/>
        <v>-4.8174316248247306E-3</v>
      </c>
      <c r="BL11" s="85">
        <f t="shared" si="3"/>
        <v>0.42528213302608492</v>
      </c>
    </row>
    <row r="12" spans="1:64" ht="15" x14ac:dyDescent="0.2">
      <c r="A12" s="20" t="s">
        <v>161</v>
      </c>
      <c r="B12" s="83">
        <f>Indicadores!$M12</f>
        <v>0.58185628742514972</v>
      </c>
      <c r="C12" s="83">
        <f>Indicadores!$M24</f>
        <v>0.1835</v>
      </c>
      <c r="D12" s="83">
        <f>Indicadores!$M36</f>
        <v>1.0222447615082819</v>
      </c>
      <c r="E12" s="83">
        <f>Indicadores!$M48</f>
        <v>0.405476</v>
      </c>
      <c r="F12" s="83">
        <f>Indicadores!$M60</f>
        <v>1.2743249999999999</v>
      </c>
      <c r="G12" s="83">
        <f>Indicadores!$M72</f>
        <v>0.59886769230769232</v>
      </c>
      <c r="H12" s="83">
        <f>Indicadores!$M84</f>
        <v>6.6666666666666666E-2</v>
      </c>
      <c r="I12" s="83">
        <f>Indicadores!$M96</f>
        <v>0.56354229999999994</v>
      </c>
      <c r="J12" s="83">
        <f>Indicadores!$M108</f>
        <v>0.59695807742875873</v>
      </c>
      <c r="K12" s="83" t="e">
        <f>Indicadores!$M120</f>
        <v>#DIV/0!</v>
      </c>
      <c r="L12" s="83">
        <f>Indicadores!$M132</f>
        <v>0.54626865671641789</v>
      </c>
      <c r="M12" s="83">
        <f>Indicadores!$M144</f>
        <v>0</v>
      </c>
      <c r="N12" s="83">
        <f>Indicadores!$M156</f>
        <v>0.25906782463172529</v>
      </c>
      <c r="O12" s="83">
        <f>Indicadores!$M168</f>
        <v>0.36562499999999998</v>
      </c>
      <c r="P12" s="83">
        <f>Indicadores!$M180</f>
        <v>0.34795321637426901</v>
      </c>
      <c r="Q12" s="83">
        <f>Indicadores!$M192</f>
        <v>0.16029411764705884</v>
      </c>
      <c r="R12" s="83">
        <f>Indicadores!$M204</f>
        <v>1.5060606060606061</v>
      </c>
      <c r="S12" s="83">
        <f>Indicadores!$M216</f>
        <v>0.72287199999999996</v>
      </c>
      <c r="T12" s="83">
        <f>Indicadores!$M228</f>
        <v>0.61224999999999996</v>
      </c>
      <c r="U12" s="83">
        <f>Indicadores!$M240</f>
        <v>7.4999999999999997E-2</v>
      </c>
      <c r="V12" s="83">
        <f>Indicadores!$M252</f>
        <v>9.5706975017998228E-2</v>
      </c>
      <c r="W12" s="83" t="e">
        <f>Indicadores!$M264</f>
        <v>#DIV/0!</v>
      </c>
      <c r="X12" s="83">
        <f>Indicadores!$M276</f>
        <v>0.90396533532743983</v>
      </c>
      <c r="Y12" s="83">
        <f>Indicadores!$M288</f>
        <v>0.65709063860203742</v>
      </c>
      <c r="Z12" s="83">
        <f>Indicadores!$M300</f>
        <v>0</v>
      </c>
      <c r="AA12" s="83">
        <f>Indicadores!$M312</f>
        <v>0</v>
      </c>
      <c r="AB12" s="83">
        <f>Indicadores!$M324</f>
        <v>0.4511</v>
      </c>
      <c r="AC12" s="83">
        <f>Indicadores!$M336</f>
        <v>0.73573888888888883</v>
      </c>
      <c r="AD12" s="83">
        <f>Indicadores!$M348</f>
        <v>0</v>
      </c>
      <c r="AE12" s="83">
        <f>Indicadores!$M360</f>
        <v>0</v>
      </c>
      <c r="AF12" s="83">
        <f>Indicadores!$M372</f>
        <v>1.9875347619047621</v>
      </c>
      <c r="AG12" s="83">
        <f>Indicadores!$M384</f>
        <v>0</v>
      </c>
      <c r="AH12" s="83">
        <f>Indicadores!$M396</f>
        <v>0.5714285714285714</v>
      </c>
      <c r="AI12" s="83">
        <f>Indicadores!$M408</f>
        <v>0.11666666666666667</v>
      </c>
      <c r="AJ12" s="83">
        <f>Indicadores!$M420</f>
        <v>0.48765432098765432</v>
      </c>
      <c r="AK12" s="83">
        <f>Indicadores!$M432</f>
        <v>0.64840226253729683</v>
      </c>
      <c r="AL12" s="83">
        <f>Indicadores!$M444</f>
        <v>1.2107578665314842E-2</v>
      </c>
      <c r="AM12" s="83">
        <f>Indicadores!$M456</f>
        <v>0</v>
      </c>
      <c r="AN12" s="83">
        <f>Indicadores!$M468</f>
        <v>0</v>
      </c>
      <c r="AO12" s="83">
        <f>Indicadores!$M480</f>
        <v>0.26551426779554721</v>
      </c>
      <c r="AP12" s="83">
        <f>Indicadores!$M492</f>
        <v>0.13913167259786477</v>
      </c>
      <c r="AQ12" s="83">
        <f>Indicadores!$M504</f>
        <v>0.54283333333333328</v>
      </c>
      <c r="AR12" s="83">
        <f>Indicadores!$M516</f>
        <v>1.2</v>
      </c>
      <c r="AS12" s="83">
        <f>Indicadores!$M528</f>
        <v>0.13210445468509985</v>
      </c>
      <c r="AT12" s="83">
        <f>Indicadores!$M540</f>
        <v>0.1111111111111111</v>
      </c>
      <c r="AU12" s="83">
        <f>Indicadores!$M552</f>
        <v>0.65151515151515149</v>
      </c>
      <c r="AV12" s="83">
        <f>Indicadores!$M564</f>
        <v>0</v>
      </c>
      <c r="AW12" s="83">
        <f>Indicadores!$M576</f>
        <v>0.71379088888888886</v>
      </c>
      <c r="AX12" s="83">
        <f>Indicadores!$M588</f>
        <v>0</v>
      </c>
      <c r="AY12" s="83" t="e">
        <f>Indicadores!$M600</f>
        <v>#DIV/0!</v>
      </c>
      <c r="AZ12" s="83">
        <f>Indicadores!$M612</f>
        <v>0.188</v>
      </c>
      <c r="BA12" s="83">
        <f>Indicadores!$M624</f>
        <v>0.7628571428571429</v>
      </c>
      <c r="BB12" s="83">
        <f>Indicadores!$M636</f>
        <v>0.48057916666666667</v>
      </c>
      <c r="BC12" s="83">
        <f>Indicadores!$M648</f>
        <v>0.7</v>
      </c>
      <c r="BD12" s="83" t="e">
        <f>Indicadores!$M660</f>
        <v>#DIV/0!</v>
      </c>
      <c r="BE12" s="83">
        <f>Indicadores!$M672</f>
        <v>9.6318104168938323E-2</v>
      </c>
      <c r="BF12" s="83">
        <f>Indicadores!$M684</f>
        <v>0</v>
      </c>
      <c r="BG12" s="83">
        <f>Indicadores!$M696</f>
        <v>0</v>
      </c>
      <c r="BH12" s="83">
        <f>Indicadores!$M708</f>
        <v>0.58557907665631093</v>
      </c>
      <c r="BI12" s="84">
        <f t="shared" si="2"/>
        <v>0.42046470140126019</v>
      </c>
      <c r="BJ12" s="84">
        <f t="shared" si="4"/>
        <v>0.84574683442734511</v>
      </c>
      <c r="BK12" s="84">
        <f t="shared" si="1"/>
        <v>-4.8174316248247306E-3</v>
      </c>
      <c r="BL12" s="85">
        <f t="shared" si="3"/>
        <v>0.42528213302608492</v>
      </c>
    </row>
    <row r="13" spans="1:64" ht="15" x14ac:dyDescent="0.2">
      <c r="A13" s="20" t="s">
        <v>162</v>
      </c>
      <c r="B13" s="83">
        <f>Indicadores!$M13</f>
        <v>0.58185628742514972</v>
      </c>
      <c r="C13" s="83">
        <f>Indicadores!$M25</f>
        <v>6.1499999999999999E-2</v>
      </c>
      <c r="D13" s="83">
        <f>Indicadores!$M37</f>
        <v>1.0222447615082819</v>
      </c>
      <c r="E13" s="83">
        <f>Indicadores!$M49</f>
        <v>0.405476</v>
      </c>
      <c r="F13" s="83">
        <f>Indicadores!$M61</f>
        <v>1.2743249999999999</v>
      </c>
      <c r="G13" s="83">
        <f>Indicadores!$M73</f>
        <v>0.59886769230769232</v>
      </c>
      <c r="H13" s="83">
        <f>Indicadores!$M85</f>
        <v>6.6666666666666666E-2</v>
      </c>
      <c r="I13" s="83">
        <f>Indicadores!$M97</f>
        <v>0.56354229999999994</v>
      </c>
      <c r="J13" s="83">
        <f>Indicadores!$M109</f>
        <v>0.59695807742875873</v>
      </c>
      <c r="K13" s="83" t="e">
        <f>Indicadores!$M121</f>
        <v>#DIV/0!</v>
      </c>
      <c r="L13" s="83">
        <f>Indicadores!$M133</f>
        <v>0.54626865671641789</v>
      </c>
      <c r="M13" s="83">
        <f>Indicadores!$M145</f>
        <v>0</v>
      </c>
      <c r="N13" s="83">
        <f>Indicadores!$M157</f>
        <v>0.25906782463172529</v>
      </c>
      <c r="O13" s="83">
        <f>Indicadores!$M169</f>
        <v>0.36562499999999998</v>
      </c>
      <c r="P13" s="83">
        <f>Indicadores!$M181</f>
        <v>0.34795321637426901</v>
      </c>
      <c r="Q13" s="83">
        <f>Indicadores!$M193</f>
        <v>0.16029411764705884</v>
      </c>
      <c r="R13" s="83">
        <f>Indicadores!$M205</f>
        <v>1.5060606060606061</v>
      </c>
      <c r="S13" s="83">
        <f>Indicadores!$M217</f>
        <v>0.72287199999999996</v>
      </c>
      <c r="T13" s="83">
        <f>Indicadores!$M229</f>
        <v>0.61224999999999996</v>
      </c>
      <c r="U13" s="83">
        <f>Indicadores!$M241</f>
        <v>7.4999999999999997E-2</v>
      </c>
      <c r="V13" s="83">
        <f>Indicadores!$M253</f>
        <v>9.5706975017998228E-2</v>
      </c>
      <c r="W13" s="83" t="e">
        <f>Indicadores!$M265</f>
        <v>#DIV/0!</v>
      </c>
      <c r="X13" s="83">
        <f>Indicadores!$M277</f>
        <v>0.90396533532743983</v>
      </c>
      <c r="Y13" s="83">
        <f>Indicadores!$M289</f>
        <v>0.65709063860203742</v>
      </c>
      <c r="Z13" s="83">
        <f>Indicadores!$M301</f>
        <v>0</v>
      </c>
      <c r="AA13" s="83">
        <f>Indicadores!$M313</f>
        <v>0</v>
      </c>
      <c r="AB13" s="83">
        <f>Indicadores!$M325</f>
        <v>0.4511</v>
      </c>
      <c r="AC13" s="83">
        <f>Indicadores!$M337</f>
        <v>0.73573888888888883</v>
      </c>
      <c r="AD13" s="83">
        <f>Indicadores!$M349</f>
        <v>0</v>
      </c>
      <c r="AE13" s="83">
        <f>Indicadores!$M361</f>
        <v>0</v>
      </c>
      <c r="AF13" s="83">
        <f>Indicadores!$M373</f>
        <v>1.9875347619047621</v>
      </c>
      <c r="AG13" s="83">
        <f>Indicadores!$M385</f>
        <v>0</v>
      </c>
      <c r="AH13" s="83">
        <f>Indicadores!$M397</f>
        <v>0.5714285714285714</v>
      </c>
      <c r="AI13" s="83">
        <f>Indicadores!$M409</f>
        <v>0.11666666666666667</v>
      </c>
      <c r="AJ13" s="83">
        <f>Indicadores!$M421</f>
        <v>0.48765432098765432</v>
      </c>
      <c r="AK13" s="83">
        <f>Indicadores!$M433</f>
        <v>0.64840226253729683</v>
      </c>
      <c r="AL13" s="83">
        <f>Indicadores!$M445</f>
        <v>1.2107578665314842E-2</v>
      </c>
      <c r="AM13" s="83">
        <f>Indicadores!$M457</f>
        <v>0</v>
      </c>
      <c r="AN13" s="83">
        <f>Indicadores!$M469</f>
        <v>0</v>
      </c>
      <c r="AO13" s="83">
        <f>Indicadores!$M481</f>
        <v>0.26551426779554721</v>
      </c>
      <c r="AP13" s="83">
        <f>Indicadores!$M493</f>
        <v>0.13913167259786477</v>
      </c>
      <c r="AQ13" s="83">
        <f>Indicadores!$M505</f>
        <v>0.54283333333333328</v>
      </c>
      <c r="AR13" s="83">
        <f>Indicadores!$M517</f>
        <v>1.2</v>
      </c>
      <c r="AS13" s="83">
        <f>Indicadores!$M529</f>
        <v>0.13210445468509985</v>
      </c>
      <c r="AT13" s="83">
        <f>Indicadores!$M541</f>
        <v>0.1111111111111111</v>
      </c>
      <c r="AU13" s="83">
        <f>Indicadores!$M553</f>
        <v>0.65151515151515149</v>
      </c>
      <c r="AV13" s="83">
        <f>Indicadores!$M565</f>
        <v>0</v>
      </c>
      <c r="AW13" s="83">
        <f>Indicadores!$M577</f>
        <v>0.71379088888888886</v>
      </c>
      <c r="AX13" s="83">
        <f>Indicadores!$M589</f>
        <v>0</v>
      </c>
      <c r="AY13" s="83" t="e">
        <f>Indicadores!$M601</f>
        <v>#DIV/0!</v>
      </c>
      <c r="AZ13" s="83">
        <f>Indicadores!$M613</f>
        <v>0.188</v>
      </c>
      <c r="BA13" s="83">
        <f>Indicadores!$M625</f>
        <v>0.7628571428571429</v>
      </c>
      <c r="BB13" s="83">
        <f>Indicadores!$M637</f>
        <v>0.48057916666666667</v>
      </c>
      <c r="BC13" s="83">
        <f>Indicadores!$M649</f>
        <v>0.7</v>
      </c>
      <c r="BD13" s="83" t="e">
        <f>Indicadores!$M661</f>
        <v>#DIV/0!</v>
      </c>
      <c r="BE13" s="83">
        <f>Indicadores!$M673</f>
        <v>9.6318104168938323E-2</v>
      </c>
      <c r="BF13" s="83">
        <f>Indicadores!$M685</f>
        <v>0</v>
      </c>
      <c r="BG13" s="83">
        <f>Indicadores!$M697</f>
        <v>0</v>
      </c>
      <c r="BH13" s="83">
        <f>Indicadores!$M709</f>
        <v>0.58557907665631093</v>
      </c>
      <c r="BI13" s="84">
        <f t="shared" si="2"/>
        <v>0.41824651958307835</v>
      </c>
      <c r="BJ13" s="84">
        <f t="shared" si="4"/>
        <v>0.84510274859297763</v>
      </c>
      <c r="BK13" s="84">
        <f t="shared" si="1"/>
        <v>-8.6097094268208774E-3</v>
      </c>
      <c r="BL13" s="85">
        <f t="shared" si="3"/>
        <v>0.42685622900989922</v>
      </c>
    </row>
    <row r="25" spans="39:39" x14ac:dyDescent="0.2">
      <c r="AM25" s="6"/>
    </row>
    <row r="26" spans="39:39" x14ac:dyDescent="0.2">
      <c r="AM26" s="6"/>
    </row>
    <row r="27" spans="39:39" x14ac:dyDescent="0.2">
      <c r="AM27" s="6"/>
    </row>
    <row r="28" spans="39:39" x14ac:dyDescent="0.2">
      <c r="AM28" s="6"/>
    </row>
    <row r="29" spans="39:39" x14ac:dyDescent="0.2">
      <c r="AM29" s="6"/>
    </row>
    <row r="30" spans="39:39" x14ac:dyDescent="0.2">
      <c r="AM30" s="6"/>
    </row>
    <row r="31" spans="39:39" x14ac:dyDescent="0.2">
      <c r="AM31" s="6"/>
    </row>
    <row r="32" spans="39:39" x14ac:dyDescent="0.2">
      <c r="AM32" s="6"/>
    </row>
    <row r="33" spans="39:39" x14ac:dyDescent="0.2">
      <c r="AM33" s="6"/>
    </row>
    <row r="34" spans="39:39" x14ac:dyDescent="0.2">
      <c r="AM34" s="6"/>
    </row>
    <row r="35" spans="39:39" x14ac:dyDescent="0.2">
      <c r="AM35" s="6"/>
    </row>
    <row r="36" spans="39:39" x14ac:dyDescent="0.2">
      <c r="AM36" s="6"/>
    </row>
    <row r="37" spans="39:39" x14ac:dyDescent="0.2">
      <c r="AM37" s="6"/>
    </row>
    <row r="38" spans="39:39" x14ac:dyDescent="0.2">
      <c r="AM38" s="6"/>
    </row>
    <row r="39" spans="39:39" x14ac:dyDescent="0.2">
      <c r="AM39" s="6"/>
    </row>
    <row r="40" spans="39:39" x14ac:dyDescent="0.2">
      <c r="AM40" s="6"/>
    </row>
    <row r="41" spans="39:39" x14ac:dyDescent="0.2">
      <c r="AM41" s="6"/>
    </row>
    <row r="42" spans="39:39" x14ac:dyDescent="0.2">
      <c r="AM42" s="6"/>
    </row>
    <row r="43" spans="39:39" x14ac:dyDescent="0.2">
      <c r="AM43" s="6"/>
    </row>
    <row r="44" spans="39:39" x14ac:dyDescent="0.2">
      <c r="AM44" s="6"/>
    </row>
    <row r="45" spans="39:39" x14ac:dyDescent="0.2">
      <c r="AM45" s="6"/>
    </row>
    <row r="46" spans="39:39" x14ac:dyDescent="0.2">
      <c r="AM46" s="6"/>
    </row>
    <row r="47" spans="39:39" x14ac:dyDescent="0.2">
      <c r="AM47" s="6"/>
    </row>
    <row r="48" spans="39:39" x14ac:dyDescent="0.2">
      <c r="AM48" s="6"/>
    </row>
    <row r="49" spans="39:39" x14ac:dyDescent="0.2">
      <c r="AM49" s="6"/>
    </row>
    <row r="50" spans="39:39" x14ac:dyDescent="0.2">
      <c r="AM50" s="6"/>
    </row>
    <row r="51" spans="39:39" x14ac:dyDescent="0.2">
      <c r="AM51" s="6"/>
    </row>
    <row r="52" spans="39:39" x14ac:dyDescent="0.2">
      <c r="AM52" s="6"/>
    </row>
    <row r="53" spans="39:39" x14ac:dyDescent="0.2">
      <c r="AM53" s="6"/>
    </row>
    <row r="54" spans="39:39" x14ac:dyDescent="0.2">
      <c r="AM54" s="6"/>
    </row>
    <row r="55" spans="39:39" x14ac:dyDescent="0.2">
      <c r="AM55" s="6"/>
    </row>
    <row r="56" spans="39:39" x14ac:dyDescent="0.2">
      <c r="AM56" s="6"/>
    </row>
    <row r="57" spans="39:39" x14ac:dyDescent="0.2">
      <c r="AM57" s="6"/>
    </row>
    <row r="58" spans="39:39" x14ac:dyDescent="0.2">
      <c r="AM58" s="6"/>
    </row>
    <row r="59" spans="39:39" x14ac:dyDescent="0.2">
      <c r="AM59" s="6"/>
    </row>
    <row r="60" spans="39:39" x14ac:dyDescent="0.2">
      <c r="AM60" s="6"/>
    </row>
    <row r="61" spans="39:39" x14ac:dyDescent="0.2">
      <c r="AM61" s="6"/>
    </row>
    <row r="62" spans="39:39" x14ac:dyDescent="0.2">
      <c r="AM62" s="6"/>
    </row>
    <row r="63" spans="39:39" x14ac:dyDescent="0.2">
      <c r="AM63" s="6"/>
    </row>
    <row r="64" spans="39:39" x14ac:dyDescent="0.2">
      <c r="AM64" s="6"/>
    </row>
    <row r="65" spans="39:39" x14ac:dyDescent="0.2">
      <c r="AM65" s="6"/>
    </row>
    <row r="66" spans="39:39" x14ac:dyDescent="0.2">
      <c r="AM66" s="6"/>
    </row>
    <row r="67" spans="39:39" x14ac:dyDescent="0.2">
      <c r="AM67" s="6"/>
    </row>
    <row r="68" spans="39:39" x14ac:dyDescent="0.2">
      <c r="AM68" s="6"/>
    </row>
    <row r="69" spans="39:39" x14ac:dyDescent="0.2">
      <c r="AM69" s="6"/>
    </row>
    <row r="70" spans="39:39" x14ac:dyDescent="0.2">
      <c r="AM70" s="6"/>
    </row>
    <row r="71" spans="39:39" x14ac:dyDescent="0.2">
      <c r="AM71" s="6"/>
    </row>
    <row r="72" spans="39:39" x14ac:dyDescent="0.2">
      <c r="AM72" s="6"/>
    </row>
    <row r="73" spans="39:39" x14ac:dyDescent="0.2">
      <c r="AM73" s="5"/>
    </row>
    <row r="74" spans="39:39" x14ac:dyDescent="0.2">
      <c r="AM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13"/>
  <sheetViews>
    <sheetView showGridLines="0" workbookViewId="0">
      <pane xSplit="1" ySplit="1" topLeftCell="BF2" activePane="bottomRight" state="frozen"/>
      <selection pane="topRight" activeCell="B1" sqref="B1"/>
      <selection pane="bottomLeft" activeCell="A2" sqref="A2"/>
      <selection pane="bottomRight" activeCell="BL3" sqref="BL3"/>
    </sheetView>
  </sheetViews>
  <sheetFormatPr defaultColWidth="17.75" defaultRowHeight="14.25" x14ac:dyDescent="0.2"/>
  <cols>
    <col min="1" max="16384" width="17.75" style="3"/>
  </cols>
  <sheetData>
    <row r="1" spans="1:64" s="25" customFormat="1" ht="15" x14ac:dyDescent="0.2">
      <c r="A1" s="22" t="s">
        <v>165</v>
      </c>
      <c r="B1" s="23" t="s">
        <v>83</v>
      </c>
      <c r="C1" s="23" t="s">
        <v>94</v>
      </c>
      <c r="D1" s="23" t="s">
        <v>55</v>
      </c>
      <c r="E1" s="23" t="s">
        <v>142</v>
      </c>
      <c r="F1" s="23" t="s">
        <v>65</v>
      </c>
      <c r="G1" s="23" t="s">
        <v>41</v>
      </c>
      <c r="H1" s="23" t="s">
        <v>62</v>
      </c>
      <c r="I1" s="23" t="s">
        <v>114</v>
      </c>
      <c r="J1" s="23" t="s">
        <v>47</v>
      </c>
      <c r="K1" s="23" t="s">
        <v>303</v>
      </c>
      <c r="L1" s="23" t="s">
        <v>89</v>
      </c>
      <c r="M1" s="23" t="s">
        <v>113</v>
      </c>
      <c r="N1" s="23" t="s">
        <v>117</v>
      </c>
      <c r="O1" s="23" t="s">
        <v>99</v>
      </c>
      <c r="P1" s="23" t="s">
        <v>123</v>
      </c>
      <c r="Q1" s="23" t="s">
        <v>92</v>
      </c>
      <c r="R1" s="23" t="s">
        <v>37</v>
      </c>
      <c r="S1" s="23" t="s">
        <v>91</v>
      </c>
      <c r="T1" s="23" t="s">
        <v>126</v>
      </c>
      <c r="U1" s="23" t="s">
        <v>73</v>
      </c>
      <c r="V1" s="23" t="s">
        <v>56</v>
      </c>
      <c r="W1" s="23" t="s">
        <v>300</v>
      </c>
      <c r="X1" s="23" t="s">
        <v>90</v>
      </c>
      <c r="Y1" s="23" t="s">
        <v>54</v>
      </c>
      <c r="Z1" s="23" t="s">
        <v>301</v>
      </c>
      <c r="AA1" s="23" t="s">
        <v>147</v>
      </c>
      <c r="AB1" s="23" t="s">
        <v>71</v>
      </c>
      <c r="AC1" s="23" t="s">
        <v>75</v>
      </c>
      <c r="AD1" s="23" t="s">
        <v>46</v>
      </c>
      <c r="AE1" s="23" t="s">
        <v>36</v>
      </c>
      <c r="AF1" s="23" t="s">
        <v>82</v>
      </c>
      <c r="AG1" s="23" t="s">
        <v>64</v>
      </c>
      <c r="AH1" s="23" t="s">
        <v>135</v>
      </c>
      <c r="AI1" s="23" t="s">
        <v>103</v>
      </c>
      <c r="AJ1" s="23" t="s">
        <v>85</v>
      </c>
      <c r="AK1" s="23" t="s">
        <v>121</v>
      </c>
      <c r="AL1" s="23" t="s">
        <v>116</v>
      </c>
      <c r="AM1" s="23" t="s">
        <v>86</v>
      </c>
      <c r="AN1" s="23" t="s">
        <v>102</v>
      </c>
      <c r="AO1" s="23" t="s">
        <v>106</v>
      </c>
      <c r="AP1" s="23" t="s">
        <v>31</v>
      </c>
      <c r="AQ1" s="23" t="s">
        <v>143</v>
      </c>
      <c r="AR1" s="23" t="s">
        <v>70</v>
      </c>
      <c r="AS1" s="23" t="s">
        <v>80</v>
      </c>
      <c r="AT1" s="23" t="s">
        <v>77</v>
      </c>
      <c r="AU1" s="23" t="s">
        <v>52</v>
      </c>
      <c r="AV1" s="23" t="s">
        <v>105</v>
      </c>
      <c r="AW1" s="23" t="s">
        <v>98</v>
      </c>
      <c r="AX1" s="23" t="s">
        <v>109</v>
      </c>
      <c r="AY1" s="23" t="s">
        <v>111</v>
      </c>
      <c r="AZ1" s="23" t="s">
        <v>96</v>
      </c>
      <c r="BA1" s="23" t="s">
        <v>66</v>
      </c>
      <c r="BB1" s="23" t="s">
        <v>146</v>
      </c>
      <c r="BC1" s="23" t="s">
        <v>131</v>
      </c>
      <c r="BD1" s="23" t="s">
        <v>302</v>
      </c>
      <c r="BE1" s="23" t="s">
        <v>42</v>
      </c>
      <c r="BF1" s="23" t="s">
        <v>108</v>
      </c>
      <c r="BG1" s="23" t="s">
        <v>129</v>
      </c>
      <c r="BH1" s="23" t="s">
        <v>125</v>
      </c>
      <c r="BI1" s="24" t="s">
        <v>171</v>
      </c>
      <c r="BJ1" s="24" t="s">
        <v>169</v>
      </c>
      <c r="BK1" s="24" t="s">
        <v>170</v>
      </c>
      <c r="BL1" s="24" t="s">
        <v>163</v>
      </c>
    </row>
    <row r="2" spans="1:64" ht="15" x14ac:dyDescent="0.2">
      <c r="A2" s="20" t="s">
        <v>151</v>
      </c>
      <c r="B2" s="21">
        <f>Indicadores!F2</f>
        <v>0.66666666666666663</v>
      </c>
      <c r="C2" s="21">
        <f>Indicadores!F14</f>
        <v>0.50909090909090904</v>
      </c>
      <c r="D2" s="21">
        <f>Indicadores!F26</f>
        <v>0</v>
      </c>
      <c r="E2" s="21">
        <f>Indicadores!F38</f>
        <v>5.3333333333333337E-2</v>
      </c>
      <c r="F2" s="21">
        <f>Indicadores!F50</f>
        <v>0.36</v>
      </c>
      <c r="G2" s="21">
        <f>Indicadores!F62</f>
        <v>0.26666666666666666</v>
      </c>
      <c r="H2" s="21">
        <f>Indicadores!F74</f>
        <v>0</v>
      </c>
      <c r="I2" s="21">
        <f>Indicadores!F86</f>
        <v>0</v>
      </c>
      <c r="J2" s="21">
        <f>Indicadores!F98</f>
        <v>0.29333333333333333</v>
      </c>
      <c r="K2" s="21" t="e">
        <f>Indicadores!F110</f>
        <v>#DIV/0!</v>
      </c>
      <c r="L2" s="21">
        <f>Indicadores!F122</f>
        <v>0.2</v>
      </c>
      <c r="M2" s="21">
        <f>Indicadores!F134</f>
        <v>0</v>
      </c>
      <c r="N2" s="21">
        <f>Indicadores!F146</f>
        <v>0</v>
      </c>
      <c r="O2" s="21">
        <f>Indicadores!F158</f>
        <v>0.28358208955223879</v>
      </c>
      <c r="P2" s="21">
        <f>Indicadores!F170</f>
        <v>0.28000000000000003</v>
      </c>
      <c r="Q2" s="21">
        <f>Indicadores!F182</f>
        <v>0</v>
      </c>
      <c r="R2" s="21">
        <f>Indicadores!F194</f>
        <v>0</v>
      </c>
      <c r="S2" s="21">
        <f>Indicadores!F206</f>
        <v>0.57333333333333336</v>
      </c>
      <c r="T2" s="21">
        <f>Indicadores!F218</f>
        <v>0.33333333333333331</v>
      </c>
      <c r="U2" s="21">
        <f>Indicadores!F230</f>
        <v>0</v>
      </c>
      <c r="V2" s="21">
        <f>Indicadores!F242</f>
        <v>0</v>
      </c>
      <c r="W2" s="21" t="e">
        <f>Indicadores!F254</f>
        <v>#DIV/0!</v>
      </c>
      <c r="X2" s="21">
        <f>Indicadores!F266</f>
        <v>0.10666666666666667</v>
      </c>
      <c r="Y2" s="21">
        <f>Indicadores!F278</f>
        <v>0.08</v>
      </c>
      <c r="Z2" s="21" t="e">
        <f>Indicadores!F290</f>
        <v>#DIV/0!</v>
      </c>
      <c r="AA2" s="21">
        <f>Indicadores!F302</f>
        <v>0</v>
      </c>
      <c r="AB2" s="21">
        <f>Indicadores!F314</f>
        <v>0</v>
      </c>
      <c r="AC2" s="21">
        <f>Indicadores!F326</f>
        <v>0.17333333333333334</v>
      </c>
      <c r="AD2" s="21">
        <f>Indicadores!F338</f>
        <v>0</v>
      </c>
      <c r="AE2" s="21">
        <f>Indicadores!F350</f>
        <v>0</v>
      </c>
      <c r="AF2" s="21">
        <f>Indicadores!F362</f>
        <v>0</v>
      </c>
      <c r="AG2" s="21">
        <f>Indicadores!F374</f>
        <v>0</v>
      </c>
      <c r="AH2" s="21">
        <f>Indicadores!F386</f>
        <v>0</v>
      </c>
      <c r="AI2" s="21">
        <f>Indicadores!F398</f>
        <v>0</v>
      </c>
      <c r="AJ2" s="21">
        <f>Indicadores!F410</f>
        <v>0</v>
      </c>
      <c r="AK2" s="21">
        <f>Indicadores!F422</f>
        <v>0.21333333333333335</v>
      </c>
      <c r="AL2" s="21">
        <f>Indicadores!F434</f>
        <v>0.08</v>
      </c>
      <c r="AM2" s="21">
        <f>Indicadores!F446</f>
        <v>0</v>
      </c>
      <c r="AN2" s="21">
        <f>Indicadores!F458</f>
        <v>0</v>
      </c>
      <c r="AO2" s="21">
        <f>Indicadores!F470</f>
        <v>0.30666666666666664</v>
      </c>
      <c r="AP2" s="21">
        <f>Indicadores!F482</f>
        <v>0</v>
      </c>
      <c r="AQ2" s="21">
        <f>Indicadores!F494</f>
        <v>0.05</v>
      </c>
      <c r="AR2" s="21">
        <f>Indicadores!F506</f>
        <v>0.51428571428571423</v>
      </c>
      <c r="AS2" s="21">
        <f>Indicadores!F518</f>
        <v>0</v>
      </c>
      <c r="AT2" s="21">
        <f>Indicadores!F530</f>
        <v>0.75757575757575757</v>
      </c>
      <c r="AU2" s="21">
        <f>Indicadores!F542</f>
        <v>0</v>
      </c>
      <c r="AV2" s="21">
        <f>Indicadores!F554</f>
        <v>0</v>
      </c>
      <c r="AW2" s="21">
        <f>Indicadores!F566</f>
        <v>0.76</v>
      </c>
      <c r="AX2" s="21">
        <f>Indicadores!F578</f>
        <v>0</v>
      </c>
      <c r="AY2" s="21" t="e">
        <f>Indicadores!F590</f>
        <v>#DIV/0!</v>
      </c>
      <c r="AZ2" s="20">
        <f>Indicadores!F602</f>
        <v>0</v>
      </c>
      <c r="BA2" s="20">
        <f>Indicadores!F614</f>
        <v>0</v>
      </c>
      <c r="BB2" s="20">
        <f>Indicadores!F626</f>
        <v>0</v>
      </c>
      <c r="BC2" s="20">
        <f>Indicadores!F638</f>
        <v>0.41538461538461541</v>
      </c>
      <c r="BD2" s="20" t="e">
        <f>Indicadores!F650</f>
        <v>#DIV/0!</v>
      </c>
      <c r="BE2" s="20">
        <f>Indicadores!F662</f>
        <v>0</v>
      </c>
      <c r="BF2" s="20">
        <f>Indicadores!F674</f>
        <v>0</v>
      </c>
      <c r="BG2" s="20">
        <f>Indicadores!F686</f>
        <v>0</v>
      </c>
      <c r="BH2" s="20">
        <f>Indicadores!F698</f>
        <v>0</v>
      </c>
      <c r="BI2" s="4" t="e">
        <f>AVERAGE($B2:$BH2)</f>
        <v>#DIV/0!</v>
      </c>
      <c r="BJ2" s="4" t="e">
        <f>BI2+BL2</f>
        <v>#DIV/0!</v>
      </c>
      <c r="BK2" s="4" t="e">
        <f t="shared" ref="BK2:BK13" si="0">BI2-BL2</f>
        <v>#DIV/0!</v>
      </c>
      <c r="BL2" s="3" t="e">
        <f>STDEV(B2:BH2)</f>
        <v>#DIV/0!</v>
      </c>
    </row>
    <row r="3" spans="1:64" ht="15" x14ac:dyDescent="0.2">
      <c r="A3" s="20" t="s">
        <v>152</v>
      </c>
      <c r="B3" s="21">
        <f>Indicadores!F3</f>
        <v>1.3333333333333333</v>
      </c>
      <c r="C3" s="20">
        <f>Indicadores!F15</f>
        <v>0.50909090909090904</v>
      </c>
      <c r="D3" s="21">
        <f>Indicadores!F27</f>
        <v>0.2</v>
      </c>
      <c r="E3" s="21">
        <f>Indicadores!F39</f>
        <v>0.22666666666666666</v>
      </c>
      <c r="F3" s="21">
        <f>Indicadores!F51</f>
        <v>0.36</v>
      </c>
      <c r="G3" s="21">
        <f>Indicadores!F63</f>
        <v>0.26666666666666666</v>
      </c>
      <c r="H3" s="21">
        <f>Indicadores!F75</f>
        <v>0.14666666666666667</v>
      </c>
      <c r="I3" s="21">
        <f>Indicadores!F87</f>
        <v>0.12</v>
      </c>
      <c r="J3" s="21">
        <f>Indicadores!F99</f>
        <v>1.1066666666666667</v>
      </c>
      <c r="K3" s="21" t="e">
        <f>Indicadores!F111</f>
        <v>#DIV/0!</v>
      </c>
      <c r="L3" s="21">
        <f>Indicadores!F123</f>
        <v>0.2</v>
      </c>
      <c r="M3" s="21">
        <f>Indicadores!F135</f>
        <v>0</v>
      </c>
      <c r="N3" s="21">
        <f>Indicadores!F147</f>
        <v>0.10666666666666667</v>
      </c>
      <c r="O3" s="21">
        <f>Indicadores!F159</f>
        <v>0.28358208955223879</v>
      </c>
      <c r="P3" s="21">
        <f>Indicadores!F171</f>
        <v>0.28000000000000003</v>
      </c>
      <c r="Q3" s="21">
        <f>Indicadores!F183</f>
        <v>0</v>
      </c>
      <c r="R3" s="21">
        <f>Indicadores!F195</f>
        <v>0</v>
      </c>
      <c r="S3" s="21">
        <f>Indicadores!F207</f>
        <v>0.57333333333333336</v>
      </c>
      <c r="T3" s="21">
        <f>Indicadores!F219</f>
        <v>0.53333333333333333</v>
      </c>
      <c r="U3" s="21">
        <f>Indicadores!F231</f>
        <v>0</v>
      </c>
      <c r="V3" s="21">
        <f>Indicadores!F243</f>
        <v>0.30666666666666664</v>
      </c>
      <c r="W3" s="21" t="e">
        <f>Indicadores!F255</f>
        <v>#DIV/0!</v>
      </c>
      <c r="X3" s="21">
        <f>Indicadores!F267</f>
        <v>0.44</v>
      </c>
      <c r="Y3" s="21">
        <f>Indicadores!F279</f>
        <v>0.08</v>
      </c>
      <c r="Z3" s="21" t="e">
        <f>Indicadores!F291</f>
        <v>#DIV/0!</v>
      </c>
      <c r="AA3" s="21">
        <f>Indicadores!F303</f>
        <v>0</v>
      </c>
      <c r="AB3" s="21">
        <f>Indicadores!F315</f>
        <v>0</v>
      </c>
      <c r="AC3" s="21">
        <f>Indicadores!F327</f>
        <v>0.28000000000000003</v>
      </c>
      <c r="AD3" s="21">
        <f>Indicadores!F339</f>
        <v>0</v>
      </c>
      <c r="AE3" s="21">
        <f>Indicadores!F351</f>
        <v>0</v>
      </c>
      <c r="AF3" s="21">
        <f>Indicadores!F363</f>
        <v>0</v>
      </c>
      <c r="AG3" s="21">
        <f>Indicadores!F375</f>
        <v>0</v>
      </c>
      <c r="AH3" s="21">
        <f>Indicadores!F387</f>
        <v>0</v>
      </c>
      <c r="AI3" s="21">
        <f>Indicadores!F399</f>
        <v>0.16</v>
      </c>
      <c r="AJ3" s="21">
        <f>Indicadores!F411</f>
        <v>0</v>
      </c>
      <c r="AK3" s="21">
        <f>Indicadores!F423</f>
        <v>0.42666666666666669</v>
      </c>
      <c r="AL3" s="21">
        <f>Indicadores!F435</f>
        <v>0.08</v>
      </c>
      <c r="AM3" s="21">
        <f>Indicadores!F447</f>
        <v>0</v>
      </c>
      <c r="AN3" s="21">
        <f>Indicadores!F459</f>
        <v>0</v>
      </c>
      <c r="AO3" s="21">
        <f>Indicadores!F471</f>
        <v>0.30666666666666664</v>
      </c>
      <c r="AP3" s="21">
        <f>Indicadores!F483</f>
        <v>0</v>
      </c>
      <c r="AQ3" s="21">
        <f>Indicadores!F495</f>
        <v>0.31666666666666665</v>
      </c>
      <c r="AR3" s="21">
        <f>Indicadores!F507</f>
        <v>0.51428571428571423</v>
      </c>
      <c r="AS3" s="21">
        <f>Indicadores!F519</f>
        <v>0</v>
      </c>
      <c r="AT3" s="21">
        <f>Indicadores!F531</f>
        <v>0.75757575757575757</v>
      </c>
      <c r="AU3" s="21">
        <f>Indicadores!F543</f>
        <v>0</v>
      </c>
      <c r="AV3" s="21">
        <f>Indicadores!F555</f>
        <v>0</v>
      </c>
      <c r="AW3" s="21">
        <f>Indicadores!F567</f>
        <v>0.94666666666666666</v>
      </c>
      <c r="AX3" s="21">
        <f>Indicadores!F579</f>
        <v>0</v>
      </c>
      <c r="AY3" s="21" t="e">
        <f>Indicadores!F591</f>
        <v>#DIV/0!</v>
      </c>
      <c r="AZ3" s="20">
        <f>Indicadores!F603</f>
        <v>0</v>
      </c>
      <c r="BA3" s="20">
        <f>Indicadores!F615</f>
        <v>0.6</v>
      </c>
      <c r="BB3" s="20">
        <f>Indicadores!F627</f>
        <v>0</v>
      </c>
      <c r="BC3" s="20">
        <f>Indicadores!F639</f>
        <v>0.72307692307692306</v>
      </c>
      <c r="BD3" s="20" t="e">
        <f>Indicadores!F651</f>
        <v>#DIV/0!</v>
      </c>
      <c r="BE3" s="20">
        <f>Indicadores!F663</f>
        <v>0.48</v>
      </c>
      <c r="BF3" s="20">
        <f>Indicadores!F675</f>
        <v>0</v>
      </c>
      <c r="BG3" s="20">
        <f>Indicadores!F687</f>
        <v>0</v>
      </c>
      <c r="BH3" s="20">
        <f>Indicadores!F699</f>
        <v>0</v>
      </c>
      <c r="BI3" s="4" t="e">
        <f t="shared" ref="BI3:BI13" si="1">AVERAGE($B3:$BH3)</f>
        <v>#DIV/0!</v>
      </c>
      <c r="BJ3" s="4" t="e">
        <f t="shared" ref="BJ3:BJ13" si="2">BI3+BL3</f>
        <v>#DIV/0!</v>
      </c>
      <c r="BK3" s="4" t="e">
        <f t="shared" si="0"/>
        <v>#DIV/0!</v>
      </c>
      <c r="BL3" s="3" t="e">
        <f t="shared" ref="BL3:BL13" si="3">STDEV(B3:BH3)</f>
        <v>#DIV/0!</v>
      </c>
    </row>
    <row r="4" spans="1:64" ht="15" x14ac:dyDescent="0.2">
      <c r="A4" s="20" t="s">
        <v>153</v>
      </c>
      <c r="B4" s="21">
        <f>Indicadores!F4</f>
        <v>1.3333333333333333</v>
      </c>
      <c r="C4" s="20">
        <f>Indicadores!F16</f>
        <v>0.50909090909090904</v>
      </c>
      <c r="D4" s="21">
        <f>Indicadores!F28</f>
        <v>0.50666666666666671</v>
      </c>
      <c r="E4" s="21">
        <f>Indicadores!F40</f>
        <v>0.28000000000000003</v>
      </c>
      <c r="F4" s="21">
        <f>Indicadores!F52</f>
        <v>0.42666666666666669</v>
      </c>
      <c r="G4" s="21">
        <f>Indicadores!F64</f>
        <v>0.26666666666666666</v>
      </c>
      <c r="H4" s="21">
        <f>Indicadores!F76</f>
        <v>0.14666666666666667</v>
      </c>
      <c r="I4" s="21">
        <f>Indicadores!F88</f>
        <v>0.12</v>
      </c>
      <c r="J4" s="21">
        <f>Indicadores!F100</f>
        <v>1.1066666666666667</v>
      </c>
      <c r="K4" s="21" t="e">
        <f>Indicadores!F112</f>
        <v>#DIV/0!</v>
      </c>
      <c r="L4" s="21">
        <f>Indicadores!F124</f>
        <v>0.2</v>
      </c>
      <c r="M4" s="21">
        <f>Indicadores!F136</f>
        <v>0</v>
      </c>
      <c r="N4" s="21">
        <f>Indicadores!F148</f>
        <v>0.32</v>
      </c>
      <c r="O4" s="21">
        <f>Indicadores!F160</f>
        <v>0.28358208955223879</v>
      </c>
      <c r="P4" s="21">
        <f>Indicadores!F172</f>
        <v>0.28000000000000003</v>
      </c>
      <c r="Q4" s="21">
        <f>Indicadores!F184</f>
        <v>0.10666666666666667</v>
      </c>
      <c r="R4" s="21">
        <f>Indicadores!F196</f>
        <v>1.2903225806451613</v>
      </c>
      <c r="S4" s="21">
        <f>Indicadores!F208</f>
        <v>0.64</v>
      </c>
      <c r="T4" s="21">
        <f>Indicadores!F220</f>
        <v>0.93333333333333335</v>
      </c>
      <c r="U4" s="21">
        <f>Indicadores!F232</f>
        <v>0</v>
      </c>
      <c r="V4" s="21">
        <f>Indicadores!F244</f>
        <v>0.30666666666666664</v>
      </c>
      <c r="W4" s="21" t="e">
        <f>Indicadores!F256</f>
        <v>#DIV/0!</v>
      </c>
      <c r="X4" s="21">
        <f>Indicadores!F268</f>
        <v>0.58666666666666667</v>
      </c>
      <c r="Y4" s="21">
        <f>Indicadores!F280</f>
        <v>0.37333333333333335</v>
      </c>
      <c r="Z4" s="21" t="e">
        <f>Indicadores!F292</f>
        <v>#DIV/0!</v>
      </c>
      <c r="AA4" s="21">
        <f>Indicadores!F304</f>
        <v>0</v>
      </c>
      <c r="AB4" s="21">
        <f>Indicadores!F316</f>
        <v>0.4</v>
      </c>
      <c r="AC4" s="21">
        <f>Indicadores!F328</f>
        <v>0.37333333333333335</v>
      </c>
      <c r="AD4" s="21">
        <f>Indicadores!F340</f>
        <v>0</v>
      </c>
      <c r="AE4" s="21">
        <f>Indicadores!F352</f>
        <v>0</v>
      </c>
      <c r="AF4" s="21">
        <f>Indicadores!F364</f>
        <v>0.76</v>
      </c>
      <c r="AG4" s="21">
        <f>Indicadores!F376</f>
        <v>0</v>
      </c>
      <c r="AH4" s="21">
        <f>Indicadores!F388</f>
        <v>0</v>
      </c>
      <c r="AI4" s="21">
        <f>Indicadores!F400</f>
        <v>0.37333333333333335</v>
      </c>
      <c r="AJ4" s="21">
        <f>Indicadores!F412</f>
        <v>0</v>
      </c>
      <c r="AK4" s="21">
        <f>Indicadores!F424</f>
        <v>0.58666666666666667</v>
      </c>
      <c r="AL4" s="21">
        <f>Indicadores!F436</f>
        <v>0.08</v>
      </c>
      <c r="AM4" s="21">
        <f>Indicadores!F448</f>
        <v>0</v>
      </c>
      <c r="AN4" s="21">
        <f>Indicadores!F460</f>
        <v>0</v>
      </c>
      <c r="AO4" s="21">
        <f>Indicadores!F472</f>
        <v>0.41333333333333333</v>
      </c>
      <c r="AP4" s="21">
        <f>Indicadores!F484</f>
        <v>0</v>
      </c>
      <c r="AQ4" s="21">
        <f>Indicadores!F496</f>
        <v>0.46666666666666667</v>
      </c>
      <c r="AR4" s="21">
        <f>Indicadores!F508</f>
        <v>0.51428571428571423</v>
      </c>
      <c r="AS4" s="21">
        <f>Indicadores!F520</f>
        <v>0</v>
      </c>
      <c r="AT4" s="21">
        <f>Indicadores!F532</f>
        <v>0.75757575757575757</v>
      </c>
      <c r="AU4" s="21">
        <f>Indicadores!F544</f>
        <v>1.4285714285714286</v>
      </c>
      <c r="AV4" s="21">
        <f>Indicadores!F556</f>
        <v>0</v>
      </c>
      <c r="AW4" s="21">
        <f>Indicadores!F568</f>
        <v>1.2266666666666666</v>
      </c>
      <c r="AX4" s="21">
        <f>Indicadores!F580</f>
        <v>0</v>
      </c>
      <c r="AY4" s="21" t="e">
        <f>Indicadores!F592</f>
        <v>#DIV/0!</v>
      </c>
      <c r="AZ4" s="20">
        <f>Indicadores!F604</f>
        <v>0</v>
      </c>
      <c r="BA4" s="20">
        <f>Indicadores!F616</f>
        <v>0.6</v>
      </c>
      <c r="BB4" s="20">
        <f>Indicadores!F628</f>
        <v>0</v>
      </c>
      <c r="BC4" s="20">
        <f>Indicadores!F640</f>
        <v>1.0307692307692307</v>
      </c>
      <c r="BD4" s="20" t="e">
        <f>Indicadores!F652</f>
        <v>#DIV/0!</v>
      </c>
      <c r="BE4" s="20">
        <f>Indicadores!F664</f>
        <v>0.48</v>
      </c>
      <c r="BF4" s="20">
        <f>Indicadores!F676</f>
        <v>0</v>
      </c>
      <c r="BG4" s="20">
        <f>Indicadores!F688</f>
        <v>0</v>
      </c>
      <c r="BH4" s="20">
        <f>Indicadores!F700</f>
        <v>0.36</v>
      </c>
      <c r="BI4" s="4" t="e">
        <f t="shared" si="1"/>
        <v>#DIV/0!</v>
      </c>
      <c r="BJ4" s="4" t="e">
        <f t="shared" si="2"/>
        <v>#DIV/0!</v>
      </c>
      <c r="BK4" s="4" t="e">
        <f t="shared" si="0"/>
        <v>#DIV/0!</v>
      </c>
      <c r="BL4" s="3" t="e">
        <f t="shared" si="3"/>
        <v>#DIV/0!</v>
      </c>
    </row>
    <row r="5" spans="1:64" ht="15" x14ac:dyDescent="0.2">
      <c r="A5" s="20" t="s">
        <v>154</v>
      </c>
      <c r="B5" s="21">
        <f>Indicadores!F5</f>
        <v>1.3333333333333333</v>
      </c>
      <c r="C5" s="20">
        <f>Indicadores!F17</f>
        <v>1.0181818181818181</v>
      </c>
      <c r="D5" s="21">
        <f>Indicadores!F29</f>
        <v>0.72</v>
      </c>
      <c r="E5" s="21">
        <f>Indicadores!F41</f>
        <v>0.28000000000000003</v>
      </c>
      <c r="F5" s="21">
        <f>Indicadores!F53</f>
        <v>0.42666666666666669</v>
      </c>
      <c r="G5" s="21">
        <f>Indicadores!F65</f>
        <v>0.44</v>
      </c>
      <c r="H5" s="21">
        <f>Indicadores!F77</f>
        <v>0.14666666666666667</v>
      </c>
      <c r="I5" s="21">
        <f>Indicadores!F89</f>
        <v>0.12</v>
      </c>
      <c r="J5" s="21">
        <f>Indicadores!F101</f>
        <v>1.1066666666666667</v>
      </c>
      <c r="K5" s="21" t="e">
        <f>Indicadores!F113</f>
        <v>#DIV/0!</v>
      </c>
      <c r="L5" s="21">
        <f>Indicadores!F125</f>
        <v>0.2</v>
      </c>
      <c r="M5" s="21">
        <f>Indicadores!F137</f>
        <v>0</v>
      </c>
      <c r="N5" s="21">
        <f>Indicadores!F149</f>
        <v>0.37333333333333335</v>
      </c>
      <c r="O5" s="21">
        <f>Indicadores!F161</f>
        <v>0.74626865671641796</v>
      </c>
      <c r="P5" s="21">
        <f>Indicadores!F173</f>
        <v>0.28000000000000003</v>
      </c>
      <c r="Q5" s="21">
        <f>Indicadores!F185</f>
        <v>0.10666666666666667</v>
      </c>
      <c r="R5" s="21">
        <f>Indicadores!F197</f>
        <v>1.2903225806451613</v>
      </c>
      <c r="S5" s="21">
        <f>Indicadores!F209</f>
        <v>0.64</v>
      </c>
      <c r="T5" s="21">
        <f>Indicadores!F221</f>
        <v>0.93333333333333335</v>
      </c>
      <c r="U5" s="21">
        <f>Indicadores!F233</f>
        <v>0</v>
      </c>
      <c r="V5" s="21">
        <f>Indicadores!F245</f>
        <v>0.30666666666666664</v>
      </c>
      <c r="W5" s="21" t="e">
        <f>Indicadores!F257</f>
        <v>#DIV/0!</v>
      </c>
      <c r="X5" s="21">
        <f>Indicadores!F269</f>
        <v>0.58666666666666667</v>
      </c>
      <c r="Y5" s="21">
        <f>Indicadores!F281</f>
        <v>0.37333333333333335</v>
      </c>
      <c r="Z5" s="21" t="e">
        <f>Indicadores!F293</f>
        <v>#DIV/0!</v>
      </c>
      <c r="AA5" s="21">
        <f>Indicadores!F305</f>
        <v>0</v>
      </c>
      <c r="AB5" s="21">
        <f>Indicadores!F317</f>
        <v>0.55000000000000004</v>
      </c>
      <c r="AC5" s="21">
        <f>Indicadores!F329</f>
        <v>0.61333333333333329</v>
      </c>
      <c r="AD5" s="21">
        <f>Indicadores!F341</f>
        <v>0</v>
      </c>
      <c r="AE5" s="21">
        <f>Indicadores!F353</f>
        <v>0</v>
      </c>
      <c r="AF5" s="21">
        <f>Indicadores!F365</f>
        <v>0.76</v>
      </c>
      <c r="AG5" s="21">
        <f>Indicadores!F377</f>
        <v>0</v>
      </c>
      <c r="AH5" s="21">
        <f>Indicadores!F389</f>
        <v>0</v>
      </c>
      <c r="AI5" s="21">
        <f>Indicadores!F401</f>
        <v>0.37333333333333335</v>
      </c>
      <c r="AJ5" s="21">
        <f>Indicadores!F413</f>
        <v>0</v>
      </c>
      <c r="AK5" s="21">
        <f>Indicadores!F425</f>
        <v>0.58666666666666667</v>
      </c>
      <c r="AL5" s="21">
        <f>Indicadores!F437</f>
        <v>0.08</v>
      </c>
      <c r="AM5" s="21">
        <f>Indicadores!F449</f>
        <v>0</v>
      </c>
      <c r="AN5" s="21">
        <f>Indicadores!F461</f>
        <v>0</v>
      </c>
      <c r="AO5" s="21">
        <f>Indicadores!F473</f>
        <v>0.61333333333333329</v>
      </c>
      <c r="AP5" s="21">
        <f>Indicadores!F485</f>
        <v>0</v>
      </c>
      <c r="AQ5" s="21">
        <f>Indicadores!F497</f>
        <v>0.58333333333333337</v>
      </c>
      <c r="AR5" s="21">
        <f>Indicadores!F509</f>
        <v>0.51428571428571423</v>
      </c>
      <c r="AS5" s="21">
        <f>Indicadores!F521</f>
        <v>0</v>
      </c>
      <c r="AT5" s="21">
        <f>Indicadores!F533</f>
        <v>1.1363636363636365</v>
      </c>
      <c r="AU5" s="21">
        <f>Indicadores!F545</f>
        <v>1.4285714285714286</v>
      </c>
      <c r="AV5" s="21">
        <f>Indicadores!F557</f>
        <v>0</v>
      </c>
      <c r="AW5" s="21">
        <f>Indicadores!F569</f>
        <v>1.28</v>
      </c>
      <c r="AX5" s="21">
        <f>Indicadores!F581</f>
        <v>0</v>
      </c>
      <c r="AY5" s="21" t="e">
        <f>Indicadores!F593</f>
        <v>#DIV/0!</v>
      </c>
      <c r="AZ5" s="20">
        <f>Indicadores!F605</f>
        <v>0</v>
      </c>
      <c r="BA5" s="20">
        <f>Indicadores!F617</f>
        <v>0.6</v>
      </c>
      <c r="BB5" s="20">
        <f>Indicadores!F629</f>
        <v>0.6166666666666667</v>
      </c>
      <c r="BC5" s="20">
        <f>Indicadores!F641</f>
        <v>1.0307692307692307</v>
      </c>
      <c r="BD5" s="20" t="e">
        <f>Indicadores!F653</f>
        <v>#DIV/0!</v>
      </c>
      <c r="BE5" s="20">
        <f>Indicadores!F665</f>
        <v>0.48</v>
      </c>
      <c r="BF5" s="20">
        <f>Indicadores!F677</f>
        <v>0</v>
      </c>
      <c r="BG5" s="20">
        <f>Indicadores!F689</f>
        <v>0</v>
      </c>
      <c r="BH5" s="20">
        <f>Indicadores!F701</f>
        <v>0.36</v>
      </c>
      <c r="BI5" s="4" t="e">
        <f t="shared" si="1"/>
        <v>#DIV/0!</v>
      </c>
      <c r="BJ5" s="4" t="e">
        <f t="shared" si="2"/>
        <v>#DIV/0!</v>
      </c>
      <c r="BK5" s="4" t="e">
        <f t="shared" si="0"/>
        <v>#DIV/0!</v>
      </c>
      <c r="BL5" s="3" t="e">
        <f t="shared" si="3"/>
        <v>#DIV/0!</v>
      </c>
    </row>
    <row r="6" spans="1:64" ht="15" x14ac:dyDescent="0.2">
      <c r="A6" s="20" t="s">
        <v>155</v>
      </c>
      <c r="B6" s="21">
        <f>Indicadores!F6</f>
        <v>1.3333333333333333</v>
      </c>
      <c r="C6" s="20">
        <f>Indicadores!F18</f>
        <v>1.0181818181818181</v>
      </c>
      <c r="D6" s="21">
        <f>Indicadores!F30</f>
        <v>0.72</v>
      </c>
      <c r="E6" s="21">
        <f>Indicadores!F42</f>
        <v>0.44</v>
      </c>
      <c r="F6" s="21">
        <f>Indicadores!F54</f>
        <v>0.42666666666666669</v>
      </c>
      <c r="G6" s="21">
        <f>Indicadores!F66</f>
        <v>0.89333333333333331</v>
      </c>
      <c r="H6" s="21">
        <f>Indicadores!F78</f>
        <v>0.14666666666666667</v>
      </c>
      <c r="I6" s="21">
        <f>Indicadores!F90</f>
        <v>0.50666666666666671</v>
      </c>
      <c r="J6" s="21">
        <f>Indicadores!F102</f>
        <v>1.2133333333333334</v>
      </c>
      <c r="K6" s="21" t="e">
        <f>Indicadores!F114</f>
        <v>#DIV/0!</v>
      </c>
      <c r="L6" s="21">
        <f>Indicadores!F126</f>
        <v>0.46666666666666667</v>
      </c>
      <c r="M6" s="21">
        <f>Indicadores!F138</f>
        <v>0</v>
      </c>
      <c r="N6" s="21">
        <f>Indicadores!F150</f>
        <v>0.58666666666666667</v>
      </c>
      <c r="O6" s="21">
        <f>Indicadores!F162</f>
        <v>0.83582089552238803</v>
      </c>
      <c r="P6" s="21">
        <f>Indicadores!F174</f>
        <v>0.28000000000000003</v>
      </c>
      <c r="Q6" s="21">
        <f>Indicadores!F186</f>
        <v>0.33333333333333331</v>
      </c>
      <c r="R6" s="21">
        <f>Indicadores!F198</f>
        <v>1.2903225806451613</v>
      </c>
      <c r="S6" s="21">
        <f>Indicadores!F210</f>
        <v>0.69333333333333336</v>
      </c>
      <c r="T6" s="21">
        <f>Indicadores!F222</f>
        <v>0.93333333333333335</v>
      </c>
      <c r="U6" s="21">
        <f>Indicadores!F234</f>
        <v>0</v>
      </c>
      <c r="V6" s="21">
        <f>Indicadores!F246</f>
        <v>0.30666666666666664</v>
      </c>
      <c r="W6" s="21" t="e">
        <f>Indicadores!F258</f>
        <v>#DIV/0!</v>
      </c>
      <c r="X6" s="21">
        <f>Indicadores!F270</f>
        <v>0.68</v>
      </c>
      <c r="Y6" s="21">
        <f>Indicadores!F282</f>
        <v>0.37333333333333335</v>
      </c>
      <c r="Z6" s="21" t="e">
        <f>Indicadores!F294</f>
        <v>#DIV/0!</v>
      </c>
      <c r="AA6" s="21">
        <f>Indicadores!F306</f>
        <v>0</v>
      </c>
      <c r="AB6" s="21">
        <f>Indicadores!F318</f>
        <v>0.8</v>
      </c>
      <c r="AC6" s="21">
        <f>Indicadores!F330</f>
        <v>1</v>
      </c>
      <c r="AD6" s="21">
        <f>Indicadores!F342</f>
        <v>0</v>
      </c>
      <c r="AE6" s="21">
        <f>Indicadores!F354</f>
        <v>0</v>
      </c>
      <c r="AF6" s="21">
        <f>Indicadores!F366</f>
        <v>0.76</v>
      </c>
      <c r="AG6" s="21">
        <f>Indicadores!F378</f>
        <v>0</v>
      </c>
      <c r="AH6" s="21">
        <f>Indicadores!F390</f>
        <v>2.2432432432432434</v>
      </c>
      <c r="AI6" s="21">
        <f>Indicadores!F402</f>
        <v>0.37333333333333335</v>
      </c>
      <c r="AJ6" s="21">
        <f>Indicadores!F414</f>
        <v>1.3333333333333333</v>
      </c>
      <c r="AK6" s="21">
        <f>Indicadores!F426</f>
        <v>0.58666666666666667</v>
      </c>
      <c r="AL6" s="21">
        <f>Indicadores!F438</f>
        <v>0.17333333333333334</v>
      </c>
      <c r="AM6" s="21">
        <f>Indicadores!F450</f>
        <v>0</v>
      </c>
      <c r="AN6" s="21">
        <f>Indicadores!F462</f>
        <v>0</v>
      </c>
      <c r="AO6" s="21">
        <f>Indicadores!F474</f>
        <v>0.61333333333333329</v>
      </c>
      <c r="AP6" s="21">
        <f>Indicadores!F486</f>
        <v>0</v>
      </c>
      <c r="AQ6" s="21">
        <f>Indicadores!F498</f>
        <v>0.7</v>
      </c>
      <c r="AR6" s="21">
        <f>Indicadores!F510</f>
        <v>0.91428571428571426</v>
      </c>
      <c r="AS6" s="21">
        <f>Indicadores!F522</f>
        <v>0</v>
      </c>
      <c r="AT6" s="21">
        <f>Indicadores!F534</f>
        <v>1.1363636363636365</v>
      </c>
      <c r="AU6" s="21">
        <f>Indicadores!F546</f>
        <v>1.4285714285714286</v>
      </c>
      <c r="AV6" s="21">
        <f>Indicadores!F558</f>
        <v>0</v>
      </c>
      <c r="AW6" s="21">
        <f>Indicadores!F570</f>
        <v>1.3333333333333333</v>
      </c>
      <c r="AX6" s="21">
        <f>Indicadores!F582</f>
        <v>0</v>
      </c>
      <c r="AY6" s="21" t="e">
        <f>Indicadores!F594</f>
        <v>#DIV/0!</v>
      </c>
      <c r="AZ6" s="20">
        <f>Indicadores!F606</f>
        <v>0.13333333333333333</v>
      </c>
      <c r="BA6" s="20">
        <f>Indicadores!F618</f>
        <v>0.6</v>
      </c>
      <c r="BB6" s="20">
        <f>Indicadores!F630</f>
        <v>0.7</v>
      </c>
      <c r="BC6" s="20">
        <f>Indicadores!F642</f>
        <v>1.4307692307692308</v>
      </c>
      <c r="BD6" s="20" t="e">
        <f>Indicadores!F654</f>
        <v>#DIV/0!</v>
      </c>
      <c r="BE6" s="20">
        <f>Indicadores!F666</f>
        <v>0.66666666666666663</v>
      </c>
      <c r="BF6" s="20">
        <f>Indicadores!F678</f>
        <v>0</v>
      </c>
      <c r="BG6" s="20">
        <f>Indicadores!F690</f>
        <v>0</v>
      </c>
      <c r="BH6" s="20">
        <f>Indicadores!F702</f>
        <v>0.36</v>
      </c>
      <c r="BI6" s="4" t="e">
        <f t="shared" si="1"/>
        <v>#DIV/0!</v>
      </c>
      <c r="BJ6" s="4" t="e">
        <f t="shared" si="2"/>
        <v>#DIV/0!</v>
      </c>
      <c r="BK6" s="4" t="e">
        <f t="shared" si="0"/>
        <v>#DIV/0!</v>
      </c>
      <c r="BL6" s="3" t="e">
        <f t="shared" si="3"/>
        <v>#DIV/0!</v>
      </c>
    </row>
    <row r="7" spans="1:64" ht="15" x14ac:dyDescent="0.2">
      <c r="A7" s="20" t="s">
        <v>156</v>
      </c>
      <c r="B7" s="21">
        <f>Indicadores!F7</f>
        <v>1.3333333333333333</v>
      </c>
      <c r="C7" s="20">
        <f>Indicadores!F19</f>
        <v>1.5636363636363637</v>
      </c>
      <c r="D7" s="21">
        <f>Indicadores!F31</f>
        <v>0.72</v>
      </c>
      <c r="E7" s="21">
        <f>Indicadores!F43</f>
        <v>0.56000000000000005</v>
      </c>
      <c r="F7" s="21">
        <f>Indicadores!F55</f>
        <v>0.90666666666666662</v>
      </c>
      <c r="G7" s="21">
        <f>Indicadores!F67</f>
        <v>0.97333333333333338</v>
      </c>
      <c r="H7" s="21">
        <f>Indicadores!F79</f>
        <v>0.14666666666666667</v>
      </c>
      <c r="I7" s="21">
        <f>Indicadores!F91</f>
        <v>0.58666666666666667</v>
      </c>
      <c r="J7" s="21">
        <f>Indicadores!F103</f>
        <v>1.3333333333333333</v>
      </c>
      <c r="K7" s="21" t="e">
        <f>Indicadores!F115</f>
        <v>#DIV/0!</v>
      </c>
      <c r="L7" s="21">
        <f>Indicadores!F127</f>
        <v>0.46666666666666667</v>
      </c>
      <c r="M7" s="21">
        <f>Indicadores!F139</f>
        <v>0</v>
      </c>
      <c r="N7" s="21">
        <f>Indicadores!F151</f>
        <v>0.69333333333333336</v>
      </c>
      <c r="O7" s="21">
        <f>Indicadores!F163</f>
        <v>0.83582089552238803</v>
      </c>
      <c r="P7" s="21">
        <f>Indicadores!F175</f>
        <v>0.28000000000000003</v>
      </c>
      <c r="Q7" s="21">
        <f>Indicadores!F187</f>
        <v>0.33333333333333331</v>
      </c>
      <c r="R7" s="21">
        <f>Indicadores!F199</f>
        <v>1.6129032258064515</v>
      </c>
      <c r="S7" s="21">
        <f>Indicadores!F211</f>
        <v>0.89333333333333331</v>
      </c>
      <c r="T7" s="21">
        <f>Indicadores!F223</f>
        <v>0.93333333333333335</v>
      </c>
      <c r="U7" s="21">
        <f>Indicadores!F235</f>
        <v>0</v>
      </c>
      <c r="V7" s="21">
        <f>Indicadores!F247</f>
        <v>0.30666666666666664</v>
      </c>
      <c r="W7" s="21" t="e">
        <f>Indicadores!F259</f>
        <v>#DIV/0!</v>
      </c>
      <c r="X7" s="21">
        <f>Indicadores!F271</f>
        <v>0.85333333333333339</v>
      </c>
      <c r="Y7" s="21">
        <f>Indicadores!F283</f>
        <v>1.3333333333333333</v>
      </c>
      <c r="Z7" s="21" t="e">
        <f>Indicadores!F295</f>
        <v>#DIV/0!</v>
      </c>
      <c r="AA7" s="21">
        <f>Indicadores!F307</f>
        <v>0</v>
      </c>
      <c r="AB7" s="21">
        <f>Indicadores!F319</f>
        <v>0.8</v>
      </c>
      <c r="AC7" s="21">
        <f>Indicadores!F331</f>
        <v>1.1066666666666667</v>
      </c>
      <c r="AD7" s="21">
        <f>Indicadores!F343</f>
        <v>0</v>
      </c>
      <c r="AE7" s="21">
        <f>Indicadores!F355</f>
        <v>0</v>
      </c>
      <c r="AF7" s="21">
        <f>Indicadores!F367</f>
        <v>1</v>
      </c>
      <c r="AG7" s="21">
        <f>Indicadores!F379</f>
        <v>0</v>
      </c>
      <c r="AH7" s="21">
        <f>Indicadores!F391</f>
        <v>2.7027027027027026</v>
      </c>
      <c r="AI7" s="21">
        <f>Indicadores!F403</f>
        <v>0.37333333333333335</v>
      </c>
      <c r="AJ7" s="21">
        <f>Indicadores!F415</f>
        <v>1.3333333333333333</v>
      </c>
      <c r="AK7" s="21">
        <f>Indicadores!F427</f>
        <v>0.58666666666666667</v>
      </c>
      <c r="AL7" s="21">
        <f>Indicadores!F439</f>
        <v>0.17333333333333334</v>
      </c>
      <c r="AM7" s="21">
        <f>Indicadores!F451</f>
        <v>0</v>
      </c>
      <c r="AN7" s="21">
        <f>Indicadores!F463</f>
        <v>0</v>
      </c>
      <c r="AO7" s="21">
        <f>Indicadores!F475</f>
        <v>0.72</v>
      </c>
      <c r="AP7" s="21">
        <f>Indicadores!F487</f>
        <v>0.28000000000000003</v>
      </c>
      <c r="AQ7" s="21">
        <f>Indicadores!F499</f>
        <v>0.8</v>
      </c>
      <c r="AR7" s="21">
        <f>Indicadores!F511</f>
        <v>0.91428571428571426</v>
      </c>
      <c r="AS7" s="21">
        <f>Indicadores!F523</f>
        <v>0</v>
      </c>
      <c r="AT7" s="21">
        <f>Indicadores!F535</f>
        <v>1.1363636363636365</v>
      </c>
      <c r="AU7" s="21">
        <f>Indicadores!F547</f>
        <v>1.4285714285714286</v>
      </c>
      <c r="AV7" s="21">
        <f>Indicadores!F559</f>
        <v>0</v>
      </c>
      <c r="AW7" s="21">
        <f>Indicadores!F571</f>
        <v>1.3333333333333333</v>
      </c>
      <c r="AX7" s="21">
        <f>Indicadores!F583</f>
        <v>0</v>
      </c>
      <c r="AY7" s="21" t="e">
        <f>Indicadores!F595</f>
        <v>#DIV/0!</v>
      </c>
      <c r="AZ7" s="20">
        <f>Indicadores!F607</f>
        <v>0.13333333333333333</v>
      </c>
      <c r="BA7" s="20">
        <f>Indicadores!F619</f>
        <v>1.2133333333333334</v>
      </c>
      <c r="BB7" s="20">
        <f>Indicadores!F631</f>
        <v>0.7</v>
      </c>
      <c r="BC7" s="20">
        <f>Indicadores!F643</f>
        <v>1.4307692307692308</v>
      </c>
      <c r="BD7" s="20" t="e">
        <f>Indicadores!F655</f>
        <v>#DIV/0!</v>
      </c>
      <c r="BE7" s="20">
        <f>Indicadores!F667</f>
        <v>0.66666666666666663</v>
      </c>
      <c r="BF7" s="20">
        <f>Indicadores!F679</f>
        <v>0</v>
      </c>
      <c r="BG7" s="20">
        <f>Indicadores!F691</f>
        <v>0</v>
      </c>
      <c r="BH7" s="20">
        <f>Indicadores!F703</f>
        <v>0.36</v>
      </c>
      <c r="BI7" s="4" t="e">
        <f t="shared" si="1"/>
        <v>#DIV/0!</v>
      </c>
      <c r="BJ7" s="4" t="e">
        <f t="shared" si="2"/>
        <v>#DIV/0!</v>
      </c>
      <c r="BK7" s="4" t="e">
        <f t="shared" si="0"/>
        <v>#DIV/0!</v>
      </c>
      <c r="BL7" s="3" t="e">
        <f t="shared" si="3"/>
        <v>#DIV/0!</v>
      </c>
    </row>
    <row r="8" spans="1:64" ht="15" x14ac:dyDescent="0.2">
      <c r="A8" s="20" t="s">
        <v>157</v>
      </c>
      <c r="B8" s="21">
        <f>Indicadores!F8</f>
        <v>1.3333333333333333</v>
      </c>
      <c r="C8" s="20">
        <f>Indicadores!F20</f>
        <v>1.5636363636363637</v>
      </c>
      <c r="D8" s="21">
        <f>Indicadores!F32</f>
        <v>0.92</v>
      </c>
      <c r="E8" s="21">
        <f>Indicadores!F44</f>
        <v>0.56000000000000005</v>
      </c>
      <c r="F8" s="21">
        <f>Indicadores!F56</f>
        <v>1.0266666666666666</v>
      </c>
      <c r="G8" s="21">
        <f>Indicadores!F68</f>
        <v>1.0666666666666667</v>
      </c>
      <c r="H8" s="21">
        <f>Indicadores!F80</f>
        <v>0.14666666666666667</v>
      </c>
      <c r="I8" s="21">
        <f>Indicadores!F92</f>
        <v>0.58666666666666667</v>
      </c>
      <c r="J8" s="21">
        <f>Indicadores!F104</f>
        <v>1.3333333333333333</v>
      </c>
      <c r="K8" s="21" t="e">
        <f>Indicadores!F116</f>
        <v>#DIV/0!</v>
      </c>
      <c r="L8" s="21">
        <f>Indicadores!F128</f>
        <v>0.73333333333333328</v>
      </c>
      <c r="M8" s="21">
        <f>Indicadores!F140</f>
        <v>0</v>
      </c>
      <c r="N8" s="21">
        <f>Indicadores!F152</f>
        <v>0.8</v>
      </c>
      <c r="O8" s="21">
        <f>Indicadores!F164</f>
        <v>1.0298507462686568</v>
      </c>
      <c r="P8" s="21">
        <f>Indicadores!F176</f>
        <v>0.34666666666666668</v>
      </c>
      <c r="Q8" s="21">
        <f>Indicadores!F188</f>
        <v>0.37333333333333335</v>
      </c>
      <c r="R8" s="21">
        <f>Indicadores!F200</f>
        <v>1.6129032258064515</v>
      </c>
      <c r="S8" s="21">
        <f>Indicadores!F212</f>
        <v>1.0133333333333334</v>
      </c>
      <c r="T8" s="21">
        <f>Indicadores!F224</f>
        <v>0.93333333333333335</v>
      </c>
      <c r="U8" s="21">
        <f>Indicadores!F236</f>
        <v>0.2</v>
      </c>
      <c r="V8" s="21">
        <f>Indicadores!F248</f>
        <v>0.30666666666666664</v>
      </c>
      <c r="W8" s="21" t="e">
        <f>Indicadores!F260</f>
        <v>#DIV/0!</v>
      </c>
      <c r="X8" s="21">
        <f>Indicadores!F272</f>
        <v>1.0266666666666666</v>
      </c>
      <c r="Y8" s="21">
        <f>Indicadores!F284</f>
        <v>1.3333333333333333</v>
      </c>
      <c r="Z8" s="21" t="e">
        <f>Indicadores!F296</f>
        <v>#DIV/0!</v>
      </c>
      <c r="AA8" s="21">
        <f>Indicadores!F308</f>
        <v>0</v>
      </c>
      <c r="AB8" s="21">
        <f>Indicadores!F320</f>
        <v>0.8</v>
      </c>
      <c r="AC8" s="21">
        <f>Indicadores!F332</f>
        <v>1.1733333333333333</v>
      </c>
      <c r="AD8" s="21">
        <f>Indicadores!F344</f>
        <v>0</v>
      </c>
      <c r="AE8" s="21">
        <f>Indicadores!F356</f>
        <v>0</v>
      </c>
      <c r="AF8" s="21">
        <f>Indicadores!F368</f>
        <v>1.2266666666666666</v>
      </c>
      <c r="AG8" s="21">
        <f>Indicadores!F380</f>
        <v>0</v>
      </c>
      <c r="AH8" s="21">
        <f>Indicadores!F392</f>
        <v>2.7027027027027026</v>
      </c>
      <c r="AI8" s="21">
        <f>Indicadores!F404</f>
        <v>0.37333333333333335</v>
      </c>
      <c r="AJ8" s="21">
        <f>Indicadores!F416</f>
        <v>1.3333333333333333</v>
      </c>
      <c r="AK8" s="21">
        <f>Indicadores!F428</f>
        <v>0.8</v>
      </c>
      <c r="AL8" s="21">
        <f>Indicadores!F440</f>
        <v>0.17333333333333334</v>
      </c>
      <c r="AM8" s="21">
        <f>Indicadores!F452</f>
        <v>0</v>
      </c>
      <c r="AN8" s="21">
        <f>Indicadores!F464</f>
        <v>0</v>
      </c>
      <c r="AO8" s="21">
        <f>Indicadores!F476</f>
        <v>0.92</v>
      </c>
      <c r="AP8" s="21">
        <f>Indicadores!F488</f>
        <v>0.28000000000000003</v>
      </c>
      <c r="AQ8" s="21">
        <f>Indicadores!F500</f>
        <v>0.8666666666666667</v>
      </c>
      <c r="AR8" s="21">
        <f>Indicadores!F512</f>
        <v>1.1285714285714286</v>
      </c>
      <c r="AS8" s="21">
        <f>Indicadores!F524</f>
        <v>1.2</v>
      </c>
      <c r="AT8" s="21">
        <f>Indicadores!F536</f>
        <v>1.1363636363636365</v>
      </c>
      <c r="AU8" s="21">
        <f>Indicadores!F548</f>
        <v>1.4285714285714286</v>
      </c>
      <c r="AV8" s="21">
        <f>Indicadores!F560</f>
        <v>0</v>
      </c>
      <c r="AW8" s="21">
        <f>Indicadores!F572</f>
        <v>1.3333333333333333</v>
      </c>
      <c r="AX8" s="21">
        <f>Indicadores!F584</f>
        <v>0</v>
      </c>
      <c r="AY8" s="21" t="e">
        <f>Indicadores!F596</f>
        <v>#DIV/0!</v>
      </c>
      <c r="AZ8" s="20">
        <f>Indicadores!F608</f>
        <v>0.13333333333333333</v>
      </c>
      <c r="BA8" s="20">
        <f>Indicadores!F620</f>
        <v>1.2133333333333334</v>
      </c>
      <c r="BB8" s="20">
        <f>Indicadores!F632</f>
        <v>0.7</v>
      </c>
      <c r="BC8" s="20">
        <f>Indicadores!F644</f>
        <v>1.4307692307692308</v>
      </c>
      <c r="BD8" s="20" t="e">
        <f>Indicadores!F656</f>
        <v>#DIV/0!</v>
      </c>
      <c r="BE8" s="20">
        <f>Indicadores!F668</f>
        <v>0.7466666666666667</v>
      </c>
      <c r="BF8" s="20">
        <f>Indicadores!F680</f>
        <v>0</v>
      </c>
      <c r="BG8" s="20">
        <f>Indicadores!F692</f>
        <v>0</v>
      </c>
      <c r="BH8" s="20">
        <f>Indicadores!F704</f>
        <v>0.85333333333333339</v>
      </c>
      <c r="BI8" s="4" t="e">
        <f t="shared" si="1"/>
        <v>#DIV/0!</v>
      </c>
      <c r="BJ8" s="4" t="e">
        <f t="shared" si="2"/>
        <v>#DIV/0!</v>
      </c>
      <c r="BK8" s="4" t="e">
        <f t="shared" si="0"/>
        <v>#DIV/0!</v>
      </c>
      <c r="BL8" s="3" t="e">
        <f t="shared" si="3"/>
        <v>#DIV/0!</v>
      </c>
    </row>
    <row r="9" spans="1:64" ht="15" x14ac:dyDescent="0.2">
      <c r="A9" s="20" t="s">
        <v>158</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t="e">
        <f>Indicadores!F117</f>
        <v>#DIV/0!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t="e">
        <f>Indicadores!F261</f>
        <v>#DIV/0!</v>
      </c>
      <c r="X9" s="21">
        <f>Indicadores!F273</f>
        <v>0</v>
      </c>
      <c r="Y9" s="21">
        <f>Indicadores!F285</f>
        <v>0</v>
      </c>
      <c r="Z9" s="21" t="e">
        <f>Indicadores!F297</f>
        <v>#DIV/0!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t="e">
        <f>Indicadores!F597</f>
        <v>#DIV/0!</v>
      </c>
      <c r="AZ9" s="20">
        <f>Indicadores!F609</f>
        <v>0</v>
      </c>
      <c r="BA9" s="20">
        <f>Indicadores!F621</f>
        <v>0</v>
      </c>
      <c r="BB9" s="20">
        <f>Indicadores!F633</f>
        <v>0</v>
      </c>
      <c r="BC9" s="20">
        <f>Indicadores!F645</f>
        <v>0</v>
      </c>
      <c r="BD9" s="20" t="e">
        <f>Indicadores!F657</f>
        <v>#DIV/0!</v>
      </c>
      <c r="BE9" s="20">
        <f>Indicadores!F669</f>
        <v>0</v>
      </c>
      <c r="BF9" s="20">
        <f>Indicadores!F681</f>
        <v>0</v>
      </c>
      <c r="BG9" s="20">
        <f>Indicadores!F693</f>
        <v>0</v>
      </c>
      <c r="BH9" s="20">
        <f>Indicadores!F705</f>
        <v>0</v>
      </c>
      <c r="BI9" s="4" t="e">
        <f t="shared" si="1"/>
        <v>#DIV/0!</v>
      </c>
      <c r="BJ9" s="4" t="e">
        <f t="shared" si="2"/>
        <v>#DIV/0!</v>
      </c>
      <c r="BK9" s="4" t="e">
        <f t="shared" si="0"/>
        <v>#DIV/0!</v>
      </c>
      <c r="BL9" s="3" t="e">
        <f t="shared" si="3"/>
        <v>#DIV/0!</v>
      </c>
    </row>
    <row r="10" spans="1:64" ht="15" x14ac:dyDescent="0.2">
      <c r="A10" s="20" t="s">
        <v>159</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t="e">
        <f>Indicadores!F118</f>
        <v>#DIV/0!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t="e">
        <f>Indicadores!F262</f>
        <v>#DIV/0!</v>
      </c>
      <c r="X10" s="21">
        <f>Indicadores!F274</f>
        <v>0</v>
      </c>
      <c r="Y10" s="21">
        <f>Indicadores!F286</f>
        <v>0</v>
      </c>
      <c r="Z10" s="21" t="e">
        <f>Indicadores!F298</f>
        <v>#DIV/0!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t="e">
        <f>Indicadores!F598</f>
        <v>#DIV/0!</v>
      </c>
      <c r="AZ10" s="20">
        <f>Indicadores!F610</f>
        <v>0</v>
      </c>
      <c r="BA10" s="20">
        <f>Indicadores!F622</f>
        <v>0</v>
      </c>
      <c r="BB10" s="20">
        <f>Indicadores!F634</f>
        <v>0</v>
      </c>
      <c r="BC10" s="20">
        <f>Indicadores!F646</f>
        <v>0</v>
      </c>
      <c r="BD10" s="20" t="e">
        <f>Indicadores!F658</f>
        <v>#DIV/0!</v>
      </c>
      <c r="BE10" s="20">
        <f>Indicadores!F670</f>
        <v>0</v>
      </c>
      <c r="BF10" s="20">
        <f>Indicadores!F682</f>
        <v>0</v>
      </c>
      <c r="BG10" s="20">
        <f>Indicadores!F694</f>
        <v>0</v>
      </c>
      <c r="BH10" s="20">
        <f>Indicadores!F706</f>
        <v>0</v>
      </c>
      <c r="BI10" s="4" t="e">
        <f t="shared" si="1"/>
        <v>#DIV/0!</v>
      </c>
      <c r="BJ10" s="4" t="e">
        <f t="shared" si="2"/>
        <v>#DIV/0!</v>
      </c>
      <c r="BK10" s="4" t="e">
        <f t="shared" si="0"/>
        <v>#DIV/0!</v>
      </c>
      <c r="BL10" s="3" t="e">
        <f t="shared" si="3"/>
        <v>#DIV/0!</v>
      </c>
    </row>
    <row r="11" spans="1:64" ht="15" x14ac:dyDescent="0.2">
      <c r="A11" s="20" t="s">
        <v>160</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t="e">
        <f>Indicadores!F119</f>
        <v>#DIV/0!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t="e">
        <f>Indicadores!F263</f>
        <v>#DIV/0!</v>
      </c>
      <c r="X11" s="21">
        <f>Indicadores!F275</f>
        <v>0</v>
      </c>
      <c r="Y11" s="21">
        <f>Indicadores!F287</f>
        <v>0</v>
      </c>
      <c r="Z11" s="21" t="e">
        <f>Indicadores!F299</f>
        <v>#DIV/0!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t="e">
        <f>Indicadores!F599</f>
        <v>#DIV/0!</v>
      </c>
      <c r="AZ11" s="20">
        <f>Indicadores!F611</f>
        <v>0</v>
      </c>
      <c r="BA11" s="20">
        <f>Indicadores!F623</f>
        <v>0</v>
      </c>
      <c r="BB11" s="20">
        <f>Indicadores!F635</f>
        <v>0</v>
      </c>
      <c r="BC11" s="20">
        <f>Indicadores!F647</f>
        <v>0</v>
      </c>
      <c r="BD11" s="20" t="e">
        <f>Indicadores!F659</f>
        <v>#DIV/0!</v>
      </c>
      <c r="BE11" s="20">
        <f>Indicadores!F671</f>
        <v>0</v>
      </c>
      <c r="BF11" s="20">
        <f>Indicadores!F683</f>
        <v>0</v>
      </c>
      <c r="BG11" s="20">
        <f>Indicadores!F695</f>
        <v>0</v>
      </c>
      <c r="BH11" s="20">
        <f>Indicadores!F707</f>
        <v>0</v>
      </c>
      <c r="BI11" s="4" t="e">
        <f t="shared" si="1"/>
        <v>#DIV/0!</v>
      </c>
      <c r="BJ11" s="4" t="e">
        <f t="shared" si="2"/>
        <v>#DIV/0!</v>
      </c>
      <c r="BK11" s="4" t="e">
        <f t="shared" si="0"/>
        <v>#DIV/0!</v>
      </c>
      <c r="BL11" s="3" t="e">
        <f t="shared" si="3"/>
        <v>#DIV/0!</v>
      </c>
    </row>
    <row r="12" spans="1:64" ht="15" x14ac:dyDescent="0.2">
      <c r="A12" s="20" t="s">
        <v>161</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t="e">
        <f>Indicadores!F120</f>
        <v>#DIV/0!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t="e">
        <f>Indicadores!F264</f>
        <v>#DIV/0!</v>
      </c>
      <c r="X12" s="21">
        <f>Indicadores!F276</f>
        <v>0</v>
      </c>
      <c r="Y12" s="21">
        <f>Indicadores!F288</f>
        <v>0</v>
      </c>
      <c r="Z12" s="21" t="e">
        <f>Indicadores!F300</f>
        <v>#DIV/0!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t="e">
        <f>Indicadores!F600</f>
        <v>#DIV/0!</v>
      </c>
      <c r="AZ12" s="20">
        <f>Indicadores!F612</f>
        <v>0</v>
      </c>
      <c r="BA12" s="20">
        <f>Indicadores!F624</f>
        <v>0</v>
      </c>
      <c r="BB12" s="20">
        <f>Indicadores!F636</f>
        <v>0</v>
      </c>
      <c r="BC12" s="20">
        <f>Indicadores!F648</f>
        <v>0</v>
      </c>
      <c r="BD12" s="20" t="e">
        <f>Indicadores!F660</f>
        <v>#DIV/0!</v>
      </c>
      <c r="BE12" s="20">
        <f>Indicadores!F672</f>
        <v>0</v>
      </c>
      <c r="BF12" s="20">
        <f>Indicadores!F684</f>
        <v>0</v>
      </c>
      <c r="BG12" s="20">
        <f>Indicadores!F696</f>
        <v>0</v>
      </c>
      <c r="BH12" s="20">
        <f>Indicadores!F708</f>
        <v>0</v>
      </c>
      <c r="BI12" s="4" t="e">
        <f t="shared" si="1"/>
        <v>#DIV/0!</v>
      </c>
      <c r="BJ12" s="4" t="e">
        <f t="shared" si="2"/>
        <v>#DIV/0!</v>
      </c>
      <c r="BK12" s="4" t="e">
        <f t="shared" si="0"/>
        <v>#DIV/0!</v>
      </c>
      <c r="BL12" s="3" t="e">
        <f t="shared" si="3"/>
        <v>#DIV/0!</v>
      </c>
    </row>
    <row r="13" spans="1:64" ht="15" x14ac:dyDescent="0.2">
      <c r="A13" s="20" t="s">
        <v>162</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t="e">
        <f>Indicadores!F121</f>
        <v>#DIV/0!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t="e">
        <f>Indicadores!F265</f>
        <v>#DIV/0!</v>
      </c>
      <c r="X13" s="21">
        <f>Indicadores!F277</f>
        <v>0</v>
      </c>
      <c r="Y13" s="21">
        <f>Indicadores!F289</f>
        <v>0</v>
      </c>
      <c r="Z13" s="21" t="e">
        <f>Indicadores!F301</f>
        <v>#DIV/0!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t="e">
        <f>Indicadores!F601</f>
        <v>#DIV/0!</v>
      </c>
      <c r="AZ13" s="20">
        <f>Indicadores!F613</f>
        <v>0</v>
      </c>
      <c r="BA13" s="20">
        <f>Indicadores!F625</f>
        <v>0</v>
      </c>
      <c r="BB13" s="20">
        <f>Indicadores!F637</f>
        <v>0</v>
      </c>
      <c r="BC13" s="20">
        <f>Indicadores!F649</f>
        <v>0</v>
      </c>
      <c r="BD13" s="20" t="e">
        <f>Indicadores!F661</f>
        <v>#DIV/0!</v>
      </c>
      <c r="BE13" s="20">
        <f>Indicadores!F673</f>
        <v>0</v>
      </c>
      <c r="BF13" s="20">
        <f>Indicadores!F685</f>
        <v>0</v>
      </c>
      <c r="BG13" s="20">
        <f>Indicadores!F697</f>
        <v>0</v>
      </c>
      <c r="BH13" s="20">
        <f>Indicadores!F709</f>
        <v>0</v>
      </c>
      <c r="BI13" s="4" t="e">
        <f t="shared" si="1"/>
        <v>#DIV/0!</v>
      </c>
      <c r="BJ13" s="4" t="e">
        <f t="shared" si="2"/>
        <v>#DIV/0!</v>
      </c>
      <c r="BK13" s="4" t="e">
        <f t="shared" si="0"/>
        <v>#DIV/0!</v>
      </c>
      <c r="BL13" s="3" t="e">
        <f t="shared" si="3"/>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9"/>
  <sheetViews>
    <sheetView zoomScale="80" zoomScaleNormal="80" workbookViewId="0">
      <pane xSplit="1" topLeftCell="B1" activePane="topRight" state="frozen"/>
      <selection pane="topRight" activeCell="D9" sqref="D9"/>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111" t="s">
        <v>0</v>
      </c>
      <c r="B1" s="34" t="s">
        <v>165</v>
      </c>
      <c r="C1" s="104" t="s">
        <v>241</v>
      </c>
      <c r="D1" s="34" t="s">
        <v>6</v>
      </c>
      <c r="E1" s="34" t="s">
        <v>7</v>
      </c>
      <c r="F1" s="34" t="s">
        <v>12</v>
      </c>
      <c r="G1" s="34" t="s">
        <v>13</v>
      </c>
      <c r="H1" s="34" t="s">
        <v>18</v>
      </c>
      <c r="I1" s="34" t="s">
        <v>19</v>
      </c>
      <c r="J1" s="34" t="s">
        <v>3</v>
      </c>
    </row>
    <row r="2" spans="1:11" ht="15" x14ac:dyDescent="0.2">
      <c r="A2" s="105" t="s">
        <v>83</v>
      </c>
      <c r="B2" s="105" t="s">
        <v>151</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 x14ac:dyDescent="0.2">
      <c r="A3" s="108" t="s">
        <v>83</v>
      </c>
      <c r="B3" s="108" t="s">
        <v>152</v>
      </c>
      <c r="C3" s="106">
        <f t="shared" si="0"/>
        <v>2</v>
      </c>
      <c r="D3" s="109">
        <v>8</v>
      </c>
      <c r="E3" s="109">
        <v>80</v>
      </c>
      <c r="F3" s="107">
        <v>0</v>
      </c>
      <c r="G3" s="107">
        <v>0</v>
      </c>
      <c r="H3" s="107">
        <v>0</v>
      </c>
      <c r="I3" s="107">
        <v>0</v>
      </c>
      <c r="J3" s="107">
        <v>2</v>
      </c>
      <c r="K3" s="45"/>
    </row>
    <row r="4" spans="1:11" ht="15" x14ac:dyDescent="0.2">
      <c r="A4" s="105" t="s">
        <v>83</v>
      </c>
      <c r="B4" s="105" t="s">
        <v>153</v>
      </c>
      <c r="C4" s="106">
        <f t="shared" si="0"/>
        <v>3</v>
      </c>
      <c r="D4" s="107">
        <v>0</v>
      </c>
      <c r="E4" s="107">
        <v>0</v>
      </c>
      <c r="F4" s="107">
        <v>0</v>
      </c>
      <c r="G4" s="107">
        <v>0</v>
      </c>
      <c r="H4" s="107">
        <v>0</v>
      </c>
      <c r="I4" s="107">
        <v>0</v>
      </c>
      <c r="J4" s="107">
        <v>0</v>
      </c>
      <c r="K4" s="45"/>
    </row>
    <row r="5" spans="1:11" ht="15" x14ac:dyDescent="0.2">
      <c r="A5" s="108" t="s">
        <v>83</v>
      </c>
      <c r="B5" s="108" t="s">
        <v>154</v>
      </c>
      <c r="C5" s="106">
        <f t="shared" si="0"/>
        <v>4</v>
      </c>
      <c r="D5" s="109">
        <v>0</v>
      </c>
      <c r="E5" s="109">
        <v>0</v>
      </c>
      <c r="F5" s="107">
        <v>0</v>
      </c>
      <c r="G5" s="107">
        <v>0</v>
      </c>
      <c r="H5" s="107">
        <v>0</v>
      </c>
      <c r="I5" s="107">
        <v>0</v>
      </c>
      <c r="J5" s="107">
        <v>0</v>
      </c>
      <c r="K5" s="45"/>
    </row>
    <row r="6" spans="1:11" ht="15" x14ac:dyDescent="0.2">
      <c r="A6" s="105" t="s">
        <v>83</v>
      </c>
      <c r="B6" s="105" t="s">
        <v>155</v>
      </c>
      <c r="C6" s="106">
        <f t="shared" si="0"/>
        <v>5</v>
      </c>
      <c r="D6" s="107">
        <v>0</v>
      </c>
      <c r="E6" s="107">
        <v>0</v>
      </c>
      <c r="F6" s="107">
        <v>0</v>
      </c>
      <c r="G6" s="107">
        <v>0</v>
      </c>
      <c r="H6" s="107">
        <v>0</v>
      </c>
      <c r="I6" s="107">
        <v>0</v>
      </c>
      <c r="J6" s="107">
        <v>0</v>
      </c>
      <c r="K6" s="45"/>
    </row>
    <row r="7" spans="1:11" ht="15" x14ac:dyDescent="0.2">
      <c r="A7" s="108" t="s">
        <v>83</v>
      </c>
      <c r="B7" s="108" t="s">
        <v>156</v>
      </c>
      <c r="C7" s="106">
        <f t="shared" si="0"/>
        <v>6</v>
      </c>
      <c r="D7" s="109">
        <v>0</v>
      </c>
      <c r="E7" s="109">
        <v>0</v>
      </c>
      <c r="F7" s="107">
        <v>0</v>
      </c>
      <c r="G7" s="107">
        <v>0</v>
      </c>
      <c r="H7" s="107">
        <v>0</v>
      </c>
      <c r="I7" s="107">
        <v>0</v>
      </c>
      <c r="J7" s="107">
        <v>0</v>
      </c>
      <c r="K7" s="45"/>
    </row>
    <row r="8" spans="1:11" ht="15" x14ac:dyDescent="0.2">
      <c r="A8" s="105" t="s">
        <v>83</v>
      </c>
      <c r="B8" s="105" t="s">
        <v>157</v>
      </c>
      <c r="C8" s="106">
        <f t="shared" si="0"/>
        <v>7</v>
      </c>
      <c r="D8" s="107">
        <v>0</v>
      </c>
      <c r="E8" s="107">
        <v>0</v>
      </c>
      <c r="F8" s="107">
        <v>0</v>
      </c>
      <c r="G8" s="107">
        <v>0</v>
      </c>
      <c r="H8" s="107">
        <v>0</v>
      </c>
      <c r="I8" s="107">
        <v>0</v>
      </c>
      <c r="J8" s="107">
        <v>0</v>
      </c>
    </row>
    <row r="9" spans="1:11" ht="15" x14ac:dyDescent="0.2">
      <c r="A9" s="108" t="s">
        <v>83</v>
      </c>
      <c r="B9" s="108" t="s">
        <v>158</v>
      </c>
      <c r="C9" s="106">
        <f t="shared" si="0"/>
        <v>8</v>
      </c>
      <c r="D9" s="109">
        <v>0</v>
      </c>
      <c r="E9" s="109">
        <v>0</v>
      </c>
      <c r="F9" s="107">
        <v>0</v>
      </c>
      <c r="G9" s="107">
        <v>0</v>
      </c>
      <c r="H9" s="107">
        <v>0</v>
      </c>
      <c r="I9" s="107">
        <v>0</v>
      </c>
      <c r="J9" s="107">
        <v>0</v>
      </c>
    </row>
    <row r="10" spans="1:11" ht="15" x14ac:dyDescent="0.2">
      <c r="A10" s="105" t="s">
        <v>83</v>
      </c>
      <c r="B10" s="105" t="s">
        <v>159</v>
      </c>
      <c r="C10" s="106">
        <f t="shared" si="0"/>
        <v>9</v>
      </c>
      <c r="D10" s="107">
        <v>0</v>
      </c>
      <c r="E10" s="107">
        <v>0</v>
      </c>
      <c r="F10" s="107">
        <v>0</v>
      </c>
      <c r="G10" s="107">
        <v>0</v>
      </c>
      <c r="H10" s="107">
        <v>0</v>
      </c>
      <c r="I10" s="107">
        <v>0</v>
      </c>
      <c r="J10" s="107">
        <v>0</v>
      </c>
    </row>
    <row r="11" spans="1:11" ht="15" x14ac:dyDescent="0.2">
      <c r="A11" s="108" t="s">
        <v>83</v>
      </c>
      <c r="B11" s="108" t="s">
        <v>160</v>
      </c>
      <c r="C11" s="106">
        <f t="shared" si="0"/>
        <v>10</v>
      </c>
      <c r="D11" s="109">
        <v>0</v>
      </c>
      <c r="E11" s="109">
        <v>0</v>
      </c>
      <c r="F11" s="107">
        <v>0</v>
      </c>
      <c r="G11" s="107">
        <v>0</v>
      </c>
      <c r="H11" s="107">
        <v>0</v>
      </c>
      <c r="I11" s="107">
        <v>0</v>
      </c>
      <c r="J11" s="107">
        <v>0</v>
      </c>
    </row>
    <row r="12" spans="1:11" ht="15" x14ac:dyDescent="0.2">
      <c r="A12" s="105" t="s">
        <v>83</v>
      </c>
      <c r="B12" s="105" t="s">
        <v>161</v>
      </c>
      <c r="C12" s="106">
        <f t="shared" si="0"/>
        <v>11</v>
      </c>
      <c r="D12" s="107">
        <v>0</v>
      </c>
      <c r="E12" s="107">
        <v>0</v>
      </c>
      <c r="F12" s="107">
        <v>0</v>
      </c>
      <c r="G12" s="107">
        <v>0</v>
      </c>
      <c r="H12" s="107">
        <v>0</v>
      </c>
      <c r="I12" s="107">
        <v>0</v>
      </c>
      <c r="J12" s="107">
        <v>0</v>
      </c>
    </row>
    <row r="13" spans="1:11" ht="15" x14ac:dyDescent="0.2">
      <c r="A13" s="108" t="s">
        <v>83</v>
      </c>
      <c r="B13" s="108" t="s">
        <v>162</v>
      </c>
      <c r="C13" s="106">
        <f t="shared" si="0"/>
        <v>12</v>
      </c>
      <c r="D13" s="109">
        <v>0</v>
      </c>
      <c r="E13" s="109">
        <v>0</v>
      </c>
      <c r="F13" s="107">
        <v>0</v>
      </c>
      <c r="G13" s="107">
        <v>0</v>
      </c>
      <c r="H13" s="107">
        <v>0</v>
      </c>
      <c r="I13" s="107">
        <v>0</v>
      </c>
      <c r="J13" s="107">
        <v>0</v>
      </c>
    </row>
    <row r="14" spans="1:11" ht="15" x14ac:dyDescent="0.2">
      <c r="A14" s="105" t="s">
        <v>94</v>
      </c>
      <c r="B14" s="105" t="s">
        <v>151</v>
      </c>
      <c r="C14" s="106">
        <f t="shared" si="0"/>
        <v>1</v>
      </c>
      <c r="D14" s="107">
        <v>2</v>
      </c>
      <c r="E14" s="107">
        <v>28</v>
      </c>
      <c r="F14" s="107">
        <v>0</v>
      </c>
      <c r="G14" s="107">
        <v>0</v>
      </c>
      <c r="H14" s="107">
        <v>0</v>
      </c>
      <c r="I14" s="107">
        <v>0</v>
      </c>
      <c r="J14" s="107">
        <v>1</v>
      </c>
    </row>
    <row r="15" spans="1:11" ht="15" x14ac:dyDescent="0.2">
      <c r="A15" s="108" t="s">
        <v>94</v>
      </c>
      <c r="B15" s="108" t="s">
        <v>152</v>
      </c>
      <c r="C15" s="106">
        <f t="shared" si="0"/>
        <v>2</v>
      </c>
      <c r="D15" s="109">
        <v>0</v>
      </c>
      <c r="E15" s="109">
        <v>0</v>
      </c>
      <c r="F15" s="107">
        <v>0</v>
      </c>
      <c r="G15" s="107">
        <v>0</v>
      </c>
      <c r="H15" s="107">
        <v>0</v>
      </c>
      <c r="I15" s="107">
        <v>0</v>
      </c>
      <c r="J15" s="107">
        <v>0</v>
      </c>
    </row>
    <row r="16" spans="1:11" ht="15" x14ac:dyDescent="0.2">
      <c r="A16" s="105" t="s">
        <v>94</v>
      </c>
      <c r="B16" s="105" t="s">
        <v>153</v>
      </c>
      <c r="C16" s="106">
        <f t="shared" si="0"/>
        <v>3</v>
      </c>
      <c r="D16" s="107">
        <v>0</v>
      </c>
      <c r="E16" s="107">
        <v>0</v>
      </c>
      <c r="F16" s="107">
        <v>0</v>
      </c>
      <c r="G16" s="107">
        <v>0</v>
      </c>
      <c r="H16" s="107">
        <v>0</v>
      </c>
      <c r="I16" s="107">
        <v>0</v>
      </c>
      <c r="J16" s="107">
        <v>0</v>
      </c>
    </row>
    <row r="17" spans="1:10" ht="15" x14ac:dyDescent="0.2">
      <c r="A17" s="108" t="s">
        <v>94</v>
      </c>
      <c r="B17" s="108" t="s">
        <v>154</v>
      </c>
      <c r="C17" s="106">
        <f t="shared" si="0"/>
        <v>4</v>
      </c>
      <c r="D17" s="109">
        <v>4</v>
      </c>
      <c r="E17" s="109">
        <v>57</v>
      </c>
      <c r="F17" s="107">
        <v>0</v>
      </c>
      <c r="G17" s="107">
        <v>0</v>
      </c>
      <c r="H17" s="107">
        <v>0</v>
      </c>
      <c r="I17" s="107">
        <v>0</v>
      </c>
      <c r="J17" s="107">
        <v>1</v>
      </c>
    </row>
    <row r="18" spans="1:10" ht="15" x14ac:dyDescent="0.2">
      <c r="A18" s="105" t="s">
        <v>94</v>
      </c>
      <c r="B18" s="105" t="s">
        <v>155</v>
      </c>
      <c r="C18" s="106">
        <f t="shared" si="0"/>
        <v>5</v>
      </c>
      <c r="D18" s="107">
        <v>0</v>
      </c>
      <c r="E18" s="107">
        <v>0</v>
      </c>
      <c r="F18" s="107">
        <v>0</v>
      </c>
      <c r="G18" s="107">
        <v>0</v>
      </c>
      <c r="H18" s="107">
        <v>0</v>
      </c>
      <c r="I18" s="107">
        <v>0</v>
      </c>
      <c r="J18" s="107">
        <v>0</v>
      </c>
    </row>
    <row r="19" spans="1:10" ht="15" x14ac:dyDescent="0.2">
      <c r="A19" s="108" t="s">
        <v>94</v>
      </c>
      <c r="B19" s="108" t="s">
        <v>156</v>
      </c>
      <c r="C19" s="106">
        <f t="shared" si="0"/>
        <v>6</v>
      </c>
      <c r="D19" s="109">
        <v>4</v>
      </c>
      <c r="E19" s="109">
        <v>57</v>
      </c>
      <c r="F19" s="107">
        <v>1</v>
      </c>
      <c r="G19" s="107">
        <v>2</v>
      </c>
      <c r="H19" s="107">
        <v>0</v>
      </c>
      <c r="I19" s="107">
        <v>0</v>
      </c>
      <c r="J19" s="107">
        <v>1</v>
      </c>
    </row>
    <row r="20" spans="1:10" ht="15" x14ac:dyDescent="0.2">
      <c r="A20" s="105" t="s">
        <v>94</v>
      </c>
      <c r="B20" s="105" t="s">
        <v>157</v>
      </c>
      <c r="C20" s="106">
        <f t="shared" si="0"/>
        <v>7</v>
      </c>
      <c r="D20" s="107">
        <v>0</v>
      </c>
      <c r="E20" s="107">
        <v>0</v>
      </c>
      <c r="F20" s="107">
        <v>0</v>
      </c>
      <c r="G20" s="107">
        <v>0</v>
      </c>
      <c r="H20" s="107">
        <v>0</v>
      </c>
      <c r="I20" s="107">
        <v>0</v>
      </c>
      <c r="J20" s="107">
        <v>0</v>
      </c>
    </row>
    <row r="21" spans="1:10" ht="15" x14ac:dyDescent="0.2">
      <c r="A21" s="108" t="s">
        <v>94</v>
      </c>
      <c r="B21" s="108" t="s">
        <v>158</v>
      </c>
      <c r="C21" s="106">
        <f t="shared" si="0"/>
        <v>8</v>
      </c>
      <c r="D21" s="109">
        <v>0</v>
      </c>
      <c r="E21" s="109">
        <v>0</v>
      </c>
      <c r="F21" s="107">
        <v>0</v>
      </c>
      <c r="G21" s="107">
        <v>0</v>
      </c>
      <c r="H21" s="107">
        <v>0</v>
      </c>
      <c r="I21" s="107">
        <v>0</v>
      </c>
      <c r="J21" s="107">
        <v>0</v>
      </c>
    </row>
    <row r="22" spans="1:10" ht="15" x14ac:dyDescent="0.2">
      <c r="A22" s="105" t="s">
        <v>94</v>
      </c>
      <c r="B22" s="105" t="s">
        <v>159</v>
      </c>
      <c r="C22" s="106">
        <f t="shared" si="0"/>
        <v>9</v>
      </c>
      <c r="D22" s="107">
        <v>0</v>
      </c>
      <c r="E22" s="107">
        <v>0</v>
      </c>
      <c r="F22" s="107">
        <v>0</v>
      </c>
      <c r="G22" s="107">
        <v>0</v>
      </c>
      <c r="H22" s="107">
        <v>0</v>
      </c>
      <c r="I22" s="107">
        <v>0</v>
      </c>
      <c r="J22" s="107">
        <v>0</v>
      </c>
    </row>
    <row r="23" spans="1:10" ht="15" x14ac:dyDescent="0.2">
      <c r="A23" s="108" t="s">
        <v>94</v>
      </c>
      <c r="B23" s="108" t="s">
        <v>160</v>
      </c>
      <c r="C23" s="106">
        <f t="shared" si="0"/>
        <v>10</v>
      </c>
      <c r="D23" s="109">
        <v>0</v>
      </c>
      <c r="E23" s="109">
        <v>0</v>
      </c>
      <c r="F23" s="107">
        <v>0</v>
      </c>
      <c r="G23" s="107">
        <v>0</v>
      </c>
      <c r="H23" s="107">
        <v>0</v>
      </c>
      <c r="I23" s="107">
        <v>0</v>
      </c>
      <c r="J23" s="107">
        <v>0</v>
      </c>
    </row>
    <row r="24" spans="1:10" ht="15" x14ac:dyDescent="0.2">
      <c r="A24" s="105" t="s">
        <v>94</v>
      </c>
      <c r="B24" s="105" t="s">
        <v>161</v>
      </c>
      <c r="C24" s="106">
        <f t="shared" si="0"/>
        <v>11</v>
      </c>
      <c r="D24" s="107">
        <v>0</v>
      </c>
      <c r="E24" s="107">
        <v>0</v>
      </c>
      <c r="F24" s="107">
        <v>0</v>
      </c>
      <c r="G24" s="107">
        <v>0</v>
      </c>
      <c r="H24" s="107">
        <v>0</v>
      </c>
      <c r="I24" s="107">
        <v>0</v>
      </c>
      <c r="J24" s="107">
        <v>0</v>
      </c>
    </row>
    <row r="25" spans="1:10" ht="15" x14ac:dyDescent="0.2">
      <c r="A25" s="108" t="s">
        <v>94</v>
      </c>
      <c r="B25" s="108" t="s">
        <v>162</v>
      </c>
      <c r="C25" s="106">
        <f t="shared" si="0"/>
        <v>12</v>
      </c>
      <c r="D25" s="109">
        <v>0</v>
      </c>
      <c r="E25" s="109">
        <v>0</v>
      </c>
      <c r="F25" s="107">
        <v>0</v>
      </c>
      <c r="G25" s="107">
        <v>0</v>
      </c>
      <c r="H25" s="107">
        <v>0</v>
      </c>
      <c r="I25" s="107">
        <v>0</v>
      </c>
      <c r="J25" s="107">
        <v>0</v>
      </c>
    </row>
    <row r="26" spans="1:10" ht="15" x14ac:dyDescent="0.2">
      <c r="A26" s="105" t="s">
        <v>55</v>
      </c>
      <c r="B26" s="105" t="s">
        <v>151</v>
      </c>
      <c r="C26" s="106">
        <f t="shared" si="0"/>
        <v>1</v>
      </c>
      <c r="D26" s="107">
        <v>0</v>
      </c>
      <c r="E26" s="107">
        <v>0</v>
      </c>
      <c r="F26" s="107">
        <v>0</v>
      </c>
      <c r="G26" s="107">
        <v>0</v>
      </c>
      <c r="H26" s="107">
        <v>0</v>
      </c>
      <c r="I26" s="107">
        <v>0</v>
      </c>
      <c r="J26" s="107">
        <v>0</v>
      </c>
    </row>
    <row r="27" spans="1:10" ht="15" x14ac:dyDescent="0.2">
      <c r="A27" s="108" t="s">
        <v>55</v>
      </c>
      <c r="B27" s="108" t="s">
        <v>152</v>
      </c>
      <c r="C27" s="106">
        <f t="shared" si="0"/>
        <v>2</v>
      </c>
      <c r="D27" s="109">
        <v>2</v>
      </c>
      <c r="E27" s="109">
        <v>15</v>
      </c>
      <c r="F27" s="107">
        <v>0</v>
      </c>
      <c r="G27" s="107">
        <v>0</v>
      </c>
      <c r="H27" s="107">
        <v>0</v>
      </c>
      <c r="I27" s="107">
        <v>0</v>
      </c>
      <c r="J27" s="107">
        <v>1</v>
      </c>
    </row>
    <row r="28" spans="1:10" ht="15" x14ac:dyDescent="0.2">
      <c r="A28" s="105" t="s">
        <v>55</v>
      </c>
      <c r="B28" s="105" t="s">
        <v>153</v>
      </c>
      <c r="C28" s="106">
        <f t="shared" si="0"/>
        <v>3</v>
      </c>
      <c r="D28" s="107">
        <v>3</v>
      </c>
      <c r="E28" s="107">
        <v>23</v>
      </c>
      <c r="F28" s="107">
        <v>0</v>
      </c>
      <c r="G28" s="107">
        <v>0</v>
      </c>
      <c r="H28" s="107">
        <v>0</v>
      </c>
      <c r="I28" s="107">
        <v>0</v>
      </c>
      <c r="J28" s="107">
        <v>2</v>
      </c>
    </row>
    <row r="29" spans="1:10" ht="15" x14ac:dyDescent="0.2">
      <c r="A29" s="108" t="s">
        <v>55</v>
      </c>
      <c r="B29" s="108" t="s">
        <v>154</v>
      </c>
      <c r="C29" s="106">
        <f t="shared" si="0"/>
        <v>4</v>
      </c>
      <c r="D29" s="109">
        <v>3</v>
      </c>
      <c r="E29" s="109">
        <v>23</v>
      </c>
      <c r="F29" s="107">
        <v>0</v>
      </c>
      <c r="G29" s="107">
        <v>0</v>
      </c>
      <c r="H29" s="107">
        <v>0</v>
      </c>
      <c r="I29" s="107">
        <v>0</v>
      </c>
      <c r="J29" s="107">
        <v>1</v>
      </c>
    </row>
    <row r="30" spans="1:10" ht="15" x14ac:dyDescent="0.2">
      <c r="A30" s="105" t="s">
        <v>55</v>
      </c>
      <c r="B30" s="105" t="s">
        <v>155</v>
      </c>
      <c r="C30" s="106">
        <f t="shared" si="0"/>
        <v>5</v>
      </c>
      <c r="D30" s="107">
        <v>0</v>
      </c>
      <c r="E30" s="107">
        <v>0</v>
      </c>
      <c r="F30" s="107">
        <v>0</v>
      </c>
      <c r="G30" s="107">
        <v>0</v>
      </c>
      <c r="H30" s="107">
        <v>0</v>
      </c>
      <c r="I30" s="107">
        <v>0</v>
      </c>
      <c r="J30" s="107">
        <v>0</v>
      </c>
    </row>
    <row r="31" spans="1:10" ht="15" x14ac:dyDescent="0.2">
      <c r="A31" s="108" t="s">
        <v>55</v>
      </c>
      <c r="B31" s="108" t="s">
        <v>156</v>
      </c>
      <c r="C31" s="106">
        <f t="shared" si="0"/>
        <v>6</v>
      </c>
      <c r="D31" s="109">
        <v>0</v>
      </c>
      <c r="E31" s="109">
        <v>0</v>
      </c>
      <c r="F31" s="107">
        <v>0</v>
      </c>
      <c r="G31" s="107">
        <v>0</v>
      </c>
      <c r="H31" s="107">
        <v>0</v>
      </c>
      <c r="I31" s="107">
        <v>0</v>
      </c>
      <c r="J31" s="107">
        <v>0</v>
      </c>
    </row>
    <row r="32" spans="1:10" ht="15" x14ac:dyDescent="0.2">
      <c r="A32" s="105" t="s">
        <v>55</v>
      </c>
      <c r="B32" s="105" t="s">
        <v>157</v>
      </c>
      <c r="C32" s="106">
        <f t="shared" si="0"/>
        <v>7</v>
      </c>
      <c r="D32" s="107">
        <v>0</v>
      </c>
      <c r="E32" s="107">
        <v>0</v>
      </c>
      <c r="F32" s="107">
        <v>0</v>
      </c>
      <c r="G32" s="107">
        <v>0</v>
      </c>
      <c r="H32" s="107">
        <v>0</v>
      </c>
      <c r="I32" s="107">
        <v>0</v>
      </c>
      <c r="J32" s="107">
        <v>0</v>
      </c>
    </row>
    <row r="33" spans="1:10" ht="15" x14ac:dyDescent="0.2">
      <c r="A33" s="108" t="s">
        <v>55</v>
      </c>
      <c r="B33" s="108" t="s">
        <v>158</v>
      </c>
      <c r="C33" s="106">
        <f t="shared" si="0"/>
        <v>8</v>
      </c>
      <c r="D33" s="109">
        <v>0</v>
      </c>
      <c r="E33" s="109">
        <v>0</v>
      </c>
      <c r="F33" s="107">
        <v>0</v>
      </c>
      <c r="G33" s="107">
        <v>0</v>
      </c>
      <c r="H33" s="107">
        <v>0</v>
      </c>
      <c r="I33" s="107">
        <v>0</v>
      </c>
      <c r="J33" s="107">
        <v>0</v>
      </c>
    </row>
    <row r="34" spans="1:10" ht="15" x14ac:dyDescent="0.2">
      <c r="A34" s="105" t="s">
        <v>55</v>
      </c>
      <c r="B34" s="105" t="s">
        <v>159</v>
      </c>
      <c r="C34" s="106">
        <f t="shared" si="0"/>
        <v>9</v>
      </c>
      <c r="D34" s="107">
        <v>0</v>
      </c>
      <c r="E34" s="107">
        <v>0</v>
      </c>
      <c r="F34" s="107">
        <v>0</v>
      </c>
      <c r="G34" s="107">
        <v>0</v>
      </c>
      <c r="H34" s="107">
        <v>0</v>
      </c>
      <c r="I34" s="107">
        <v>0</v>
      </c>
      <c r="J34" s="107">
        <v>0</v>
      </c>
    </row>
    <row r="35" spans="1:10" ht="15" x14ac:dyDescent="0.2">
      <c r="A35" s="108" t="s">
        <v>55</v>
      </c>
      <c r="B35" s="108" t="s">
        <v>160</v>
      </c>
      <c r="C35" s="106">
        <f t="shared" si="0"/>
        <v>10</v>
      </c>
      <c r="D35" s="109">
        <v>0</v>
      </c>
      <c r="E35" s="109">
        <v>0</v>
      </c>
      <c r="F35" s="107">
        <v>0</v>
      </c>
      <c r="G35" s="107">
        <v>0</v>
      </c>
      <c r="H35" s="107">
        <v>0</v>
      </c>
      <c r="I35" s="107">
        <v>0</v>
      </c>
      <c r="J35" s="107">
        <v>0</v>
      </c>
    </row>
    <row r="36" spans="1:10" ht="15" x14ac:dyDescent="0.2">
      <c r="A36" s="105" t="s">
        <v>55</v>
      </c>
      <c r="B36" s="105" t="s">
        <v>161</v>
      </c>
      <c r="C36" s="106">
        <f t="shared" si="0"/>
        <v>11</v>
      </c>
      <c r="D36" s="107">
        <v>0</v>
      </c>
      <c r="E36" s="107">
        <v>0</v>
      </c>
      <c r="F36" s="107">
        <v>0</v>
      </c>
      <c r="G36" s="107">
        <v>0</v>
      </c>
      <c r="H36" s="107">
        <v>0</v>
      </c>
      <c r="I36" s="107">
        <v>0</v>
      </c>
      <c r="J36" s="107">
        <v>0</v>
      </c>
    </row>
    <row r="37" spans="1:10" ht="15" x14ac:dyDescent="0.2">
      <c r="A37" s="108" t="s">
        <v>55</v>
      </c>
      <c r="B37" s="108" t="s">
        <v>162</v>
      </c>
      <c r="C37" s="106">
        <f t="shared" si="0"/>
        <v>12</v>
      </c>
      <c r="D37" s="109">
        <v>0</v>
      </c>
      <c r="E37" s="109">
        <v>0</v>
      </c>
      <c r="F37" s="107">
        <v>0</v>
      </c>
      <c r="G37" s="107">
        <v>0</v>
      </c>
      <c r="H37" s="107">
        <v>0</v>
      </c>
      <c r="I37" s="107">
        <v>0</v>
      </c>
      <c r="J37" s="107">
        <v>0</v>
      </c>
    </row>
    <row r="38" spans="1:10" ht="15" x14ac:dyDescent="0.2">
      <c r="A38" s="105" t="s">
        <v>142</v>
      </c>
      <c r="B38" s="105" t="s">
        <v>151</v>
      </c>
      <c r="C38" s="106">
        <f t="shared" si="0"/>
        <v>1</v>
      </c>
      <c r="D38" s="107">
        <v>1</v>
      </c>
      <c r="E38" s="107">
        <v>8</v>
      </c>
      <c r="F38" s="107">
        <v>0</v>
      </c>
      <c r="G38" s="107">
        <v>0</v>
      </c>
      <c r="H38" s="107">
        <v>0</v>
      </c>
      <c r="I38" s="107">
        <v>0</v>
      </c>
      <c r="J38" s="107">
        <v>1</v>
      </c>
    </row>
    <row r="39" spans="1:10" ht="15" x14ac:dyDescent="0.2">
      <c r="A39" s="108" t="s">
        <v>142</v>
      </c>
      <c r="B39" s="108" t="s">
        <v>152</v>
      </c>
      <c r="C39" s="106">
        <f t="shared" si="0"/>
        <v>2</v>
      </c>
      <c r="D39" s="109">
        <v>3</v>
      </c>
      <c r="E39" s="109">
        <v>25</v>
      </c>
      <c r="F39" s="107">
        <v>0</v>
      </c>
      <c r="G39" s="107">
        <v>0</v>
      </c>
      <c r="H39" s="107">
        <v>0</v>
      </c>
      <c r="I39" s="107">
        <v>0</v>
      </c>
      <c r="J39" s="107">
        <v>3</v>
      </c>
    </row>
    <row r="40" spans="1:10" ht="15" x14ac:dyDescent="0.2">
      <c r="A40" s="105" t="s">
        <v>142</v>
      </c>
      <c r="B40" s="105" t="s">
        <v>153</v>
      </c>
      <c r="C40" s="106">
        <f t="shared" si="0"/>
        <v>3</v>
      </c>
      <c r="D40" s="107">
        <v>1</v>
      </c>
      <c r="E40" s="107">
        <v>8</v>
      </c>
      <c r="F40" s="107">
        <v>0</v>
      </c>
      <c r="G40" s="107">
        <v>0</v>
      </c>
      <c r="H40" s="107">
        <v>0</v>
      </c>
      <c r="I40" s="107">
        <v>0</v>
      </c>
      <c r="J40" s="107">
        <v>1</v>
      </c>
    </row>
    <row r="41" spans="1:10" ht="15" x14ac:dyDescent="0.2">
      <c r="A41" s="108" t="s">
        <v>142</v>
      </c>
      <c r="B41" s="108" t="s">
        <v>154</v>
      </c>
      <c r="C41" s="106">
        <f t="shared" si="0"/>
        <v>4</v>
      </c>
      <c r="D41" s="109">
        <v>0</v>
      </c>
      <c r="E41" s="109">
        <v>0</v>
      </c>
      <c r="F41" s="107">
        <v>0</v>
      </c>
      <c r="G41" s="107">
        <v>0</v>
      </c>
      <c r="H41" s="107">
        <v>0</v>
      </c>
      <c r="I41" s="107">
        <v>0</v>
      </c>
      <c r="J41" s="107">
        <v>0</v>
      </c>
    </row>
    <row r="42" spans="1:10" ht="15" x14ac:dyDescent="0.2">
      <c r="A42" s="105" t="s">
        <v>142</v>
      </c>
      <c r="B42" s="105" t="s">
        <v>155</v>
      </c>
      <c r="C42" s="106">
        <f t="shared" si="0"/>
        <v>5</v>
      </c>
      <c r="D42" s="107">
        <v>4</v>
      </c>
      <c r="E42" s="107">
        <v>33</v>
      </c>
      <c r="F42" s="107">
        <v>0</v>
      </c>
      <c r="G42" s="107">
        <v>0</v>
      </c>
      <c r="H42" s="107">
        <v>0</v>
      </c>
      <c r="I42" s="107">
        <v>0</v>
      </c>
      <c r="J42" s="107">
        <v>2</v>
      </c>
    </row>
    <row r="43" spans="1:10" ht="15" x14ac:dyDescent="0.2">
      <c r="A43" s="108" t="s">
        <v>142</v>
      </c>
      <c r="B43" s="108" t="s">
        <v>156</v>
      </c>
      <c r="C43" s="106">
        <f t="shared" si="0"/>
        <v>6</v>
      </c>
      <c r="D43" s="109">
        <v>1</v>
      </c>
      <c r="E43" s="109">
        <v>8</v>
      </c>
      <c r="F43" s="107">
        <v>0</v>
      </c>
      <c r="G43" s="107">
        <v>0</v>
      </c>
      <c r="H43" s="107">
        <v>0</v>
      </c>
      <c r="I43" s="107">
        <v>0</v>
      </c>
      <c r="J43" s="107">
        <v>1</v>
      </c>
    </row>
    <row r="44" spans="1:10" ht="15" x14ac:dyDescent="0.2">
      <c r="A44" s="105" t="s">
        <v>142</v>
      </c>
      <c r="B44" s="105" t="s">
        <v>157</v>
      </c>
      <c r="C44" s="106">
        <f t="shared" si="0"/>
        <v>7</v>
      </c>
      <c r="D44" s="107">
        <v>0</v>
      </c>
      <c r="E44" s="107">
        <v>0</v>
      </c>
      <c r="F44" s="107">
        <v>0</v>
      </c>
      <c r="G44" s="107">
        <v>0</v>
      </c>
      <c r="H44" s="107">
        <v>0</v>
      </c>
      <c r="I44" s="107">
        <v>0</v>
      </c>
      <c r="J44" s="107">
        <v>0</v>
      </c>
    </row>
    <row r="45" spans="1:10" ht="15" x14ac:dyDescent="0.2">
      <c r="A45" s="108" t="s">
        <v>142</v>
      </c>
      <c r="B45" s="108" t="s">
        <v>158</v>
      </c>
      <c r="C45" s="106">
        <f t="shared" si="0"/>
        <v>8</v>
      </c>
      <c r="D45" s="109">
        <v>0</v>
      </c>
      <c r="E45" s="109">
        <v>0</v>
      </c>
      <c r="F45" s="107">
        <v>0</v>
      </c>
      <c r="G45" s="107">
        <v>0</v>
      </c>
      <c r="H45" s="107">
        <v>0</v>
      </c>
      <c r="I45" s="107">
        <v>0</v>
      </c>
      <c r="J45" s="107">
        <v>0</v>
      </c>
    </row>
    <row r="46" spans="1:10" ht="15" x14ac:dyDescent="0.2">
      <c r="A46" s="105" t="s">
        <v>142</v>
      </c>
      <c r="B46" s="105" t="s">
        <v>159</v>
      </c>
      <c r="C46" s="106">
        <f t="shared" si="0"/>
        <v>9</v>
      </c>
      <c r="D46" s="107">
        <v>0</v>
      </c>
      <c r="E46" s="107">
        <v>0</v>
      </c>
      <c r="F46" s="107">
        <v>0</v>
      </c>
      <c r="G46" s="107">
        <v>0</v>
      </c>
      <c r="H46" s="107">
        <v>0</v>
      </c>
      <c r="I46" s="107">
        <v>0</v>
      </c>
      <c r="J46" s="107">
        <v>0</v>
      </c>
    </row>
    <row r="47" spans="1:10" ht="15" x14ac:dyDescent="0.2">
      <c r="A47" s="108" t="s">
        <v>142</v>
      </c>
      <c r="B47" s="108" t="s">
        <v>160</v>
      </c>
      <c r="C47" s="106">
        <f t="shared" si="0"/>
        <v>10</v>
      </c>
      <c r="D47" s="109">
        <v>0</v>
      </c>
      <c r="E47" s="109">
        <v>0</v>
      </c>
      <c r="F47" s="107">
        <v>0</v>
      </c>
      <c r="G47" s="107">
        <v>0</v>
      </c>
      <c r="H47" s="107">
        <v>0</v>
      </c>
      <c r="I47" s="107">
        <v>0</v>
      </c>
      <c r="J47" s="107">
        <v>0</v>
      </c>
    </row>
    <row r="48" spans="1:10" ht="15" x14ac:dyDescent="0.2">
      <c r="A48" s="105" t="s">
        <v>142</v>
      </c>
      <c r="B48" s="105" t="s">
        <v>161</v>
      </c>
      <c r="C48" s="106">
        <f t="shared" si="0"/>
        <v>11</v>
      </c>
      <c r="D48" s="107">
        <v>0</v>
      </c>
      <c r="E48" s="107">
        <v>0</v>
      </c>
      <c r="F48" s="107">
        <v>0</v>
      </c>
      <c r="G48" s="107">
        <v>0</v>
      </c>
      <c r="H48" s="107">
        <v>0</v>
      </c>
      <c r="I48" s="107">
        <v>0</v>
      </c>
      <c r="J48" s="107">
        <v>0</v>
      </c>
    </row>
    <row r="49" spans="1:10" ht="15" x14ac:dyDescent="0.2">
      <c r="A49" s="108" t="s">
        <v>142</v>
      </c>
      <c r="B49" s="108" t="s">
        <v>162</v>
      </c>
      <c r="C49" s="106">
        <f t="shared" si="0"/>
        <v>12</v>
      </c>
      <c r="D49" s="109">
        <v>0</v>
      </c>
      <c r="E49" s="109">
        <v>0</v>
      </c>
      <c r="F49" s="107">
        <v>0</v>
      </c>
      <c r="G49" s="107">
        <v>0</v>
      </c>
      <c r="H49" s="107">
        <v>0</v>
      </c>
      <c r="I49" s="107">
        <v>0</v>
      </c>
      <c r="J49" s="107">
        <v>0</v>
      </c>
    </row>
    <row r="50" spans="1:10" ht="15" x14ac:dyDescent="0.2">
      <c r="A50" s="105" t="s">
        <v>65</v>
      </c>
      <c r="B50" s="105" t="s">
        <v>151</v>
      </c>
      <c r="C50" s="106">
        <f t="shared" si="0"/>
        <v>1</v>
      </c>
      <c r="D50" s="107">
        <v>6</v>
      </c>
      <c r="E50" s="107">
        <v>27</v>
      </c>
      <c r="F50" s="107">
        <v>0</v>
      </c>
      <c r="G50" s="107">
        <v>0</v>
      </c>
      <c r="H50" s="107">
        <v>0</v>
      </c>
      <c r="I50" s="107">
        <v>0</v>
      </c>
      <c r="J50" s="107">
        <v>1</v>
      </c>
    </row>
    <row r="51" spans="1:10" ht="15" x14ac:dyDescent="0.2">
      <c r="A51" s="108" t="s">
        <v>65</v>
      </c>
      <c r="B51" s="108" t="s">
        <v>152</v>
      </c>
      <c r="C51" s="106">
        <f t="shared" si="0"/>
        <v>2</v>
      </c>
      <c r="D51" s="109">
        <v>0</v>
      </c>
      <c r="E51" s="109">
        <v>0</v>
      </c>
      <c r="F51" s="107">
        <v>0</v>
      </c>
      <c r="G51" s="107">
        <v>0</v>
      </c>
      <c r="H51" s="107">
        <v>0</v>
      </c>
      <c r="I51" s="107">
        <v>0</v>
      </c>
      <c r="J51" s="107">
        <v>0</v>
      </c>
    </row>
    <row r="52" spans="1:10" ht="15" x14ac:dyDescent="0.2">
      <c r="A52" s="105" t="s">
        <v>65</v>
      </c>
      <c r="B52" s="105" t="s">
        <v>153</v>
      </c>
      <c r="C52" s="106">
        <f t="shared" si="0"/>
        <v>3</v>
      </c>
      <c r="D52" s="107">
        <v>3</v>
      </c>
      <c r="E52" s="107">
        <v>13</v>
      </c>
      <c r="F52" s="107">
        <v>0</v>
      </c>
      <c r="G52" s="107">
        <v>0</v>
      </c>
      <c r="H52" s="107">
        <v>0</v>
      </c>
      <c r="I52" s="107">
        <v>0</v>
      </c>
      <c r="J52" s="107">
        <v>1</v>
      </c>
    </row>
    <row r="53" spans="1:10" ht="15" x14ac:dyDescent="0.2">
      <c r="A53" s="108" t="s">
        <v>65</v>
      </c>
      <c r="B53" s="108" t="s">
        <v>154</v>
      </c>
      <c r="C53" s="106">
        <f t="shared" si="0"/>
        <v>4</v>
      </c>
      <c r="D53" s="109">
        <v>0</v>
      </c>
      <c r="E53" s="109">
        <v>0</v>
      </c>
      <c r="F53" s="107">
        <v>0</v>
      </c>
      <c r="G53" s="107">
        <v>0</v>
      </c>
      <c r="H53" s="107">
        <v>0</v>
      </c>
      <c r="I53" s="107">
        <v>0</v>
      </c>
      <c r="J53" s="107">
        <v>0</v>
      </c>
    </row>
    <row r="54" spans="1:10" ht="15" x14ac:dyDescent="0.2">
      <c r="A54" s="105" t="s">
        <v>65</v>
      </c>
      <c r="B54" s="105" t="s">
        <v>155</v>
      </c>
      <c r="C54" s="106">
        <f t="shared" si="0"/>
        <v>5</v>
      </c>
      <c r="D54" s="107">
        <v>0</v>
      </c>
      <c r="E54" s="107">
        <v>0</v>
      </c>
      <c r="F54" s="107">
        <v>0</v>
      </c>
      <c r="G54" s="107">
        <v>0</v>
      </c>
      <c r="H54" s="107">
        <v>0</v>
      </c>
      <c r="I54" s="107">
        <v>0</v>
      </c>
      <c r="J54" s="107">
        <v>0</v>
      </c>
    </row>
    <row r="55" spans="1:10" ht="15" x14ac:dyDescent="0.2">
      <c r="A55" s="108" t="s">
        <v>65</v>
      </c>
      <c r="B55" s="108" t="s">
        <v>156</v>
      </c>
      <c r="C55" s="106">
        <f t="shared" si="0"/>
        <v>6</v>
      </c>
      <c r="D55" s="109">
        <v>0</v>
      </c>
      <c r="E55" s="109">
        <v>0</v>
      </c>
      <c r="F55" s="107">
        <v>0</v>
      </c>
      <c r="G55" s="107">
        <v>0</v>
      </c>
      <c r="H55" s="107">
        <v>0</v>
      </c>
      <c r="I55" s="107">
        <v>0</v>
      </c>
      <c r="J55" s="107">
        <v>0</v>
      </c>
    </row>
    <row r="56" spans="1:10" ht="15" x14ac:dyDescent="0.2">
      <c r="A56" s="105" t="s">
        <v>65</v>
      </c>
      <c r="B56" s="105" t="s">
        <v>157</v>
      </c>
      <c r="C56" s="106">
        <f t="shared" si="0"/>
        <v>7</v>
      </c>
      <c r="D56" s="107">
        <v>0</v>
      </c>
      <c r="E56" s="107">
        <v>0</v>
      </c>
      <c r="F56" s="107">
        <v>0</v>
      </c>
      <c r="G56" s="107">
        <v>0</v>
      </c>
      <c r="H56" s="107">
        <v>0</v>
      </c>
      <c r="I56" s="107">
        <v>0</v>
      </c>
      <c r="J56" s="107">
        <v>0</v>
      </c>
    </row>
    <row r="57" spans="1:10" ht="15" x14ac:dyDescent="0.2">
      <c r="A57" s="108" t="s">
        <v>65</v>
      </c>
      <c r="B57" s="108" t="s">
        <v>158</v>
      </c>
      <c r="C57" s="106">
        <f t="shared" si="0"/>
        <v>8</v>
      </c>
      <c r="D57" s="109">
        <v>0</v>
      </c>
      <c r="E57" s="109">
        <v>0</v>
      </c>
      <c r="F57" s="107">
        <v>0</v>
      </c>
      <c r="G57" s="107">
        <v>0</v>
      </c>
      <c r="H57" s="107">
        <v>0</v>
      </c>
      <c r="I57" s="107">
        <v>0</v>
      </c>
      <c r="J57" s="107">
        <v>0</v>
      </c>
    </row>
    <row r="58" spans="1:10" ht="15" x14ac:dyDescent="0.2">
      <c r="A58" s="105" t="s">
        <v>65</v>
      </c>
      <c r="B58" s="105" t="s">
        <v>159</v>
      </c>
      <c r="C58" s="106">
        <f t="shared" si="0"/>
        <v>9</v>
      </c>
      <c r="D58" s="107">
        <v>0</v>
      </c>
      <c r="E58" s="107">
        <v>0</v>
      </c>
      <c r="F58" s="107">
        <v>0</v>
      </c>
      <c r="G58" s="107">
        <v>0</v>
      </c>
      <c r="H58" s="107">
        <v>0</v>
      </c>
      <c r="I58" s="107">
        <v>0</v>
      </c>
      <c r="J58" s="107">
        <v>0</v>
      </c>
    </row>
    <row r="59" spans="1:10" ht="15" x14ac:dyDescent="0.2">
      <c r="A59" s="108" t="s">
        <v>65</v>
      </c>
      <c r="B59" s="108" t="s">
        <v>160</v>
      </c>
      <c r="C59" s="106">
        <f t="shared" si="0"/>
        <v>10</v>
      </c>
      <c r="D59" s="109">
        <v>0</v>
      </c>
      <c r="E59" s="109">
        <v>0</v>
      </c>
      <c r="F59" s="107">
        <v>0</v>
      </c>
      <c r="G59" s="107">
        <v>0</v>
      </c>
      <c r="H59" s="107">
        <v>0</v>
      </c>
      <c r="I59" s="107">
        <v>0</v>
      </c>
      <c r="J59" s="107">
        <v>0</v>
      </c>
    </row>
    <row r="60" spans="1:10" ht="15" x14ac:dyDescent="0.2">
      <c r="A60" s="105" t="s">
        <v>65</v>
      </c>
      <c r="B60" s="105" t="s">
        <v>161</v>
      </c>
      <c r="C60" s="106">
        <f t="shared" si="0"/>
        <v>11</v>
      </c>
      <c r="D60" s="107">
        <v>0</v>
      </c>
      <c r="E60" s="107">
        <v>0</v>
      </c>
      <c r="F60" s="107">
        <v>0</v>
      </c>
      <c r="G60" s="107">
        <v>0</v>
      </c>
      <c r="H60" s="107">
        <v>0</v>
      </c>
      <c r="I60" s="107">
        <v>0</v>
      </c>
      <c r="J60" s="107">
        <v>0</v>
      </c>
    </row>
    <row r="61" spans="1:10" ht="15" x14ac:dyDescent="0.2">
      <c r="A61" s="108" t="s">
        <v>65</v>
      </c>
      <c r="B61" s="108" t="s">
        <v>162</v>
      </c>
      <c r="C61" s="106">
        <f t="shared" si="0"/>
        <v>12</v>
      </c>
      <c r="D61" s="109">
        <v>0</v>
      </c>
      <c r="E61" s="109">
        <v>0</v>
      </c>
      <c r="F61" s="107">
        <v>0</v>
      </c>
      <c r="G61" s="107">
        <v>0</v>
      </c>
      <c r="H61" s="107">
        <v>0</v>
      </c>
      <c r="I61" s="107">
        <v>0</v>
      </c>
      <c r="J61" s="107">
        <v>0</v>
      </c>
    </row>
    <row r="62" spans="1:10" ht="15" x14ac:dyDescent="0.2">
      <c r="A62" s="105" t="s">
        <v>41</v>
      </c>
      <c r="B62" s="105" t="s">
        <v>151</v>
      </c>
      <c r="C62" s="106">
        <f t="shared" si="0"/>
        <v>1</v>
      </c>
      <c r="D62" s="107">
        <v>3</v>
      </c>
      <c r="E62" s="107">
        <v>20</v>
      </c>
      <c r="F62" s="107">
        <v>0</v>
      </c>
      <c r="G62" s="107">
        <v>0</v>
      </c>
      <c r="H62" s="107">
        <v>0</v>
      </c>
      <c r="I62" s="107">
        <v>0</v>
      </c>
      <c r="J62" s="107">
        <v>7</v>
      </c>
    </row>
    <row r="63" spans="1:10" ht="15" x14ac:dyDescent="0.2">
      <c r="A63" s="108" t="s">
        <v>41</v>
      </c>
      <c r="B63" s="108" t="s">
        <v>152</v>
      </c>
      <c r="C63" s="106">
        <f t="shared" si="0"/>
        <v>2</v>
      </c>
      <c r="D63" s="109">
        <v>2</v>
      </c>
      <c r="E63" s="109">
        <v>13</v>
      </c>
      <c r="F63" s="107">
        <v>0</v>
      </c>
      <c r="G63" s="107">
        <v>0</v>
      </c>
      <c r="H63" s="107">
        <v>0</v>
      </c>
      <c r="I63" s="107">
        <v>0</v>
      </c>
      <c r="J63" s="107">
        <v>6</v>
      </c>
    </row>
    <row r="64" spans="1:10" ht="15" x14ac:dyDescent="0.2">
      <c r="A64" s="105" t="s">
        <v>41</v>
      </c>
      <c r="B64" s="105" t="s">
        <v>153</v>
      </c>
      <c r="C64" s="106">
        <f t="shared" si="0"/>
        <v>3</v>
      </c>
      <c r="D64" s="107">
        <v>2</v>
      </c>
      <c r="E64" s="107">
        <v>13</v>
      </c>
      <c r="F64" s="107">
        <v>0</v>
      </c>
      <c r="G64" s="107">
        <v>0</v>
      </c>
      <c r="H64" s="107">
        <v>0</v>
      </c>
      <c r="I64" s="107">
        <v>0</v>
      </c>
      <c r="J64" s="107">
        <v>1</v>
      </c>
    </row>
    <row r="65" spans="1:10" ht="15" x14ac:dyDescent="0.2">
      <c r="A65" s="108" t="s">
        <v>41</v>
      </c>
      <c r="B65" s="108" t="s">
        <v>154</v>
      </c>
      <c r="C65" s="106">
        <f t="shared" si="0"/>
        <v>4</v>
      </c>
      <c r="D65" s="109">
        <v>4</v>
      </c>
      <c r="E65" s="109">
        <v>26</v>
      </c>
      <c r="F65" s="107">
        <v>0</v>
      </c>
      <c r="G65" s="107">
        <v>0</v>
      </c>
      <c r="H65" s="107">
        <v>0</v>
      </c>
      <c r="I65" s="107">
        <v>0</v>
      </c>
      <c r="J65" s="107">
        <v>4</v>
      </c>
    </row>
    <row r="66" spans="1:10" ht="15" x14ac:dyDescent="0.2">
      <c r="A66" s="105" t="s">
        <v>41</v>
      </c>
      <c r="B66" s="105" t="s">
        <v>155</v>
      </c>
      <c r="C66" s="106">
        <f t="shared" ref="C66:C141"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 x14ac:dyDescent="0.2">
      <c r="A67" s="108" t="s">
        <v>41</v>
      </c>
      <c r="B67" s="108" t="s">
        <v>156</v>
      </c>
      <c r="C67" s="106">
        <f t="shared" si="1"/>
        <v>6</v>
      </c>
      <c r="D67" s="109">
        <v>7</v>
      </c>
      <c r="E67" s="109">
        <v>46</v>
      </c>
      <c r="F67" s="107">
        <v>0</v>
      </c>
      <c r="G67" s="107">
        <v>0</v>
      </c>
      <c r="H67" s="107">
        <v>0</v>
      </c>
      <c r="I67" s="107">
        <v>0</v>
      </c>
      <c r="J67" s="107">
        <v>9</v>
      </c>
    </row>
    <row r="68" spans="1:10" ht="15" x14ac:dyDescent="0.2">
      <c r="A68" s="105" t="s">
        <v>41</v>
      </c>
      <c r="B68" s="105" t="s">
        <v>157</v>
      </c>
      <c r="C68" s="106">
        <f t="shared" si="1"/>
        <v>7</v>
      </c>
      <c r="D68" s="107">
        <v>2</v>
      </c>
      <c r="E68" s="107">
        <v>13</v>
      </c>
      <c r="F68" s="107">
        <v>0</v>
      </c>
      <c r="G68" s="107">
        <v>0</v>
      </c>
      <c r="H68" s="107">
        <v>0</v>
      </c>
      <c r="I68" s="107">
        <v>0</v>
      </c>
      <c r="J68" s="107">
        <v>1</v>
      </c>
    </row>
    <row r="69" spans="1:10" ht="15" x14ac:dyDescent="0.2">
      <c r="A69" s="108" t="s">
        <v>41</v>
      </c>
      <c r="B69" s="108" t="s">
        <v>158</v>
      </c>
      <c r="C69" s="106">
        <f t="shared" si="1"/>
        <v>8</v>
      </c>
      <c r="D69" s="109">
        <v>0</v>
      </c>
      <c r="E69" s="109">
        <v>0</v>
      </c>
      <c r="F69" s="107">
        <v>0</v>
      </c>
      <c r="G69" s="107">
        <v>0</v>
      </c>
      <c r="H69" s="107">
        <v>0</v>
      </c>
      <c r="I69" s="107">
        <v>0</v>
      </c>
      <c r="J69" s="107">
        <v>0</v>
      </c>
    </row>
    <row r="70" spans="1:10" ht="15" x14ac:dyDescent="0.2">
      <c r="A70" s="105" t="s">
        <v>41</v>
      </c>
      <c r="B70" s="105" t="s">
        <v>159</v>
      </c>
      <c r="C70" s="106">
        <f t="shared" si="1"/>
        <v>9</v>
      </c>
      <c r="D70" s="107">
        <v>0</v>
      </c>
      <c r="E70" s="107">
        <v>0</v>
      </c>
      <c r="F70" s="107">
        <v>0</v>
      </c>
      <c r="G70" s="107">
        <v>0</v>
      </c>
      <c r="H70" s="107">
        <v>0</v>
      </c>
      <c r="I70" s="107">
        <v>0</v>
      </c>
      <c r="J70" s="107">
        <v>0</v>
      </c>
    </row>
    <row r="71" spans="1:10" ht="15" x14ac:dyDescent="0.2">
      <c r="A71" s="108" t="s">
        <v>41</v>
      </c>
      <c r="B71" s="108" t="s">
        <v>160</v>
      </c>
      <c r="C71" s="106">
        <f t="shared" si="1"/>
        <v>10</v>
      </c>
      <c r="D71" s="109">
        <v>0</v>
      </c>
      <c r="E71" s="109">
        <v>0</v>
      </c>
      <c r="F71" s="107">
        <v>0</v>
      </c>
      <c r="G71" s="107">
        <v>0</v>
      </c>
      <c r="H71" s="107">
        <v>0</v>
      </c>
      <c r="I71" s="107">
        <v>0</v>
      </c>
      <c r="J71" s="107">
        <v>0</v>
      </c>
    </row>
    <row r="72" spans="1:10" ht="15" x14ac:dyDescent="0.2">
      <c r="A72" s="105" t="s">
        <v>41</v>
      </c>
      <c r="B72" s="105" t="s">
        <v>161</v>
      </c>
      <c r="C72" s="106">
        <f t="shared" si="1"/>
        <v>11</v>
      </c>
      <c r="D72" s="107">
        <v>0</v>
      </c>
      <c r="E72" s="107">
        <v>0</v>
      </c>
      <c r="F72" s="107">
        <v>0</v>
      </c>
      <c r="G72" s="107">
        <v>0</v>
      </c>
      <c r="H72" s="107">
        <v>0</v>
      </c>
      <c r="I72" s="107">
        <v>0</v>
      </c>
      <c r="J72" s="107">
        <v>0</v>
      </c>
    </row>
    <row r="73" spans="1:10" ht="15" x14ac:dyDescent="0.2">
      <c r="A73" s="108" t="s">
        <v>41</v>
      </c>
      <c r="B73" s="108" t="s">
        <v>162</v>
      </c>
      <c r="C73" s="106">
        <f t="shared" si="1"/>
        <v>12</v>
      </c>
      <c r="D73" s="109">
        <v>0</v>
      </c>
      <c r="E73" s="109">
        <v>0</v>
      </c>
      <c r="F73" s="107">
        <v>0</v>
      </c>
      <c r="G73" s="107">
        <v>0</v>
      </c>
      <c r="H73" s="107">
        <v>0</v>
      </c>
      <c r="I73" s="107">
        <v>0</v>
      </c>
      <c r="J73" s="107">
        <v>0</v>
      </c>
    </row>
    <row r="74" spans="1:10" ht="15" x14ac:dyDescent="0.2">
      <c r="A74" s="105" t="s">
        <v>62</v>
      </c>
      <c r="B74" s="105" t="s">
        <v>151</v>
      </c>
      <c r="C74" s="106">
        <f t="shared" si="1"/>
        <v>1</v>
      </c>
      <c r="D74" s="107">
        <v>0</v>
      </c>
      <c r="E74" s="107">
        <v>0</v>
      </c>
      <c r="F74" s="107">
        <v>0</v>
      </c>
      <c r="G74" s="107">
        <v>0</v>
      </c>
      <c r="H74" s="107">
        <v>0</v>
      </c>
      <c r="I74" s="107">
        <v>0</v>
      </c>
      <c r="J74" s="107">
        <v>0</v>
      </c>
    </row>
    <row r="75" spans="1:10" ht="15" x14ac:dyDescent="0.2">
      <c r="A75" s="108" t="s">
        <v>62</v>
      </c>
      <c r="B75" s="108" t="s">
        <v>152</v>
      </c>
      <c r="C75" s="106">
        <f t="shared" si="1"/>
        <v>2</v>
      </c>
      <c r="D75" s="109">
        <v>2</v>
      </c>
      <c r="E75" s="109">
        <v>10</v>
      </c>
      <c r="F75" s="107">
        <v>0</v>
      </c>
      <c r="G75" s="107">
        <v>0</v>
      </c>
      <c r="H75" s="107">
        <v>0</v>
      </c>
      <c r="I75" s="107">
        <v>0</v>
      </c>
      <c r="J75" s="107">
        <v>1</v>
      </c>
    </row>
    <row r="76" spans="1:10" ht="15" x14ac:dyDescent="0.2">
      <c r="A76" s="105" t="s">
        <v>62</v>
      </c>
      <c r="B76" s="105" t="s">
        <v>153</v>
      </c>
      <c r="C76" s="106">
        <f t="shared" si="1"/>
        <v>3</v>
      </c>
      <c r="D76" s="107">
        <v>0</v>
      </c>
      <c r="E76" s="107">
        <v>0</v>
      </c>
      <c r="F76" s="107">
        <v>0</v>
      </c>
      <c r="G76" s="107">
        <v>0</v>
      </c>
      <c r="H76" s="107">
        <v>0</v>
      </c>
      <c r="I76" s="107">
        <v>0</v>
      </c>
      <c r="J76" s="107">
        <v>0</v>
      </c>
    </row>
    <row r="77" spans="1:10" ht="15" x14ac:dyDescent="0.2">
      <c r="A77" s="108" t="s">
        <v>62</v>
      </c>
      <c r="B77" s="108" t="s">
        <v>154</v>
      </c>
      <c r="C77" s="106">
        <f t="shared" si="1"/>
        <v>4</v>
      </c>
      <c r="D77" s="109">
        <v>0</v>
      </c>
      <c r="E77" s="109">
        <v>0</v>
      </c>
      <c r="F77" s="107">
        <v>0</v>
      </c>
      <c r="G77" s="107">
        <v>0</v>
      </c>
      <c r="H77" s="107">
        <v>0</v>
      </c>
      <c r="I77" s="107">
        <v>0</v>
      </c>
      <c r="J77" s="107">
        <v>0</v>
      </c>
    </row>
    <row r="78" spans="1:10" ht="15" x14ac:dyDescent="0.2">
      <c r="A78" s="105" t="s">
        <v>62</v>
      </c>
      <c r="B78" s="105" t="s">
        <v>155</v>
      </c>
      <c r="C78" s="106">
        <f t="shared" si="1"/>
        <v>5</v>
      </c>
      <c r="D78" s="107">
        <v>0</v>
      </c>
      <c r="E78" s="107">
        <v>0</v>
      </c>
      <c r="F78" s="107">
        <v>0</v>
      </c>
      <c r="G78" s="107">
        <v>0</v>
      </c>
      <c r="H78" s="107">
        <v>0</v>
      </c>
      <c r="I78" s="107">
        <v>0</v>
      </c>
      <c r="J78" s="107">
        <v>0</v>
      </c>
    </row>
    <row r="79" spans="1:10" ht="15" x14ac:dyDescent="0.2">
      <c r="A79" s="108" t="s">
        <v>62</v>
      </c>
      <c r="B79" s="108" t="s">
        <v>156</v>
      </c>
      <c r="C79" s="106">
        <f t="shared" si="1"/>
        <v>6</v>
      </c>
      <c r="D79" s="109">
        <v>0</v>
      </c>
      <c r="E79" s="109">
        <v>0</v>
      </c>
      <c r="F79" s="107">
        <v>0</v>
      </c>
      <c r="G79" s="107">
        <v>0</v>
      </c>
      <c r="H79" s="107">
        <v>0</v>
      </c>
      <c r="I79" s="107">
        <v>0</v>
      </c>
      <c r="J79" s="107">
        <v>0</v>
      </c>
    </row>
    <row r="80" spans="1:10" ht="15" x14ac:dyDescent="0.2">
      <c r="A80" s="105" t="s">
        <v>62</v>
      </c>
      <c r="B80" s="105" t="s">
        <v>157</v>
      </c>
      <c r="C80" s="106">
        <f t="shared" si="1"/>
        <v>7</v>
      </c>
      <c r="D80" s="107">
        <v>0</v>
      </c>
      <c r="E80" s="107">
        <v>0</v>
      </c>
      <c r="F80" s="107">
        <v>0</v>
      </c>
      <c r="G80" s="107">
        <v>0</v>
      </c>
      <c r="H80" s="107">
        <v>0</v>
      </c>
      <c r="I80" s="107">
        <v>0</v>
      </c>
      <c r="J80" s="107">
        <v>0</v>
      </c>
    </row>
    <row r="81" spans="1:10" ht="15" x14ac:dyDescent="0.2">
      <c r="A81" s="108" t="s">
        <v>62</v>
      </c>
      <c r="B81" s="108" t="s">
        <v>158</v>
      </c>
      <c r="C81" s="106">
        <f t="shared" si="1"/>
        <v>8</v>
      </c>
      <c r="D81" s="109">
        <v>0</v>
      </c>
      <c r="E81" s="109">
        <v>0</v>
      </c>
      <c r="F81" s="107">
        <v>0</v>
      </c>
      <c r="G81" s="107">
        <v>0</v>
      </c>
      <c r="H81" s="107">
        <v>0</v>
      </c>
      <c r="I81" s="107">
        <v>0</v>
      </c>
      <c r="J81" s="107">
        <v>0</v>
      </c>
    </row>
    <row r="82" spans="1:10" ht="15" x14ac:dyDescent="0.2">
      <c r="A82" s="105" t="s">
        <v>62</v>
      </c>
      <c r="B82" s="105" t="s">
        <v>159</v>
      </c>
      <c r="C82" s="106">
        <f t="shared" si="1"/>
        <v>9</v>
      </c>
      <c r="D82" s="107">
        <v>0</v>
      </c>
      <c r="E82" s="107">
        <v>0</v>
      </c>
      <c r="F82" s="107">
        <v>0</v>
      </c>
      <c r="G82" s="107">
        <v>0</v>
      </c>
      <c r="H82" s="107">
        <v>0</v>
      </c>
      <c r="I82" s="107">
        <v>0</v>
      </c>
      <c r="J82" s="107">
        <v>0</v>
      </c>
    </row>
    <row r="83" spans="1:10" ht="15" x14ac:dyDescent="0.2">
      <c r="A83" s="108" t="s">
        <v>62</v>
      </c>
      <c r="B83" s="108" t="s">
        <v>160</v>
      </c>
      <c r="C83" s="106">
        <f t="shared" si="1"/>
        <v>10</v>
      </c>
      <c r="D83" s="109">
        <v>0</v>
      </c>
      <c r="E83" s="109">
        <v>0</v>
      </c>
      <c r="F83" s="107">
        <v>0</v>
      </c>
      <c r="G83" s="107">
        <v>0</v>
      </c>
      <c r="H83" s="107">
        <v>0</v>
      </c>
      <c r="I83" s="107">
        <v>0</v>
      </c>
      <c r="J83" s="107">
        <v>0</v>
      </c>
    </row>
    <row r="84" spans="1:10" ht="15" x14ac:dyDescent="0.2">
      <c r="A84" s="105" t="s">
        <v>62</v>
      </c>
      <c r="B84" s="105" t="s">
        <v>161</v>
      </c>
      <c r="C84" s="106">
        <f t="shared" si="1"/>
        <v>11</v>
      </c>
      <c r="D84" s="107">
        <v>0</v>
      </c>
      <c r="E84" s="107">
        <v>0</v>
      </c>
      <c r="F84" s="107">
        <v>0</v>
      </c>
      <c r="G84" s="107">
        <v>0</v>
      </c>
      <c r="H84" s="107">
        <v>0</v>
      </c>
      <c r="I84" s="107">
        <v>0</v>
      </c>
      <c r="J84" s="107">
        <v>0</v>
      </c>
    </row>
    <row r="85" spans="1:10" ht="15" x14ac:dyDescent="0.2">
      <c r="A85" s="108" t="s">
        <v>62</v>
      </c>
      <c r="B85" s="108" t="s">
        <v>162</v>
      </c>
      <c r="C85" s="106">
        <f t="shared" si="1"/>
        <v>12</v>
      </c>
      <c r="D85" s="109">
        <v>0</v>
      </c>
      <c r="E85" s="109">
        <v>0</v>
      </c>
      <c r="F85" s="107">
        <v>0</v>
      </c>
      <c r="G85" s="107">
        <v>0</v>
      </c>
      <c r="H85" s="107">
        <v>0</v>
      </c>
      <c r="I85" s="107">
        <v>0</v>
      </c>
      <c r="J85" s="107">
        <v>0</v>
      </c>
    </row>
    <row r="86" spans="1:10" ht="15" x14ac:dyDescent="0.2">
      <c r="A86" s="105" t="s">
        <v>114</v>
      </c>
      <c r="B86" s="105" t="s">
        <v>151</v>
      </c>
      <c r="C86" s="106">
        <f t="shared" si="1"/>
        <v>1</v>
      </c>
      <c r="D86" s="107">
        <v>0</v>
      </c>
      <c r="E86" s="107">
        <v>0</v>
      </c>
      <c r="F86" s="107">
        <v>0</v>
      </c>
      <c r="G86" s="107">
        <v>0</v>
      </c>
      <c r="H86" s="107">
        <v>0</v>
      </c>
      <c r="I86" s="107">
        <v>0</v>
      </c>
      <c r="J86" s="107">
        <v>0</v>
      </c>
    </row>
    <row r="87" spans="1:10" ht="15" x14ac:dyDescent="0.2">
      <c r="A87" s="108" t="s">
        <v>114</v>
      </c>
      <c r="B87" s="108" t="s">
        <v>152</v>
      </c>
      <c r="C87" s="106">
        <f t="shared" si="1"/>
        <v>2</v>
      </c>
      <c r="D87" s="109">
        <v>3</v>
      </c>
      <c r="E87" s="109">
        <v>12</v>
      </c>
      <c r="F87" s="107">
        <v>0</v>
      </c>
      <c r="G87" s="107">
        <v>0</v>
      </c>
      <c r="H87" s="107">
        <v>0</v>
      </c>
      <c r="I87" s="107">
        <v>0</v>
      </c>
      <c r="J87" s="107">
        <v>2</v>
      </c>
    </row>
    <row r="88" spans="1:10" ht="15" x14ac:dyDescent="0.2">
      <c r="A88" s="105" t="s">
        <v>114</v>
      </c>
      <c r="B88" s="105" t="s">
        <v>153</v>
      </c>
      <c r="C88" s="106">
        <f t="shared" si="1"/>
        <v>3</v>
      </c>
      <c r="D88" s="107">
        <v>0</v>
      </c>
      <c r="E88" s="107">
        <v>0</v>
      </c>
      <c r="F88" s="107">
        <v>1</v>
      </c>
      <c r="G88" s="107">
        <v>0</v>
      </c>
      <c r="H88" s="107">
        <v>0</v>
      </c>
      <c r="I88" s="107">
        <v>0</v>
      </c>
      <c r="J88" s="107">
        <v>0</v>
      </c>
    </row>
    <row r="89" spans="1:10" ht="15" x14ac:dyDescent="0.2">
      <c r="A89" s="108" t="s">
        <v>114</v>
      </c>
      <c r="B89" s="108" t="s">
        <v>154</v>
      </c>
      <c r="C89" s="106">
        <f t="shared" si="1"/>
        <v>4</v>
      </c>
      <c r="D89" s="109">
        <v>0</v>
      </c>
      <c r="E89" s="109">
        <v>0</v>
      </c>
      <c r="F89" s="107">
        <v>0</v>
      </c>
      <c r="G89" s="107">
        <v>0</v>
      </c>
      <c r="H89" s="107">
        <v>0</v>
      </c>
      <c r="I89" s="107">
        <v>0</v>
      </c>
      <c r="J89" s="107">
        <v>0</v>
      </c>
    </row>
    <row r="90" spans="1:10" ht="15" x14ac:dyDescent="0.2">
      <c r="A90" s="105" t="s">
        <v>114</v>
      </c>
      <c r="B90" s="105" t="s">
        <v>155</v>
      </c>
      <c r="C90" s="106">
        <f t="shared" si="1"/>
        <v>5</v>
      </c>
      <c r="D90" s="107">
        <v>9</v>
      </c>
      <c r="E90" s="107">
        <v>37</v>
      </c>
      <c r="F90" s="107">
        <v>0</v>
      </c>
      <c r="G90" s="107">
        <v>0</v>
      </c>
      <c r="H90" s="107">
        <v>0</v>
      </c>
      <c r="I90" s="107">
        <v>0</v>
      </c>
      <c r="J90" s="107">
        <v>5</v>
      </c>
    </row>
    <row r="91" spans="1:10" ht="15" x14ac:dyDescent="0.2">
      <c r="A91" s="108" t="s">
        <v>114</v>
      </c>
      <c r="B91" s="108" t="s">
        <v>156</v>
      </c>
      <c r="C91" s="106">
        <f t="shared" si="1"/>
        <v>6</v>
      </c>
      <c r="D91" s="109">
        <v>6</v>
      </c>
      <c r="E91" s="109">
        <v>25</v>
      </c>
      <c r="F91" s="107">
        <v>0</v>
      </c>
      <c r="G91" s="107">
        <v>0</v>
      </c>
      <c r="H91" s="107">
        <v>0</v>
      </c>
      <c r="I91" s="107">
        <v>0</v>
      </c>
      <c r="J91" s="107">
        <v>7</v>
      </c>
    </row>
    <row r="92" spans="1:10" ht="15" x14ac:dyDescent="0.2">
      <c r="A92" s="105" t="s">
        <v>114</v>
      </c>
      <c r="B92" s="105" t="s">
        <v>157</v>
      </c>
      <c r="C92" s="106">
        <f t="shared" si="1"/>
        <v>7</v>
      </c>
      <c r="D92" s="107">
        <v>0</v>
      </c>
      <c r="E92" s="107">
        <v>0</v>
      </c>
      <c r="F92" s="107">
        <v>0</v>
      </c>
      <c r="G92" s="107">
        <v>0</v>
      </c>
      <c r="H92" s="107">
        <v>0</v>
      </c>
      <c r="I92" s="107">
        <v>0</v>
      </c>
      <c r="J92" s="107">
        <v>0</v>
      </c>
    </row>
    <row r="93" spans="1:10" ht="15" x14ac:dyDescent="0.2">
      <c r="A93" s="108" t="s">
        <v>114</v>
      </c>
      <c r="B93" s="108" t="s">
        <v>158</v>
      </c>
      <c r="C93" s="106">
        <f t="shared" si="1"/>
        <v>8</v>
      </c>
      <c r="D93" s="109">
        <v>0</v>
      </c>
      <c r="E93" s="109">
        <v>0</v>
      </c>
      <c r="F93" s="107">
        <v>0</v>
      </c>
      <c r="G93" s="107">
        <v>0</v>
      </c>
      <c r="H93" s="107">
        <v>0</v>
      </c>
      <c r="I93" s="107">
        <v>0</v>
      </c>
      <c r="J93" s="107">
        <v>0</v>
      </c>
    </row>
    <row r="94" spans="1:10" ht="15" x14ac:dyDescent="0.2">
      <c r="A94" s="105" t="s">
        <v>114</v>
      </c>
      <c r="B94" s="105" t="s">
        <v>159</v>
      </c>
      <c r="C94" s="106">
        <f t="shared" si="1"/>
        <v>9</v>
      </c>
      <c r="D94" s="107">
        <v>0</v>
      </c>
      <c r="E94" s="107">
        <v>0</v>
      </c>
      <c r="F94" s="107">
        <v>0</v>
      </c>
      <c r="G94" s="107">
        <v>0</v>
      </c>
      <c r="H94" s="107">
        <v>0</v>
      </c>
      <c r="I94" s="107">
        <v>0</v>
      </c>
      <c r="J94" s="107">
        <v>0</v>
      </c>
    </row>
    <row r="95" spans="1:10" ht="15" x14ac:dyDescent="0.2">
      <c r="A95" s="108" t="s">
        <v>114</v>
      </c>
      <c r="B95" s="108" t="s">
        <v>160</v>
      </c>
      <c r="C95" s="106">
        <f t="shared" si="1"/>
        <v>10</v>
      </c>
      <c r="D95" s="109">
        <v>0</v>
      </c>
      <c r="E95" s="109">
        <v>0</v>
      </c>
      <c r="F95" s="107">
        <v>0</v>
      </c>
      <c r="G95" s="107">
        <v>0</v>
      </c>
      <c r="H95" s="107">
        <v>0</v>
      </c>
      <c r="I95" s="107">
        <v>0</v>
      </c>
      <c r="J95" s="107">
        <v>0</v>
      </c>
    </row>
    <row r="96" spans="1:10" ht="15" x14ac:dyDescent="0.2">
      <c r="A96" s="105" t="s">
        <v>114</v>
      </c>
      <c r="B96" s="105" t="s">
        <v>161</v>
      </c>
      <c r="C96" s="106">
        <f t="shared" si="1"/>
        <v>11</v>
      </c>
      <c r="D96" s="107">
        <v>0</v>
      </c>
      <c r="E96" s="107">
        <v>0</v>
      </c>
      <c r="F96" s="107">
        <v>0</v>
      </c>
      <c r="G96" s="107">
        <v>0</v>
      </c>
      <c r="H96" s="107">
        <v>0</v>
      </c>
      <c r="I96" s="107">
        <v>0</v>
      </c>
      <c r="J96" s="107">
        <v>0</v>
      </c>
    </row>
    <row r="97" spans="1:10" ht="15" x14ac:dyDescent="0.2">
      <c r="A97" s="108" t="s">
        <v>114</v>
      </c>
      <c r="B97" s="108" t="s">
        <v>162</v>
      </c>
      <c r="C97" s="106">
        <f t="shared" si="1"/>
        <v>12</v>
      </c>
      <c r="D97" s="109">
        <v>0</v>
      </c>
      <c r="E97" s="109">
        <v>0</v>
      </c>
      <c r="F97" s="107">
        <v>0</v>
      </c>
      <c r="G97" s="107">
        <v>0</v>
      </c>
      <c r="H97" s="107">
        <v>0</v>
      </c>
      <c r="I97" s="107">
        <v>0</v>
      </c>
      <c r="J97" s="107">
        <v>0</v>
      </c>
    </row>
    <row r="98" spans="1:10" ht="15" x14ac:dyDescent="0.2">
      <c r="A98" s="105" t="s">
        <v>47</v>
      </c>
      <c r="B98" s="105" t="s">
        <v>151</v>
      </c>
      <c r="C98" s="106">
        <f t="shared" si="1"/>
        <v>1</v>
      </c>
      <c r="D98" s="107">
        <v>5</v>
      </c>
      <c r="E98" s="107">
        <v>21</v>
      </c>
      <c r="F98" s="107">
        <v>0</v>
      </c>
      <c r="G98" s="107">
        <v>0</v>
      </c>
      <c r="H98" s="107">
        <v>0</v>
      </c>
      <c r="I98" s="107">
        <v>0</v>
      </c>
      <c r="J98" s="107">
        <v>5</v>
      </c>
    </row>
    <row r="99" spans="1:10" ht="15" x14ac:dyDescent="0.2">
      <c r="A99" s="108" t="s">
        <v>47</v>
      </c>
      <c r="B99" s="108" t="s">
        <v>152</v>
      </c>
      <c r="C99" s="106">
        <f t="shared" si="1"/>
        <v>2</v>
      </c>
      <c r="D99" s="109">
        <v>17</v>
      </c>
      <c r="E99" s="109">
        <v>73</v>
      </c>
      <c r="F99" s="107">
        <v>0</v>
      </c>
      <c r="G99" s="107">
        <v>0</v>
      </c>
      <c r="H99" s="107">
        <v>0</v>
      </c>
      <c r="I99" s="107">
        <v>0</v>
      </c>
      <c r="J99" s="107">
        <v>2</v>
      </c>
    </row>
    <row r="100" spans="1:10" ht="15" x14ac:dyDescent="0.2">
      <c r="A100" s="105" t="s">
        <v>47</v>
      </c>
      <c r="B100" s="105" t="s">
        <v>153</v>
      </c>
      <c r="C100" s="106">
        <f t="shared" si="1"/>
        <v>3</v>
      </c>
      <c r="D100" s="107">
        <v>4</v>
      </c>
      <c r="E100" s="107">
        <v>17</v>
      </c>
      <c r="F100" s="107">
        <v>0</v>
      </c>
      <c r="G100" s="107">
        <v>0</v>
      </c>
      <c r="H100" s="107">
        <v>0</v>
      </c>
      <c r="I100" s="107">
        <v>0</v>
      </c>
      <c r="J100" s="107">
        <v>1</v>
      </c>
    </row>
    <row r="101" spans="1:10" ht="15" x14ac:dyDescent="0.2">
      <c r="A101" s="108" t="s">
        <v>47</v>
      </c>
      <c r="B101" s="108" t="s">
        <v>154</v>
      </c>
      <c r="C101" s="106">
        <f t="shared" si="1"/>
        <v>4</v>
      </c>
      <c r="D101" s="109">
        <v>17</v>
      </c>
      <c r="E101" s="109">
        <v>73</v>
      </c>
      <c r="F101" s="107">
        <v>0</v>
      </c>
      <c r="G101" s="107">
        <v>0</v>
      </c>
      <c r="H101" s="107">
        <v>0</v>
      </c>
      <c r="I101" s="107">
        <v>0</v>
      </c>
      <c r="J101" s="107">
        <v>1</v>
      </c>
    </row>
    <row r="102" spans="1:10" ht="15" x14ac:dyDescent="0.2">
      <c r="A102" s="105" t="s">
        <v>47</v>
      </c>
      <c r="B102" s="105" t="s">
        <v>155</v>
      </c>
      <c r="C102" s="106">
        <f t="shared" si="1"/>
        <v>5</v>
      </c>
      <c r="D102" s="107">
        <v>12</v>
      </c>
      <c r="E102" s="107">
        <v>52</v>
      </c>
      <c r="F102" s="107">
        <v>1</v>
      </c>
      <c r="G102" s="107">
        <v>1</v>
      </c>
      <c r="H102" s="107">
        <v>0</v>
      </c>
      <c r="I102" s="107">
        <v>0</v>
      </c>
      <c r="J102" s="107">
        <v>4</v>
      </c>
    </row>
    <row r="103" spans="1:10" ht="15" x14ac:dyDescent="0.2">
      <c r="A103" s="108" t="s">
        <v>47</v>
      </c>
      <c r="B103" s="108" t="s">
        <v>156</v>
      </c>
      <c r="C103" s="106">
        <f t="shared" si="1"/>
        <v>6</v>
      </c>
      <c r="D103" s="109">
        <v>10</v>
      </c>
      <c r="E103" s="109">
        <v>43</v>
      </c>
      <c r="F103" s="107">
        <v>0</v>
      </c>
      <c r="G103" s="107">
        <v>0</v>
      </c>
      <c r="H103" s="107">
        <v>0</v>
      </c>
      <c r="I103" s="107">
        <v>0</v>
      </c>
      <c r="J103" s="107">
        <v>2</v>
      </c>
    </row>
    <row r="104" spans="1:10" ht="15" x14ac:dyDescent="0.2">
      <c r="A104" s="105" t="s">
        <v>47</v>
      </c>
      <c r="B104" s="105" t="s">
        <v>157</v>
      </c>
      <c r="C104" s="106">
        <f t="shared" si="1"/>
        <v>7</v>
      </c>
      <c r="D104" s="107">
        <v>10</v>
      </c>
      <c r="E104" s="107">
        <v>43</v>
      </c>
      <c r="F104" s="107">
        <v>1</v>
      </c>
      <c r="G104" s="107">
        <v>1</v>
      </c>
      <c r="H104" s="107">
        <v>0</v>
      </c>
      <c r="I104" s="107">
        <v>0</v>
      </c>
      <c r="J104" s="107">
        <v>2</v>
      </c>
    </row>
    <row r="105" spans="1:10" ht="15" x14ac:dyDescent="0.2">
      <c r="A105" s="108" t="s">
        <v>47</v>
      </c>
      <c r="B105" s="108" t="s">
        <v>158</v>
      </c>
      <c r="C105" s="106">
        <f t="shared" si="1"/>
        <v>8</v>
      </c>
      <c r="D105" s="109">
        <v>0</v>
      </c>
      <c r="E105" s="109">
        <v>0</v>
      </c>
      <c r="F105" s="107">
        <v>0</v>
      </c>
      <c r="G105" s="107">
        <v>0</v>
      </c>
      <c r="H105" s="107">
        <v>0</v>
      </c>
      <c r="I105" s="107">
        <v>0</v>
      </c>
      <c r="J105" s="107">
        <v>0</v>
      </c>
    </row>
    <row r="106" spans="1:10" ht="15" x14ac:dyDescent="0.2">
      <c r="A106" s="105" t="s">
        <v>47</v>
      </c>
      <c r="B106" s="105" t="s">
        <v>159</v>
      </c>
      <c r="C106" s="106">
        <f t="shared" si="1"/>
        <v>9</v>
      </c>
      <c r="D106" s="107">
        <v>0</v>
      </c>
      <c r="E106" s="107">
        <v>0</v>
      </c>
      <c r="F106" s="107">
        <v>0</v>
      </c>
      <c r="G106" s="107">
        <v>0</v>
      </c>
      <c r="H106" s="107">
        <v>0</v>
      </c>
      <c r="I106" s="107">
        <v>0</v>
      </c>
      <c r="J106" s="107">
        <v>0</v>
      </c>
    </row>
    <row r="107" spans="1:10" ht="15" x14ac:dyDescent="0.2">
      <c r="A107" s="108" t="s">
        <v>47</v>
      </c>
      <c r="B107" s="108" t="s">
        <v>160</v>
      </c>
      <c r="C107" s="106">
        <f t="shared" si="1"/>
        <v>10</v>
      </c>
      <c r="D107" s="109">
        <v>0</v>
      </c>
      <c r="E107" s="109">
        <v>0</v>
      </c>
      <c r="F107" s="107">
        <v>0</v>
      </c>
      <c r="G107" s="107">
        <v>0</v>
      </c>
      <c r="H107" s="107">
        <v>0</v>
      </c>
      <c r="I107" s="107">
        <v>0</v>
      </c>
      <c r="J107" s="107">
        <v>0</v>
      </c>
    </row>
    <row r="108" spans="1:10" ht="15" x14ac:dyDescent="0.2">
      <c r="A108" s="105" t="s">
        <v>47</v>
      </c>
      <c r="B108" s="105" t="s">
        <v>161</v>
      </c>
      <c r="C108" s="106">
        <f t="shared" si="1"/>
        <v>11</v>
      </c>
      <c r="D108" s="107">
        <v>0</v>
      </c>
      <c r="E108" s="107">
        <v>0</v>
      </c>
      <c r="F108" s="107">
        <v>0</v>
      </c>
      <c r="G108" s="107">
        <v>0</v>
      </c>
      <c r="H108" s="107">
        <v>0</v>
      </c>
      <c r="I108" s="107">
        <v>0</v>
      </c>
      <c r="J108" s="107">
        <v>0</v>
      </c>
    </row>
    <row r="109" spans="1:10" ht="15" x14ac:dyDescent="0.2">
      <c r="A109" s="108" t="s">
        <v>47</v>
      </c>
      <c r="B109" s="108" t="s">
        <v>162</v>
      </c>
      <c r="C109" s="106">
        <f t="shared" si="1"/>
        <v>12</v>
      </c>
      <c r="D109" s="109">
        <v>0</v>
      </c>
      <c r="E109" s="109">
        <v>0</v>
      </c>
      <c r="F109" s="107">
        <v>0</v>
      </c>
      <c r="G109" s="107">
        <v>0</v>
      </c>
      <c r="H109" s="107">
        <v>0</v>
      </c>
      <c r="I109" s="107">
        <v>0</v>
      </c>
      <c r="J109" s="107">
        <v>0</v>
      </c>
    </row>
    <row r="110" spans="1:10" ht="15" x14ac:dyDescent="0.2">
      <c r="A110" s="108" t="s">
        <v>303</v>
      </c>
      <c r="B110" s="108"/>
      <c r="C110" s="106"/>
      <c r="D110" s="109"/>
      <c r="E110" s="109"/>
      <c r="F110" s="107"/>
      <c r="G110" s="107"/>
      <c r="H110" s="107"/>
      <c r="I110" s="107"/>
      <c r="J110" s="107"/>
    </row>
    <row r="111" spans="1:10" ht="15" x14ac:dyDescent="0.2">
      <c r="A111" s="108" t="s">
        <v>303</v>
      </c>
      <c r="B111" s="108"/>
      <c r="C111" s="106"/>
      <c r="D111" s="109"/>
      <c r="E111" s="109"/>
      <c r="F111" s="107"/>
      <c r="G111" s="107"/>
      <c r="H111" s="107"/>
      <c r="I111" s="107"/>
      <c r="J111" s="107"/>
    </row>
    <row r="112" spans="1:10" ht="15" x14ac:dyDescent="0.2">
      <c r="A112" s="108" t="s">
        <v>303</v>
      </c>
      <c r="B112" s="108"/>
      <c r="C112" s="106"/>
      <c r="D112" s="109"/>
      <c r="E112" s="109"/>
      <c r="F112" s="107"/>
      <c r="G112" s="107"/>
      <c r="H112" s="107"/>
      <c r="I112" s="107"/>
      <c r="J112" s="107"/>
    </row>
    <row r="113" spans="1:10" ht="15" x14ac:dyDescent="0.2">
      <c r="A113" s="108" t="s">
        <v>303</v>
      </c>
      <c r="B113" s="108"/>
      <c r="C113" s="106"/>
      <c r="D113" s="109"/>
      <c r="E113" s="109"/>
      <c r="F113" s="107"/>
      <c r="G113" s="107"/>
      <c r="H113" s="107"/>
      <c r="I113" s="107"/>
      <c r="J113" s="107"/>
    </row>
    <row r="114" spans="1:10" ht="15" x14ac:dyDescent="0.2">
      <c r="A114" s="108" t="s">
        <v>303</v>
      </c>
      <c r="B114" s="108"/>
      <c r="C114" s="106"/>
      <c r="D114" s="109"/>
      <c r="E114" s="109"/>
      <c r="F114" s="107"/>
      <c r="G114" s="107"/>
      <c r="H114" s="107"/>
      <c r="I114" s="107"/>
      <c r="J114" s="107"/>
    </row>
    <row r="115" spans="1:10" ht="15" x14ac:dyDescent="0.2">
      <c r="A115" s="108" t="s">
        <v>303</v>
      </c>
      <c r="B115" s="108"/>
      <c r="C115" s="106"/>
      <c r="D115" s="109"/>
      <c r="E115" s="109"/>
      <c r="F115" s="107"/>
      <c r="G115" s="107"/>
      <c r="H115" s="107"/>
      <c r="I115" s="107"/>
      <c r="J115" s="107"/>
    </row>
    <row r="116" spans="1:10" ht="15" x14ac:dyDescent="0.2">
      <c r="A116" s="108" t="s">
        <v>303</v>
      </c>
      <c r="B116" s="108"/>
      <c r="C116" s="106"/>
      <c r="D116" s="109"/>
      <c r="E116" s="109"/>
      <c r="F116" s="107"/>
      <c r="G116" s="107"/>
      <c r="H116" s="107"/>
      <c r="I116" s="107"/>
      <c r="J116" s="107"/>
    </row>
    <row r="117" spans="1:10" ht="15" x14ac:dyDescent="0.2">
      <c r="A117" s="108" t="s">
        <v>303</v>
      </c>
      <c r="B117" s="108"/>
      <c r="C117" s="106"/>
      <c r="D117" s="109"/>
      <c r="E117" s="109"/>
      <c r="F117" s="107"/>
      <c r="G117" s="107"/>
      <c r="H117" s="107"/>
      <c r="I117" s="107"/>
      <c r="J117" s="107"/>
    </row>
    <row r="118" spans="1:10" ht="15" x14ac:dyDescent="0.2">
      <c r="A118" s="108" t="s">
        <v>303</v>
      </c>
      <c r="B118" s="108"/>
      <c r="C118" s="106"/>
      <c r="D118" s="109"/>
      <c r="E118" s="109"/>
      <c r="F118" s="107"/>
      <c r="G118" s="107"/>
      <c r="H118" s="107"/>
      <c r="I118" s="107"/>
      <c r="J118" s="107"/>
    </row>
    <row r="119" spans="1:10" ht="15" x14ac:dyDescent="0.2">
      <c r="A119" s="108" t="s">
        <v>303</v>
      </c>
      <c r="B119" s="108"/>
      <c r="C119" s="106"/>
      <c r="D119" s="109"/>
      <c r="E119" s="109"/>
      <c r="F119" s="107"/>
      <c r="G119" s="107"/>
      <c r="H119" s="107"/>
      <c r="I119" s="107"/>
      <c r="J119" s="107"/>
    </row>
    <row r="120" spans="1:10" ht="15" x14ac:dyDescent="0.2">
      <c r="A120" s="108" t="s">
        <v>303</v>
      </c>
      <c r="B120" s="108"/>
      <c r="C120" s="106"/>
      <c r="D120" s="109"/>
      <c r="E120" s="109"/>
      <c r="F120" s="107"/>
      <c r="G120" s="107"/>
      <c r="H120" s="107"/>
      <c r="I120" s="107"/>
      <c r="J120" s="107"/>
    </row>
    <row r="121" spans="1:10" ht="15" x14ac:dyDescent="0.2">
      <c r="A121" s="108" t="s">
        <v>303</v>
      </c>
      <c r="B121" s="108"/>
      <c r="C121" s="106"/>
      <c r="D121" s="109"/>
      <c r="E121" s="109"/>
      <c r="F121" s="107"/>
      <c r="G121" s="107"/>
      <c r="H121" s="107"/>
      <c r="I121" s="107"/>
      <c r="J121" s="107"/>
    </row>
    <row r="122" spans="1:10" ht="15" x14ac:dyDescent="0.2">
      <c r="A122" s="105" t="s">
        <v>89</v>
      </c>
      <c r="B122" s="105" t="s">
        <v>151</v>
      </c>
      <c r="C122" s="106">
        <f t="shared" si="1"/>
        <v>1</v>
      </c>
      <c r="D122" s="107">
        <v>3</v>
      </c>
      <c r="E122" s="107">
        <v>15</v>
      </c>
      <c r="F122" s="107">
        <v>0</v>
      </c>
      <c r="G122" s="107">
        <v>0</v>
      </c>
      <c r="H122" s="107">
        <v>0</v>
      </c>
      <c r="I122" s="107">
        <v>0</v>
      </c>
      <c r="J122" s="107">
        <v>1</v>
      </c>
    </row>
    <row r="123" spans="1:10" ht="15" x14ac:dyDescent="0.2">
      <c r="A123" s="108" t="s">
        <v>89</v>
      </c>
      <c r="B123" s="108" t="s">
        <v>152</v>
      </c>
      <c r="C123" s="106">
        <f t="shared" si="1"/>
        <v>2</v>
      </c>
      <c r="D123" s="109">
        <v>0</v>
      </c>
      <c r="E123" s="109">
        <v>0</v>
      </c>
      <c r="F123" s="107">
        <v>0</v>
      </c>
      <c r="G123" s="107">
        <v>0</v>
      </c>
      <c r="H123" s="107">
        <v>0</v>
      </c>
      <c r="I123" s="107">
        <v>0</v>
      </c>
      <c r="J123" s="107">
        <v>0</v>
      </c>
    </row>
    <row r="124" spans="1:10" ht="15" x14ac:dyDescent="0.2">
      <c r="A124" s="105" t="s">
        <v>89</v>
      </c>
      <c r="B124" s="105" t="s">
        <v>153</v>
      </c>
      <c r="C124" s="106">
        <f t="shared" si="1"/>
        <v>3</v>
      </c>
      <c r="D124" s="107">
        <v>0</v>
      </c>
      <c r="E124" s="107">
        <v>0</v>
      </c>
      <c r="F124" s="107">
        <v>0</v>
      </c>
      <c r="G124" s="107">
        <v>0</v>
      </c>
      <c r="H124" s="107">
        <v>0</v>
      </c>
      <c r="I124" s="107">
        <v>0</v>
      </c>
      <c r="J124" s="107">
        <v>0</v>
      </c>
    </row>
    <row r="125" spans="1:10" ht="15" x14ac:dyDescent="0.2">
      <c r="A125" s="108" t="s">
        <v>89</v>
      </c>
      <c r="B125" s="108" t="s">
        <v>154</v>
      </c>
      <c r="C125" s="106">
        <f t="shared" si="1"/>
        <v>4</v>
      </c>
      <c r="D125" s="109">
        <v>0</v>
      </c>
      <c r="E125" s="109">
        <v>0</v>
      </c>
      <c r="F125" s="107">
        <v>0</v>
      </c>
      <c r="G125" s="107">
        <v>0</v>
      </c>
      <c r="H125" s="107">
        <v>0</v>
      </c>
      <c r="I125" s="107">
        <v>0</v>
      </c>
      <c r="J125" s="107">
        <v>0</v>
      </c>
    </row>
    <row r="126" spans="1:10" ht="15" x14ac:dyDescent="0.2">
      <c r="A126" s="105" t="s">
        <v>89</v>
      </c>
      <c r="B126" s="105" t="s">
        <v>155</v>
      </c>
      <c r="C126" s="106">
        <f t="shared" si="1"/>
        <v>5</v>
      </c>
      <c r="D126" s="107">
        <v>6</v>
      </c>
      <c r="E126" s="107">
        <v>30</v>
      </c>
      <c r="F126" s="107">
        <v>0</v>
      </c>
      <c r="G126" s="107">
        <v>0</v>
      </c>
      <c r="H126" s="107">
        <v>0</v>
      </c>
      <c r="I126" s="107">
        <v>0</v>
      </c>
      <c r="J126" s="107">
        <v>2</v>
      </c>
    </row>
    <row r="127" spans="1:10" ht="15" x14ac:dyDescent="0.2">
      <c r="A127" s="108" t="s">
        <v>89</v>
      </c>
      <c r="B127" s="108" t="s">
        <v>156</v>
      </c>
      <c r="C127" s="106">
        <f t="shared" si="1"/>
        <v>6</v>
      </c>
      <c r="D127" s="109">
        <v>0</v>
      </c>
      <c r="E127" s="109">
        <v>0</v>
      </c>
      <c r="F127" s="107">
        <v>0</v>
      </c>
      <c r="G127" s="107">
        <v>0</v>
      </c>
      <c r="H127" s="107">
        <v>0</v>
      </c>
      <c r="I127" s="107">
        <v>0</v>
      </c>
      <c r="J127" s="107">
        <v>0</v>
      </c>
    </row>
    <row r="128" spans="1:10" ht="15" x14ac:dyDescent="0.2">
      <c r="A128" s="105" t="s">
        <v>89</v>
      </c>
      <c r="B128" s="105" t="s">
        <v>157</v>
      </c>
      <c r="C128" s="106">
        <f t="shared" si="1"/>
        <v>7</v>
      </c>
      <c r="D128" s="107">
        <v>0</v>
      </c>
      <c r="E128" s="107">
        <v>0</v>
      </c>
      <c r="F128" s="107">
        <v>0</v>
      </c>
      <c r="G128" s="107">
        <v>0</v>
      </c>
      <c r="H128" s="107">
        <v>0</v>
      </c>
      <c r="I128" s="107">
        <v>0</v>
      </c>
      <c r="J128" s="107">
        <v>0</v>
      </c>
    </row>
    <row r="129" spans="1:10" ht="15" x14ac:dyDescent="0.2">
      <c r="A129" s="108" t="s">
        <v>89</v>
      </c>
      <c r="B129" s="108" t="s">
        <v>158</v>
      </c>
      <c r="C129" s="106">
        <f t="shared" si="1"/>
        <v>8</v>
      </c>
      <c r="D129" s="109">
        <v>0</v>
      </c>
      <c r="E129" s="109">
        <v>0</v>
      </c>
      <c r="F129" s="107">
        <v>0</v>
      </c>
      <c r="G129" s="107">
        <v>0</v>
      </c>
      <c r="H129" s="107">
        <v>0</v>
      </c>
      <c r="I129" s="107">
        <v>0</v>
      </c>
      <c r="J129" s="107">
        <v>0</v>
      </c>
    </row>
    <row r="130" spans="1:10" ht="15" x14ac:dyDescent="0.2">
      <c r="A130" s="105" t="s">
        <v>89</v>
      </c>
      <c r="B130" s="105" t="s">
        <v>159</v>
      </c>
      <c r="C130" s="106">
        <f t="shared" si="1"/>
        <v>9</v>
      </c>
      <c r="D130" s="107">
        <v>0</v>
      </c>
      <c r="E130" s="107">
        <v>0</v>
      </c>
      <c r="F130" s="107">
        <v>0</v>
      </c>
      <c r="G130" s="107">
        <v>0</v>
      </c>
      <c r="H130" s="107">
        <v>0</v>
      </c>
      <c r="I130" s="107">
        <v>0</v>
      </c>
      <c r="J130" s="107">
        <v>0</v>
      </c>
    </row>
    <row r="131" spans="1:10" ht="15" x14ac:dyDescent="0.2">
      <c r="A131" s="108" t="s">
        <v>89</v>
      </c>
      <c r="B131" s="108" t="s">
        <v>160</v>
      </c>
      <c r="C131" s="106">
        <f t="shared" si="1"/>
        <v>10</v>
      </c>
      <c r="D131" s="109">
        <v>0</v>
      </c>
      <c r="E131" s="109">
        <v>0</v>
      </c>
      <c r="F131" s="107">
        <v>0</v>
      </c>
      <c r="G131" s="107">
        <v>0</v>
      </c>
      <c r="H131" s="107">
        <v>0</v>
      </c>
      <c r="I131" s="107">
        <v>0</v>
      </c>
      <c r="J131" s="107">
        <v>0</v>
      </c>
    </row>
    <row r="132" spans="1:10" ht="15" x14ac:dyDescent="0.2">
      <c r="A132" s="105" t="s">
        <v>89</v>
      </c>
      <c r="B132" s="105" t="s">
        <v>161</v>
      </c>
      <c r="C132" s="106">
        <f t="shared" si="1"/>
        <v>11</v>
      </c>
      <c r="D132" s="107">
        <v>0</v>
      </c>
      <c r="E132" s="107">
        <v>0</v>
      </c>
      <c r="F132" s="107">
        <v>0</v>
      </c>
      <c r="G132" s="107">
        <v>0</v>
      </c>
      <c r="H132" s="107">
        <v>0</v>
      </c>
      <c r="I132" s="107">
        <v>0</v>
      </c>
      <c r="J132" s="107">
        <v>0</v>
      </c>
    </row>
    <row r="133" spans="1:10" ht="15" x14ac:dyDescent="0.2">
      <c r="A133" s="108" t="s">
        <v>89</v>
      </c>
      <c r="B133" s="108" t="s">
        <v>162</v>
      </c>
      <c r="C133" s="106">
        <f t="shared" si="1"/>
        <v>12</v>
      </c>
      <c r="D133" s="109">
        <v>0</v>
      </c>
      <c r="E133" s="109">
        <v>0</v>
      </c>
      <c r="F133" s="107">
        <v>0</v>
      </c>
      <c r="G133" s="107">
        <v>0</v>
      </c>
      <c r="H133" s="107">
        <v>0</v>
      </c>
      <c r="I133" s="107">
        <v>0</v>
      </c>
      <c r="J133" s="107">
        <v>0</v>
      </c>
    </row>
    <row r="134" spans="1:10" ht="15" x14ac:dyDescent="0.2">
      <c r="A134" s="105" t="s">
        <v>113</v>
      </c>
      <c r="B134" s="105" t="s">
        <v>151</v>
      </c>
      <c r="C134" s="106">
        <f t="shared" si="1"/>
        <v>1</v>
      </c>
      <c r="D134" s="107">
        <v>0</v>
      </c>
      <c r="E134" s="107">
        <v>0</v>
      </c>
      <c r="F134" s="107">
        <v>0</v>
      </c>
      <c r="G134" s="107">
        <v>0</v>
      </c>
      <c r="H134" s="107">
        <v>0</v>
      </c>
      <c r="I134" s="107">
        <v>0</v>
      </c>
      <c r="J134" s="107">
        <v>0</v>
      </c>
    </row>
    <row r="135" spans="1:10" ht="15" x14ac:dyDescent="0.2">
      <c r="A135" s="108" t="s">
        <v>113</v>
      </c>
      <c r="B135" s="108" t="s">
        <v>152</v>
      </c>
      <c r="C135" s="106">
        <f t="shared" si="1"/>
        <v>2</v>
      </c>
      <c r="D135" s="109">
        <v>0</v>
      </c>
      <c r="E135" s="109">
        <v>0</v>
      </c>
      <c r="F135" s="107">
        <v>0</v>
      </c>
      <c r="G135" s="107">
        <v>0</v>
      </c>
      <c r="H135" s="107">
        <v>0</v>
      </c>
      <c r="I135" s="107">
        <v>0</v>
      </c>
      <c r="J135" s="107">
        <v>0</v>
      </c>
    </row>
    <row r="136" spans="1:10" ht="15" x14ac:dyDescent="0.2">
      <c r="A136" s="105" t="s">
        <v>113</v>
      </c>
      <c r="B136" s="105" t="s">
        <v>153</v>
      </c>
      <c r="C136" s="106">
        <f t="shared" si="1"/>
        <v>3</v>
      </c>
      <c r="D136" s="107">
        <v>0</v>
      </c>
      <c r="E136" s="107">
        <v>0</v>
      </c>
      <c r="F136" s="107">
        <v>0</v>
      </c>
      <c r="G136" s="107">
        <v>0</v>
      </c>
      <c r="H136" s="107">
        <v>0</v>
      </c>
      <c r="I136" s="107">
        <v>0</v>
      </c>
      <c r="J136" s="107">
        <v>0</v>
      </c>
    </row>
    <row r="137" spans="1:10" ht="15" x14ac:dyDescent="0.2">
      <c r="A137" s="108" t="s">
        <v>113</v>
      </c>
      <c r="B137" s="108" t="s">
        <v>154</v>
      </c>
      <c r="C137" s="106">
        <f t="shared" si="1"/>
        <v>4</v>
      </c>
      <c r="D137" s="109">
        <v>0</v>
      </c>
      <c r="E137" s="109">
        <v>0</v>
      </c>
      <c r="F137" s="107">
        <v>0</v>
      </c>
      <c r="G137" s="107">
        <v>0</v>
      </c>
      <c r="H137" s="107">
        <v>0</v>
      </c>
      <c r="I137" s="107">
        <v>0</v>
      </c>
      <c r="J137" s="107">
        <v>0</v>
      </c>
    </row>
    <row r="138" spans="1:10" ht="15" x14ac:dyDescent="0.2">
      <c r="A138" s="105" t="s">
        <v>113</v>
      </c>
      <c r="B138" s="105" t="s">
        <v>155</v>
      </c>
      <c r="C138" s="106">
        <f t="shared" si="1"/>
        <v>5</v>
      </c>
      <c r="D138" s="107">
        <v>0</v>
      </c>
      <c r="E138" s="107">
        <v>0</v>
      </c>
      <c r="F138" s="107">
        <v>0</v>
      </c>
      <c r="G138" s="107">
        <v>0</v>
      </c>
      <c r="H138" s="107">
        <v>0</v>
      </c>
      <c r="I138" s="107">
        <v>0</v>
      </c>
      <c r="J138" s="107">
        <v>0</v>
      </c>
    </row>
    <row r="139" spans="1:10" ht="15" x14ac:dyDescent="0.2">
      <c r="A139" s="108" t="s">
        <v>113</v>
      </c>
      <c r="B139" s="108" t="s">
        <v>156</v>
      </c>
      <c r="C139" s="106">
        <f t="shared" si="1"/>
        <v>6</v>
      </c>
      <c r="D139" s="109">
        <v>0</v>
      </c>
      <c r="E139" s="109">
        <v>0</v>
      </c>
      <c r="F139" s="107">
        <v>0</v>
      </c>
      <c r="G139" s="107">
        <v>0</v>
      </c>
      <c r="H139" s="107">
        <v>0</v>
      </c>
      <c r="I139" s="107">
        <v>0</v>
      </c>
      <c r="J139" s="107">
        <v>0</v>
      </c>
    </row>
    <row r="140" spans="1:10" ht="15" x14ac:dyDescent="0.2">
      <c r="A140" s="105" t="s">
        <v>113</v>
      </c>
      <c r="B140" s="105" t="s">
        <v>157</v>
      </c>
      <c r="C140" s="106">
        <f t="shared" si="1"/>
        <v>7</v>
      </c>
      <c r="D140" s="107">
        <v>0</v>
      </c>
      <c r="E140" s="107">
        <v>0</v>
      </c>
      <c r="F140" s="107">
        <v>0</v>
      </c>
      <c r="G140" s="107">
        <v>0</v>
      </c>
      <c r="H140" s="107">
        <v>0</v>
      </c>
      <c r="I140" s="107">
        <v>0</v>
      </c>
      <c r="J140" s="107">
        <v>0</v>
      </c>
    </row>
    <row r="141" spans="1:10" ht="15" x14ac:dyDescent="0.2">
      <c r="A141" s="108" t="s">
        <v>113</v>
      </c>
      <c r="B141" s="108" t="s">
        <v>158</v>
      </c>
      <c r="C141" s="106">
        <f t="shared" si="1"/>
        <v>8</v>
      </c>
      <c r="D141" s="109">
        <v>0</v>
      </c>
      <c r="E141" s="109">
        <v>0</v>
      </c>
      <c r="F141" s="107">
        <v>0</v>
      </c>
      <c r="G141" s="107">
        <v>0</v>
      </c>
      <c r="H141" s="107">
        <v>0</v>
      </c>
      <c r="I141" s="107">
        <v>0</v>
      </c>
      <c r="J141" s="107">
        <v>0</v>
      </c>
    </row>
    <row r="142" spans="1:10" ht="15" x14ac:dyDescent="0.2">
      <c r="A142" s="105" t="s">
        <v>113</v>
      </c>
      <c r="B142" s="105" t="s">
        <v>159</v>
      </c>
      <c r="C142" s="106">
        <f t="shared" ref="C142:C205" si="2">_xlfn.IFS(B142="Janeiro",1,B142="Fevereiro",2,B142="Março",3,B142="Abril",4,B142="Maio",5,B142="Junho",6,B142="Julho",7,B142="Agosto",8,B142="Setembro",9,B142="Outubro",10,B142="Novembro",11,B142="Dezembro",12,TRUE,0)</f>
        <v>9</v>
      </c>
      <c r="D142" s="107">
        <v>0</v>
      </c>
      <c r="E142" s="107">
        <v>0</v>
      </c>
      <c r="F142" s="107">
        <v>0</v>
      </c>
      <c r="G142" s="107">
        <v>0</v>
      </c>
      <c r="H142" s="107">
        <v>0</v>
      </c>
      <c r="I142" s="107">
        <v>0</v>
      </c>
      <c r="J142" s="107">
        <v>0</v>
      </c>
    </row>
    <row r="143" spans="1:10" ht="15" x14ac:dyDescent="0.2">
      <c r="A143" s="108" t="s">
        <v>113</v>
      </c>
      <c r="B143" s="108" t="s">
        <v>160</v>
      </c>
      <c r="C143" s="106">
        <f t="shared" si="2"/>
        <v>10</v>
      </c>
      <c r="D143" s="109">
        <v>0</v>
      </c>
      <c r="E143" s="109">
        <v>0</v>
      </c>
      <c r="F143" s="107">
        <v>0</v>
      </c>
      <c r="G143" s="107">
        <v>0</v>
      </c>
      <c r="H143" s="107">
        <v>0</v>
      </c>
      <c r="I143" s="107">
        <v>0</v>
      </c>
      <c r="J143" s="107">
        <v>0</v>
      </c>
    </row>
    <row r="144" spans="1:10" ht="15" x14ac:dyDescent="0.2">
      <c r="A144" s="105" t="s">
        <v>113</v>
      </c>
      <c r="B144" s="105" t="s">
        <v>161</v>
      </c>
      <c r="C144" s="106">
        <f t="shared" si="2"/>
        <v>11</v>
      </c>
      <c r="D144" s="107">
        <v>0</v>
      </c>
      <c r="E144" s="107">
        <v>0</v>
      </c>
      <c r="F144" s="107">
        <v>0</v>
      </c>
      <c r="G144" s="107">
        <v>0</v>
      </c>
      <c r="H144" s="107">
        <v>0</v>
      </c>
      <c r="I144" s="107">
        <v>0</v>
      </c>
      <c r="J144" s="107">
        <v>0</v>
      </c>
    </row>
    <row r="145" spans="1:10" ht="15" x14ac:dyDescent="0.2">
      <c r="A145" s="108" t="s">
        <v>113</v>
      </c>
      <c r="B145" s="108" t="s">
        <v>162</v>
      </c>
      <c r="C145" s="106">
        <f t="shared" si="2"/>
        <v>12</v>
      </c>
      <c r="D145" s="109">
        <v>0</v>
      </c>
      <c r="E145" s="109">
        <v>0</v>
      </c>
      <c r="F145" s="107">
        <v>0</v>
      </c>
      <c r="G145" s="107">
        <v>0</v>
      </c>
      <c r="H145" s="107">
        <v>0</v>
      </c>
      <c r="I145" s="107">
        <v>0</v>
      </c>
      <c r="J145" s="107">
        <v>0</v>
      </c>
    </row>
    <row r="146" spans="1:10" ht="15" x14ac:dyDescent="0.2">
      <c r="A146" s="105" t="s">
        <v>117</v>
      </c>
      <c r="B146" s="105" t="s">
        <v>151</v>
      </c>
      <c r="C146" s="106">
        <f t="shared" si="2"/>
        <v>1</v>
      </c>
      <c r="D146" s="107">
        <v>0</v>
      </c>
      <c r="E146" s="107">
        <v>0</v>
      </c>
      <c r="F146" s="107">
        <v>0</v>
      </c>
      <c r="G146" s="107">
        <v>0</v>
      </c>
      <c r="H146" s="107">
        <v>0</v>
      </c>
      <c r="I146" s="107">
        <v>0</v>
      </c>
      <c r="J146" s="107">
        <v>0</v>
      </c>
    </row>
    <row r="147" spans="1:10" ht="15" x14ac:dyDescent="0.2">
      <c r="A147" s="108" t="s">
        <v>117</v>
      </c>
      <c r="B147" s="108" t="s">
        <v>152</v>
      </c>
      <c r="C147" s="106">
        <f t="shared" si="2"/>
        <v>2</v>
      </c>
      <c r="D147" s="109">
        <v>2</v>
      </c>
      <c r="E147" s="109">
        <v>8</v>
      </c>
      <c r="F147" s="107">
        <v>0</v>
      </c>
      <c r="G147" s="107">
        <v>0</v>
      </c>
      <c r="H147" s="107">
        <v>0</v>
      </c>
      <c r="I147" s="107">
        <v>0</v>
      </c>
      <c r="J147" s="107">
        <v>1</v>
      </c>
    </row>
    <row r="148" spans="1:10" ht="15" x14ac:dyDescent="0.2">
      <c r="A148" s="105" t="s">
        <v>117</v>
      </c>
      <c r="B148" s="105" t="s">
        <v>153</v>
      </c>
      <c r="C148" s="106">
        <f t="shared" si="2"/>
        <v>3</v>
      </c>
      <c r="D148" s="107">
        <v>4</v>
      </c>
      <c r="E148" s="107">
        <v>16</v>
      </c>
      <c r="F148" s="107">
        <v>0</v>
      </c>
      <c r="G148" s="107">
        <v>0</v>
      </c>
      <c r="H148" s="107">
        <v>0</v>
      </c>
      <c r="I148" s="107">
        <v>0</v>
      </c>
      <c r="J148" s="107">
        <v>2</v>
      </c>
    </row>
    <row r="149" spans="1:10" ht="15" x14ac:dyDescent="0.2">
      <c r="A149" s="108" t="s">
        <v>117</v>
      </c>
      <c r="B149" s="108" t="s">
        <v>154</v>
      </c>
      <c r="C149" s="106">
        <f t="shared" si="2"/>
        <v>4</v>
      </c>
      <c r="D149" s="109">
        <v>3</v>
      </c>
      <c r="E149" s="109">
        <v>12</v>
      </c>
      <c r="F149" s="107">
        <v>0</v>
      </c>
      <c r="G149" s="107">
        <v>0</v>
      </c>
      <c r="H149" s="107">
        <v>0</v>
      </c>
      <c r="I149" s="107">
        <v>0</v>
      </c>
      <c r="J149" s="107">
        <v>1</v>
      </c>
    </row>
    <row r="150" spans="1:10" ht="15" x14ac:dyDescent="0.2">
      <c r="A150" s="105" t="s">
        <v>117</v>
      </c>
      <c r="B150" s="105" t="s">
        <v>155</v>
      </c>
      <c r="C150" s="106">
        <f t="shared" si="2"/>
        <v>5</v>
      </c>
      <c r="D150" s="107">
        <v>6</v>
      </c>
      <c r="E150" s="107">
        <v>25</v>
      </c>
      <c r="F150" s="107">
        <v>1</v>
      </c>
      <c r="G150" s="107">
        <v>1</v>
      </c>
      <c r="H150" s="107">
        <v>0</v>
      </c>
      <c r="I150" s="107">
        <v>0</v>
      </c>
      <c r="J150" s="107">
        <v>2</v>
      </c>
    </row>
    <row r="151" spans="1:10" ht="15" x14ac:dyDescent="0.2">
      <c r="A151" s="108" t="s">
        <v>117</v>
      </c>
      <c r="B151" s="108" t="s">
        <v>156</v>
      </c>
      <c r="C151" s="106">
        <f t="shared" si="2"/>
        <v>6</v>
      </c>
      <c r="D151" s="109">
        <v>7</v>
      </c>
      <c r="E151" s="109">
        <v>29</v>
      </c>
      <c r="F151" s="107">
        <v>2</v>
      </c>
      <c r="G151" s="107">
        <v>2</v>
      </c>
      <c r="H151" s="107">
        <v>0</v>
      </c>
      <c r="I151" s="107">
        <v>0</v>
      </c>
      <c r="J151" s="107">
        <v>5</v>
      </c>
    </row>
    <row r="152" spans="1:10" ht="15" x14ac:dyDescent="0.2">
      <c r="A152" s="105" t="s">
        <v>117</v>
      </c>
      <c r="B152" s="105" t="s">
        <v>157</v>
      </c>
      <c r="C152" s="106">
        <f t="shared" si="2"/>
        <v>7</v>
      </c>
      <c r="D152" s="107">
        <v>0</v>
      </c>
      <c r="E152" s="107">
        <v>0</v>
      </c>
      <c r="F152" s="107">
        <v>0</v>
      </c>
      <c r="G152" s="107">
        <v>0</v>
      </c>
      <c r="H152" s="107">
        <v>0</v>
      </c>
      <c r="I152" s="107">
        <v>0</v>
      </c>
      <c r="J152" s="107">
        <v>0</v>
      </c>
    </row>
    <row r="153" spans="1:10" ht="15" x14ac:dyDescent="0.2">
      <c r="A153" s="108" t="s">
        <v>117</v>
      </c>
      <c r="B153" s="108" t="s">
        <v>158</v>
      </c>
      <c r="C153" s="106">
        <f t="shared" si="2"/>
        <v>8</v>
      </c>
      <c r="D153" s="109">
        <v>0</v>
      </c>
      <c r="E153" s="109">
        <v>0</v>
      </c>
      <c r="F153" s="107">
        <v>0</v>
      </c>
      <c r="G153" s="107">
        <v>0</v>
      </c>
      <c r="H153" s="107">
        <v>0</v>
      </c>
      <c r="I153" s="107">
        <v>0</v>
      </c>
      <c r="J153" s="107">
        <v>0</v>
      </c>
    </row>
    <row r="154" spans="1:10" ht="15" x14ac:dyDescent="0.2">
      <c r="A154" s="105" t="s">
        <v>117</v>
      </c>
      <c r="B154" s="105" t="s">
        <v>159</v>
      </c>
      <c r="C154" s="106">
        <f t="shared" si="2"/>
        <v>9</v>
      </c>
      <c r="D154" s="107">
        <v>0</v>
      </c>
      <c r="E154" s="107">
        <v>0</v>
      </c>
      <c r="F154" s="107">
        <v>0</v>
      </c>
      <c r="G154" s="107">
        <v>0</v>
      </c>
      <c r="H154" s="107">
        <v>0</v>
      </c>
      <c r="I154" s="107">
        <v>0</v>
      </c>
      <c r="J154" s="107">
        <v>0</v>
      </c>
    </row>
    <row r="155" spans="1:10" ht="15" x14ac:dyDescent="0.2">
      <c r="A155" s="108" t="s">
        <v>117</v>
      </c>
      <c r="B155" s="108" t="s">
        <v>160</v>
      </c>
      <c r="C155" s="106">
        <f t="shared" si="2"/>
        <v>10</v>
      </c>
      <c r="D155" s="109">
        <v>0</v>
      </c>
      <c r="E155" s="109">
        <v>0</v>
      </c>
      <c r="F155" s="107">
        <v>0</v>
      </c>
      <c r="G155" s="107">
        <v>0</v>
      </c>
      <c r="H155" s="107">
        <v>0</v>
      </c>
      <c r="I155" s="107">
        <v>0</v>
      </c>
      <c r="J155" s="107">
        <v>0</v>
      </c>
    </row>
    <row r="156" spans="1:10" ht="15" x14ac:dyDescent="0.2">
      <c r="A156" s="105" t="s">
        <v>117</v>
      </c>
      <c r="B156" s="105" t="s">
        <v>161</v>
      </c>
      <c r="C156" s="106">
        <f t="shared" si="2"/>
        <v>11</v>
      </c>
      <c r="D156" s="107">
        <v>0</v>
      </c>
      <c r="E156" s="107">
        <v>0</v>
      </c>
      <c r="F156" s="107">
        <v>0</v>
      </c>
      <c r="G156" s="107">
        <v>0</v>
      </c>
      <c r="H156" s="107">
        <v>0</v>
      </c>
      <c r="I156" s="107">
        <v>0</v>
      </c>
      <c r="J156" s="107">
        <v>0</v>
      </c>
    </row>
    <row r="157" spans="1:10" ht="15" x14ac:dyDescent="0.2">
      <c r="A157" s="108" t="s">
        <v>117</v>
      </c>
      <c r="B157" s="108" t="s">
        <v>162</v>
      </c>
      <c r="C157" s="106">
        <f t="shared" si="2"/>
        <v>12</v>
      </c>
      <c r="D157" s="109">
        <v>0</v>
      </c>
      <c r="E157" s="109">
        <v>0</v>
      </c>
      <c r="F157" s="107">
        <v>0</v>
      </c>
      <c r="G157" s="107">
        <v>0</v>
      </c>
      <c r="H157" s="107">
        <v>0</v>
      </c>
      <c r="I157" s="107">
        <v>0</v>
      </c>
      <c r="J157" s="107">
        <v>0</v>
      </c>
    </row>
    <row r="158" spans="1:10" ht="15" x14ac:dyDescent="0.2">
      <c r="A158" s="105" t="s">
        <v>99</v>
      </c>
      <c r="B158" s="105" t="s">
        <v>151</v>
      </c>
      <c r="C158" s="106">
        <f t="shared" si="2"/>
        <v>1</v>
      </c>
      <c r="D158" s="107">
        <v>3</v>
      </c>
      <c r="E158" s="107">
        <v>18</v>
      </c>
      <c r="F158" s="107">
        <v>0</v>
      </c>
      <c r="G158" s="107">
        <v>0</v>
      </c>
      <c r="H158" s="107">
        <v>0</v>
      </c>
      <c r="I158" s="107">
        <v>0</v>
      </c>
      <c r="J158" s="107">
        <v>1</v>
      </c>
    </row>
    <row r="159" spans="1:10" ht="15" x14ac:dyDescent="0.2">
      <c r="A159" s="108" t="s">
        <v>99</v>
      </c>
      <c r="B159" s="108" t="s">
        <v>152</v>
      </c>
      <c r="C159" s="106">
        <f t="shared" si="2"/>
        <v>2</v>
      </c>
      <c r="D159" s="109">
        <v>0</v>
      </c>
      <c r="E159" s="109">
        <v>0</v>
      </c>
      <c r="F159" s="107">
        <v>0</v>
      </c>
      <c r="G159" s="107">
        <v>0</v>
      </c>
      <c r="H159" s="107">
        <v>0</v>
      </c>
      <c r="I159" s="107">
        <v>0</v>
      </c>
      <c r="J159" s="107">
        <v>0</v>
      </c>
    </row>
    <row r="160" spans="1:10" ht="15" x14ac:dyDescent="0.2">
      <c r="A160" s="105" t="s">
        <v>99</v>
      </c>
      <c r="B160" s="105" t="s">
        <v>153</v>
      </c>
      <c r="C160" s="106">
        <f t="shared" si="2"/>
        <v>3</v>
      </c>
      <c r="D160" s="107">
        <v>0</v>
      </c>
      <c r="E160" s="107">
        <v>0</v>
      </c>
      <c r="F160" s="107">
        <v>0</v>
      </c>
      <c r="G160" s="107">
        <v>0</v>
      </c>
      <c r="H160" s="107">
        <v>0</v>
      </c>
      <c r="I160" s="107">
        <v>0</v>
      </c>
      <c r="J160" s="107">
        <v>0</v>
      </c>
    </row>
    <row r="161" spans="1:10" ht="15" x14ac:dyDescent="0.2">
      <c r="A161" s="108" t="s">
        <v>99</v>
      </c>
      <c r="B161" s="108" t="s">
        <v>154</v>
      </c>
      <c r="C161" s="106">
        <f t="shared" si="2"/>
        <v>4</v>
      </c>
      <c r="D161" s="109">
        <v>5</v>
      </c>
      <c r="E161" s="109">
        <v>31</v>
      </c>
      <c r="F161" s="107">
        <v>0</v>
      </c>
      <c r="G161" s="107">
        <v>0</v>
      </c>
      <c r="H161" s="107">
        <v>0</v>
      </c>
      <c r="I161" s="107">
        <v>0</v>
      </c>
      <c r="J161" s="107">
        <v>2</v>
      </c>
    </row>
    <row r="162" spans="1:10" ht="15" x14ac:dyDescent="0.2">
      <c r="A162" s="105" t="s">
        <v>99</v>
      </c>
      <c r="B162" s="105" t="s">
        <v>155</v>
      </c>
      <c r="C162" s="106">
        <f t="shared" si="2"/>
        <v>5</v>
      </c>
      <c r="D162" s="107">
        <v>5</v>
      </c>
      <c r="E162" s="107">
        <v>31</v>
      </c>
      <c r="F162" s="107">
        <v>0</v>
      </c>
      <c r="G162" s="107">
        <v>0</v>
      </c>
      <c r="H162" s="107">
        <v>0</v>
      </c>
      <c r="I162" s="107">
        <v>0</v>
      </c>
      <c r="J162" s="107">
        <v>2</v>
      </c>
    </row>
    <row r="163" spans="1:10" ht="15" x14ac:dyDescent="0.2">
      <c r="A163" s="108" t="s">
        <v>99</v>
      </c>
      <c r="B163" s="108" t="s">
        <v>156</v>
      </c>
      <c r="C163" s="106">
        <f t="shared" si="2"/>
        <v>6</v>
      </c>
      <c r="D163" s="109">
        <v>0</v>
      </c>
      <c r="E163" s="109">
        <v>31</v>
      </c>
      <c r="F163" s="107">
        <v>0</v>
      </c>
      <c r="G163" s="107">
        <v>0</v>
      </c>
      <c r="H163" s="107">
        <v>0</v>
      </c>
      <c r="I163" s="107">
        <v>0</v>
      </c>
      <c r="J163" s="107">
        <v>1</v>
      </c>
    </row>
    <row r="164" spans="1:10" ht="15" x14ac:dyDescent="0.2">
      <c r="A164" s="105" t="s">
        <v>99</v>
      </c>
      <c r="B164" s="105" t="s">
        <v>157</v>
      </c>
      <c r="C164" s="106">
        <f t="shared" si="2"/>
        <v>7</v>
      </c>
      <c r="D164" s="107">
        <v>0</v>
      </c>
      <c r="E164" s="107">
        <v>0</v>
      </c>
      <c r="F164" s="107">
        <v>0</v>
      </c>
      <c r="G164" s="107">
        <v>0</v>
      </c>
      <c r="H164" s="107">
        <v>0</v>
      </c>
      <c r="I164" s="107">
        <v>0</v>
      </c>
      <c r="J164" s="107">
        <v>0</v>
      </c>
    </row>
    <row r="165" spans="1:10" ht="15" x14ac:dyDescent="0.2">
      <c r="A165" s="108" t="s">
        <v>99</v>
      </c>
      <c r="B165" s="108" t="s">
        <v>158</v>
      </c>
      <c r="C165" s="106">
        <f t="shared" si="2"/>
        <v>8</v>
      </c>
      <c r="D165" s="109">
        <v>0</v>
      </c>
      <c r="E165" s="109">
        <v>0</v>
      </c>
      <c r="F165" s="107">
        <v>0</v>
      </c>
      <c r="G165" s="107">
        <v>0</v>
      </c>
      <c r="H165" s="107">
        <v>0</v>
      </c>
      <c r="I165" s="107">
        <v>0</v>
      </c>
      <c r="J165" s="107">
        <v>0</v>
      </c>
    </row>
    <row r="166" spans="1:10" ht="15" x14ac:dyDescent="0.2">
      <c r="A166" s="105" t="s">
        <v>99</v>
      </c>
      <c r="B166" s="105" t="s">
        <v>159</v>
      </c>
      <c r="C166" s="106">
        <f t="shared" si="2"/>
        <v>9</v>
      </c>
      <c r="D166" s="107">
        <v>0</v>
      </c>
      <c r="E166" s="107">
        <v>0</v>
      </c>
      <c r="F166" s="107">
        <v>0</v>
      </c>
      <c r="G166" s="107">
        <v>0</v>
      </c>
      <c r="H166" s="107">
        <v>0</v>
      </c>
      <c r="I166" s="107">
        <v>0</v>
      </c>
      <c r="J166" s="107">
        <v>0</v>
      </c>
    </row>
    <row r="167" spans="1:10" ht="15" x14ac:dyDescent="0.2">
      <c r="A167" s="108" t="s">
        <v>99</v>
      </c>
      <c r="B167" s="108" t="s">
        <v>160</v>
      </c>
      <c r="C167" s="106">
        <f t="shared" si="2"/>
        <v>10</v>
      </c>
      <c r="D167" s="109">
        <v>0</v>
      </c>
      <c r="E167" s="109">
        <v>0</v>
      </c>
      <c r="F167" s="107">
        <v>0</v>
      </c>
      <c r="G167" s="107">
        <v>0</v>
      </c>
      <c r="H167" s="107">
        <v>0</v>
      </c>
      <c r="I167" s="107">
        <v>0</v>
      </c>
      <c r="J167" s="107">
        <v>0</v>
      </c>
    </row>
    <row r="168" spans="1:10" ht="15" x14ac:dyDescent="0.2">
      <c r="A168" s="105" t="s">
        <v>99</v>
      </c>
      <c r="B168" s="105" t="s">
        <v>161</v>
      </c>
      <c r="C168" s="106">
        <f t="shared" si="2"/>
        <v>11</v>
      </c>
      <c r="D168" s="107">
        <v>0</v>
      </c>
      <c r="E168" s="107">
        <v>0</v>
      </c>
      <c r="F168" s="107">
        <v>0</v>
      </c>
      <c r="G168" s="107">
        <v>0</v>
      </c>
      <c r="H168" s="107">
        <v>0</v>
      </c>
      <c r="I168" s="107">
        <v>0</v>
      </c>
      <c r="J168" s="107">
        <v>0</v>
      </c>
    </row>
    <row r="169" spans="1:10" ht="15" x14ac:dyDescent="0.2">
      <c r="A169" s="108" t="s">
        <v>99</v>
      </c>
      <c r="B169" s="108" t="s">
        <v>162</v>
      </c>
      <c r="C169" s="106">
        <f t="shared" si="2"/>
        <v>12</v>
      </c>
      <c r="D169" s="109">
        <v>0</v>
      </c>
      <c r="E169" s="109">
        <v>0</v>
      </c>
      <c r="F169" s="107">
        <v>0</v>
      </c>
      <c r="G169" s="107">
        <v>0</v>
      </c>
      <c r="H169" s="107">
        <v>0</v>
      </c>
      <c r="I169" s="107">
        <v>0</v>
      </c>
      <c r="J169" s="107">
        <v>0</v>
      </c>
    </row>
    <row r="170" spans="1:10" ht="15" x14ac:dyDescent="0.2">
      <c r="A170" s="105" t="s">
        <v>123</v>
      </c>
      <c r="B170" s="105" t="s">
        <v>151</v>
      </c>
      <c r="C170" s="106">
        <f t="shared" si="2"/>
        <v>1</v>
      </c>
      <c r="D170" s="107">
        <v>4</v>
      </c>
      <c r="E170" s="107">
        <v>21</v>
      </c>
      <c r="F170" s="107">
        <v>0</v>
      </c>
      <c r="G170" s="107">
        <v>0</v>
      </c>
      <c r="H170" s="107">
        <v>0</v>
      </c>
      <c r="I170" s="107">
        <v>0</v>
      </c>
      <c r="J170" s="107">
        <v>1</v>
      </c>
    </row>
    <row r="171" spans="1:10" ht="15" x14ac:dyDescent="0.2">
      <c r="A171" s="108" t="s">
        <v>123</v>
      </c>
      <c r="B171" s="108" t="s">
        <v>152</v>
      </c>
      <c r="C171" s="106">
        <f t="shared" si="2"/>
        <v>2</v>
      </c>
      <c r="D171" s="109">
        <v>0</v>
      </c>
      <c r="E171" s="109">
        <v>0</v>
      </c>
      <c r="F171" s="107">
        <v>0</v>
      </c>
      <c r="G171" s="107">
        <v>0</v>
      </c>
      <c r="H171" s="107">
        <v>0</v>
      </c>
      <c r="I171" s="107">
        <v>0</v>
      </c>
      <c r="J171" s="107">
        <v>0</v>
      </c>
    </row>
    <row r="172" spans="1:10" ht="15" x14ac:dyDescent="0.2">
      <c r="A172" s="105" t="s">
        <v>123</v>
      </c>
      <c r="B172" s="105" t="s">
        <v>153</v>
      </c>
      <c r="C172" s="106">
        <f t="shared" si="2"/>
        <v>3</v>
      </c>
      <c r="D172" s="107">
        <v>0</v>
      </c>
      <c r="E172" s="107">
        <v>0</v>
      </c>
      <c r="F172" s="107">
        <v>0</v>
      </c>
      <c r="G172" s="107">
        <v>0</v>
      </c>
      <c r="H172" s="107">
        <v>0</v>
      </c>
      <c r="I172" s="107">
        <v>0</v>
      </c>
      <c r="J172" s="107">
        <v>0</v>
      </c>
    </row>
    <row r="173" spans="1:10" ht="15" x14ac:dyDescent="0.2">
      <c r="A173" s="108" t="s">
        <v>123</v>
      </c>
      <c r="B173" s="108" t="s">
        <v>154</v>
      </c>
      <c r="C173" s="106">
        <f t="shared" si="2"/>
        <v>4</v>
      </c>
      <c r="D173" s="109">
        <v>0</v>
      </c>
      <c r="E173" s="109">
        <v>0</v>
      </c>
      <c r="F173" s="107">
        <v>0</v>
      </c>
      <c r="G173" s="107">
        <v>0</v>
      </c>
      <c r="H173" s="107">
        <v>0</v>
      </c>
      <c r="I173" s="107">
        <v>0</v>
      </c>
      <c r="J173" s="107">
        <v>0</v>
      </c>
    </row>
    <row r="174" spans="1:10" ht="15" x14ac:dyDescent="0.2">
      <c r="A174" s="105" t="s">
        <v>123</v>
      </c>
      <c r="B174" s="105" t="s">
        <v>155</v>
      </c>
      <c r="C174" s="106">
        <f t="shared" si="2"/>
        <v>5</v>
      </c>
      <c r="D174" s="107">
        <v>0</v>
      </c>
      <c r="E174" s="107">
        <v>0</v>
      </c>
      <c r="F174" s="107">
        <v>0</v>
      </c>
      <c r="G174" s="107">
        <v>0</v>
      </c>
      <c r="H174" s="107">
        <v>0</v>
      </c>
      <c r="I174" s="107">
        <v>0</v>
      </c>
      <c r="J174" s="107">
        <v>0</v>
      </c>
    </row>
    <row r="175" spans="1:10" ht="15" x14ac:dyDescent="0.2">
      <c r="A175" s="108" t="s">
        <v>123</v>
      </c>
      <c r="B175" s="108" t="s">
        <v>156</v>
      </c>
      <c r="C175" s="106">
        <f t="shared" si="2"/>
        <v>6</v>
      </c>
      <c r="D175" s="109">
        <v>0</v>
      </c>
      <c r="E175" s="109">
        <v>0</v>
      </c>
      <c r="F175" s="107">
        <v>0</v>
      </c>
      <c r="G175" s="107">
        <v>0</v>
      </c>
      <c r="H175" s="107">
        <v>0</v>
      </c>
      <c r="I175" s="107">
        <v>0</v>
      </c>
      <c r="J175" s="107">
        <v>0</v>
      </c>
    </row>
    <row r="176" spans="1:10" ht="15" x14ac:dyDescent="0.2">
      <c r="A176" s="105" t="s">
        <v>123</v>
      </c>
      <c r="B176" s="105" t="s">
        <v>157</v>
      </c>
      <c r="C176" s="106">
        <f t="shared" si="2"/>
        <v>7</v>
      </c>
      <c r="D176" s="107">
        <v>0</v>
      </c>
      <c r="E176" s="107">
        <v>0</v>
      </c>
      <c r="F176" s="107">
        <v>0</v>
      </c>
      <c r="G176" s="107">
        <v>0</v>
      </c>
      <c r="H176" s="107">
        <v>0</v>
      </c>
      <c r="I176" s="107">
        <v>0</v>
      </c>
      <c r="J176" s="107">
        <v>0</v>
      </c>
    </row>
    <row r="177" spans="1:10" ht="15" x14ac:dyDescent="0.2">
      <c r="A177" s="108" t="s">
        <v>123</v>
      </c>
      <c r="B177" s="108" t="s">
        <v>158</v>
      </c>
      <c r="C177" s="106">
        <f t="shared" si="2"/>
        <v>8</v>
      </c>
      <c r="D177" s="109">
        <v>0</v>
      </c>
      <c r="E177" s="109">
        <v>0</v>
      </c>
      <c r="F177" s="107">
        <v>0</v>
      </c>
      <c r="G177" s="107">
        <v>0</v>
      </c>
      <c r="H177" s="107">
        <v>0</v>
      </c>
      <c r="I177" s="107">
        <v>0</v>
      </c>
      <c r="J177" s="107">
        <v>0</v>
      </c>
    </row>
    <row r="178" spans="1:10" ht="15" x14ac:dyDescent="0.2">
      <c r="A178" s="105" t="s">
        <v>123</v>
      </c>
      <c r="B178" s="105" t="s">
        <v>159</v>
      </c>
      <c r="C178" s="106">
        <f t="shared" si="2"/>
        <v>9</v>
      </c>
      <c r="D178" s="107">
        <v>0</v>
      </c>
      <c r="E178" s="107">
        <v>0</v>
      </c>
      <c r="F178" s="107">
        <v>0</v>
      </c>
      <c r="G178" s="107">
        <v>0</v>
      </c>
      <c r="H178" s="107">
        <v>0</v>
      </c>
      <c r="I178" s="107">
        <v>0</v>
      </c>
      <c r="J178" s="107">
        <v>0</v>
      </c>
    </row>
    <row r="179" spans="1:10" ht="15" x14ac:dyDescent="0.2">
      <c r="A179" s="108" t="s">
        <v>123</v>
      </c>
      <c r="B179" s="108" t="s">
        <v>160</v>
      </c>
      <c r="C179" s="106">
        <f t="shared" si="2"/>
        <v>10</v>
      </c>
      <c r="D179" s="109">
        <v>0</v>
      </c>
      <c r="E179" s="109">
        <v>0</v>
      </c>
      <c r="F179" s="107">
        <v>0</v>
      </c>
      <c r="G179" s="107">
        <v>0</v>
      </c>
      <c r="H179" s="107">
        <v>0</v>
      </c>
      <c r="I179" s="107">
        <v>0</v>
      </c>
      <c r="J179" s="107">
        <v>0</v>
      </c>
    </row>
    <row r="180" spans="1:10" ht="15" x14ac:dyDescent="0.2">
      <c r="A180" s="105" t="s">
        <v>123</v>
      </c>
      <c r="B180" s="105" t="s">
        <v>161</v>
      </c>
      <c r="C180" s="106">
        <f t="shared" si="2"/>
        <v>11</v>
      </c>
      <c r="D180" s="107">
        <v>0</v>
      </c>
      <c r="E180" s="107">
        <v>0</v>
      </c>
      <c r="F180" s="107">
        <v>0</v>
      </c>
      <c r="G180" s="107">
        <v>0</v>
      </c>
      <c r="H180" s="107">
        <v>0</v>
      </c>
      <c r="I180" s="107">
        <v>0</v>
      </c>
      <c r="J180" s="107">
        <v>0</v>
      </c>
    </row>
    <row r="181" spans="1:10" ht="15" x14ac:dyDescent="0.2">
      <c r="A181" s="108" t="s">
        <v>123</v>
      </c>
      <c r="B181" s="108" t="s">
        <v>162</v>
      </c>
      <c r="C181" s="106">
        <f t="shared" si="2"/>
        <v>12</v>
      </c>
      <c r="D181" s="109">
        <v>0</v>
      </c>
      <c r="E181" s="109">
        <v>0</v>
      </c>
      <c r="F181" s="107">
        <v>0</v>
      </c>
      <c r="G181" s="107">
        <v>0</v>
      </c>
      <c r="H181" s="107">
        <v>0</v>
      </c>
      <c r="I181" s="107">
        <v>0</v>
      </c>
      <c r="J181" s="107">
        <v>0</v>
      </c>
    </row>
    <row r="182" spans="1:10" ht="15" x14ac:dyDescent="0.2">
      <c r="A182" s="105" t="s">
        <v>92</v>
      </c>
      <c r="B182" s="105" t="s">
        <v>151</v>
      </c>
      <c r="C182" s="106">
        <f t="shared" si="2"/>
        <v>1</v>
      </c>
      <c r="D182" s="107">
        <v>0</v>
      </c>
      <c r="E182" s="107">
        <v>0</v>
      </c>
      <c r="F182" s="107">
        <v>0</v>
      </c>
      <c r="G182" s="107">
        <v>0</v>
      </c>
      <c r="H182" s="107">
        <v>0</v>
      </c>
      <c r="I182" s="107">
        <v>0</v>
      </c>
      <c r="J182" s="107">
        <v>0</v>
      </c>
    </row>
    <row r="183" spans="1:10" ht="15" x14ac:dyDescent="0.2">
      <c r="A183" s="108" t="s">
        <v>92</v>
      </c>
      <c r="B183" s="108" t="s">
        <v>152</v>
      </c>
      <c r="C183" s="106">
        <f t="shared" si="2"/>
        <v>2</v>
      </c>
      <c r="D183" s="109">
        <v>0</v>
      </c>
      <c r="E183" s="109">
        <v>0</v>
      </c>
      <c r="F183" s="107">
        <v>0</v>
      </c>
      <c r="G183" s="107">
        <v>0</v>
      </c>
      <c r="H183" s="107">
        <v>0</v>
      </c>
      <c r="I183" s="107">
        <v>0</v>
      </c>
      <c r="J183" s="107">
        <v>0</v>
      </c>
    </row>
    <row r="184" spans="1:10" ht="15" x14ac:dyDescent="0.2">
      <c r="A184" s="105" t="s">
        <v>92</v>
      </c>
      <c r="B184" s="105" t="s">
        <v>153</v>
      </c>
      <c r="C184" s="106">
        <f t="shared" si="2"/>
        <v>3</v>
      </c>
      <c r="D184" s="107">
        <v>2</v>
      </c>
      <c r="E184" s="107">
        <v>8</v>
      </c>
      <c r="F184" s="107">
        <v>0</v>
      </c>
      <c r="G184" s="107">
        <v>0</v>
      </c>
      <c r="H184" s="107">
        <v>0</v>
      </c>
      <c r="I184" s="107">
        <v>0</v>
      </c>
      <c r="J184" s="107">
        <v>2</v>
      </c>
    </row>
    <row r="185" spans="1:10" ht="15" x14ac:dyDescent="0.2">
      <c r="A185" s="108" t="s">
        <v>92</v>
      </c>
      <c r="B185" s="108" t="s">
        <v>154</v>
      </c>
      <c r="C185" s="106">
        <f t="shared" si="2"/>
        <v>4</v>
      </c>
      <c r="D185" s="109">
        <v>0</v>
      </c>
      <c r="E185" s="109">
        <v>0</v>
      </c>
      <c r="F185" s="107">
        <v>0</v>
      </c>
      <c r="G185" s="107">
        <v>0</v>
      </c>
      <c r="H185" s="107">
        <v>0</v>
      </c>
      <c r="I185" s="107">
        <v>0</v>
      </c>
      <c r="J185" s="107">
        <v>0</v>
      </c>
    </row>
    <row r="186" spans="1:10" ht="15" x14ac:dyDescent="0.2">
      <c r="A186" s="105" t="s">
        <v>92</v>
      </c>
      <c r="B186" s="105" t="s">
        <v>155</v>
      </c>
      <c r="C186" s="106">
        <f t="shared" si="2"/>
        <v>5</v>
      </c>
      <c r="D186" s="107">
        <v>4</v>
      </c>
      <c r="E186" s="107">
        <v>16</v>
      </c>
      <c r="F186" s="107">
        <v>0</v>
      </c>
      <c r="G186" s="107">
        <v>0</v>
      </c>
      <c r="H186" s="107">
        <v>0</v>
      </c>
      <c r="I186" s="107">
        <v>0</v>
      </c>
      <c r="J186" s="107">
        <v>2</v>
      </c>
    </row>
    <row r="187" spans="1:10" ht="15" x14ac:dyDescent="0.2">
      <c r="A187" s="108" t="s">
        <v>92</v>
      </c>
      <c r="B187" s="108" t="s">
        <v>156</v>
      </c>
      <c r="C187" s="106">
        <f t="shared" si="2"/>
        <v>6</v>
      </c>
      <c r="D187" s="109">
        <v>0</v>
      </c>
      <c r="E187" s="109">
        <v>0</v>
      </c>
      <c r="F187" s="107">
        <v>0</v>
      </c>
      <c r="G187" s="107">
        <v>0</v>
      </c>
      <c r="H187" s="107">
        <v>0</v>
      </c>
      <c r="I187" s="107">
        <v>0</v>
      </c>
      <c r="J187" s="107">
        <v>0</v>
      </c>
    </row>
    <row r="188" spans="1:10" ht="15" x14ac:dyDescent="0.2">
      <c r="A188" s="105" t="s">
        <v>92</v>
      </c>
      <c r="B188" s="105" t="s">
        <v>157</v>
      </c>
      <c r="C188" s="106">
        <f t="shared" si="2"/>
        <v>7</v>
      </c>
      <c r="D188" s="107">
        <v>0</v>
      </c>
      <c r="E188" s="107">
        <v>0</v>
      </c>
      <c r="F188" s="107">
        <v>0</v>
      </c>
      <c r="G188" s="107">
        <v>0</v>
      </c>
      <c r="H188" s="107">
        <v>0</v>
      </c>
      <c r="I188" s="107">
        <v>0</v>
      </c>
      <c r="J188" s="107">
        <v>0</v>
      </c>
    </row>
    <row r="189" spans="1:10" ht="15" x14ac:dyDescent="0.2">
      <c r="A189" s="108" t="s">
        <v>92</v>
      </c>
      <c r="B189" s="108" t="s">
        <v>158</v>
      </c>
      <c r="C189" s="106">
        <f t="shared" si="2"/>
        <v>8</v>
      </c>
      <c r="D189" s="109">
        <v>0</v>
      </c>
      <c r="E189" s="109">
        <v>0</v>
      </c>
      <c r="F189" s="107">
        <v>0</v>
      </c>
      <c r="G189" s="107">
        <v>0</v>
      </c>
      <c r="H189" s="107">
        <v>0</v>
      </c>
      <c r="I189" s="107">
        <v>0</v>
      </c>
      <c r="J189" s="107">
        <v>0</v>
      </c>
    </row>
    <row r="190" spans="1:10" ht="15" x14ac:dyDescent="0.2">
      <c r="A190" s="105" t="s">
        <v>92</v>
      </c>
      <c r="B190" s="105" t="s">
        <v>159</v>
      </c>
      <c r="C190" s="106">
        <f t="shared" si="2"/>
        <v>9</v>
      </c>
      <c r="D190" s="107">
        <v>0</v>
      </c>
      <c r="E190" s="107">
        <v>0</v>
      </c>
      <c r="F190" s="107">
        <v>0</v>
      </c>
      <c r="G190" s="107">
        <v>0</v>
      </c>
      <c r="H190" s="107">
        <v>0</v>
      </c>
      <c r="I190" s="107">
        <v>0</v>
      </c>
      <c r="J190" s="107">
        <v>0</v>
      </c>
    </row>
    <row r="191" spans="1:10" ht="15" x14ac:dyDescent="0.2">
      <c r="A191" s="108" t="s">
        <v>92</v>
      </c>
      <c r="B191" s="108" t="s">
        <v>160</v>
      </c>
      <c r="C191" s="106">
        <f t="shared" si="2"/>
        <v>10</v>
      </c>
      <c r="D191" s="109">
        <v>0</v>
      </c>
      <c r="E191" s="109">
        <v>0</v>
      </c>
      <c r="F191" s="107">
        <v>0</v>
      </c>
      <c r="G191" s="107">
        <v>0</v>
      </c>
      <c r="H191" s="107">
        <v>0</v>
      </c>
      <c r="I191" s="107">
        <v>0</v>
      </c>
      <c r="J191" s="107">
        <v>0</v>
      </c>
    </row>
    <row r="192" spans="1:10" ht="15" x14ac:dyDescent="0.2">
      <c r="A192" s="105" t="s">
        <v>92</v>
      </c>
      <c r="B192" s="105" t="s">
        <v>161</v>
      </c>
      <c r="C192" s="106">
        <f t="shared" si="2"/>
        <v>11</v>
      </c>
      <c r="D192" s="107">
        <v>0</v>
      </c>
      <c r="E192" s="107">
        <v>0</v>
      </c>
      <c r="F192" s="107">
        <v>0</v>
      </c>
      <c r="G192" s="107">
        <v>0</v>
      </c>
      <c r="H192" s="107">
        <v>0</v>
      </c>
      <c r="I192" s="107">
        <v>0</v>
      </c>
      <c r="J192" s="107">
        <v>0</v>
      </c>
    </row>
    <row r="193" spans="1:10" ht="15" x14ac:dyDescent="0.2">
      <c r="A193" s="108" t="s">
        <v>92</v>
      </c>
      <c r="B193" s="108" t="s">
        <v>162</v>
      </c>
      <c r="C193" s="106">
        <f t="shared" si="2"/>
        <v>12</v>
      </c>
      <c r="D193" s="109">
        <v>0</v>
      </c>
      <c r="E193" s="109">
        <v>0</v>
      </c>
      <c r="F193" s="107">
        <v>0</v>
      </c>
      <c r="G193" s="107">
        <v>0</v>
      </c>
      <c r="H193" s="107">
        <v>0</v>
      </c>
      <c r="I193" s="107">
        <v>0</v>
      </c>
      <c r="J193" s="107">
        <v>0</v>
      </c>
    </row>
    <row r="194" spans="1:10" ht="15" x14ac:dyDescent="0.2">
      <c r="A194" s="105" t="s">
        <v>37</v>
      </c>
      <c r="B194" s="105" t="s">
        <v>151</v>
      </c>
      <c r="C194" s="106">
        <f t="shared" si="2"/>
        <v>1</v>
      </c>
      <c r="D194" s="107">
        <v>0</v>
      </c>
      <c r="E194" s="107">
        <v>0</v>
      </c>
      <c r="F194" s="107">
        <v>0</v>
      </c>
      <c r="G194" s="107">
        <v>0</v>
      </c>
      <c r="H194" s="107">
        <v>0</v>
      </c>
      <c r="I194" s="107">
        <v>0</v>
      </c>
      <c r="J194" s="107">
        <v>0</v>
      </c>
    </row>
    <row r="195" spans="1:10" ht="15" x14ac:dyDescent="0.2">
      <c r="A195" s="108" t="s">
        <v>37</v>
      </c>
      <c r="B195" s="108" t="s">
        <v>152</v>
      </c>
      <c r="C195" s="106">
        <f t="shared" si="2"/>
        <v>2</v>
      </c>
      <c r="D195" s="109">
        <v>0</v>
      </c>
      <c r="E195" s="109">
        <v>0</v>
      </c>
      <c r="F195" s="107">
        <v>0</v>
      </c>
      <c r="G195" s="107">
        <v>0</v>
      </c>
      <c r="H195" s="107">
        <v>0</v>
      </c>
      <c r="I195" s="107">
        <v>0</v>
      </c>
      <c r="J195" s="107">
        <v>0</v>
      </c>
    </row>
    <row r="196" spans="1:10" ht="15" x14ac:dyDescent="0.2">
      <c r="A196" s="105" t="s">
        <v>37</v>
      </c>
      <c r="B196" s="105" t="s">
        <v>153</v>
      </c>
      <c r="C196" s="106">
        <f t="shared" si="2"/>
        <v>3</v>
      </c>
      <c r="D196" s="107">
        <v>4</v>
      </c>
      <c r="E196" s="107">
        <v>80</v>
      </c>
      <c r="F196" s="107">
        <v>0</v>
      </c>
      <c r="G196" s="107">
        <v>0</v>
      </c>
      <c r="H196" s="107">
        <v>0</v>
      </c>
      <c r="I196" s="107">
        <v>0</v>
      </c>
      <c r="J196" s="107">
        <v>2</v>
      </c>
    </row>
    <row r="197" spans="1:10" ht="15" x14ac:dyDescent="0.2">
      <c r="A197" s="108" t="s">
        <v>37</v>
      </c>
      <c r="B197" s="108" t="s">
        <v>154</v>
      </c>
      <c r="C197" s="106">
        <f t="shared" si="2"/>
        <v>4</v>
      </c>
      <c r="D197" s="109">
        <v>0</v>
      </c>
      <c r="E197" s="109">
        <v>0</v>
      </c>
      <c r="F197" s="107">
        <v>0</v>
      </c>
      <c r="G197" s="107">
        <v>0</v>
      </c>
      <c r="H197" s="107">
        <v>0</v>
      </c>
      <c r="I197" s="107">
        <v>0</v>
      </c>
      <c r="J197" s="107">
        <v>0</v>
      </c>
    </row>
    <row r="198" spans="1:10" ht="15" x14ac:dyDescent="0.2">
      <c r="A198" s="105" t="s">
        <v>37</v>
      </c>
      <c r="B198" s="105" t="s">
        <v>155</v>
      </c>
      <c r="C198" s="106">
        <f t="shared" si="2"/>
        <v>5</v>
      </c>
      <c r="D198" s="107">
        <v>0</v>
      </c>
      <c r="E198" s="107">
        <v>0</v>
      </c>
      <c r="F198" s="107">
        <v>0</v>
      </c>
      <c r="G198" s="107">
        <v>0</v>
      </c>
      <c r="H198" s="107">
        <v>0</v>
      </c>
      <c r="I198" s="107">
        <v>0</v>
      </c>
      <c r="J198" s="107">
        <v>0</v>
      </c>
    </row>
    <row r="199" spans="1:10" ht="15" x14ac:dyDescent="0.2">
      <c r="A199" s="108" t="s">
        <v>37</v>
      </c>
      <c r="B199" s="108" t="s">
        <v>156</v>
      </c>
      <c r="C199" s="106">
        <f t="shared" si="2"/>
        <v>6</v>
      </c>
      <c r="D199" s="109">
        <v>3</v>
      </c>
      <c r="E199" s="109">
        <v>60</v>
      </c>
      <c r="F199" s="107">
        <v>0</v>
      </c>
      <c r="G199" s="107">
        <v>0</v>
      </c>
      <c r="H199" s="107">
        <v>0</v>
      </c>
      <c r="I199" s="107">
        <v>0</v>
      </c>
      <c r="J199" s="107">
        <v>1</v>
      </c>
    </row>
    <row r="200" spans="1:10" ht="15" x14ac:dyDescent="0.2">
      <c r="A200" s="105" t="s">
        <v>37</v>
      </c>
      <c r="B200" s="105" t="s">
        <v>157</v>
      </c>
      <c r="C200" s="106">
        <f t="shared" si="2"/>
        <v>7</v>
      </c>
      <c r="D200" s="107">
        <v>2</v>
      </c>
      <c r="E200" s="107">
        <v>40</v>
      </c>
      <c r="F200" s="107">
        <v>0</v>
      </c>
      <c r="G200" s="107">
        <v>0</v>
      </c>
      <c r="H200" s="107">
        <v>0</v>
      </c>
      <c r="I200" s="107">
        <v>0</v>
      </c>
      <c r="J200" s="107">
        <v>1</v>
      </c>
    </row>
    <row r="201" spans="1:10" ht="15" x14ac:dyDescent="0.2">
      <c r="A201" s="108" t="s">
        <v>37</v>
      </c>
      <c r="B201" s="108" t="s">
        <v>158</v>
      </c>
      <c r="C201" s="106">
        <f t="shared" si="2"/>
        <v>8</v>
      </c>
      <c r="D201" s="109">
        <v>0</v>
      </c>
      <c r="E201" s="109">
        <v>0</v>
      </c>
      <c r="F201" s="107">
        <v>0</v>
      </c>
      <c r="G201" s="107">
        <v>0</v>
      </c>
      <c r="H201" s="107">
        <v>0</v>
      </c>
      <c r="I201" s="107">
        <v>0</v>
      </c>
      <c r="J201" s="107">
        <v>0</v>
      </c>
    </row>
    <row r="202" spans="1:10" ht="15" x14ac:dyDescent="0.2">
      <c r="A202" s="105" t="s">
        <v>37</v>
      </c>
      <c r="B202" s="105" t="s">
        <v>159</v>
      </c>
      <c r="C202" s="106">
        <f t="shared" si="2"/>
        <v>9</v>
      </c>
      <c r="D202" s="107">
        <v>0</v>
      </c>
      <c r="E202" s="107">
        <v>0</v>
      </c>
      <c r="F202" s="107">
        <v>0</v>
      </c>
      <c r="G202" s="107">
        <v>0</v>
      </c>
      <c r="H202" s="107">
        <v>0</v>
      </c>
      <c r="I202" s="107">
        <v>0</v>
      </c>
      <c r="J202" s="107">
        <v>0</v>
      </c>
    </row>
    <row r="203" spans="1:10" ht="15" x14ac:dyDescent="0.2">
      <c r="A203" s="108" t="s">
        <v>37</v>
      </c>
      <c r="B203" s="108" t="s">
        <v>160</v>
      </c>
      <c r="C203" s="106">
        <f t="shared" si="2"/>
        <v>10</v>
      </c>
      <c r="D203" s="109">
        <v>0</v>
      </c>
      <c r="E203" s="109">
        <v>0</v>
      </c>
      <c r="F203" s="107">
        <v>0</v>
      </c>
      <c r="G203" s="107">
        <v>0</v>
      </c>
      <c r="H203" s="107">
        <v>0</v>
      </c>
      <c r="I203" s="107">
        <v>0</v>
      </c>
      <c r="J203" s="107">
        <v>0</v>
      </c>
    </row>
    <row r="204" spans="1:10" ht="15" x14ac:dyDescent="0.2">
      <c r="A204" s="105" t="s">
        <v>37</v>
      </c>
      <c r="B204" s="105" t="s">
        <v>161</v>
      </c>
      <c r="C204" s="106">
        <f t="shared" si="2"/>
        <v>11</v>
      </c>
      <c r="D204" s="107">
        <v>0</v>
      </c>
      <c r="E204" s="107">
        <v>0</v>
      </c>
      <c r="F204" s="107">
        <v>0</v>
      </c>
      <c r="G204" s="107">
        <v>0</v>
      </c>
      <c r="H204" s="107">
        <v>0</v>
      </c>
      <c r="I204" s="107">
        <v>0</v>
      </c>
      <c r="J204" s="107">
        <v>0</v>
      </c>
    </row>
    <row r="205" spans="1:10" ht="15" x14ac:dyDescent="0.2">
      <c r="A205" s="108" t="s">
        <v>37</v>
      </c>
      <c r="B205" s="108" t="s">
        <v>162</v>
      </c>
      <c r="C205" s="106">
        <f t="shared" si="2"/>
        <v>12</v>
      </c>
      <c r="D205" s="109">
        <v>0</v>
      </c>
      <c r="E205" s="109">
        <v>0</v>
      </c>
      <c r="F205" s="107">
        <v>0</v>
      </c>
      <c r="G205" s="107">
        <v>0</v>
      </c>
      <c r="H205" s="107">
        <v>0</v>
      </c>
      <c r="I205" s="107">
        <v>0</v>
      </c>
      <c r="J205" s="107">
        <v>0</v>
      </c>
    </row>
    <row r="206" spans="1:10" ht="15" x14ac:dyDescent="0.2">
      <c r="A206" s="105" t="s">
        <v>91</v>
      </c>
      <c r="B206" s="105" t="s">
        <v>151</v>
      </c>
      <c r="C206" s="106">
        <f t="shared" ref="C206:C281" si="3">_xlfn.IFS(B206="Janeiro",1,B206="Fevereiro",2,B206="Março",3,B206="Abril",4,B206="Maio",5,B206="Junho",6,B206="Julho",7,B206="Agosto",8,B206="Setembro",9,B206="Outubro",10,B206="Novembro",11,B206="Dezembro",12,TRUE,0)</f>
        <v>1</v>
      </c>
      <c r="D206" s="107">
        <v>9</v>
      </c>
      <c r="E206" s="107">
        <v>42</v>
      </c>
      <c r="F206" s="107">
        <v>1</v>
      </c>
      <c r="G206" s="107">
        <v>0</v>
      </c>
      <c r="H206" s="107">
        <v>0</v>
      </c>
      <c r="I206" s="107">
        <v>0</v>
      </c>
      <c r="J206" s="107">
        <v>4</v>
      </c>
    </row>
    <row r="207" spans="1:10" ht="15" x14ac:dyDescent="0.2">
      <c r="A207" s="108" t="s">
        <v>91</v>
      </c>
      <c r="B207" s="108" t="s">
        <v>152</v>
      </c>
      <c r="C207" s="106">
        <f t="shared" si="3"/>
        <v>2</v>
      </c>
      <c r="D207" s="109">
        <v>0</v>
      </c>
      <c r="E207" s="109">
        <v>0</v>
      </c>
      <c r="F207" s="107">
        <v>0</v>
      </c>
      <c r="G207" s="107">
        <v>0</v>
      </c>
      <c r="H207" s="107">
        <v>0</v>
      </c>
      <c r="I207" s="107">
        <v>0</v>
      </c>
      <c r="J207" s="107">
        <v>0</v>
      </c>
    </row>
    <row r="208" spans="1:10" ht="15" x14ac:dyDescent="0.2">
      <c r="A208" s="105" t="s">
        <v>91</v>
      </c>
      <c r="B208" s="105" t="s">
        <v>153</v>
      </c>
      <c r="C208" s="106">
        <f t="shared" si="3"/>
        <v>3</v>
      </c>
      <c r="D208" s="107">
        <v>2</v>
      </c>
      <c r="E208" s="107">
        <v>9</v>
      </c>
      <c r="F208" s="107">
        <v>1</v>
      </c>
      <c r="G208" s="107">
        <v>0</v>
      </c>
      <c r="H208" s="107">
        <v>0</v>
      </c>
      <c r="I208" s="107">
        <v>0</v>
      </c>
      <c r="J208" s="107">
        <v>1</v>
      </c>
    </row>
    <row r="209" spans="1:10" ht="15" x14ac:dyDescent="0.2">
      <c r="A209" s="108" t="s">
        <v>91</v>
      </c>
      <c r="B209" s="108" t="s">
        <v>154</v>
      </c>
      <c r="C209" s="106">
        <f t="shared" si="3"/>
        <v>4</v>
      </c>
      <c r="D209" s="109">
        <v>0</v>
      </c>
      <c r="E209" s="109">
        <v>0</v>
      </c>
      <c r="F209" s="107">
        <v>0</v>
      </c>
      <c r="G209" s="107">
        <v>0</v>
      </c>
      <c r="H209" s="107">
        <v>0</v>
      </c>
      <c r="I209" s="107">
        <v>0</v>
      </c>
      <c r="J209" s="107">
        <v>0</v>
      </c>
    </row>
    <row r="210" spans="1:10" ht="15" x14ac:dyDescent="0.2">
      <c r="A210" s="105" t="s">
        <v>91</v>
      </c>
      <c r="B210" s="105" t="s">
        <v>155</v>
      </c>
      <c r="C210" s="106">
        <f t="shared" si="3"/>
        <v>5</v>
      </c>
      <c r="D210" s="107">
        <v>4</v>
      </c>
      <c r="E210" s="107">
        <v>19</v>
      </c>
      <c r="F210" s="107">
        <v>0</v>
      </c>
      <c r="G210" s="107">
        <v>0</v>
      </c>
      <c r="H210" s="107">
        <v>0</v>
      </c>
      <c r="I210" s="107">
        <v>0</v>
      </c>
      <c r="J210" s="107">
        <v>1</v>
      </c>
    </row>
    <row r="211" spans="1:10" ht="15" x14ac:dyDescent="0.2">
      <c r="A211" s="108" t="s">
        <v>91</v>
      </c>
      <c r="B211" s="108" t="s">
        <v>156</v>
      </c>
      <c r="C211" s="106">
        <f t="shared" si="3"/>
        <v>6</v>
      </c>
      <c r="D211" s="109">
        <v>8</v>
      </c>
      <c r="E211" s="109">
        <v>38</v>
      </c>
      <c r="F211" s="107">
        <v>3</v>
      </c>
      <c r="G211" s="107">
        <v>2</v>
      </c>
      <c r="H211" s="107">
        <v>0</v>
      </c>
      <c r="I211" s="107">
        <v>0</v>
      </c>
      <c r="J211" s="107">
        <v>5</v>
      </c>
    </row>
    <row r="212" spans="1:10" ht="15" x14ac:dyDescent="0.2">
      <c r="A212" s="105" t="s">
        <v>91</v>
      </c>
      <c r="B212" s="105" t="s">
        <v>157</v>
      </c>
      <c r="C212" s="106">
        <f t="shared" si="3"/>
        <v>7</v>
      </c>
      <c r="D212" s="107">
        <v>0</v>
      </c>
      <c r="E212" s="107">
        <v>0</v>
      </c>
      <c r="F212" s="107">
        <v>0</v>
      </c>
      <c r="G212" s="107">
        <v>0</v>
      </c>
      <c r="H212" s="107">
        <v>0</v>
      </c>
      <c r="I212" s="107">
        <v>0</v>
      </c>
      <c r="J212" s="107">
        <v>0</v>
      </c>
    </row>
    <row r="213" spans="1:10" ht="15" x14ac:dyDescent="0.2">
      <c r="A213" s="108" t="s">
        <v>91</v>
      </c>
      <c r="B213" s="108" t="s">
        <v>158</v>
      </c>
      <c r="C213" s="106">
        <f t="shared" si="3"/>
        <v>8</v>
      </c>
      <c r="D213" s="109">
        <v>0</v>
      </c>
      <c r="E213" s="109">
        <v>0</v>
      </c>
      <c r="F213" s="107">
        <v>0</v>
      </c>
      <c r="G213" s="107">
        <v>0</v>
      </c>
      <c r="H213" s="107">
        <v>0</v>
      </c>
      <c r="I213" s="107">
        <v>0</v>
      </c>
      <c r="J213" s="107">
        <v>0</v>
      </c>
    </row>
    <row r="214" spans="1:10" ht="15" x14ac:dyDescent="0.2">
      <c r="A214" s="105" t="s">
        <v>91</v>
      </c>
      <c r="B214" s="105" t="s">
        <v>159</v>
      </c>
      <c r="C214" s="106">
        <f t="shared" si="3"/>
        <v>9</v>
      </c>
      <c r="D214" s="107">
        <v>0</v>
      </c>
      <c r="E214" s="107">
        <v>0</v>
      </c>
      <c r="F214" s="107">
        <v>0</v>
      </c>
      <c r="G214" s="107">
        <v>0</v>
      </c>
      <c r="H214" s="107">
        <v>0</v>
      </c>
      <c r="I214" s="107">
        <v>0</v>
      </c>
      <c r="J214" s="107">
        <v>0</v>
      </c>
    </row>
    <row r="215" spans="1:10" ht="15" x14ac:dyDescent="0.2">
      <c r="A215" s="108" t="s">
        <v>91</v>
      </c>
      <c r="B215" s="108" t="s">
        <v>160</v>
      </c>
      <c r="C215" s="106">
        <f t="shared" si="3"/>
        <v>10</v>
      </c>
      <c r="D215" s="109">
        <v>0</v>
      </c>
      <c r="E215" s="109">
        <v>0</v>
      </c>
      <c r="F215" s="107">
        <v>0</v>
      </c>
      <c r="G215" s="107">
        <v>0</v>
      </c>
      <c r="H215" s="107">
        <v>0</v>
      </c>
      <c r="I215" s="107">
        <v>0</v>
      </c>
      <c r="J215" s="107">
        <v>0</v>
      </c>
    </row>
    <row r="216" spans="1:10" ht="15" x14ac:dyDescent="0.2">
      <c r="A216" s="105" t="s">
        <v>91</v>
      </c>
      <c r="B216" s="105" t="s">
        <v>161</v>
      </c>
      <c r="C216" s="106">
        <f t="shared" si="3"/>
        <v>11</v>
      </c>
      <c r="D216" s="107">
        <v>0</v>
      </c>
      <c r="E216" s="107">
        <v>0</v>
      </c>
      <c r="F216" s="107">
        <v>0</v>
      </c>
      <c r="G216" s="107">
        <v>0</v>
      </c>
      <c r="H216" s="107">
        <v>0</v>
      </c>
      <c r="I216" s="107">
        <v>0</v>
      </c>
      <c r="J216" s="107">
        <v>0</v>
      </c>
    </row>
    <row r="217" spans="1:10" ht="15" x14ac:dyDescent="0.2">
      <c r="A217" s="108" t="s">
        <v>91</v>
      </c>
      <c r="B217" s="108" t="s">
        <v>162</v>
      </c>
      <c r="C217" s="106">
        <f t="shared" si="3"/>
        <v>12</v>
      </c>
      <c r="D217" s="109">
        <v>0</v>
      </c>
      <c r="E217" s="109">
        <v>0</v>
      </c>
      <c r="F217" s="107">
        <v>0</v>
      </c>
      <c r="G217" s="107">
        <v>0</v>
      </c>
      <c r="H217" s="107">
        <v>0</v>
      </c>
      <c r="I217" s="107">
        <v>0</v>
      </c>
      <c r="J217" s="107">
        <v>0</v>
      </c>
    </row>
    <row r="218" spans="1:10" ht="15" x14ac:dyDescent="0.2">
      <c r="A218" s="105" t="s">
        <v>126</v>
      </c>
      <c r="B218" s="105" t="s">
        <v>151</v>
      </c>
      <c r="C218" s="106">
        <f t="shared" si="3"/>
        <v>1</v>
      </c>
      <c r="D218" s="107">
        <v>5</v>
      </c>
      <c r="E218" s="107">
        <v>25</v>
      </c>
      <c r="F218" s="107">
        <v>0</v>
      </c>
      <c r="G218" s="107">
        <v>0</v>
      </c>
      <c r="H218" s="107">
        <v>0</v>
      </c>
      <c r="I218" s="107">
        <v>0</v>
      </c>
      <c r="J218" s="107">
        <v>2</v>
      </c>
    </row>
    <row r="219" spans="1:10" ht="15" x14ac:dyDescent="0.2">
      <c r="A219" s="108" t="s">
        <v>126</v>
      </c>
      <c r="B219" s="108" t="s">
        <v>152</v>
      </c>
      <c r="C219" s="106">
        <f t="shared" si="3"/>
        <v>2</v>
      </c>
      <c r="D219" s="109">
        <v>6</v>
      </c>
      <c r="E219" s="109">
        <v>30</v>
      </c>
      <c r="F219" s="107">
        <v>0</v>
      </c>
      <c r="G219" s="107">
        <v>0</v>
      </c>
      <c r="H219" s="107">
        <v>0</v>
      </c>
      <c r="I219" s="107">
        <v>0</v>
      </c>
      <c r="J219" s="107">
        <v>1</v>
      </c>
    </row>
    <row r="220" spans="1:10" ht="15" x14ac:dyDescent="0.2">
      <c r="A220" s="105" t="s">
        <v>126</v>
      </c>
      <c r="B220" s="105" t="s">
        <v>153</v>
      </c>
      <c r="C220" s="106">
        <f t="shared" si="3"/>
        <v>3</v>
      </c>
      <c r="D220" s="107">
        <v>9</v>
      </c>
      <c r="E220" s="107">
        <v>45</v>
      </c>
      <c r="F220" s="107">
        <v>0</v>
      </c>
      <c r="G220" s="107">
        <v>0</v>
      </c>
      <c r="H220" s="107">
        <v>0</v>
      </c>
      <c r="I220" s="107">
        <v>0</v>
      </c>
      <c r="J220" s="107">
        <v>3</v>
      </c>
    </row>
    <row r="221" spans="1:10" ht="15" x14ac:dyDescent="0.2">
      <c r="A221" s="108" t="s">
        <v>126</v>
      </c>
      <c r="B221" s="108" t="s">
        <v>154</v>
      </c>
      <c r="C221" s="106">
        <f t="shared" si="3"/>
        <v>4</v>
      </c>
      <c r="D221" s="109">
        <v>0</v>
      </c>
      <c r="E221" s="109">
        <v>0</v>
      </c>
      <c r="F221" s="107">
        <v>0</v>
      </c>
      <c r="G221" s="107">
        <v>0</v>
      </c>
      <c r="H221" s="107">
        <v>0</v>
      </c>
      <c r="I221" s="107">
        <v>0</v>
      </c>
      <c r="J221" s="107">
        <v>0</v>
      </c>
    </row>
    <row r="222" spans="1:10" ht="15" x14ac:dyDescent="0.2">
      <c r="A222" s="105" t="s">
        <v>126</v>
      </c>
      <c r="B222" s="105" t="s">
        <v>155</v>
      </c>
      <c r="C222" s="106">
        <f t="shared" si="3"/>
        <v>5</v>
      </c>
      <c r="D222" s="107">
        <v>4</v>
      </c>
      <c r="E222" s="107">
        <v>20</v>
      </c>
      <c r="F222" s="107">
        <v>0</v>
      </c>
      <c r="G222" s="107">
        <v>0</v>
      </c>
      <c r="H222" s="107">
        <v>0</v>
      </c>
      <c r="I222" s="107">
        <v>0</v>
      </c>
      <c r="J222" s="107">
        <v>1</v>
      </c>
    </row>
    <row r="223" spans="1:10" ht="15" x14ac:dyDescent="0.2">
      <c r="A223" s="108" t="s">
        <v>126</v>
      </c>
      <c r="B223" s="108" t="s">
        <v>156</v>
      </c>
      <c r="C223" s="106">
        <f t="shared" si="3"/>
        <v>6</v>
      </c>
      <c r="D223" s="109">
        <v>4</v>
      </c>
      <c r="E223" s="109">
        <v>20</v>
      </c>
      <c r="F223" s="107">
        <v>0</v>
      </c>
      <c r="G223" s="107">
        <v>0</v>
      </c>
      <c r="H223" s="107">
        <v>0</v>
      </c>
      <c r="I223" s="107">
        <v>0</v>
      </c>
      <c r="J223" s="107">
        <v>2</v>
      </c>
    </row>
    <row r="224" spans="1:10" ht="15" x14ac:dyDescent="0.2">
      <c r="A224" s="105" t="s">
        <v>126</v>
      </c>
      <c r="B224" s="105" t="s">
        <v>157</v>
      </c>
      <c r="C224" s="106">
        <f t="shared" si="3"/>
        <v>7</v>
      </c>
      <c r="D224" s="107">
        <v>0</v>
      </c>
      <c r="E224" s="107">
        <v>0</v>
      </c>
      <c r="F224" s="107">
        <v>0</v>
      </c>
      <c r="G224" s="107">
        <v>0</v>
      </c>
      <c r="H224" s="107">
        <v>0</v>
      </c>
      <c r="I224" s="107">
        <v>0</v>
      </c>
      <c r="J224" s="107">
        <v>0</v>
      </c>
    </row>
    <row r="225" spans="1:10" ht="15" x14ac:dyDescent="0.2">
      <c r="A225" s="108" t="s">
        <v>126</v>
      </c>
      <c r="B225" s="108" t="s">
        <v>158</v>
      </c>
      <c r="C225" s="106">
        <f t="shared" si="3"/>
        <v>8</v>
      </c>
      <c r="D225" s="109">
        <v>0</v>
      </c>
      <c r="E225" s="109">
        <v>0</v>
      </c>
      <c r="F225" s="107">
        <v>0</v>
      </c>
      <c r="G225" s="107">
        <v>0</v>
      </c>
      <c r="H225" s="107">
        <v>0</v>
      </c>
      <c r="I225" s="107">
        <v>0</v>
      </c>
      <c r="J225" s="107">
        <v>0</v>
      </c>
    </row>
    <row r="226" spans="1:10" ht="15" x14ac:dyDescent="0.2">
      <c r="A226" s="105" t="s">
        <v>126</v>
      </c>
      <c r="B226" s="105" t="s">
        <v>159</v>
      </c>
      <c r="C226" s="106">
        <f t="shared" si="3"/>
        <v>9</v>
      </c>
      <c r="D226" s="107">
        <v>0</v>
      </c>
      <c r="E226" s="107">
        <v>0</v>
      </c>
      <c r="F226" s="107">
        <v>0</v>
      </c>
      <c r="G226" s="107">
        <v>0</v>
      </c>
      <c r="H226" s="107">
        <v>0</v>
      </c>
      <c r="I226" s="107">
        <v>0</v>
      </c>
      <c r="J226" s="107">
        <v>0</v>
      </c>
    </row>
    <row r="227" spans="1:10" ht="15" x14ac:dyDescent="0.2">
      <c r="A227" s="108" t="s">
        <v>126</v>
      </c>
      <c r="B227" s="108" t="s">
        <v>160</v>
      </c>
      <c r="C227" s="106">
        <f t="shared" si="3"/>
        <v>10</v>
      </c>
      <c r="D227" s="109">
        <v>0</v>
      </c>
      <c r="E227" s="109">
        <v>0</v>
      </c>
      <c r="F227" s="107">
        <v>0</v>
      </c>
      <c r="G227" s="107">
        <v>0</v>
      </c>
      <c r="H227" s="107">
        <v>0</v>
      </c>
      <c r="I227" s="107">
        <v>0</v>
      </c>
      <c r="J227" s="107">
        <v>0</v>
      </c>
    </row>
    <row r="228" spans="1:10" ht="15" x14ac:dyDescent="0.2">
      <c r="A228" s="105" t="s">
        <v>126</v>
      </c>
      <c r="B228" s="105" t="s">
        <v>161</v>
      </c>
      <c r="C228" s="106">
        <f t="shared" si="3"/>
        <v>11</v>
      </c>
      <c r="D228" s="107">
        <v>0</v>
      </c>
      <c r="E228" s="107">
        <v>0</v>
      </c>
      <c r="F228" s="107">
        <v>0</v>
      </c>
      <c r="G228" s="107">
        <v>0</v>
      </c>
      <c r="H228" s="107">
        <v>0</v>
      </c>
      <c r="I228" s="107">
        <v>0</v>
      </c>
      <c r="J228" s="107">
        <v>0</v>
      </c>
    </row>
    <row r="229" spans="1:10" ht="15" x14ac:dyDescent="0.2">
      <c r="A229" s="108" t="s">
        <v>126</v>
      </c>
      <c r="B229" s="108" t="s">
        <v>162</v>
      </c>
      <c r="C229" s="106">
        <f t="shared" si="3"/>
        <v>12</v>
      </c>
      <c r="D229" s="109">
        <v>0</v>
      </c>
      <c r="E229" s="109">
        <v>0</v>
      </c>
      <c r="F229" s="107">
        <v>0</v>
      </c>
      <c r="G229" s="107">
        <v>0</v>
      </c>
      <c r="H229" s="107">
        <v>0</v>
      </c>
      <c r="I229" s="107">
        <v>0</v>
      </c>
      <c r="J229" s="107">
        <v>0</v>
      </c>
    </row>
    <row r="230" spans="1:10" ht="15" x14ac:dyDescent="0.2">
      <c r="A230" s="105" t="s">
        <v>73</v>
      </c>
      <c r="B230" s="105" t="s">
        <v>151</v>
      </c>
      <c r="C230" s="106">
        <f t="shared" si="3"/>
        <v>1</v>
      </c>
      <c r="D230" s="107">
        <v>0</v>
      </c>
      <c r="E230" s="107">
        <v>0</v>
      </c>
      <c r="F230" s="107">
        <v>0</v>
      </c>
      <c r="G230" s="107">
        <v>0</v>
      </c>
      <c r="H230" s="107">
        <v>0</v>
      </c>
      <c r="I230" s="107">
        <v>0</v>
      </c>
      <c r="J230" s="107">
        <v>0</v>
      </c>
    </row>
    <row r="231" spans="1:10" ht="15" x14ac:dyDescent="0.2">
      <c r="A231" s="108" t="s">
        <v>73</v>
      </c>
      <c r="B231" s="108" t="s">
        <v>152</v>
      </c>
      <c r="C231" s="106">
        <f t="shared" si="3"/>
        <v>2</v>
      </c>
      <c r="D231" s="109">
        <v>0</v>
      </c>
      <c r="E231" s="109">
        <v>0</v>
      </c>
      <c r="F231" s="107">
        <v>0</v>
      </c>
      <c r="G231" s="107">
        <v>0</v>
      </c>
      <c r="H231" s="107">
        <v>0</v>
      </c>
      <c r="I231" s="107">
        <v>0</v>
      </c>
      <c r="J231" s="107">
        <v>0</v>
      </c>
    </row>
    <row r="232" spans="1:10" ht="15" x14ac:dyDescent="0.2">
      <c r="A232" s="105" t="s">
        <v>73</v>
      </c>
      <c r="B232" s="105" t="s">
        <v>153</v>
      </c>
      <c r="C232" s="106">
        <f t="shared" si="3"/>
        <v>3</v>
      </c>
      <c r="D232" s="107">
        <v>0</v>
      </c>
      <c r="E232" s="107">
        <v>0</v>
      </c>
      <c r="F232" s="107">
        <v>0</v>
      </c>
      <c r="G232" s="107">
        <v>0</v>
      </c>
      <c r="H232" s="107">
        <v>0</v>
      </c>
      <c r="I232" s="107">
        <v>0</v>
      </c>
      <c r="J232" s="107">
        <v>0</v>
      </c>
    </row>
    <row r="233" spans="1:10" ht="15" x14ac:dyDescent="0.2">
      <c r="A233" s="108" t="s">
        <v>73</v>
      </c>
      <c r="B233" s="108" t="s">
        <v>154</v>
      </c>
      <c r="C233" s="106">
        <f t="shared" si="3"/>
        <v>4</v>
      </c>
      <c r="D233" s="109">
        <v>0</v>
      </c>
      <c r="E233" s="109">
        <v>0</v>
      </c>
      <c r="F233" s="107">
        <v>0</v>
      </c>
      <c r="G233" s="107">
        <v>0</v>
      </c>
      <c r="H233" s="107">
        <v>0</v>
      </c>
      <c r="I233" s="107">
        <v>0</v>
      </c>
      <c r="J233" s="107">
        <v>0</v>
      </c>
    </row>
    <row r="234" spans="1:10" ht="15" x14ac:dyDescent="0.2">
      <c r="A234" s="105" t="s">
        <v>73</v>
      </c>
      <c r="B234" s="105" t="s">
        <v>155</v>
      </c>
      <c r="C234" s="106">
        <f t="shared" si="3"/>
        <v>5</v>
      </c>
      <c r="D234" s="107">
        <v>0</v>
      </c>
      <c r="E234" s="107">
        <v>0</v>
      </c>
      <c r="F234" s="107">
        <v>0</v>
      </c>
      <c r="G234" s="107">
        <v>0</v>
      </c>
      <c r="H234" s="107">
        <v>0</v>
      </c>
      <c r="I234" s="107">
        <v>0</v>
      </c>
      <c r="J234" s="107">
        <v>0</v>
      </c>
    </row>
    <row r="235" spans="1:10" ht="15" x14ac:dyDescent="0.2">
      <c r="A235" s="108" t="s">
        <v>73</v>
      </c>
      <c r="B235" s="108" t="s">
        <v>156</v>
      </c>
      <c r="C235" s="106">
        <f t="shared" si="3"/>
        <v>6</v>
      </c>
      <c r="D235" s="109">
        <v>0</v>
      </c>
      <c r="E235" s="109">
        <v>0</v>
      </c>
      <c r="F235" s="107">
        <v>0</v>
      </c>
      <c r="G235" s="107">
        <v>0</v>
      </c>
      <c r="H235" s="107">
        <v>0</v>
      </c>
      <c r="I235" s="107">
        <v>0</v>
      </c>
      <c r="J235" s="107">
        <v>0</v>
      </c>
    </row>
    <row r="236" spans="1:10" ht="15" x14ac:dyDescent="0.2">
      <c r="A236" s="105" t="s">
        <v>73</v>
      </c>
      <c r="B236" s="105" t="s">
        <v>157</v>
      </c>
      <c r="C236" s="106">
        <f t="shared" si="3"/>
        <v>7</v>
      </c>
      <c r="D236" s="107">
        <v>0</v>
      </c>
      <c r="E236" s="107">
        <v>0</v>
      </c>
      <c r="F236" s="107">
        <v>0</v>
      </c>
      <c r="G236" s="107">
        <v>0</v>
      </c>
      <c r="H236" s="107">
        <v>0</v>
      </c>
      <c r="I236" s="107">
        <v>0</v>
      </c>
      <c r="J236" s="107">
        <v>0</v>
      </c>
    </row>
    <row r="237" spans="1:10" ht="15" x14ac:dyDescent="0.2">
      <c r="A237" s="108" t="s">
        <v>73</v>
      </c>
      <c r="B237" s="108" t="s">
        <v>158</v>
      </c>
      <c r="C237" s="106">
        <f t="shared" si="3"/>
        <v>8</v>
      </c>
      <c r="D237" s="109">
        <v>0</v>
      </c>
      <c r="E237" s="109">
        <v>0</v>
      </c>
      <c r="F237" s="107">
        <v>0</v>
      </c>
      <c r="G237" s="107">
        <v>0</v>
      </c>
      <c r="H237" s="107">
        <v>0</v>
      </c>
      <c r="I237" s="107">
        <v>0</v>
      </c>
      <c r="J237" s="107">
        <v>0</v>
      </c>
    </row>
    <row r="238" spans="1:10" ht="15" x14ac:dyDescent="0.2">
      <c r="A238" s="105" t="s">
        <v>73</v>
      </c>
      <c r="B238" s="105" t="s">
        <v>159</v>
      </c>
      <c r="C238" s="106">
        <f t="shared" si="3"/>
        <v>9</v>
      </c>
      <c r="D238" s="107">
        <v>0</v>
      </c>
      <c r="E238" s="107">
        <v>0</v>
      </c>
      <c r="F238" s="107">
        <v>0</v>
      </c>
      <c r="G238" s="107">
        <v>0</v>
      </c>
      <c r="H238" s="107">
        <v>0</v>
      </c>
      <c r="I238" s="107">
        <v>0</v>
      </c>
      <c r="J238" s="107">
        <v>0</v>
      </c>
    </row>
    <row r="239" spans="1:10" ht="15" x14ac:dyDescent="0.2">
      <c r="A239" s="108" t="s">
        <v>73</v>
      </c>
      <c r="B239" s="108" t="s">
        <v>160</v>
      </c>
      <c r="C239" s="106">
        <f t="shared" si="3"/>
        <v>10</v>
      </c>
      <c r="D239" s="109">
        <v>0</v>
      </c>
      <c r="E239" s="109">
        <v>0</v>
      </c>
      <c r="F239" s="107">
        <v>0</v>
      </c>
      <c r="G239" s="107">
        <v>0</v>
      </c>
      <c r="H239" s="107">
        <v>0</v>
      </c>
      <c r="I239" s="107">
        <v>0</v>
      </c>
      <c r="J239" s="107">
        <v>0</v>
      </c>
    </row>
    <row r="240" spans="1:10" ht="15" x14ac:dyDescent="0.2">
      <c r="A240" s="105" t="s">
        <v>73</v>
      </c>
      <c r="B240" s="105" t="s">
        <v>161</v>
      </c>
      <c r="C240" s="106">
        <f t="shared" si="3"/>
        <v>11</v>
      </c>
      <c r="D240" s="107">
        <v>0</v>
      </c>
      <c r="E240" s="107">
        <v>0</v>
      </c>
      <c r="F240" s="107">
        <v>0</v>
      </c>
      <c r="G240" s="107">
        <v>0</v>
      </c>
      <c r="H240" s="107">
        <v>0</v>
      </c>
      <c r="I240" s="107">
        <v>0</v>
      </c>
      <c r="J240" s="107">
        <v>0</v>
      </c>
    </row>
    <row r="241" spans="1:10" ht="15" x14ac:dyDescent="0.2">
      <c r="A241" s="108" t="s">
        <v>73</v>
      </c>
      <c r="B241" s="108" t="s">
        <v>162</v>
      </c>
      <c r="C241" s="106">
        <f t="shared" si="3"/>
        <v>12</v>
      </c>
      <c r="D241" s="109">
        <v>0</v>
      </c>
      <c r="E241" s="109">
        <v>0</v>
      </c>
      <c r="F241" s="107">
        <v>0</v>
      </c>
      <c r="G241" s="107">
        <v>0</v>
      </c>
      <c r="H241" s="107">
        <v>0</v>
      </c>
      <c r="I241" s="107">
        <v>0</v>
      </c>
      <c r="J241" s="107">
        <v>0</v>
      </c>
    </row>
    <row r="242" spans="1:10" ht="15" x14ac:dyDescent="0.2">
      <c r="A242" s="105" t="s">
        <v>56</v>
      </c>
      <c r="B242" s="105" t="s">
        <v>151</v>
      </c>
      <c r="C242" s="106">
        <f t="shared" si="3"/>
        <v>1</v>
      </c>
      <c r="D242" s="107">
        <v>0</v>
      </c>
      <c r="E242" s="107">
        <v>0</v>
      </c>
      <c r="F242" s="107">
        <v>0</v>
      </c>
      <c r="G242" s="107">
        <v>0</v>
      </c>
      <c r="H242" s="107">
        <v>0</v>
      </c>
      <c r="I242" s="107">
        <v>0</v>
      </c>
      <c r="J242" s="107">
        <v>0</v>
      </c>
    </row>
    <row r="243" spans="1:10" ht="15" x14ac:dyDescent="0.2">
      <c r="A243" s="108" t="s">
        <v>56</v>
      </c>
      <c r="B243" s="108" t="s">
        <v>152</v>
      </c>
      <c r="C243" s="106">
        <f t="shared" si="3"/>
        <v>2</v>
      </c>
      <c r="D243" s="109">
        <v>3</v>
      </c>
      <c r="E243" s="109">
        <v>23</v>
      </c>
      <c r="F243" s="107">
        <v>1</v>
      </c>
      <c r="G243" s="107">
        <v>1</v>
      </c>
      <c r="H243" s="107">
        <v>0</v>
      </c>
      <c r="I243" s="107">
        <v>0</v>
      </c>
      <c r="J243" s="107">
        <v>1</v>
      </c>
    </row>
    <row r="244" spans="1:10" ht="15" x14ac:dyDescent="0.2">
      <c r="A244" s="105" t="s">
        <v>56</v>
      </c>
      <c r="B244" s="105" t="s">
        <v>153</v>
      </c>
      <c r="C244" s="106">
        <f t="shared" si="3"/>
        <v>3</v>
      </c>
      <c r="D244" s="107">
        <v>0</v>
      </c>
      <c r="E244" s="107">
        <v>0</v>
      </c>
      <c r="F244" s="107">
        <v>0</v>
      </c>
      <c r="G244" s="107">
        <v>0</v>
      </c>
      <c r="H244" s="107">
        <v>0</v>
      </c>
      <c r="I244" s="107">
        <v>0</v>
      </c>
      <c r="J244" s="107">
        <v>0</v>
      </c>
    </row>
    <row r="245" spans="1:10" ht="15" x14ac:dyDescent="0.2">
      <c r="A245" s="108" t="s">
        <v>56</v>
      </c>
      <c r="B245" s="108" t="s">
        <v>154</v>
      </c>
      <c r="C245" s="106">
        <f t="shared" si="3"/>
        <v>4</v>
      </c>
      <c r="D245" s="109">
        <v>0</v>
      </c>
      <c r="E245" s="109">
        <v>0</v>
      </c>
      <c r="F245" s="107">
        <v>0</v>
      </c>
      <c r="G245" s="107">
        <v>0</v>
      </c>
      <c r="H245" s="107">
        <v>0</v>
      </c>
      <c r="I245" s="107">
        <v>0</v>
      </c>
      <c r="J245" s="107">
        <v>0</v>
      </c>
    </row>
    <row r="246" spans="1:10" ht="15" x14ac:dyDescent="0.2">
      <c r="A246" s="105" t="s">
        <v>56</v>
      </c>
      <c r="B246" s="105" t="s">
        <v>155</v>
      </c>
      <c r="C246" s="106">
        <f t="shared" si="3"/>
        <v>5</v>
      </c>
      <c r="D246" s="107">
        <v>0</v>
      </c>
      <c r="E246" s="107">
        <v>0</v>
      </c>
      <c r="F246" s="107">
        <v>0</v>
      </c>
      <c r="G246" s="107">
        <v>0</v>
      </c>
      <c r="H246" s="107">
        <v>0</v>
      </c>
      <c r="I246" s="107">
        <v>0</v>
      </c>
      <c r="J246" s="107">
        <v>0</v>
      </c>
    </row>
    <row r="247" spans="1:10" ht="15" x14ac:dyDescent="0.2">
      <c r="A247" s="108" t="s">
        <v>56</v>
      </c>
      <c r="B247" s="108" t="s">
        <v>156</v>
      </c>
      <c r="C247" s="106">
        <f t="shared" si="3"/>
        <v>6</v>
      </c>
      <c r="D247" s="109">
        <v>0</v>
      </c>
      <c r="E247" s="109">
        <v>0</v>
      </c>
      <c r="F247" s="107">
        <v>0</v>
      </c>
      <c r="G247" s="107">
        <v>0</v>
      </c>
      <c r="H247" s="107">
        <v>0</v>
      </c>
      <c r="I247" s="107">
        <v>0</v>
      </c>
      <c r="J247" s="107">
        <v>0</v>
      </c>
    </row>
    <row r="248" spans="1:10" ht="15" x14ac:dyDescent="0.2">
      <c r="A248" s="105" t="s">
        <v>56</v>
      </c>
      <c r="B248" s="105" t="s">
        <v>157</v>
      </c>
      <c r="C248" s="106">
        <f t="shared" si="3"/>
        <v>7</v>
      </c>
      <c r="D248" s="107">
        <v>0</v>
      </c>
      <c r="E248" s="107">
        <v>0</v>
      </c>
      <c r="F248" s="107">
        <v>0</v>
      </c>
      <c r="G248" s="107">
        <v>0</v>
      </c>
      <c r="H248" s="107">
        <v>0</v>
      </c>
      <c r="I248" s="107">
        <v>0</v>
      </c>
      <c r="J248" s="107">
        <v>0</v>
      </c>
    </row>
    <row r="249" spans="1:10" ht="15" x14ac:dyDescent="0.2">
      <c r="A249" s="108" t="s">
        <v>56</v>
      </c>
      <c r="B249" s="108" t="s">
        <v>158</v>
      </c>
      <c r="C249" s="106">
        <f t="shared" si="3"/>
        <v>8</v>
      </c>
      <c r="D249" s="109">
        <v>0</v>
      </c>
      <c r="E249" s="109">
        <v>0</v>
      </c>
      <c r="F249" s="107">
        <v>0</v>
      </c>
      <c r="G249" s="107">
        <v>0</v>
      </c>
      <c r="H249" s="107">
        <v>0</v>
      </c>
      <c r="I249" s="107">
        <v>0</v>
      </c>
      <c r="J249" s="107">
        <v>0</v>
      </c>
    </row>
    <row r="250" spans="1:10" ht="15" x14ac:dyDescent="0.2">
      <c r="A250" s="105" t="s">
        <v>56</v>
      </c>
      <c r="B250" s="105" t="s">
        <v>159</v>
      </c>
      <c r="C250" s="106">
        <f t="shared" si="3"/>
        <v>9</v>
      </c>
      <c r="D250" s="107">
        <v>0</v>
      </c>
      <c r="E250" s="107">
        <v>0</v>
      </c>
      <c r="F250" s="107">
        <v>0</v>
      </c>
      <c r="G250" s="107">
        <v>0</v>
      </c>
      <c r="H250" s="107">
        <v>0</v>
      </c>
      <c r="I250" s="107">
        <v>0</v>
      </c>
      <c r="J250" s="107">
        <v>0</v>
      </c>
    </row>
    <row r="251" spans="1:10" ht="15" x14ac:dyDescent="0.2">
      <c r="A251" s="108" t="s">
        <v>56</v>
      </c>
      <c r="B251" s="108" t="s">
        <v>160</v>
      </c>
      <c r="C251" s="106">
        <f t="shared" si="3"/>
        <v>10</v>
      </c>
      <c r="D251" s="109">
        <v>0</v>
      </c>
      <c r="E251" s="109">
        <v>0</v>
      </c>
      <c r="F251" s="107">
        <v>0</v>
      </c>
      <c r="G251" s="107">
        <v>0</v>
      </c>
      <c r="H251" s="107">
        <v>0</v>
      </c>
      <c r="I251" s="107">
        <v>0</v>
      </c>
      <c r="J251" s="107">
        <v>0</v>
      </c>
    </row>
    <row r="252" spans="1:10" ht="15" x14ac:dyDescent="0.2">
      <c r="A252" s="105" t="s">
        <v>56</v>
      </c>
      <c r="B252" s="105" t="s">
        <v>161</v>
      </c>
      <c r="C252" s="106">
        <f t="shared" si="3"/>
        <v>11</v>
      </c>
      <c r="D252" s="107">
        <v>0</v>
      </c>
      <c r="E252" s="107">
        <v>0</v>
      </c>
      <c r="F252" s="107">
        <v>0</v>
      </c>
      <c r="G252" s="107">
        <v>0</v>
      </c>
      <c r="H252" s="107">
        <v>0</v>
      </c>
      <c r="I252" s="107">
        <v>0</v>
      </c>
      <c r="J252" s="107">
        <v>0</v>
      </c>
    </row>
    <row r="253" spans="1:10" ht="15" x14ac:dyDescent="0.2">
      <c r="A253" s="108" t="s">
        <v>56</v>
      </c>
      <c r="B253" s="108" t="s">
        <v>162</v>
      </c>
      <c r="C253" s="106">
        <f t="shared" si="3"/>
        <v>12</v>
      </c>
      <c r="D253" s="109">
        <v>0</v>
      </c>
      <c r="E253" s="109">
        <v>0</v>
      </c>
      <c r="F253" s="107">
        <v>0</v>
      </c>
      <c r="G253" s="107">
        <v>0</v>
      </c>
      <c r="H253" s="107">
        <v>0</v>
      </c>
      <c r="I253" s="107">
        <v>0</v>
      </c>
      <c r="J253" s="107">
        <v>0</v>
      </c>
    </row>
    <row r="254" spans="1:10" ht="15" x14ac:dyDescent="0.2">
      <c r="A254" s="108" t="s">
        <v>300</v>
      </c>
      <c r="B254" s="108"/>
      <c r="C254" s="106"/>
      <c r="D254" s="109"/>
      <c r="E254" s="109"/>
      <c r="F254" s="107"/>
      <c r="G254" s="107"/>
      <c r="H254" s="107"/>
      <c r="I254" s="107"/>
      <c r="J254" s="107"/>
    </row>
    <row r="255" spans="1:10" ht="15" x14ac:dyDescent="0.2">
      <c r="A255" s="108" t="s">
        <v>300</v>
      </c>
      <c r="B255" s="108"/>
      <c r="C255" s="106"/>
      <c r="D255" s="109"/>
      <c r="E255" s="109"/>
      <c r="F255" s="107"/>
      <c r="G255" s="107"/>
      <c r="H255" s="107"/>
      <c r="I255" s="107"/>
      <c r="J255" s="107"/>
    </row>
    <row r="256" spans="1:10" ht="15" x14ac:dyDescent="0.2">
      <c r="A256" s="108" t="s">
        <v>300</v>
      </c>
      <c r="B256" s="108"/>
      <c r="C256" s="106"/>
      <c r="D256" s="109"/>
      <c r="E256" s="109"/>
      <c r="F256" s="107"/>
      <c r="G256" s="107"/>
      <c r="H256" s="107"/>
      <c r="I256" s="107"/>
      <c r="J256" s="107"/>
    </row>
    <row r="257" spans="1:10" ht="15" x14ac:dyDescent="0.2">
      <c r="A257" s="108" t="s">
        <v>300</v>
      </c>
      <c r="B257" s="108"/>
      <c r="C257" s="106"/>
      <c r="D257" s="109"/>
      <c r="E257" s="109"/>
      <c r="F257" s="107"/>
      <c r="G257" s="107"/>
      <c r="H257" s="107"/>
      <c r="I257" s="107"/>
      <c r="J257" s="107"/>
    </row>
    <row r="258" spans="1:10" ht="15" x14ac:dyDescent="0.2">
      <c r="A258" s="108" t="s">
        <v>300</v>
      </c>
      <c r="B258" s="108"/>
      <c r="C258" s="106"/>
      <c r="D258" s="109"/>
      <c r="E258" s="109"/>
      <c r="F258" s="107"/>
      <c r="G258" s="107"/>
      <c r="H258" s="107"/>
      <c r="I258" s="107"/>
      <c r="J258" s="107"/>
    </row>
    <row r="259" spans="1:10" ht="15" x14ac:dyDescent="0.2">
      <c r="A259" s="108" t="s">
        <v>300</v>
      </c>
      <c r="B259" s="108"/>
      <c r="C259" s="106"/>
      <c r="D259" s="109"/>
      <c r="E259" s="109"/>
      <c r="F259" s="107"/>
      <c r="G259" s="107"/>
      <c r="H259" s="107"/>
      <c r="I259" s="107"/>
      <c r="J259" s="107"/>
    </row>
    <row r="260" spans="1:10" ht="15" x14ac:dyDescent="0.2">
      <c r="A260" s="108" t="s">
        <v>300</v>
      </c>
      <c r="B260" s="108"/>
      <c r="C260" s="106"/>
      <c r="D260" s="109"/>
      <c r="E260" s="109"/>
      <c r="F260" s="107"/>
      <c r="G260" s="107"/>
      <c r="H260" s="107"/>
      <c r="I260" s="107"/>
      <c r="J260" s="107"/>
    </row>
    <row r="261" spans="1:10" ht="15" x14ac:dyDescent="0.2">
      <c r="A261" s="108" t="s">
        <v>300</v>
      </c>
      <c r="B261" s="108"/>
      <c r="C261" s="106"/>
      <c r="D261" s="109"/>
      <c r="E261" s="109"/>
      <c r="F261" s="107"/>
      <c r="G261" s="107"/>
      <c r="H261" s="107"/>
      <c r="I261" s="107"/>
      <c r="J261" s="107"/>
    </row>
    <row r="262" spans="1:10" ht="15" x14ac:dyDescent="0.2">
      <c r="A262" s="108" t="s">
        <v>300</v>
      </c>
      <c r="B262" s="108"/>
      <c r="C262" s="106"/>
      <c r="D262" s="109"/>
      <c r="E262" s="109"/>
      <c r="F262" s="107"/>
      <c r="G262" s="107"/>
      <c r="H262" s="107"/>
      <c r="I262" s="107"/>
      <c r="J262" s="107"/>
    </row>
    <row r="263" spans="1:10" ht="15" x14ac:dyDescent="0.2">
      <c r="A263" s="108" t="s">
        <v>300</v>
      </c>
      <c r="B263" s="108"/>
      <c r="C263" s="106"/>
      <c r="D263" s="109"/>
      <c r="E263" s="109"/>
      <c r="F263" s="107"/>
      <c r="G263" s="107"/>
      <c r="H263" s="107"/>
      <c r="I263" s="107"/>
      <c r="J263" s="107"/>
    </row>
    <row r="264" spans="1:10" ht="15" x14ac:dyDescent="0.2">
      <c r="A264" s="108" t="s">
        <v>300</v>
      </c>
      <c r="B264" s="108"/>
      <c r="C264" s="106"/>
      <c r="D264" s="109"/>
      <c r="E264" s="109"/>
      <c r="F264" s="107"/>
      <c r="G264" s="107"/>
      <c r="H264" s="107"/>
      <c r="I264" s="107"/>
      <c r="J264" s="107"/>
    </row>
    <row r="265" spans="1:10" ht="15" x14ac:dyDescent="0.2">
      <c r="A265" s="108" t="s">
        <v>300</v>
      </c>
      <c r="B265" s="108"/>
      <c r="C265" s="106"/>
      <c r="D265" s="109"/>
      <c r="E265" s="109"/>
      <c r="F265" s="107"/>
      <c r="G265" s="107"/>
      <c r="H265" s="107"/>
      <c r="I265" s="107"/>
      <c r="J265" s="107"/>
    </row>
    <row r="266" spans="1:10" ht="15" x14ac:dyDescent="0.2">
      <c r="A266" s="105" t="s">
        <v>90</v>
      </c>
      <c r="B266" s="105" t="s">
        <v>151</v>
      </c>
      <c r="C266" s="106">
        <f t="shared" si="3"/>
        <v>1</v>
      </c>
      <c r="D266" s="107">
        <v>3</v>
      </c>
      <c r="E266" s="107">
        <v>8</v>
      </c>
      <c r="F266" s="107">
        <v>1</v>
      </c>
      <c r="G266" s="107">
        <v>0</v>
      </c>
      <c r="H266" s="107">
        <v>0</v>
      </c>
      <c r="I266" s="107">
        <v>0</v>
      </c>
      <c r="J266" s="107">
        <v>1</v>
      </c>
    </row>
    <row r="267" spans="1:10" ht="15" x14ac:dyDescent="0.2">
      <c r="A267" s="108" t="s">
        <v>90</v>
      </c>
      <c r="B267" s="108" t="s">
        <v>152</v>
      </c>
      <c r="C267" s="106">
        <f t="shared" si="3"/>
        <v>2</v>
      </c>
      <c r="D267" s="109">
        <v>10</v>
      </c>
      <c r="E267" s="109">
        <v>27</v>
      </c>
      <c r="F267" s="107">
        <v>0</v>
      </c>
      <c r="G267" s="107">
        <v>0</v>
      </c>
      <c r="H267" s="107">
        <v>0</v>
      </c>
      <c r="I267" s="107">
        <v>0</v>
      </c>
      <c r="J267" s="107">
        <v>3</v>
      </c>
    </row>
    <row r="268" spans="1:10" ht="15" x14ac:dyDescent="0.2">
      <c r="A268" s="105" t="s">
        <v>90</v>
      </c>
      <c r="B268" s="105" t="s">
        <v>153</v>
      </c>
      <c r="C268" s="106">
        <f t="shared" si="3"/>
        <v>3</v>
      </c>
      <c r="D268" s="107">
        <v>9</v>
      </c>
      <c r="E268" s="107">
        <v>25</v>
      </c>
      <c r="F268" s="107">
        <v>0</v>
      </c>
      <c r="G268" s="107">
        <v>0</v>
      </c>
      <c r="H268" s="107">
        <v>0</v>
      </c>
      <c r="I268" s="107">
        <v>0</v>
      </c>
      <c r="J268" s="107">
        <v>3</v>
      </c>
    </row>
    <row r="269" spans="1:10" ht="15" x14ac:dyDescent="0.2">
      <c r="A269" s="108" t="s">
        <v>90</v>
      </c>
      <c r="B269" s="108" t="s">
        <v>154</v>
      </c>
      <c r="C269" s="106">
        <f t="shared" si="3"/>
        <v>4</v>
      </c>
      <c r="D269" s="109">
        <v>0</v>
      </c>
      <c r="E269" s="109">
        <v>0</v>
      </c>
      <c r="F269" s="107">
        <v>0</v>
      </c>
      <c r="G269" s="107">
        <v>0</v>
      </c>
      <c r="H269" s="107">
        <v>0</v>
      </c>
      <c r="I269" s="107">
        <v>0</v>
      </c>
      <c r="J269" s="107">
        <v>0</v>
      </c>
    </row>
    <row r="270" spans="1:10" ht="15" x14ac:dyDescent="0.2">
      <c r="A270" s="105" t="s">
        <v>90</v>
      </c>
      <c r="B270" s="105" t="s">
        <v>155</v>
      </c>
      <c r="C270" s="106">
        <f t="shared" si="3"/>
        <v>5</v>
      </c>
      <c r="D270" s="107">
        <v>17</v>
      </c>
      <c r="E270" s="107">
        <v>47</v>
      </c>
      <c r="F270" s="107">
        <v>1</v>
      </c>
      <c r="G270" s="107">
        <v>1</v>
      </c>
      <c r="H270" s="107">
        <v>0</v>
      </c>
      <c r="I270" s="107">
        <v>0</v>
      </c>
      <c r="J270" s="107">
        <v>1</v>
      </c>
    </row>
    <row r="271" spans="1:10" ht="15" x14ac:dyDescent="0.2">
      <c r="A271" s="108" t="s">
        <v>90</v>
      </c>
      <c r="B271" s="108" t="s">
        <v>156</v>
      </c>
      <c r="C271" s="106">
        <f t="shared" si="3"/>
        <v>6</v>
      </c>
      <c r="D271" s="109">
        <v>22</v>
      </c>
      <c r="E271" s="109">
        <v>61</v>
      </c>
      <c r="F271" s="107">
        <v>1</v>
      </c>
      <c r="G271" s="107">
        <v>1</v>
      </c>
      <c r="H271" s="107">
        <v>0</v>
      </c>
      <c r="I271" s="107">
        <v>0</v>
      </c>
      <c r="J271" s="107">
        <v>5</v>
      </c>
    </row>
    <row r="272" spans="1:10" ht="15" x14ac:dyDescent="0.2">
      <c r="A272" s="105" t="s">
        <v>90</v>
      </c>
      <c r="B272" s="105" t="s">
        <v>157</v>
      </c>
      <c r="C272" s="106">
        <f t="shared" si="3"/>
        <v>7</v>
      </c>
      <c r="D272" s="107">
        <v>0</v>
      </c>
      <c r="E272" s="107">
        <v>0</v>
      </c>
      <c r="F272" s="107">
        <v>0</v>
      </c>
      <c r="G272" s="107">
        <v>0</v>
      </c>
      <c r="H272" s="107">
        <v>0</v>
      </c>
      <c r="I272" s="107">
        <v>0</v>
      </c>
      <c r="J272" s="107">
        <v>0</v>
      </c>
    </row>
    <row r="273" spans="1:10" ht="15" x14ac:dyDescent="0.2">
      <c r="A273" s="108" t="s">
        <v>90</v>
      </c>
      <c r="B273" s="108" t="s">
        <v>158</v>
      </c>
      <c r="C273" s="106">
        <f t="shared" si="3"/>
        <v>8</v>
      </c>
      <c r="D273" s="109">
        <v>0</v>
      </c>
      <c r="E273" s="109">
        <v>0</v>
      </c>
      <c r="F273" s="107">
        <v>0</v>
      </c>
      <c r="G273" s="107">
        <v>0</v>
      </c>
      <c r="H273" s="107">
        <v>0</v>
      </c>
      <c r="I273" s="107">
        <v>0</v>
      </c>
      <c r="J273" s="107">
        <v>0</v>
      </c>
    </row>
    <row r="274" spans="1:10" ht="15" x14ac:dyDescent="0.2">
      <c r="A274" s="105" t="s">
        <v>90</v>
      </c>
      <c r="B274" s="105" t="s">
        <v>159</v>
      </c>
      <c r="C274" s="106">
        <f t="shared" si="3"/>
        <v>9</v>
      </c>
      <c r="D274" s="107">
        <v>0</v>
      </c>
      <c r="E274" s="107">
        <v>0</v>
      </c>
      <c r="F274" s="107">
        <v>0</v>
      </c>
      <c r="G274" s="107">
        <v>0</v>
      </c>
      <c r="H274" s="107">
        <v>0</v>
      </c>
      <c r="I274" s="107">
        <v>0</v>
      </c>
      <c r="J274" s="107">
        <v>0</v>
      </c>
    </row>
    <row r="275" spans="1:10" ht="15" x14ac:dyDescent="0.2">
      <c r="A275" s="108" t="s">
        <v>90</v>
      </c>
      <c r="B275" s="108" t="s">
        <v>160</v>
      </c>
      <c r="C275" s="106">
        <f t="shared" si="3"/>
        <v>10</v>
      </c>
      <c r="D275" s="109">
        <v>0</v>
      </c>
      <c r="E275" s="109">
        <v>0</v>
      </c>
      <c r="F275" s="107">
        <v>0</v>
      </c>
      <c r="G275" s="107">
        <v>0</v>
      </c>
      <c r="H275" s="107">
        <v>0</v>
      </c>
      <c r="I275" s="107">
        <v>0</v>
      </c>
      <c r="J275" s="107">
        <v>0</v>
      </c>
    </row>
    <row r="276" spans="1:10" ht="15" x14ac:dyDescent="0.2">
      <c r="A276" s="105" t="s">
        <v>90</v>
      </c>
      <c r="B276" s="105" t="s">
        <v>161</v>
      </c>
      <c r="C276" s="106">
        <f t="shared" si="3"/>
        <v>11</v>
      </c>
      <c r="D276" s="107">
        <v>0</v>
      </c>
      <c r="E276" s="107">
        <v>0</v>
      </c>
      <c r="F276" s="107">
        <v>0</v>
      </c>
      <c r="G276" s="107">
        <v>0</v>
      </c>
      <c r="H276" s="107">
        <v>0</v>
      </c>
      <c r="I276" s="107">
        <v>0</v>
      </c>
      <c r="J276" s="107">
        <v>0</v>
      </c>
    </row>
    <row r="277" spans="1:10" ht="15" x14ac:dyDescent="0.2">
      <c r="A277" s="108" t="s">
        <v>90</v>
      </c>
      <c r="B277" s="108" t="s">
        <v>162</v>
      </c>
      <c r="C277" s="106">
        <f t="shared" si="3"/>
        <v>12</v>
      </c>
      <c r="D277" s="109">
        <v>0</v>
      </c>
      <c r="E277" s="109">
        <v>0</v>
      </c>
      <c r="F277" s="107">
        <v>0</v>
      </c>
      <c r="G277" s="107">
        <v>0</v>
      </c>
      <c r="H277" s="107">
        <v>0</v>
      </c>
      <c r="I277" s="107">
        <v>0</v>
      </c>
      <c r="J277" s="107">
        <v>0</v>
      </c>
    </row>
    <row r="278" spans="1:10" ht="15" x14ac:dyDescent="0.2">
      <c r="A278" s="105" t="s">
        <v>54</v>
      </c>
      <c r="B278" s="105" t="s">
        <v>151</v>
      </c>
      <c r="C278" s="106">
        <f t="shared" si="3"/>
        <v>1</v>
      </c>
      <c r="D278" s="107">
        <v>1</v>
      </c>
      <c r="E278" s="107">
        <v>5</v>
      </c>
      <c r="F278" s="107">
        <v>0</v>
      </c>
      <c r="G278" s="107">
        <v>0</v>
      </c>
      <c r="H278" s="107">
        <v>0</v>
      </c>
      <c r="I278" s="107">
        <v>0</v>
      </c>
      <c r="J278" s="107">
        <v>1</v>
      </c>
    </row>
    <row r="279" spans="1:10" ht="15" x14ac:dyDescent="0.2">
      <c r="A279" s="108" t="s">
        <v>54</v>
      </c>
      <c r="B279" s="108" t="s">
        <v>152</v>
      </c>
      <c r="C279" s="106">
        <f t="shared" si="3"/>
        <v>2</v>
      </c>
      <c r="D279" s="109">
        <v>0</v>
      </c>
      <c r="E279" s="109">
        <v>0</v>
      </c>
      <c r="F279" s="107">
        <v>0</v>
      </c>
      <c r="G279" s="107">
        <v>0</v>
      </c>
      <c r="H279" s="107">
        <v>0</v>
      </c>
      <c r="I279" s="107">
        <v>0</v>
      </c>
      <c r="J279" s="107">
        <v>0</v>
      </c>
    </row>
    <row r="280" spans="1:10" ht="15" x14ac:dyDescent="0.2">
      <c r="A280" s="105" t="s">
        <v>54</v>
      </c>
      <c r="B280" s="105" t="s">
        <v>153</v>
      </c>
      <c r="C280" s="106">
        <f t="shared" si="3"/>
        <v>3</v>
      </c>
      <c r="D280" s="107">
        <v>4</v>
      </c>
      <c r="E280" s="107">
        <v>23</v>
      </c>
      <c r="F280" s="107">
        <v>0</v>
      </c>
      <c r="G280" s="107">
        <v>0</v>
      </c>
      <c r="H280" s="107">
        <v>0</v>
      </c>
      <c r="I280" s="107">
        <v>0</v>
      </c>
      <c r="J280" s="107">
        <v>3</v>
      </c>
    </row>
    <row r="281" spans="1:10" ht="15" x14ac:dyDescent="0.2">
      <c r="A281" s="108" t="s">
        <v>54</v>
      </c>
      <c r="B281" s="108" t="s">
        <v>154</v>
      </c>
      <c r="C281" s="106">
        <f t="shared" si="3"/>
        <v>4</v>
      </c>
      <c r="D281" s="109">
        <v>0</v>
      </c>
      <c r="E281" s="109">
        <v>0</v>
      </c>
      <c r="F281" s="107">
        <v>0</v>
      </c>
      <c r="G281" s="107">
        <v>0</v>
      </c>
      <c r="H281" s="107">
        <v>0</v>
      </c>
      <c r="I281" s="107">
        <v>0</v>
      </c>
      <c r="J281" s="107">
        <v>0</v>
      </c>
    </row>
    <row r="282" spans="1:10" ht="15" x14ac:dyDescent="0.2">
      <c r="A282" s="105" t="s">
        <v>54</v>
      </c>
      <c r="B282" s="105" t="s">
        <v>155</v>
      </c>
      <c r="C282" s="106">
        <f t="shared" ref="C282:C357" si="4">_xlfn.IFS(B282="Janeiro",1,B282="Fevereiro",2,B282="Março",3,B282="Abril",4,B282="Maio",5,B282="Junho",6,B282="Julho",7,B282="Agosto",8,B282="Setembro",9,B282="Outubro",10,B282="Novembro",11,B282="Dezembro",12,TRUE,0)</f>
        <v>5</v>
      </c>
      <c r="D282" s="107">
        <v>0</v>
      </c>
      <c r="E282" s="107">
        <v>0</v>
      </c>
      <c r="F282" s="107">
        <v>0</v>
      </c>
      <c r="G282" s="107">
        <v>0</v>
      </c>
      <c r="H282" s="107">
        <v>0</v>
      </c>
      <c r="I282" s="107">
        <v>0</v>
      </c>
      <c r="J282" s="107">
        <v>0</v>
      </c>
    </row>
    <row r="283" spans="1:10" ht="15" x14ac:dyDescent="0.2">
      <c r="A283" s="108" t="s">
        <v>54</v>
      </c>
      <c r="B283" s="108" t="s">
        <v>156</v>
      </c>
      <c r="C283" s="106">
        <f t="shared" si="4"/>
        <v>6</v>
      </c>
      <c r="D283" s="109">
        <v>17</v>
      </c>
      <c r="E283" s="109">
        <v>100</v>
      </c>
      <c r="F283" s="107">
        <v>3</v>
      </c>
      <c r="G283" s="107">
        <v>2</v>
      </c>
      <c r="H283" s="107">
        <v>0</v>
      </c>
      <c r="I283" s="107">
        <v>0</v>
      </c>
      <c r="J283" s="107">
        <v>3</v>
      </c>
    </row>
    <row r="284" spans="1:10" ht="15" x14ac:dyDescent="0.2">
      <c r="A284" s="105" t="s">
        <v>54</v>
      </c>
      <c r="B284" s="105" t="s">
        <v>157</v>
      </c>
      <c r="C284" s="106">
        <f t="shared" si="4"/>
        <v>7</v>
      </c>
      <c r="D284" s="107">
        <v>0</v>
      </c>
      <c r="E284" s="107">
        <v>0</v>
      </c>
      <c r="F284" s="107">
        <v>0</v>
      </c>
      <c r="G284" s="107">
        <v>0</v>
      </c>
      <c r="H284" s="107">
        <v>0</v>
      </c>
      <c r="I284" s="107">
        <v>0</v>
      </c>
      <c r="J284" s="107">
        <v>0</v>
      </c>
    </row>
    <row r="285" spans="1:10" ht="15" x14ac:dyDescent="0.2">
      <c r="A285" s="108" t="s">
        <v>54</v>
      </c>
      <c r="B285" s="108" t="s">
        <v>158</v>
      </c>
      <c r="C285" s="106">
        <f t="shared" si="4"/>
        <v>8</v>
      </c>
      <c r="D285" s="109">
        <v>0</v>
      </c>
      <c r="E285" s="109">
        <v>0</v>
      </c>
      <c r="F285" s="107">
        <v>0</v>
      </c>
      <c r="G285" s="107">
        <v>0</v>
      </c>
      <c r="H285" s="107">
        <v>0</v>
      </c>
      <c r="I285" s="107">
        <v>0</v>
      </c>
      <c r="J285" s="107">
        <v>0</v>
      </c>
    </row>
    <row r="286" spans="1:10" ht="15" x14ac:dyDescent="0.2">
      <c r="A286" s="105" t="s">
        <v>54</v>
      </c>
      <c r="B286" s="105" t="s">
        <v>159</v>
      </c>
      <c r="C286" s="106">
        <f t="shared" si="4"/>
        <v>9</v>
      </c>
      <c r="D286" s="107">
        <v>0</v>
      </c>
      <c r="E286" s="107">
        <v>0</v>
      </c>
      <c r="F286" s="107">
        <v>0</v>
      </c>
      <c r="G286" s="107">
        <v>0</v>
      </c>
      <c r="H286" s="107">
        <v>0</v>
      </c>
      <c r="I286" s="107">
        <v>0</v>
      </c>
      <c r="J286" s="107">
        <v>0</v>
      </c>
    </row>
    <row r="287" spans="1:10" ht="15" x14ac:dyDescent="0.2">
      <c r="A287" s="108" t="s">
        <v>54</v>
      </c>
      <c r="B287" s="108" t="s">
        <v>160</v>
      </c>
      <c r="C287" s="106">
        <f t="shared" si="4"/>
        <v>10</v>
      </c>
      <c r="D287" s="109">
        <v>0</v>
      </c>
      <c r="E287" s="109">
        <v>0</v>
      </c>
      <c r="F287" s="107">
        <v>0</v>
      </c>
      <c r="G287" s="107">
        <v>0</v>
      </c>
      <c r="H287" s="107">
        <v>0</v>
      </c>
      <c r="I287" s="107">
        <v>0</v>
      </c>
      <c r="J287" s="107">
        <v>0</v>
      </c>
    </row>
    <row r="288" spans="1:10" ht="15" x14ac:dyDescent="0.2">
      <c r="A288" s="105" t="s">
        <v>54</v>
      </c>
      <c r="B288" s="105" t="s">
        <v>161</v>
      </c>
      <c r="C288" s="106">
        <f t="shared" si="4"/>
        <v>11</v>
      </c>
      <c r="D288" s="107">
        <v>0</v>
      </c>
      <c r="E288" s="107">
        <v>0</v>
      </c>
      <c r="F288" s="107">
        <v>0</v>
      </c>
      <c r="G288" s="107">
        <v>0</v>
      </c>
      <c r="H288" s="107">
        <v>0</v>
      </c>
      <c r="I288" s="107">
        <v>0</v>
      </c>
      <c r="J288" s="107">
        <v>0</v>
      </c>
    </row>
    <row r="289" spans="1:10" ht="15" x14ac:dyDescent="0.2">
      <c r="A289" s="108" t="s">
        <v>54</v>
      </c>
      <c r="B289" s="108" t="s">
        <v>162</v>
      </c>
      <c r="C289" s="106">
        <f t="shared" si="4"/>
        <v>12</v>
      </c>
      <c r="D289" s="109">
        <v>0</v>
      </c>
      <c r="E289" s="109">
        <v>0</v>
      </c>
      <c r="F289" s="107">
        <v>0</v>
      </c>
      <c r="G289" s="107">
        <v>0</v>
      </c>
      <c r="H289" s="107">
        <v>0</v>
      </c>
      <c r="I289" s="107">
        <v>0</v>
      </c>
      <c r="J289" s="107">
        <v>0</v>
      </c>
    </row>
    <row r="290" spans="1:10" ht="15" x14ac:dyDescent="0.2">
      <c r="A290" s="108" t="s">
        <v>301</v>
      </c>
      <c r="B290" s="108"/>
      <c r="C290" s="106"/>
      <c r="D290" s="109"/>
      <c r="E290" s="109"/>
      <c r="F290" s="107"/>
      <c r="G290" s="107"/>
      <c r="H290" s="107"/>
      <c r="I290" s="107"/>
      <c r="J290" s="107"/>
    </row>
    <row r="291" spans="1:10" ht="15" x14ac:dyDescent="0.2">
      <c r="A291" s="108" t="s">
        <v>301</v>
      </c>
      <c r="B291" s="108"/>
      <c r="C291" s="106"/>
      <c r="D291" s="109"/>
      <c r="E291" s="109"/>
      <c r="F291" s="107"/>
      <c r="G291" s="107"/>
      <c r="H291" s="107"/>
      <c r="I291" s="107"/>
      <c r="J291" s="107"/>
    </row>
    <row r="292" spans="1:10" ht="15" x14ac:dyDescent="0.2">
      <c r="A292" s="108" t="s">
        <v>301</v>
      </c>
      <c r="B292" s="108"/>
      <c r="C292" s="106"/>
      <c r="D292" s="109"/>
      <c r="E292" s="109"/>
      <c r="F292" s="107"/>
      <c r="G292" s="107"/>
      <c r="H292" s="107"/>
      <c r="I292" s="107"/>
      <c r="J292" s="107"/>
    </row>
    <row r="293" spans="1:10" ht="15" x14ac:dyDescent="0.2">
      <c r="A293" s="108" t="s">
        <v>301</v>
      </c>
      <c r="B293" s="108"/>
      <c r="C293" s="106"/>
      <c r="D293" s="109"/>
      <c r="E293" s="109"/>
      <c r="F293" s="107"/>
      <c r="G293" s="107"/>
      <c r="H293" s="107"/>
      <c r="I293" s="107"/>
      <c r="J293" s="107"/>
    </row>
    <row r="294" spans="1:10" ht="15" x14ac:dyDescent="0.2">
      <c r="A294" s="108" t="s">
        <v>301</v>
      </c>
      <c r="B294" s="108"/>
      <c r="C294" s="106"/>
      <c r="D294" s="109"/>
      <c r="E294" s="109"/>
      <c r="F294" s="107"/>
      <c r="G294" s="107"/>
      <c r="H294" s="107"/>
      <c r="I294" s="107"/>
      <c r="J294" s="107"/>
    </row>
    <row r="295" spans="1:10" ht="15" x14ac:dyDescent="0.2">
      <c r="A295" s="108" t="s">
        <v>301</v>
      </c>
      <c r="B295" s="108"/>
      <c r="C295" s="106"/>
      <c r="D295" s="109"/>
      <c r="E295" s="109"/>
      <c r="F295" s="107"/>
      <c r="G295" s="107"/>
      <c r="H295" s="107"/>
      <c r="I295" s="107"/>
      <c r="J295" s="107"/>
    </row>
    <row r="296" spans="1:10" ht="15" x14ac:dyDescent="0.2">
      <c r="A296" s="108" t="s">
        <v>301</v>
      </c>
      <c r="B296" s="108"/>
      <c r="C296" s="106"/>
      <c r="D296" s="109"/>
      <c r="E296" s="109"/>
      <c r="F296" s="107"/>
      <c r="G296" s="107"/>
      <c r="H296" s="107"/>
      <c r="I296" s="107"/>
      <c r="J296" s="107"/>
    </row>
    <row r="297" spans="1:10" ht="15" x14ac:dyDescent="0.2">
      <c r="A297" s="108" t="s">
        <v>301</v>
      </c>
      <c r="B297" s="108"/>
      <c r="C297" s="106"/>
      <c r="D297" s="109"/>
      <c r="E297" s="109"/>
      <c r="F297" s="107"/>
      <c r="G297" s="107"/>
      <c r="H297" s="107"/>
      <c r="I297" s="107"/>
      <c r="J297" s="107"/>
    </row>
    <row r="298" spans="1:10" ht="15" x14ac:dyDescent="0.2">
      <c r="A298" s="108" t="s">
        <v>301</v>
      </c>
      <c r="B298" s="108"/>
      <c r="C298" s="106"/>
      <c r="D298" s="109"/>
      <c r="E298" s="109"/>
      <c r="F298" s="107"/>
      <c r="G298" s="107"/>
      <c r="H298" s="107"/>
      <c r="I298" s="107"/>
      <c r="J298" s="107"/>
    </row>
    <row r="299" spans="1:10" ht="15" x14ac:dyDescent="0.2">
      <c r="A299" s="108" t="s">
        <v>301</v>
      </c>
      <c r="B299" s="108"/>
      <c r="C299" s="106"/>
      <c r="D299" s="109"/>
      <c r="E299" s="109"/>
      <c r="F299" s="107"/>
      <c r="G299" s="107"/>
      <c r="H299" s="107"/>
      <c r="I299" s="107"/>
      <c r="J299" s="107"/>
    </row>
    <row r="300" spans="1:10" ht="15" x14ac:dyDescent="0.2">
      <c r="A300" s="108" t="s">
        <v>301</v>
      </c>
      <c r="B300" s="108"/>
      <c r="C300" s="106"/>
      <c r="D300" s="109"/>
      <c r="E300" s="109"/>
      <c r="F300" s="107"/>
      <c r="G300" s="107"/>
      <c r="H300" s="107"/>
      <c r="I300" s="107"/>
      <c r="J300" s="107"/>
    </row>
    <row r="301" spans="1:10" ht="15" x14ac:dyDescent="0.2">
      <c r="A301" s="108" t="s">
        <v>301</v>
      </c>
      <c r="B301" s="108"/>
      <c r="C301" s="106"/>
      <c r="D301" s="109"/>
      <c r="E301" s="109"/>
      <c r="F301" s="107"/>
      <c r="G301" s="107"/>
      <c r="H301" s="107"/>
      <c r="I301" s="107"/>
      <c r="J301" s="107"/>
    </row>
    <row r="302" spans="1:10" ht="15" x14ac:dyDescent="0.2">
      <c r="A302" s="105" t="s">
        <v>147</v>
      </c>
      <c r="B302" s="105" t="s">
        <v>151</v>
      </c>
      <c r="C302" s="106">
        <f t="shared" si="4"/>
        <v>1</v>
      </c>
      <c r="D302" s="107">
        <v>0</v>
      </c>
      <c r="E302" s="107">
        <v>0</v>
      </c>
      <c r="F302" s="107">
        <v>0</v>
      </c>
      <c r="G302" s="107">
        <v>0</v>
      </c>
      <c r="H302" s="107">
        <v>0</v>
      </c>
      <c r="I302" s="107">
        <v>0</v>
      </c>
      <c r="J302" s="107">
        <v>0</v>
      </c>
    </row>
    <row r="303" spans="1:10" ht="15" x14ac:dyDescent="0.2">
      <c r="A303" s="108" t="s">
        <v>147</v>
      </c>
      <c r="B303" s="108" t="s">
        <v>152</v>
      </c>
      <c r="C303" s="106">
        <f t="shared" si="4"/>
        <v>2</v>
      </c>
      <c r="D303" s="109">
        <v>0</v>
      </c>
      <c r="E303" s="109">
        <v>0</v>
      </c>
      <c r="F303" s="107">
        <v>0</v>
      </c>
      <c r="G303" s="107">
        <v>0</v>
      </c>
      <c r="H303" s="107">
        <v>0</v>
      </c>
      <c r="I303" s="107">
        <v>0</v>
      </c>
      <c r="J303" s="107">
        <v>0</v>
      </c>
    </row>
    <row r="304" spans="1:10" ht="15" x14ac:dyDescent="0.2">
      <c r="A304" s="105" t="s">
        <v>147</v>
      </c>
      <c r="B304" s="105" t="s">
        <v>153</v>
      </c>
      <c r="C304" s="106">
        <f t="shared" si="4"/>
        <v>3</v>
      </c>
      <c r="D304" s="107">
        <v>0</v>
      </c>
      <c r="E304" s="107">
        <v>0</v>
      </c>
      <c r="F304" s="107">
        <v>0</v>
      </c>
      <c r="G304" s="107">
        <v>0</v>
      </c>
      <c r="H304" s="107">
        <v>0</v>
      </c>
      <c r="I304" s="107">
        <v>0</v>
      </c>
      <c r="J304" s="107">
        <v>0</v>
      </c>
    </row>
    <row r="305" spans="1:10" ht="15" x14ac:dyDescent="0.2">
      <c r="A305" s="108" t="s">
        <v>147</v>
      </c>
      <c r="B305" s="108" t="s">
        <v>154</v>
      </c>
      <c r="C305" s="106">
        <f t="shared" si="4"/>
        <v>4</v>
      </c>
      <c r="D305" s="109">
        <v>0</v>
      </c>
      <c r="E305" s="109">
        <v>0</v>
      </c>
      <c r="F305" s="107">
        <v>0</v>
      </c>
      <c r="G305" s="107">
        <v>0</v>
      </c>
      <c r="H305" s="107">
        <v>0</v>
      </c>
      <c r="I305" s="107">
        <v>0</v>
      </c>
      <c r="J305" s="107">
        <v>0</v>
      </c>
    </row>
    <row r="306" spans="1:10" ht="15" x14ac:dyDescent="0.2">
      <c r="A306" s="105" t="s">
        <v>147</v>
      </c>
      <c r="B306" s="105" t="s">
        <v>155</v>
      </c>
      <c r="C306" s="106">
        <f t="shared" si="4"/>
        <v>5</v>
      </c>
      <c r="D306" s="107">
        <v>0</v>
      </c>
      <c r="E306" s="107">
        <v>0</v>
      </c>
      <c r="F306" s="107">
        <v>0</v>
      </c>
      <c r="G306" s="107">
        <v>0</v>
      </c>
      <c r="H306" s="107">
        <v>0</v>
      </c>
      <c r="I306" s="107">
        <v>0</v>
      </c>
      <c r="J306" s="107">
        <v>0</v>
      </c>
    </row>
    <row r="307" spans="1:10" ht="15" x14ac:dyDescent="0.2">
      <c r="A307" s="108" t="s">
        <v>147</v>
      </c>
      <c r="B307" s="108" t="s">
        <v>156</v>
      </c>
      <c r="C307" s="106">
        <f t="shared" si="4"/>
        <v>6</v>
      </c>
      <c r="D307" s="109">
        <v>0</v>
      </c>
      <c r="E307" s="109">
        <v>0</v>
      </c>
      <c r="F307" s="107">
        <v>0</v>
      </c>
      <c r="G307" s="107">
        <v>0</v>
      </c>
      <c r="H307" s="107">
        <v>0</v>
      </c>
      <c r="I307" s="107">
        <v>0</v>
      </c>
      <c r="J307" s="107">
        <v>0</v>
      </c>
    </row>
    <row r="308" spans="1:10" ht="15" x14ac:dyDescent="0.2">
      <c r="A308" s="105" t="s">
        <v>147</v>
      </c>
      <c r="B308" s="105" t="s">
        <v>157</v>
      </c>
      <c r="C308" s="106">
        <f t="shared" si="4"/>
        <v>7</v>
      </c>
      <c r="D308" s="107">
        <v>0</v>
      </c>
      <c r="E308" s="107">
        <v>0</v>
      </c>
      <c r="F308" s="107">
        <v>0</v>
      </c>
      <c r="G308" s="107">
        <v>0</v>
      </c>
      <c r="H308" s="107">
        <v>0</v>
      </c>
      <c r="I308" s="107">
        <v>0</v>
      </c>
      <c r="J308" s="107">
        <v>0</v>
      </c>
    </row>
    <row r="309" spans="1:10" ht="15" x14ac:dyDescent="0.2">
      <c r="A309" s="108" t="s">
        <v>147</v>
      </c>
      <c r="B309" s="108" t="s">
        <v>158</v>
      </c>
      <c r="C309" s="106">
        <f t="shared" si="4"/>
        <v>8</v>
      </c>
      <c r="D309" s="109">
        <v>0</v>
      </c>
      <c r="E309" s="109">
        <v>0</v>
      </c>
      <c r="F309" s="107">
        <v>0</v>
      </c>
      <c r="G309" s="107">
        <v>0</v>
      </c>
      <c r="H309" s="107">
        <v>0</v>
      </c>
      <c r="I309" s="107">
        <v>0</v>
      </c>
      <c r="J309" s="107">
        <v>0</v>
      </c>
    </row>
    <row r="310" spans="1:10" ht="15" x14ac:dyDescent="0.2">
      <c r="A310" s="105" t="s">
        <v>147</v>
      </c>
      <c r="B310" s="105" t="s">
        <v>159</v>
      </c>
      <c r="C310" s="106">
        <f t="shared" si="4"/>
        <v>9</v>
      </c>
      <c r="D310" s="107">
        <v>0</v>
      </c>
      <c r="E310" s="107">
        <v>0</v>
      </c>
      <c r="F310" s="107">
        <v>0</v>
      </c>
      <c r="G310" s="107">
        <v>0</v>
      </c>
      <c r="H310" s="107">
        <v>0</v>
      </c>
      <c r="I310" s="107">
        <v>0</v>
      </c>
      <c r="J310" s="107">
        <v>0</v>
      </c>
    </row>
    <row r="311" spans="1:10" ht="15" x14ac:dyDescent="0.2">
      <c r="A311" s="108" t="s">
        <v>147</v>
      </c>
      <c r="B311" s="108" t="s">
        <v>160</v>
      </c>
      <c r="C311" s="106">
        <f t="shared" si="4"/>
        <v>10</v>
      </c>
      <c r="D311" s="109">
        <v>0</v>
      </c>
      <c r="E311" s="109">
        <v>0</v>
      </c>
      <c r="F311" s="107">
        <v>0</v>
      </c>
      <c r="G311" s="107">
        <v>0</v>
      </c>
      <c r="H311" s="107">
        <v>0</v>
      </c>
      <c r="I311" s="107">
        <v>0</v>
      </c>
      <c r="J311" s="107">
        <v>0</v>
      </c>
    </row>
    <row r="312" spans="1:10" ht="15" x14ac:dyDescent="0.2">
      <c r="A312" s="105" t="s">
        <v>147</v>
      </c>
      <c r="B312" s="105" t="s">
        <v>161</v>
      </c>
      <c r="C312" s="106">
        <f t="shared" si="4"/>
        <v>11</v>
      </c>
      <c r="D312" s="107">
        <v>0</v>
      </c>
      <c r="E312" s="107">
        <v>0</v>
      </c>
      <c r="F312" s="107">
        <v>0</v>
      </c>
      <c r="G312" s="107">
        <v>0</v>
      </c>
      <c r="H312" s="107">
        <v>0</v>
      </c>
      <c r="I312" s="107">
        <v>0</v>
      </c>
      <c r="J312" s="107">
        <v>0</v>
      </c>
    </row>
    <row r="313" spans="1:10" ht="15" x14ac:dyDescent="0.2">
      <c r="A313" s="108" t="s">
        <v>147</v>
      </c>
      <c r="B313" s="108" t="s">
        <v>162</v>
      </c>
      <c r="C313" s="106">
        <f t="shared" si="4"/>
        <v>12</v>
      </c>
      <c r="D313" s="109">
        <v>0</v>
      </c>
      <c r="E313" s="109">
        <v>0</v>
      </c>
      <c r="F313" s="107">
        <v>0</v>
      </c>
      <c r="G313" s="107">
        <v>0</v>
      </c>
      <c r="H313" s="107">
        <v>0</v>
      </c>
      <c r="I313" s="107">
        <v>0</v>
      </c>
      <c r="J313" s="107">
        <v>0</v>
      </c>
    </row>
    <row r="314" spans="1:10" ht="15" x14ac:dyDescent="0.2">
      <c r="A314" s="105" t="s">
        <v>71</v>
      </c>
      <c r="B314" s="105" t="s">
        <v>151</v>
      </c>
      <c r="C314" s="106">
        <f t="shared" si="4"/>
        <v>1</v>
      </c>
      <c r="D314" s="107">
        <v>0</v>
      </c>
      <c r="E314" s="107">
        <v>0</v>
      </c>
      <c r="F314" s="107">
        <v>0</v>
      </c>
      <c r="G314" s="107">
        <v>0</v>
      </c>
      <c r="H314" s="107">
        <v>0</v>
      </c>
      <c r="I314" s="107">
        <v>0</v>
      </c>
      <c r="J314" s="107">
        <v>0</v>
      </c>
    </row>
    <row r="315" spans="1:10" ht="15" x14ac:dyDescent="0.2">
      <c r="A315" s="108" t="s">
        <v>71</v>
      </c>
      <c r="B315" s="108" t="s">
        <v>152</v>
      </c>
      <c r="C315" s="106">
        <f t="shared" si="4"/>
        <v>2</v>
      </c>
      <c r="D315" s="109">
        <v>0</v>
      </c>
      <c r="E315" s="109">
        <v>0</v>
      </c>
      <c r="F315" s="107">
        <v>0</v>
      </c>
      <c r="G315" s="107">
        <v>0</v>
      </c>
      <c r="H315" s="107">
        <v>0</v>
      </c>
      <c r="I315" s="107">
        <v>0</v>
      </c>
      <c r="J315" s="107">
        <v>0</v>
      </c>
    </row>
    <row r="316" spans="1:10" ht="15" x14ac:dyDescent="0.2">
      <c r="A316" s="105" t="s">
        <v>71</v>
      </c>
      <c r="B316" s="105" t="s">
        <v>153</v>
      </c>
      <c r="C316" s="106">
        <f t="shared" si="4"/>
        <v>3</v>
      </c>
      <c r="D316" s="107">
        <v>5</v>
      </c>
      <c r="E316" s="107">
        <v>23</v>
      </c>
      <c r="F316" s="107">
        <v>0</v>
      </c>
      <c r="G316" s="107">
        <v>0</v>
      </c>
      <c r="H316" s="107">
        <v>0</v>
      </c>
      <c r="I316" s="107">
        <v>0</v>
      </c>
      <c r="J316" s="107">
        <v>1</v>
      </c>
    </row>
    <row r="317" spans="1:10" ht="15" x14ac:dyDescent="0.2">
      <c r="A317" s="108" t="s">
        <v>71</v>
      </c>
      <c r="B317" s="108" t="s">
        <v>154</v>
      </c>
      <c r="C317" s="106">
        <f t="shared" si="4"/>
        <v>4</v>
      </c>
      <c r="D317" s="109">
        <v>4</v>
      </c>
      <c r="E317" s="109">
        <v>19</v>
      </c>
      <c r="F317" s="107">
        <v>1</v>
      </c>
      <c r="G317" s="107">
        <v>1</v>
      </c>
      <c r="H317" s="107">
        <v>0</v>
      </c>
      <c r="I317" s="107">
        <v>0</v>
      </c>
      <c r="J317" s="107">
        <v>1</v>
      </c>
    </row>
    <row r="318" spans="1:10" ht="15" x14ac:dyDescent="0.2">
      <c r="A318" s="105" t="s">
        <v>71</v>
      </c>
      <c r="B318" s="105" t="s">
        <v>155</v>
      </c>
      <c r="C318" s="106">
        <f t="shared" si="4"/>
        <v>5</v>
      </c>
      <c r="D318" s="107">
        <v>4</v>
      </c>
      <c r="E318" s="107">
        <v>19</v>
      </c>
      <c r="F318" s="107">
        <v>1</v>
      </c>
      <c r="G318" s="107">
        <v>3</v>
      </c>
      <c r="H318" s="107">
        <v>0</v>
      </c>
      <c r="I318" s="107">
        <v>0</v>
      </c>
      <c r="J318" s="107">
        <v>1</v>
      </c>
    </row>
    <row r="319" spans="1:10" ht="15" x14ac:dyDescent="0.2">
      <c r="A319" s="108" t="s">
        <v>71</v>
      </c>
      <c r="B319" s="108" t="s">
        <v>156</v>
      </c>
      <c r="C319" s="106">
        <f t="shared" si="4"/>
        <v>6</v>
      </c>
      <c r="D319" s="109">
        <v>0</v>
      </c>
      <c r="E319" s="109">
        <v>0</v>
      </c>
      <c r="F319" s="107">
        <v>0</v>
      </c>
      <c r="G319" s="107">
        <v>0</v>
      </c>
      <c r="H319" s="107">
        <v>0</v>
      </c>
      <c r="I319" s="107">
        <v>0</v>
      </c>
      <c r="J319" s="107">
        <v>0</v>
      </c>
    </row>
    <row r="320" spans="1:10" ht="15" x14ac:dyDescent="0.2">
      <c r="A320" s="105" t="s">
        <v>71</v>
      </c>
      <c r="B320" s="105" t="s">
        <v>157</v>
      </c>
      <c r="C320" s="106">
        <f t="shared" si="4"/>
        <v>7</v>
      </c>
      <c r="D320" s="107">
        <v>0</v>
      </c>
      <c r="E320" s="107">
        <v>0</v>
      </c>
      <c r="F320" s="107">
        <v>0</v>
      </c>
      <c r="G320" s="107">
        <v>0</v>
      </c>
      <c r="H320" s="107">
        <v>0</v>
      </c>
      <c r="I320" s="107">
        <v>0</v>
      </c>
      <c r="J320" s="107">
        <v>0</v>
      </c>
    </row>
    <row r="321" spans="1:10" ht="15" x14ac:dyDescent="0.2">
      <c r="A321" s="108" t="s">
        <v>71</v>
      </c>
      <c r="B321" s="108" t="s">
        <v>158</v>
      </c>
      <c r="C321" s="106">
        <f t="shared" si="4"/>
        <v>8</v>
      </c>
      <c r="D321" s="109">
        <v>0</v>
      </c>
      <c r="E321" s="109">
        <v>0</v>
      </c>
      <c r="F321" s="107">
        <v>0</v>
      </c>
      <c r="G321" s="107">
        <v>0</v>
      </c>
      <c r="H321" s="107">
        <v>0</v>
      </c>
      <c r="I321" s="107">
        <v>0</v>
      </c>
      <c r="J321" s="107">
        <v>0</v>
      </c>
    </row>
    <row r="322" spans="1:10" ht="15" x14ac:dyDescent="0.2">
      <c r="A322" s="105" t="s">
        <v>71</v>
      </c>
      <c r="B322" s="105" t="s">
        <v>159</v>
      </c>
      <c r="C322" s="106">
        <f t="shared" si="4"/>
        <v>9</v>
      </c>
      <c r="D322" s="107">
        <v>0</v>
      </c>
      <c r="E322" s="107">
        <v>0</v>
      </c>
      <c r="F322" s="107">
        <v>0</v>
      </c>
      <c r="G322" s="107">
        <v>0</v>
      </c>
      <c r="H322" s="107">
        <v>0</v>
      </c>
      <c r="I322" s="107">
        <v>0</v>
      </c>
      <c r="J322" s="107">
        <v>0</v>
      </c>
    </row>
    <row r="323" spans="1:10" ht="15" x14ac:dyDescent="0.2">
      <c r="A323" s="108" t="s">
        <v>71</v>
      </c>
      <c r="B323" s="108" t="s">
        <v>160</v>
      </c>
      <c r="C323" s="106">
        <f t="shared" si="4"/>
        <v>10</v>
      </c>
      <c r="D323" s="109">
        <v>0</v>
      </c>
      <c r="E323" s="109">
        <v>0</v>
      </c>
      <c r="F323" s="107">
        <v>0</v>
      </c>
      <c r="G323" s="107">
        <v>0</v>
      </c>
      <c r="H323" s="107">
        <v>0</v>
      </c>
      <c r="I323" s="107">
        <v>0</v>
      </c>
      <c r="J323" s="107">
        <v>0</v>
      </c>
    </row>
    <row r="324" spans="1:10" ht="15" x14ac:dyDescent="0.2">
      <c r="A324" s="105" t="s">
        <v>71</v>
      </c>
      <c r="B324" s="105" t="s">
        <v>161</v>
      </c>
      <c r="C324" s="106">
        <f t="shared" si="4"/>
        <v>11</v>
      </c>
      <c r="D324" s="107">
        <v>0</v>
      </c>
      <c r="E324" s="107">
        <v>0</v>
      </c>
      <c r="F324" s="107">
        <v>0</v>
      </c>
      <c r="G324" s="107">
        <v>0</v>
      </c>
      <c r="H324" s="107">
        <v>0</v>
      </c>
      <c r="I324" s="107">
        <v>0</v>
      </c>
      <c r="J324" s="107">
        <v>0</v>
      </c>
    </row>
    <row r="325" spans="1:10" ht="15" x14ac:dyDescent="0.2">
      <c r="A325" s="108" t="s">
        <v>71</v>
      </c>
      <c r="B325" s="108" t="s">
        <v>162</v>
      </c>
      <c r="C325" s="106">
        <f t="shared" si="4"/>
        <v>12</v>
      </c>
      <c r="D325" s="109">
        <v>0</v>
      </c>
      <c r="E325" s="109">
        <v>0</v>
      </c>
      <c r="F325" s="107">
        <v>0</v>
      </c>
      <c r="G325" s="107">
        <v>0</v>
      </c>
      <c r="H325" s="107">
        <v>0</v>
      </c>
      <c r="I325" s="107">
        <v>0</v>
      </c>
      <c r="J325" s="107">
        <v>0</v>
      </c>
    </row>
    <row r="326" spans="1:10" ht="15" x14ac:dyDescent="0.2">
      <c r="A326" s="105" t="s">
        <v>75</v>
      </c>
      <c r="B326" s="105" t="s">
        <v>151</v>
      </c>
      <c r="C326" s="106">
        <f t="shared" si="4"/>
        <v>1</v>
      </c>
      <c r="D326" s="107">
        <v>3</v>
      </c>
      <c r="E326" s="107">
        <v>12</v>
      </c>
      <c r="F326" s="107">
        <v>1</v>
      </c>
      <c r="G326" s="107">
        <v>0</v>
      </c>
      <c r="H326" s="107">
        <v>0</v>
      </c>
      <c r="I326" s="107">
        <v>0</v>
      </c>
      <c r="J326" s="107">
        <v>2</v>
      </c>
    </row>
    <row r="327" spans="1:10" ht="15" x14ac:dyDescent="0.2">
      <c r="A327" s="108" t="s">
        <v>75</v>
      </c>
      <c r="B327" s="108" t="s">
        <v>152</v>
      </c>
      <c r="C327" s="106">
        <f t="shared" si="4"/>
        <v>2</v>
      </c>
      <c r="D327" s="109">
        <v>3</v>
      </c>
      <c r="E327" s="109">
        <v>12</v>
      </c>
      <c r="F327" s="107">
        <v>0</v>
      </c>
      <c r="G327" s="107">
        <v>0</v>
      </c>
      <c r="H327" s="107">
        <v>0</v>
      </c>
      <c r="I327" s="107">
        <v>0</v>
      </c>
      <c r="J327" s="107">
        <v>2</v>
      </c>
    </row>
    <row r="328" spans="1:10" ht="15" x14ac:dyDescent="0.2">
      <c r="A328" s="105" t="s">
        <v>75</v>
      </c>
      <c r="B328" s="105" t="s">
        <v>153</v>
      </c>
      <c r="C328" s="106">
        <f t="shared" si="4"/>
        <v>3</v>
      </c>
      <c r="D328" s="107">
        <v>2</v>
      </c>
      <c r="E328" s="107">
        <v>8</v>
      </c>
      <c r="F328" s="107">
        <v>0</v>
      </c>
      <c r="G328" s="107">
        <v>0</v>
      </c>
      <c r="H328" s="107">
        <v>0</v>
      </c>
      <c r="I328" s="107">
        <v>0</v>
      </c>
      <c r="J328" s="107">
        <v>1</v>
      </c>
    </row>
    <row r="329" spans="1:10" ht="15" x14ac:dyDescent="0.2">
      <c r="A329" s="108" t="s">
        <v>75</v>
      </c>
      <c r="B329" s="108" t="s">
        <v>154</v>
      </c>
      <c r="C329" s="106">
        <f t="shared" si="4"/>
        <v>4</v>
      </c>
      <c r="D329" s="109">
        <v>6</v>
      </c>
      <c r="E329" s="109">
        <v>25</v>
      </c>
      <c r="F329" s="107">
        <v>0</v>
      </c>
      <c r="G329" s="107">
        <v>0</v>
      </c>
      <c r="H329" s="107">
        <v>0</v>
      </c>
      <c r="I329" s="107">
        <v>0</v>
      </c>
      <c r="J329" s="107">
        <v>3</v>
      </c>
    </row>
    <row r="330" spans="1:10" ht="15" x14ac:dyDescent="0.2">
      <c r="A330" s="105" t="s">
        <v>75</v>
      </c>
      <c r="B330" s="105" t="s">
        <v>155</v>
      </c>
      <c r="C330" s="106">
        <f t="shared" si="4"/>
        <v>5</v>
      </c>
      <c r="D330" s="107">
        <v>10</v>
      </c>
      <c r="E330" s="107">
        <v>41</v>
      </c>
      <c r="F330" s="107">
        <v>1</v>
      </c>
      <c r="G330" s="107">
        <v>2</v>
      </c>
      <c r="H330" s="107">
        <v>0</v>
      </c>
      <c r="I330" s="107">
        <v>0</v>
      </c>
      <c r="J330" s="107">
        <v>3</v>
      </c>
    </row>
    <row r="331" spans="1:10" ht="15" x14ac:dyDescent="0.2">
      <c r="A331" s="108" t="s">
        <v>75</v>
      </c>
      <c r="B331" s="108" t="s">
        <v>156</v>
      </c>
      <c r="C331" s="106">
        <f t="shared" si="4"/>
        <v>6</v>
      </c>
      <c r="D331" s="109">
        <v>4</v>
      </c>
      <c r="E331" s="109">
        <v>16</v>
      </c>
      <c r="F331" s="107">
        <v>0</v>
      </c>
      <c r="G331" s="107">
        <v>0</v>
      </c>
      <c r="H331" s="107">
        <v>0</v>
      </c>
      <c r="I331" s="107">
        <v>0</v>
      </c>
      <c r="J331" s="107">
        <v>2</v>
      </c>
    </row>
    <row r="332" spans="1:10" ht="15" x14ac:dyDescent="0.2">
      <c r="A332" s="105" t="s">
        <v>75</v>
      </c>
      <c r="B332" s="105" t="s">
        <v>157</v>
      </c>
      <c r="C332" s="106">
        <f t="shared" si="4"/>
        <v>7</v>
      </c>
      <c r="D332" s="107">
        <v>0</v>
      </c>
      <c r="E332" s="107">
        <v>0</v>
      </c>
      <c r="F332" s="107">
        <v>0</v>
      </c>
      <c r="G332" s="107">
        <v>0</v>
      </c>
      <c r="H332" s="107">
        <v>0</v>
      </c>
      <c r="I332" s="107">
        <v>0</v>
      </c>
      <c r="J332" s="107">
        <v>0</v>
      </c>
    </row>
    <row r="333" spans="1:10" ht="15" x14ac:dyDescent="0.2">
      <c r="A333" s="108" t="s">
        <v>75</v>
      </c>
      <c r="B333" s="108" t="s">
        <v>158</v>
      </c>
      <c r="C333" s="106">
        <f t="shared" si="4"/>
        <v>8</v>
      </c>
      <c r="D333" s="109">
        <v>0</v>
      </c>
      <c r="E333" s="109">
        <v>0</v>
      </c>
      <c r="F333" s="107">
        <v>0</v>
      </c>
      <c r="G333" s="107">
        <v>0</v>
      </c>
      <c r="H333" s="107">
        <v>0</v>
      </c>
      <c r="I333" s="107">
        <v>0</v>
      </c>
      <c r="J333" s="107">
        <v>0</v>
      </c>
    </row>
    <row r="334" spans="1:10" ht="15" x14ac:dyDescent="0.2">
      <c r="A334" s="105" t="s">
        <v>75</v>
      </c>
      <c r="B334" s="105" t="s">
        <v>159</v>
      </c>
      <c r="C334" s="106">
        <f t="shared" si="4"/>
        <v>9</v>
      </c>
      <c r="D334" s="107">
        <v>0</v>
      </c>
      <c r="E334" s="107">
        <v>0</v>
      </c>
      <c r="F334" s="107">
        <v>0</v>
      </c>
      <c r="G334" s="107">
        <v>0</v>
      </c>
      <c r="H334" s="107">
        <v>0</v>
      </c>
      <c r="I334" s="107">
        <v>0</v>
      </c>
      <c r="J334" s="107">
        <v>0</v>
      </c>
    </row>
    <row r="335" spans="1:10" ht="15" x14ac:dyDescent="0.2">
      <c r="A335" s="108" t="s">
        <v>75</v>
      </c>
      <c r="B335" s="108" t="s">
        <v>160</v>
      </c>
      <c r="C335" s="106">
        <f t="shared" si="4"/>
        <v>10</v>
      </c>
      <c r="D335" s="109">
        <v>0</v>
      </c>
      <c r="E335" s="109">
        <v>0</v>
      </c>
      <c r="F335" s="107">
        <v>0</v>
      </c>
      <c r="G335" s="107">
        <v>0</v>
      </c>
      <c r="H335" s="107">
        <v>0</v>
      </c>
      <c r="I335" s="107">
        <v>0</v>
      </c>
      <c r="J335" s="107">
        <v>0</v>
      </c>
    </row>
    <row r="336" spans="1:10" ht="15" x14ac:dyDescent="0.2">
      <c r="A336" s="105" t="s">
        <v>75</v>
      </c>
      <c r="B336" s="105" t="s">
        <v>161</v>
      </c>
      <c r="C336" s="106">
        <f t="shared" si="4"/>
        <v>11</v>
      </c>
      <c r="D336" s="107">
        <v>0</v>
      </c>
      <c r="E336" s="107">
        <v>0</v>
      </c>
      <c r="F336" s="107">
        <v>0</v>
      </c>
      <c r="G336" s="107">
        <v>0</v>
      </c>
      <c r="H336" s="107">
        <v>0</v>
      </c>
      <c r="I336" s="107">
        <v>0</v>
      </c>
      <c r="J336" s="107">
        <v>0</v>
      </c>
    </row>
    <row r="337" spans="1:10" ht="15" x14ac:dyDescent="0.2">
      <c r="A337" s="108" t="s">
        <v>75</v>
      </c>
      <c r="B337" s="108" t="s">
        <v>162</v>
      </c>
      <c r="C337" s="106">
        <f t="shared" si="4"/>
        <v>12</v>
      </c>
      <c r="D337" s="109">
        <v>0</v>
      </c>
      <c r="E337" s="109">
        <v>0</v>
      </c>
      <c r="F337" s="107">
        <v>0</v>
      </c>
      <c r="G337" s="107">
        <v>0</v>
      </c>
      <c r="H337" s="107">
        <v>0</v>
      </c>
      <c r="I337" s="107">
        <v>0</v>
      </c>
      <c r="J337" s="107">
        <v>0</v>
      </c>
    </row>
    <row r="338" spans="1:10" ht="15" x14ac:dyDescent="0.2">
      <c r="A338" s="105" t="s">
        <v>46</v>
      </c>
      <c r="B338" s="105" t="s">
        <v>151</v>
      </c>
      <c r="C338" s="106">
        <f t="shared" si="4"/>
        <v>1</v>
      </c>
      <c r="D338" s="107">
        <v>0</v>
      </c>
      <c r="E338" s="107">
        <v>0</v>
      </c>
      <c r="F338" s="107">
        <v>0</v>
      </c>
      <c r="G338" s="107">
        <v>0</v>
      </c>
      <c r="H338" s="107">
        <v>0</v>
      </c>
      <c r="I338" s="107">
        <v>0</v>
      </c>
      <c r="J338" s="107">
        <v>0</v>
      </c>
    </row>
    <row r="339" spans="1:10" ht="15" x14ac:dyDescent="0.2">
      <c r="A339" s="108" t="s">
        <v>46</v>
      </c>
      <c r="B339" s="108" t="s">
        <v>152</v>
      </c>
      <c r="C339" s="106">
        <f t="shared" si="4"/>
        <v>2</v>
      </c>
      <c r="D339" s="109">
        <v>0</v>
      </c>
      <c r="E339" s="109">
        <v>0</v>
      </c>
      <c r="F339" s="107">
        <v>0</v>
      </c>
      <c r="G339" s="107">
        <v>0</v>
      </c>
      <c r="H339" s="107">
        <v>0</v>
      </c>
      <c r="I339" s="107">
        <v>0</v>
      </c>
      <c r="J339" s="107">
        <v>0</v>
      </c>
    </row>
    <row r="340" spans="1:10" ht="15" x14ac:dyDescent="0.2">
      <c r="A340" s="105" t="s">
        <v>46</v>
      </c>
      <c r="B340" s="105" t="s">
        <v>153</v>
      </c>
      <c r="C340" s="106">
        <f t="shared" si="4"/>
        <v>3</v>
      </c>
      <c r="D340" s="107">
        <v>0</v>
      </c>
      <c r="E340" s="107">
        <v>0</v>
      </c>
      <c r="F340" s="107">
        <v>0</v>
      </c>
      <c r="G340" s="107">
        <v>0</v>
      </c>
      <c r="H340" s="107">
        <v>0</v>
      </c>
      <c r="I340" s="107">
        <v>0</v>
      </c>
      <c r="J340" s="107">
        <v>0</v>
      </c>
    </row>
    <row r="341" spans="1:10" ht="15" x14ac:dyDescent="0.2">
      <c r="A341" s="108" t="s">
        <v>46</v>
      </c>
      <c r="B341" s="108" t="s">
        <v>154</v>
      </c>
      <c r="C341" s="106">
        <f t="shared" si="4"/>
        <v>4</v>
      </c>
      <c r="D341" s="109">
        <v>0</v>
      </c>
      <c r="E341" s="109">
        <v>0</v>
      </c>
      <c r="F341" s="107">
        <v>0</v>
      </c>
      <c r="G341" s="107">
        <v>0</v>
      </c>
      <c r="H341" s="107">
        <v>0</v>
      </c>
      <c r="I341" s="107">
        <v>0</v>
      </c>
      <c r="J341" s="107">
        <v>0</v>
      </c>
    </row>
    <row r="342" spans="1:10" ht="15" x14ac:dyDescent="0.2">
      <c r="A342" s="105" t="s">
        <v>46</v>
      </c>
      <c r="B342" s="105" t="s">
        <v>155</v>
      </c>
      <c r="C342" s="106">
        <f t="shared" si="4"/>
        <v>5</v>
      </c>
      <c r="D342" s="107">
        <v>0</v>
      </c>
      <c r="E342" s="107">
        <v>0</v>
      </c>
      <c r="F342" s="107">
        <v>0</v>
      </c>
      <c r="G342" s="107">
        <v>0</v>
      </c>
      <c r="H342" s="107">
        <v>0</v>
      </c>
      <c r="I342" s="107">
        <v>0</v>
      </c>
      <c r="J342" s="107">
        <v>0</v>
      </c>
    </row>
    <row r="343" spans="1:10" ht="15" x14ac:dyDescent="0.2">
      <c r="A343" s="108" t="s">
        <v>46</v>
      </c>
      <c r="B343" s="108" t="s">
        <v>156</v>
      </c>
      <c r="C343" s="106">
        <f t="shared" si="4"/>
        <v>6</v>
      </c>
      <c r="D343" s="109">
        <v>0</v>
      </c>
      <c r="E343" s="109">
        <v>0</v>
      </c>
      <c r="F343" s="107">
        <v>0</v>
      </c>
      <c r="G343" s="107">
        <v>0</v>
      </c>
      <c r="H343" s="107">
        <v>0</v>
      </c>
      <c r="I343" s="107">
        <v>0</v>
      </c>
      <c r="J343" s="107">
        <v>0</v>
      </c>
    </row>
    <row r="344" spans="1:10" ht="15" x14ac:dyDescent="0.2">
      <c r="A344" s="105" t="s">
        <v>46</v>
      </c>
      <c r="B344" s="105" t="s">
        <v>157</v>
      </c>
      <c r="C344" s="106">
        <f t="shared" si="4"/>
        <v>7</v>
      </c>
      <c r="D344" s="107">
        <v>0</v>
      </c>
      <c r="E344" s="107">
        <v>0</v>
      </c>
      <c r="F344" s="107">
        <v>0</v>
      </c>
      <c r="G344" s="107">
        <v>0</v>
      </c>
      <c r="H344" s="107">
        <v>0</v>
      </c>
      <c r="I344" s="107">
        <v>0</v>
      </c>
      <c r="J344" s="107">
        <v>0</v>
      </c>
    </row>
    <row r="345" spans="1:10" ht="15" x14ac:dyDescent="0.2">
      <c r="A345" s="108" t="s">
        <v>46</v>
      </c>
      <c r="B345" s="108" t="s">
        <v>158</v>
      </c>
      <c r="C345" s="106">
        <f t="shared" si="4"/>
        <v>8</v>
      </c>
      <c r="D345" s="109">
        <v>0</v>
      </c>
      <c r="E345" s="109">
        <v>0</v>
      </c>
      <c r="F345" s="107">
        <v>0</v>
      </c>
      <c r="G345" s="107">
        <v>0</v>
      </c>
      <c r="H345" s="107">
        <v>0</v>
      </c>
      <c r="I345" s="107">
        <v>0</v>
      </c>
      <c r="J345" s="107">
        <v>0</v>
      </c>
    </row>
    <row r="346" spans="1:10" ht="15" x14ac:dyDescent="0.2">
      <c r="A346" s="105" t="s">
        <v>46</v>
      </c>
      <c r="B346" s="105" t="s">
        <v>159</v>
      </c>
      <c r="C346" s="106">
        <f t="shared" si="4"/>
        <v>9</v>
      </c>
      <c r="D346" s="107">
        <v>0</v>
      </c>
      <c r="E346" s="107">
        <v>0</v>
      </c>
      <c r="F346" s="107">
        <v>0</v>
      </c>
      <c r="G346" s="107">
        <v>0</v>
      </c>
      <c r="H346" s="107">
        <v>0</v>
      </c>
      <c r="I346" s="107">
        <v>0</v>
      </c>
      <c r="J346" s="107">
        <v>0</v>
      </c>
    </row>
    <row r="347" spans="1:10" ht="15" x14ac:dyDescent="0.2">
      <c r="A347" s="108" t="s">
        <v>46</v>
      </c>
      <c r="B347" s="108" t="s">
        <v>160</v>
      </c>
      <c r="C347" s="106">
        <f t="shared" si="4"/>
        <v>10</v>
      </c>
      <c r="D347" s="109">
        <v>0</v>
      </c>
      <c r="E347" s="109">
        <v>0</v>
      </c>
      <c r="F347" s="107">
        <v>0</v>
      </c>
      <c r="G347" s="107">
        <v>0</v>
      </c>
      <c r="H347" s="107">
        <v>0</v>
      </c>
      <c r="I347" s="107">
        <v>0</v>
      </c>
      <c r="J347" s="107">
        <v>0</v>
      </c>
    </row>
    <row r="348" spans="1:10" ht="15" x14ac:dyDescent="0.2">
      <c r="A348" s="105" t="s">
        <v>46</v>
      </c>
      <c r="B348" s="105" t="s">
        <v>161</v>
      </c>
      <c r="C348" s="106">
        <f t="shared" si="4"/>
        <v>11</v>
      </c>
      <c r="D348" s="107">
        <v>0</v>
      </c>
      <c r="E348" s="107">
        <v>0</v>
      </c>
      <c r="F348" s="107">
        <v>0</v>
      </c>
      <c r="G348" s="107">
        <v>0</v>
      </c>
      <c r="H348" s="107">
        <v>0</v>
      </c>
      <c r="I348" s="107">
        <v>0</v>
      </c>
      <c r="J348" s="107">
        <v>0</v>
      </c>
    </row>
    <row r="349" spans="1:10" ht="15" x14ac:dyDescent="0.2">
      <c r="A349" s="108" t="s">
        <v>46</v>
      </c>
      <c r="B349" s="108" t="s">
        <v>162</v>
      </c>
      <c r="C349" s="106">
        <f t="shared" si="4"/>
        <v>12</v>
      </c>
      <c r="D349" s="109">
        <v>0</v>
      </c>
      <c r="E349" s="109">
        <v>0</v>
      </c>
      <c r="F349" s="107">
        <v>0</v>
      </c>
      <c r="G349" s="107">
        <v>0</v>
      </c>
      <c r="H349" s="107">
        <v>0</v>
      </c>
      <c r="I349" s="107">
        <v>0</v>
      </c>
      <c r="J349" s="107">
        <v>0</v>
      </c>
    </row>
    <row r="350" spans="1:10" ht="15" x14ac:dyDescent="0.2">
      <c r="A350" s="105" t="s">
        <v>36</v>
      </c>
      <c r="B350" s="105" t="s">
        <v>151</v>
      </c>
      <c r="C350" s="106">
        <f t="shared" si="4"/>
        <v>1</v>
      </c>
      <c r="D350" s="107">
        <v>0</v>
      </c>
      <c r="E350" s="107">
        <v>0</v>
      </c>
      <c r="F350" s="107">
        <v>0</v>
      </c>
      <c r="G350" s="107">
        <v>0</v>
      </c>
      <c r="H350" s="107">
        <v>0</v>
      </c>
      <c r="I350" s="107">
        <v>0</v>
      </c>
      <c r="J350" s="107">
        <v>0</v>
      </c>
    </row>
    <row r="351" spans="1:10" ht="15" x14ac:dyDescent="0.2">
      <c r="A351" s="108" t="s">
        <v>36</v>
      </c>
      <c r="B351" s="108" t="s">
        <v>152</v>
      </c>
      <c r="C351" s="106">
        <f t="shared" si="4"/>
        <v>2</v>
      </c>
      <c r="D351" s="109">
        <v>0</v>
      </c>
      <c r="E351" s="109">
        <v>0</v>
      </c>
      <c r="F351" s="107">
        <v>0</v>
      </c>
      <c r="G351" s="107">
        <v>0</v>
      </c>
      <c r="H351" s="107">
        <v>0</v>
      </c>
      <c r="I351" s="107">
        <v>0</v>
      </c>
      <c r="J351" s="107">
        <v>0</v>
      </c>
    </row>
    <row r="352" spans="1:10" ht="15" x14ac:dyDescent="0.2">
      <c r="A352" s="105" t="s">
        <v>36</v>
      </c>
      <c r="B352" s="105" t="s">
        <v>153</v>
      </c>
      <c r="C352" s="106">
        <f t="shared" si="4"/>
        <v>3</v>
      </c>
      <c r="D352" s="107">
        <v>0</v>
      </c>
      <c r="E352" s="107">
        <v>0</v>
      </c>
      <c r="F352" s="107">
        <v>0</v>
      </c>
      <c r="G352" s="107">
        <v>0</v>
      </c>
      <c r="H352" s="107">
        <v>0</v>
      </c>
      <c r="I352" s="107">
        <v>0</v>
      </c>
      <c r="J352" s="107">
        <v>0</v>
      </c>
    </row>
    <row r="353" spans="1:10" ht="15" x14ac:dyDescent="0.2">
      <c r="A353" s="108" t="s">
        <v>36</v>
      </c>
      <c r="B353" s="108" t="s">
        <v>154</v>
      </c>
      <c r="C353" s="106">
        <f t="shared" si="4"/>
        <v>4</v>
      </c>
      <c r="D353" s="109">
        <v>0</v>
      </c>
      <c r="E353" s="109">
        <v>0</v>
      </c>
      <c r="F353" s="107">
        <v>0</v>
      </c>
      <c r="G353" s="107">
        <v>0</v>
      </c>
      <c r="H353" s="107">
        <v>0</v>
      </c>
      <c r="I353" s="107">
        <v>0</v>
      </c>
      <c r="J353" s="107">
        <v>0</v>
      </c>
    </row>
    <row r="354" spans="1:10" ht="15" x14ac:dyDescent="0.2">
      <c r="A354" s="105" t="s">
        <v>36</v>
      </c>
      <c r="B354" s="105" t="s">
        <v>155</v>
      </c>
      <c r="C354" s="106">
        <f t="shared" si="4"/>
        <v>5</v>
      </c>
      <c r="D354" s="107">
        <v>0</v>
      </c>
      <c r="E354" s="107">
        <v>0</v>
      </c>
      <c r="F354" s="107">
        <v>0</v>
      </c>
      <c r="G354" s="107">
        <v>0</v>
      </c>
      <c r="H354" s="107">
        <v>0</v>
      </c>
      <c r="I354" s="107">
        <v>0</v>
      </c>
      <c r="J354" s="107">
        <v>0</v>
      </c>
    </row>
    <row r="355" spans="1:10" ht="15" x14ac:dyDescent="0.2">
      <c r="A355" s="108" t="s">
        <v>36</v>
      </c>
      <c r="B355" s="108" t="s">
        <v>156</v>
      </c>
      <c r="C355" s="106">
        <f t="shared" si="4"/>
        <v>6</v>
      </c>
      <c r="D355" s="109">
        <v>0</v>
      </c>
      <c r="E355" s="109">
        <v>0</v>
      </c>
      <c r="F355" s="107">
        <v>0</v>
      </c>
      <c r="G355" s="107">
        <v>0</v>
      </c>
      <c r="H355" s="107">
        <v>0</v>
      </c>
      <c r="I355" s="107">
        <v>0</v>
      </c>
      <c r="J355" s="107">
        <v>0</v>
      </c>
    </row>
    <row r="356" spans="1:10" ht="15" x14ac:dyDescent="0.2">
      <c r="A356" s="105" t="s">
        <v>36</v>
      </c>
      <c r="B356" s="105" t="s">
        <v>157</v>
      </c>
      <c r="C356" s="106">
        <f t="shared" si="4"/>
        <v>7</v>
      </c>
      <c r="D356" s="107">
        <v>0</v>
      </c>
      <c r="E356" s="107">
        <v>0</v>
      </c>
      <c r="F356" s="107">
        <v>0</v>
      </c>
      <c r="G356" s="107">
        <v>0</v>
      </c>
      <c r="H356" s="107">
        <v>0</v>
      </c>
      <c r="I356" s="107">
        <v>0</v>
      </c>
      <c r="J356" s="107">
        <v>0</v>
      </c>
    </row>
    <row r="357" spans="1:10" ht="15" x14ac:dyDescent="0.2">
      <c r="A357" s="108" t="s">
        <v>36</v>
      </c>
      <c r="B357" s="108" t="s">
        <v>158</v>
      </c>
      <c r="C357" s="106">
        <f t="shared" si="4"/>
        <v>8</v>
      </c>
      <c r="D357" s="109">
        <v>0</v>
      </c>
      <c r="E357" s="109">
        <v>0</v>
      </c>
      <c r="F357" s="107">
        <v>0</v>
      </c>
      <c r="G357" s="107">
        <v>0</v>
      </c>
      <c r="H357" s="107">
        <v>0</v>
      </c>
      <c r="I357" s="107">
        <v>0</v>
      </c>
      <c r="J357" s="107">
        <v>0</v>
      </c>
    </row>
    <row r="358" spans="1:10" ht="15" x14ac:dyDescent="0.2">
      <c r="A358" s="105" t="s">
        <v>36</v>
      </c>
      <c r="B358" s="105" t="s">
        <v>159</v>
      </c>
      <c r="C358" s="106">
        <f t="shared" ref="C358:C421" si="5">_xlfn.IFS(B358="Janeiro",1,B358="Fevereiro",2,B358="Março",3,B358="Abril",4,B358="Maio",5,B358="Junho",6,B358="Julho",7,B358="Agosto",8,B358="Setembro",9,B358="Outubro",10,B358="Novembro",11,B358="Dezembro",12,TRUE,0)</f>
        <v>9</v>
      </c>
      <c r="D358" s="107">
        <v>0</v>
      </c>
      <c r="E358" s="107">
        <v>0</v>
      </c>
      <c r="F358" s="107">
        <v>0</v>
      </c>
      <c r="G358" s="107">
        <v>0</v>
      </c>
      <c r="H358" s="107">
        <v>0</v>
      </c>
      <c r="I358" s="107">
        <v>0</v>
      </c>
      <c r="J358" s="107">
        <v>0</v>
      </c>
    </row>
    <row r="359" spans="1:10" ht="15" x14ac:dyDescent="0.2">
      <c r="A359" s="108" t="s">
        <v>36</v>
      </c>
      <c r="B359" s="108" t="s">
        <v>160</v>
      </c>
      <c r="C359" s="106">
        <f t="shared" si="5"/>
        <v>10</v>
      </c>
      <c r="D359" s="109">
        <v>0</v>
      </c>
      <c r="E359" s="109">
        <v>0</v>
      </c>
      <c r="F359" s="107">
        <v>0</v>
      </c>
      <c r="G359" s="107">
        <v>0</v>
      </c>
      <c r="H359" s="107">
        <v>0</v>
      </c>
      <c r="I359" s="107">
        <v>0</v>
      </c>
      <c r="J359" s="107">
        <v>0</v>
      </c>
    </row>
    <row r="360" spans="1:10" ht="15" x14ac:dyDescent="0.2">
      <c r="A360" s="105" t="s">
        <v>36</v>
      </c>
      <c r="B360" s="105" t="s">
        <v>161</v>
      </c>
      <c r="C360" s="106">
        <f t="shared" si="5"/>
        <v>11</v>
      </c>
      <c r="D360" s="107">
        <v>0</v>
      </c>
      <c r="E360" s="107">
        <v>0</v>
      </c>
      <c r="F360" s="107">
        <v>0</v>
      </c>
      <c r="G360" s="107">
        <v>0</v>
      </c>
      <c r="H360" s="107">
        <v>0</v>
      </c>
      <c r="I360" s="107">
        <v>0</v>
      </c>
      <c r="J360" s="107">
        <v>0</v>
      </c>
    </row>
    <row r="361" spans="1:10" ht="15" x14ac:dyDescent="0.2">
      <c r="A361" s="108" t="s">
        <v>36</v>
      </c>
      <c r="B361" s="108" t="s">
        <v>162</v>
      </c>
      <c r="C361" s="106">
        <f t="shared" si="5"/>
        <v>12</v>
      </c>
      <c r="D361" s="109">
        <v>0</v>
      </c>
      <c r="E361" s="109">
        <v>0</v>
      </c>
      <c r="F361" s="107">
        <v>0</v>
      </c>
      <c r="G361" s="107">
        <v>0</v>
      </c>
      <c r="H361" s="107">
        <v>0</v>
      </c>
      <c r="I361" s="107">
        <v>0</v>
      </c>
      <c r="J361" s="107">
        <v>0</v>
      </c>
    </row>
    <row r="362" spans="1:10" ht="15" x14ac:dyDescent="0.2">
      <c r="A362" s="105" t="s">
        <v>82</v>
      </c>
      <c r="B362" s="105" t="s">
        <v>151</v>
      </c>
      <c r="C362" s="106">
        <f t="shared" si="5"/>
        <v>1</v>
      </c>
      <c r="D362" s="107">
        <v>0</v>
      </c>
      <c r="E362" s="107">
        <v>0</v>
      </c>
      <c r="F362" s="107">
        <v>0</v>
      </c>
      <c r="G362" s="107">
        <v>0</v>
      </c>
      <c r="H362" s="107">
        <v>0</v>
      </c>
      <c r="I362" s="107">
        <v>0</v>
      </c>
      <c r="J362" s="107">
        <v>0</v>
      </c>
    </row>
    <row r="363" spans="1:10" ht="15" x14ac:dyDescent="0.2">
      <c r="A363" s="108" t="s">
        <v>82</v>
      </c>
      <c r="B363" s="108" t="s">
        <v>152</v>
      </c>
      <c r="C363" s="106">
        <f t="shared" si="5"/>
        <v>2</v>
      </c>
      <c r="D363" s="109">
        <v>0</v>
      </c>
      <c r="E363" s="109">
        <v>0</v>
      </c>
      <c r="F363" s="107">
        <v>0</v>
      </c>
      <c r="G363" s="107">
        <v>0</v>
      </c>
      <c r="H363" s="107">
        <v>0</v>
      </c>
      <c r="I363" s="107">
        <v>0</v>
      </c>
      <c r="J363" s="107">
        <v>0</v>
      </c>
    </row>
    <row r="364" spans="1:10" ht="15" x14ac:dyDescent="0.2">
      <c r="A364" s="105" t="s">
        <v>82</v>
      </c>
      <c r="B364" s="105" t="s">
        <v>153</v>
      </c>
      <c r="C364" s="106">
        <f t="shared" si="5"/>
        <v>3</v>
      </c>
      <c r="D364" s="107">
        <v>7</v>
      </c>
      <c r="E364" s="107">
        <v>58</v>
      </c>
      <c r="F364" s="107">
        <v>0</v>
      </c>
      <c r="G364" s="107">
        <v>0</v>
      </c>
      <c r="H364" s="107">
        <v>0</v>
      </c>
      <c r="I364" s="107">
        <v>0</v>
      </c>
      <c r="J364" s="107">
        <v>1</v>
      </c>
    </row>
    <row r="365" spans="1:10" ht="15" x14ac:dyDescent="0.2">
      <c r="A365" s="108" t="s">
        <v>82</v>
      </c>
      <c r="B365" s="108" t="s">
        <v>154</v>
      </c>
      <c r="C365" s="106">
        <f t="shared" si="5"/>
        <v>4</v>
      </c>
      <c r="D365" s="109">
        <v>0</v>
      </c>
      <c r="E365" s="109">
        <v>0</v>
      </c>
      <c r="F365" s="107">
        <v>0</v>
      </c>
      <c r="G365" s="107">
        <v>0</v>
      </c>
      <c r="H365" s="107">
        <v>0</v>
      </c>
      <c r="I365" s="107">
        <v>0</v>
      </c>
      <c r="J365" s="107">
        <v>0</v>
      </c>
    </row>
    <row r="366" spans="1:10" ht="15" x14ac:dyDescent="0.2">
      <c r="A366" s="105" t="s">
        <v>82</v>
      </c>
      <c r="B366" s="105" t="s">
        <v>155</v>
      </c>
      <c r="C366" s="106">
        <f t="shared" si="5"/>
        <v>5</v>
      </c>
      <c r="D366" s="107">
        <v>0</v>
      </c>
      <c r="E366" s="107">
        <v>0</v>
      </c>
      <c r="F366" s="107">
        <v>0</v>
      </c>
      <c r="G366" s="107">
        <v>0</v>
      </c>
      <c r="H366" s="107">
        <v>0</v>
      </c>
      <c r="I366" s="107">
        <v>0</v>
      </c>
      <c r="J366" s="107">
        <v>0</v>
      </c>
    </row>
    <row r="367" spans="1:10" ht="15" x14ac:dyDescent="0.2">
      <c r="A367" s="108" t="s">
        <v>82</v>
      </c>
      <c r="B367" s="108" t="s">
        <v>156</v>
      </c>
      <c r="C367" s="106">
        <f t="shared" si="5"/>
        <v>6</v>
      </c>
      <c r="D367" s="109">
        <v>7</v>
      </c>
      <c r="E367" s="109">
        <v>58</v>
      </c>
      <c r="F367" s="107">
        <v>0</v>
      </c>
      <c r="G367" s="107">
        <v>0</v>
      </c>
      <c r="H367" s="107">
        <v>0</v>
      </c>
      <c r="I367" s="107">
        <v>0</v>
      </c>
      <c r="J367" s="107">
        <v>2</v>
      </c>
    </row>
    <row r="368" spans="1:10" ht="15" x14ac:dyDescent="0.2">
      <c r="A368" s="105" t="s">
        <v>82</v>
      </c>
      <c r="B368" s="105" t="s">
        <v>157</v>
      </c>
      <c r="C368" s="106">
        <f t="shared" si="5"/>
        <v>7</v>
      </c>
      <c r="D368" s="107">
        <v>0</v>
      </c>
      <c r="E368" s="107">
        <v>0</v>
      </c>
      <c r="F368" s="107">
        <v>0</v>
      </c>
      <c r="G368" s="107">
        <v>0</v>
      </c>
      <c r="H368" s="107">
        <v>0</v>
      </c>
      <c r="I368" s="107">
        <v>0</v>
      </c>
      <c r="J368" s="107">
        <v>0</v>
      </c>
    </row>
    <row r="369" spans="1:10" ht="15" x14ac:dyDescent="0.2">
      <c r="A369" s="108" t="s">
        <v>82</v>
      </c>
      <c r="B369" s="108" t="s">
        <v>158</v>
      </c>
      <c r="C369" s="106">
        <f t="shared" si="5"/>
        <v>8</v>
      </c>
      <c r="D369" s="109">
        <v>0</v>
      </c>
      <c r="E369" s="109">
        <v>0</v>
      </c>
      <c r="F369" s="107">
        <v>0</v>
      </c>
      <c r="G369" s="107">
        <v>0</v>
      </c>
      <c r="H369" s="107">
        <v>0</v>
      </c>
      <c r="I369" s="107">
        <v>0</v>
      </c>
      <c r="J369" s="107">
        <v>0</v>
      </c>
    </row>
    <row r="370" spans="1:10" ht="15" x14ac:dyDescent="0.2">
      <c r="A370" s="105" t="s">
        <v>82</v>
      </c>
      <c r="B370" s="105" t="s">
        <v>159</v>
      </c>
      <c r="C370" s="106">
        <f t="shared" si="5"/>
        <v>9</v>
      </c>
      <c r="D370" s="107">
        <v>0</v>
      </c>
      <c r="E370" s="107">
        <v>0</v>
      </c>
      <c r="F370" s="107">
        <v>0</v>
      </c>
      <c r="G370" s="107">
        <v>0</v>
      </c>
      <c r="H370" s="107">
        <v>0</v>
      </c>
      <c r="I370" s="107">
        <v>0</v>
      </c>
      <c r="J370" s="107">
        <v>0</v>
      </c>
    </row>
    <row r="371" spans="1:10" ht="15" x14ac:dyDescent="0.2">
      <c r="A371" s="108" t="s">
        <v>82</v>
      </c>
      <c r="B371" s="108" t="s">
        <v>160</v>
      </c>
      <c r="C371" s="106">
        <f t="shared" si="5"/>
        <v>10</v>
      </c>
      <c r="D371" s="109">
        <v>0</v>
      </c>
      <c r="E371" s="109">
        <v>0</v>
      </c>
      <c r="F371" s="107">
        <v>0</v>
      </c>
      <c r="G371" s="107">
        <v>0</v>
      </c>
      <c r="H371" s="107">
        <v>0</v>
      </c>
      <c r="I371" s="107">
        <v>0</v>
      </c>
      <c r="J371" s="107">
        <v>0</v>
      </c>
    </row>
    <row r="372" spans="1:10" ht="15" x14ac:dyDescent="0.2">
      <c r="A372" s="105" t="s">
        <v>82</v>
      </c>
      <c r="B372" s="105" t="s">
        <v>161</v>
      </c>
      <c r="C372" s="106">
        <f t="shared" si="5"/>
        <v>11</v>
      </c>
      <c r="D372" s="107">
        <v>0</v>
      </c>
      <c r="E372" s="107">
        <v>0</v>
      </c>
      <c r="F372" s="107">
        <v>0</v>
      </c>
      <c r="G372" s="107">
        <v>0</v>
      </c>
      <c r="H372" s="107">
        <v>0</v>
      </c>
      <c r="I372" s="107">
        <v>0</v>
      </c>
      <c r="J372" s="107">
        <v>0</v>
      </c>
    </row>
    <row r="373" spans="1:10" ht="15" x14ac:dyDescent="0.2">
      <c r="A373" s="108" t="s">
        <v>82</v>
      </c>
      <c r="B373" s="108" t="s">
        <v>162</v>
      </c>
      <c r="C373" s="106">
        <f t="shared" si="5"/>
        <v>12</v>
      </c>
      <c r="D373" s="109">
        <v>0</v>
      </c>
      <c r="E373" s="109">
        <v>0</v>
      </c>
      <c r="F373" s="107">
        <v>0</v>
      </c>
      <c r="G373" s="107">
        <v>0</v>
      </c>
      <c r="H373" s="107">
        <v>0</v>
      </c>
      <c r="I373" s="107">
        <v>0</v>
      </c>
      <c r="J373" s="107">
        <v>0</v>
      </c>
    </row>
    <row r="374" spans="1:10" ht="15" x14ac:dyDescent="0.2">
      <c r="A374" s="105" t="s">
        <v>64</v>
      </c>
      <c r="B374" s="105" t="s">
        <v>151</v>
      </c>
      <c r="C374" s="106">
        <f t="shared" si="5"/>
        <v>1</v>
      </c>
      <c r="D374" s="107">
        <v>0</v>
      </c>
      <c r="E374" s="107">
        <v>0</v>
      </c>
      <c r="F374" s="107">
        <v>0</v>
      </c>
      <c r="G374" s="107">
        <v>0</v>
      </c>
      <c r="H374" s="107">
        <v>0</v>
      </c>
      <c r="I374" s="107">
        <v>0</v>
      </c>
      <c r="J374" s="107">
        <v>0</v>
      </c>
    </row>
    <row r="375" spans="1:10" ht="15" x14ac:dyDescent="0.2">
      <c r="A375" s="108" t="s">
        <v>64</v>
      </c>
      <c r="B375" s="108" t="s">
        <v>152</v>
      </c>
      <c r="C375" s="106">
        <f t="shared" si="5"/>
        <v>2</v>
      </c>
      <c r="D375" s="109">
        <v>0</v>
      </c>
      <c r="E375" s="109">
        <v>0</v>
      </c>
      <c r="F375" s="107">
        <v>0</v>
      </c>
      <c r="G375" s="107">
        <v>0</v>
      </c>
      <c r="H375" s="107">
        <v>0</v>
      </c>
      <c r="I375" s="107">
        <v>0</v>
      </c>
      <c r="J375" s="107">
        <v>0</v>
      </c>
    </row>
    <row r="376" spans="1:10" ht="15" x14ac:dyDescent="0.2">
      <c r="A376" s="105" t="s">
        <v>64</v>
      </c>
      <c r="B376" s="105" t="s">
        <v>153</v>
      </c>
      <c r="C376" s="106">
        <f t="shared" si="5"/>
        <v>3</v>
      </c>
      <c r="D376" s="107">
        <v>0</v>
      </c>
      <c r="E376" s="107">
        <v>0</v>
      </c>
      <c r="F376" s="107">
        <v>0</v>
      </c>
      <c r="G376" s="107">
        <v>0</v>
      </c>
      <c r="H376" s="107">
        <v>0</v>
      </c>
      <c r="I376" s="107">
        <v>0</v>
      </c>
      <c r="J376" s="107">
        <v>0</v>
      </c>
    </row>
    <row r="377" spans="1:10" ht="15" x14ac:dyDescent="0.2">
      <c r="A377" s="108" t="s">
        <v>64</v>
      </c>
      <c r="B377" s="108" t="s">
        <v>154</v>
      </c>
      <c r="C377" s="106">
        <f t="shared" si="5"/>
        <v>4</v>
      </c>
      <c r="D377" s="109">
        <v>0</v>
      </c>
      <c r="E377" s="109">
        <v>0</v>
      </c>
      <c r="F377" s="107">
        <v>0</v>
      </c>
      <c r="G377" s="107">
        <v>0</v>
      </c>
      <c r="H377" s="107">
        <v>0</v>
      </c>
      <c r="I377" s="107">
        <v>0</v>
      </c>
      <c r="J377" s="107">
        <v>0</v>
      </c>
    </row>
    <row r="378" spans="1:10" ht="15" x14ac:dyDescent="0.2">
      <c r="A378" s="105" t="s">
        <v>64</v>
      </c>
      <c r="B378" s="105" t="s">
        <v>155</v>
      </c>
      <c r="C378" s="106">
        <f t="shared" si="5"/>
        <v>5</v>
      </c>
      <c r="D378" s="107">
        <v>0</v>
      </c>
      <c r="E378" s="107">
        <v>0</v>
      </c>
      <c r="F378" s="107">
        <v>0</v>
      </c>
      <c r="G378" s="107">
        <v>0</v>
      </c>
      <c r="H378" s="107">
        <v>0</v>
      </c>
      <c r="I378" s="107">
        <v>0</v>
      </c>
      <c r="J378" s="107">
        <v>0</v>
      </c>
    </row>
    <row r="379" spans="1:10" ht="15" x14ac:dyDescent="0.2">
      <c r="A379" s="108" t="s">
        <v>64</v>
      </c>
      <c r="B379" s="108" t="s">
        <v>156</v>
      </c>
      <c r="C379" s="106">
        <f t="shared" si="5"/>
        <v>6</v>
      </c>
      <c r="D379" s="109">
        <v>0</v>
      </c>
      <c r="E379" s="109">
        <v>0</v>
      </c>
      <c r="F379" s="107">
        <v>0</v>
      </c>
      <c r="G379" s="107">
        <v>0</v>
      </c>
      <c r="H379" s="107">
        <v>0</v>
      </c>
      <c r="I379" s="107">
        <v>0</v>
      </c>
      <c r="J379" s="107">
        <v>0</v>
      </c>
    </row>
    <row r="380" spans="1:10" ht="15" x14ac:dyDescent="0.2">
      <c r="A380" s="105" t="s">
        <v>64</v>
      </c>
      <c r="B380" s="105" t="s">
        <v>157</v>
      </c>
      <c r="C380" s="106">
        <f t="shared" si="5"/>
        <v>7</v>
      </c>
      <c r="D380" s="107">
        <v>0</v>
      </c>
      <c r="E380" s="107">
        <v>0</v>
      </c>
      <c r="F380" s="107">
        <v>0</v>
      </c>
      <c r="G380" s="107">
        <v>0</v>
      </c>
      <c r="H380" s="107">
        <v>0</v>
      </c>
      <c r="I380" s="107">
        <v>0</v>
      </c>
      <c r="J380" s="107">
        <v>0</v>
      </c>
    </row>
    <row r="381" spans="1:10" ht="15" x14ac:dyDescent="0.2">
      <c r="A381" s="108" t="s">
        <v>64</v>
      </c>
      <c r="B381" s="108" t="s">
        <v>158</v>
      </c>
      <c r="C381" s="106">
        <f t="shared" si="5"/>
        <v>8</v>
      </c>
      <c r="D381" s="109">
        <v>0</v>
      </c>
      <c r="E381" s="109">
        <v>0</v>
      </c>
      <c r="F381" s="107">
        <v>0</v>
      </c>
      <c r="G381" s="107">
        <v>0</v>
      </c>
      <c r="H381" s="107">
        <v>0</v>
      </c>
      <c r="I381" s="107">
        <v>0</v>
      </c>
      <c r="J381" s="107">
        <v>0</v>
      </c>
    </row>
    <row r="382" spans="1:10" ht="15" x14ac:dyDescent="0.2">
      <c r="A382" s="105" t="s">
        <v>64</v>
      </c>
      <c r="B382" s="105" t="s">
        <v>159</v>
      </c>
      <c r="C382" s="106">
        <f t="shared" si="5"/>
        <v>9</v>
      </c>
      <c r="D382" s="107">
        <v>0</v>
      </c>
      <c r="E382" s="107">
        <v>0</v>
      </c>
      <c r="F382" s="107">
        <v>0</v>
      </c>
      <c r="G382" s="107">
        <v>0</v>
      </c>
      <c r="H382" s="107">
        <v>0</v>
      </c>
      <c r="I382" s="107">
        <v>0</v>
      </c>
      <c r="J382" s="107">
        <v>0</v>
      </c>
    </row>
    <row r="383" spans="1:10" ht="15" x14ac:dyDescent="0.2">
      <c r="A383" s="108" t="s">
        <v>64</v>
      </c>
      <c r="B383" s="108" t="s">
        <v>160</v>
      </c>
      <c r="C383" s="106">
        <f t="shared" si="5"/>
        <v>10</v>
      </c>
      <c r="D383" s="109">
        <v>0</v>
      </c>
      <c r="E383" s="109">
        <v>0</v>
      </c>
      <c r="F383" s="107">
        <v>0</v>
      </c>
      <c r="G383" s="107">
        <v>0</v>
      </c>
      <c r="H383" s="107">
        <v>0</v>
      </c>
      <c r="I383" s="107">
        <v>0</v>
      </c>
      <c r="J383" s="107">
        <v>0</v>
      </c>
    </row>
    <row r="384" spans="1:10" ht="15" x14ac:dyDescent="0.2">
      <c r="A384" s="105" t="s">
        <v>64</v>
      </c>
      <c r="B384" s="105" t="s">
        <v>161</v>
      </c>
      <c r="C384" s="106">
        <f t="shared" si="5"/>
        <v>11</v>
      </c>
      <c r="D384" s="107">
        <v>0</v>
      </c>
      <c r="E384" s="107">
        <v>0</v>
      </c>
      <c r="F384" s="107">
        <v>0</v>
      </c>
      <c r="G384" s="107">
        <v>0</v>
      </c>
      <c r="H384" s="107">
        <v>0</v>
      </c>
      <c r="I384" s="107">
        <v>0</v>
      </c>
      <c r="J384" s="107">
        <v>0</v>
      </c>
    </row>
    <row r="385" spans="1:10" ht="15" x14ac:dyDescent="0.2">
      <c r="A385" s="108" t="s">
        <v>64</v>
      </c>
      <c r="B385" s="108" t="s">
        <v>162</v>
      </c>
      <c r="C385" s="106">
        <f t="shared" si="5"/>
        <v>12</v>
      </c>
      <c r="D385" s="109">
        <v>0</v>
      </c>
      <c r="E385" s="109">
        <v>0</v>
      </c>
      <c r="F385" s="107">
        <v>0</v>
      </c>
      <c r="G385" s="107">
        <v>0</v>
      </c>
      <c r="H385" s="107">
        <v>0</v>
      </c>
      <c r="I385" s="107">
        <v>0</v>
      </c>
      <c r="J385" s="107">
        <v>0</v>
      </c>
    </row>
    <row r="386" spans="1:10" ht="15" x14ac:dyDescent="0.2">
      <c r="A386" s="105" t="s">
        <v>135</v>
      </c>
      <c r="B386" s="105" t="s">
        <v>151</v>
      </c>
      <c r="C386" s="106">
        <f t="shared" si="5"/>
        <v>1</v>
      </c>
      <c r="D386" s="107">
        <v>0</v>
      </c>
      <c r="E386" s="107">
        <v>0</v>
      </c>
      <c r="F386" s="107">
        <v>0</v>
      </c>
      <c r="G386" s="107">
        <v>0</v>
      </c>
      <c r="H386" s="107">
        <v>0</v>
      </c>
      <c r="I386" s="107">
        <v>0</v>
      </c>
      <c r="J386" s="107">
        <v>0</v>
      </c>
    </row>
    <row r="387" spans="1:10" ht="15" x14ac:dyDescent="0.2">
      <c r="A387" s="108" t="s">
        <v>135</v>
      </c>
      <c r="B387" s="108" t="s">
        <v>152</v>
      </c>
      <c r="C387" s="106">
        <f t="shared" si="5"/>
        <v>2</v>
      </c>
      <c r="D387" s="109">
        <v>0</v>
      </c>
      <c r="E387" s="109">
        <v>0</v>
      </c>
      <c r="F387" s="107">
        <v>0</v>
      </c>
      <c r="G387" s="107">
        <v>0</v>
      </c>
      <c r="H387" s="107">
        <v>0</v>
      </c>
      <c r="I387" s="107">
        <v>0</v>
      </c>
      <c r="J387" s="107">
        <v>0</v>
      </c>
    </row>
    <row r="388" spans="1:10" ht="15" x14ac:dyDescent="0.2">
      <c r="A388" s="105" t="s">
        <v>135</v>
      </c>
      <c r="B388" s="105" t="s">
        <v>153</v>
      </c>
      <c r="C388" s="106">
        <f t="shared" si="5"/>
        <v>3</v>
      </c>
      <c r="D388" s="107">
        <v>0</v>
      </c>
      <c r="E388" s="107">
        <v>0</v>
      </c>
      <c r="F388" s="107">
        <v>0</v>
      </c>
      <c r="G388" s="107">
        <v>0</v>
      </c>
      <c r="H388" s="107">
        <v>0</v>
      </c>
      <c r="I388" s="107">
        <v>0</v>
      </c>
      <c r="J388" s="107">
        <v>0</v>
      </c>
    </row>
    <row r="389" spans="1:10" ht="15" x14ac:dyDescent="0.2">
      <c r="A389" s="108" t="s">
        <v>135</v>
      </c>
      <c r="B389" s="108" t="s">
        <v>154</v>
      </c>
      <c r="C389" s="106">
        <f t="shared" si="5"/>
        <v>4</v>
      </c>
      <c r="D389" s="109">
        <v>0</v>
      </c>
      <c r="E389" s="109">
        <v>0</v>
      </c>
      <c r="F389" s="107">
        <v>0</v>
      </c>
      <c r="G389" s="107">
        <v>0</v>
      </c>
      <c r="H389" s="107">
        <v>0</v>
      </c>
      <c r="I389" s="107">
        <v>0</v>
      </c>
      <c r="J389" s="107">
        <v>0</v>
      </c>
    </row>
    <row r="390" spans="1:10" ht="15" x14ac:dyDescent="0.2">
      <c r="A390" s="105" t="s">
        <v>135</v>
      </c>
      <c r="B390" s="105" t="s">
        <v>155</v>
      </c>
      <c r="C390" s="106">
        <f t="shared" si="5"/>
        <v>5</v>
      </c>
      <c r="D390" s="107">
        <v>5</v>
      </c>
      <c r="E390" s="107">
        <v>83</v>
      </c>
      <c r="F390" s="107">
        <v>0</v>
      </c>
      <c r="G390" s="107">
        <v>0</v>
      </c>
      <c r="H390" s="107">
        <v>0</v>
      </c>
      <c r="I390" s="107">
        <v>0</v>
      </c>
      <c r="J390" s="107">
        <v>1</v>
      </c>
    </row>
    <row r="391" spans="1:10" ht="15" x14ac:dyDescent="0.2">
      <c r="A391" s="108" t="s">
        <v>135</v>
      </c>
      <c r="B391" s="108" t="s">
        <v>156</v>
      </c>
      <c r="C391" s="106">
        <f t="shared" si="5"/>
        <v>6</v>
      </c>
      <c r="D391" s="109">
        <v>0</v>
      </c>
      <c r="E391" s="109">
        <v>0</v>
      </c>
      <c r="F391" s="107">
        <v>0</v>
      </c>
      <c r="G391" s="107">
        <v>0</v>
      </c>
      <c r="H391" s="107">
        <v>0</v>
      </c>
      <c r="I391" s="107">
        <v>0</v>
      </c>
      <c r="J391" s="107">
        <v>0</v>
      </c>
    </row>
    <row r="392" spans="1:10" ht="15" x14ac:dyDescent="0.2">
      <c r="A392" s="105" t="s">
        <v>135</v>
      </c>
      <c r="B392" s="105" t="s">
        <v>157</v>
      </c>
      <c r="C392" s="106">
        <f t="shared" si="5"/>
        <v>7</v>
      </c>
      <c r="D392" s="107">
        <v>0</v>
      </c>
      <c r="E392" s="107">
        <v>0</v>
      </c>
      <c r="F392" s="107">
        <v>0</v>
      </c>
      <c r="G392" s="107">
        <v>0</v>
      </c>
      <c r="H392" s="107">
        <v>0</v>
      </c>
      <c r="I392" s="107">
        <v>0</v>
      </c>
      <c r="J392" s="107">
        <v>0</v>
      </c>
    </row>
    <row r="393" spans="1:10" ht="15" x14ac:dyDescent="0.2">
      <c r="A393" s="108" t="s">
        <v>135</v>
      </c>
      <c r="B393" s="108" t="s">
        <v>158</v>
      </c>
      <c r="C393" s="106">
        <f t="shared" si="5"/>
        <v>8</v>
      </c>
      <c r="D393" s="109">
        <v>0</v>
      </c>
      <c r="E393" s="109">
        <v>0</v>
      </c>
      <c r="F393" s="107">
        <v>0</v>
      </c>
      <c r="G393" s="107">
        <v>0</v>
      </c>
      <c r="H393" s="107">
        <v>0</v>
      </c>
      <c r="I393" s="107">
        <v>0</v>
      </c>
      <c r="J393" s="107">
        <v>0</v>
      </c>
    </row>
    <row r="394" spans="1:10" ht="15" x14ac:dyDescent="0.2">
      <c r="A394" s="105" t="s">
        <v>135</v>
      </c>
      <c r="B394" s="105" t="s">
        <v>159</v>
      </c>
      <c r="C394" s="106">
        <f t="shared" si="5"/>
        <v>9</v>
      </c>
      <c r="D394" s="107">
        <v>0</v>
      </c>
      <c r="E394" s="107">
        <v>0</v>
      </c>
      <c r="F394" s="107">
        <v>0</v>
      </c>
      <c r="G394" s="107">
        <v>0</v>
      </c>
      <c r="H394" s="107">
        <v>0</v>
      </c>
      <c r="I394" s="107">
        <v>0</v>
      </c>
      <c r="J394" s="107">
        <v>0</v>
      </c>
    </row>
    <row r="395" spans="1:10" ht="15" x14ac:dyDescent="0.2">
      <c r="A395" s="108" t="s">
        <v>135</v>
      </c>
      <c r="B395" s="108" t="s">
        <v>160</v>
      </c>
      <c r="C395" s="106">
        <f t="shared" si="5"/>
        <v>10</v>
      </c>
      <c r="D395" s="109">
        <v>0</v>
      </c>
      <c r="E395" s="109">
        <v>0</v>
      </c>
      <c r="F395" s="107">
        <v>0</v>
      </c>
      <c r="G395" s="107">
        <v>0</v>
      </c>
      <c r="H395" s="107">
        <v>0</v>
      </c>
      <c r="I395" s="107">
        <v>0</v>
      </c>
      <c r="J395" s="107">
        <v>0</v>
      </c>
    </row>
    <row r="396" spans="1:10" ht="15" x14ac:dyDescent="0.2">
      <c r="A396" s="105" t="s">
        <v>135</v>
      </c>
      <c r="B396" s="105" t="s">
        <v>161</v>
      </c>
      <c r="C396" s="106">
        <f t="shared" si="5"/>
        <v>11</v>
      </c>
      <c r="D396" s="107">
        <v>0</v>
      </c>
      <c r="E396" s="107">
        <v>0</v>
      </c>
      <c r="F396" s="107">
        <v>0</v>
      </c>
      <c r="G396" s="107">
        <v>0</v>
      </c>
      <c r="H396" s="107">
        <v>0</v>
      </c>
      <c r="I396" s="107">
        <v>0</v>
      </c>
      <c r="J396" s="107">
        <v>0</v>
      </c>
    </row>
    <row r="397" spans="1:10" ht="15" x14ac:dyDescent="0.2">
      <c r="A397" s="108" t="s">
        <v>135</v>
      </c>
      <c r="B397" s="108" t="s">
        <v>162</v>
      </c>
      <c r="C397" s="106">
        <f t="shared" si="5"/>
        <v>12</v>
      </c>
      <c r="D397" s="109">
        <v>0</v>
      </c>
      <c r="E397" s="109">
        <v>0</v>
      </c>
      <c r="F397" s="107">
        <v>0</v>
      </c>
      <c r="G397" s="107">
        <v>0</v>
      </c>
      <c r="H397" s="107">
        <v>0</v>
      </c>
      <c r="I397" s="107">
        <v>0</v>
      </c>
      <c r="J397" s="107">
        <v>0</v>
      </c>
    </row>
    <row r="398" spans="1:10" ht="15" x14ac:dyDescent="0.2">
      <c r="A398" s="105" t="s">
        <v>103</v>
      </c>
      <c r="B398" s="105" t="s">
        <v>151</v>
      </c>
      <c r="C398" s="106">
        <f t="shared" si="5"/>
        <v>1</v>
      </c>
      <c r="D398" s="107">
        <v>0</v>
      </c>
      <c r="E398" s="107">
        <v>0</v>
      </c>
      <c r="F398" s="107">
        <v>0</v>
      </c>
      <c r="G398" s="107">
        <v>0</v>
      </c>
      <c r="H398" s="107">
        <v>0</v>
      </c>
      <c r="I398" s="107">
        <v>0</v>
      </c>
      <c r="J398" s="107">
        <v>0</v>
      </c>
    </row>
    <row r="399" spans="1:10" ht="15" x14ac:dyDescent="0.2">
      <c r="A399" s="108" t="s">
        <v>103</v>
      </c>
      <c r="B399" s="108" t="s">
        <v>152</v>
      </c>
      <c r="C399" s="106">
        <f t="shared" si="5"/>
        <v>2</v>
      </c>
      <c r="D399" s="109">
        <v>3</v>
      </c>
      <c r="E399" s="109">
        <v>12</v>
      </c>
      <c r="F399" s="107">
        <v>0</v>
      </c>
      <c r="G399" s="107">
        <v>0</v>
      </c>
      <c r="H399" s="107">
        <v>0</v>
      </c>
      <c r="I399" s="107">
        <v>0</v>
      </c>
      <c r="J399" s="107">
        <v>1</v>
      </c>
    </row>
    <row r="400" spans="1:10" ht="15" x14ac:dyDescent="0.2">
      <c r="A400" s="105" t="s">
        <v>103</v>
      </c>
      <c r="B400" s="105" t="s">
        <v>153</v>
      </c>
      <c r="C400" s="106">
        <f t="shared" si="5"/>
        <v>3</v>
      </c>
      <c r="D400" s="107">
        <v>5</v>
      </c>
      <c r="E400" s="107">
        <v>20</v>
      </c>
      <c r="F400" s="107">
        <v>0</v>
      </c>
      <c r="G400" s="107">
        <v>0</v>
      </c>
      <c r="H400" s="107">
        <v>0</v>
      </c>
      <c r="I400" s="107">
        <v>0</v>
      </c>
      <c r="J400" s="107">
        <v>2</v>
      </c>
    </row>
    <row r="401" spans="1:10" ht="15" x14ac:dyDescent="0.2">
      <c r="A401" s="108" t="s">
        <v>103</v>
      </c>
      <c r="B401" s="108" t="s">
        <v>154</v>
      </c>
      <c r="C401" s="106">
        <f t="shared" si="5"/>
        <v>4</v>
      </c>
      <c r="D401" s="109">
        <v>0</v>
      </c>
      <c r="E401" s="109">
        <v>0</v>
      </c>
      <c r="F401" s="107">
        <v>0</v>
      </c>
      <c r="G401" s="107">
        <v>0</v>
      </c>
      <c r="H401" s="107">
        <v>0</v>
      </c>
      <c r="I401" s="107">
        <v>0</v>
      </c>
      <c r="J401" s="107">
        <v>0</v>
      </c>
    </row>
    <row r="402" spans="1:10" ht="15" x14ac:dyDescent="0.2">
      <c r="A402" s="105" t="s">
        <v>103</v>
      </c>
      <c r="B402" s="105" t="s">
        <v>155</v>
      </c>
      <c r="C402" s="106">
        <f t="shared" si="5"/>
        <v>5</v>
      </c>
      <c r="D402" s="107">
        <v>0</v>
      </c>
      <c r="E402" s="107">
        <v>0</v>
      </c>
      <c r="F402" s="107">
        <v>0</v>
      </c>
      <c r="G402" s="107">
        <v>0</v>
      </c>
      <c r="H402" s="107">
        <v>0</v>
      </c>
      <c r="I402" s="107">
        <v>0</v>
      </c>
      <c r="J402" s="107">
        <v>0</v>
      </c>
    </row>
    <row r="403" spans="1:10" ht="15" x14ac:dyDescent="0.2">
      <c r="A403" s="108" t="s">
        <v>103</v>
      </c>
      <c r="B403" s="108" t="s">
        <v>156</v>
      </c>
      <c r="C403" s="106">
        <f t="shared" si="5"/>
        <v>6</v>
      </c>
      <c r="D403" s="109">
        <v>0</v>
      </c>
      <c r="E403" s="109">
        <v>0</v>
      </c>
      <c r="F403" s="107">
        <v>0</v>
      </c>
      <c r="G403" s="107">
        <v>0</v>
      </c>
      <c r="H403" s="107">
        <v>0</v>
      </c>
      <c r="I403" s="107">
        <v>0</v>
      </c>
      <c r="J403" s="107">
        <v>0</v>
      </c>
    </row>
    <row r="404" spans="1:10" ht="15" x14ac:dyDescent="0.2">
      <c r="A404" s="105" t="s">
        <v>103</v>
      </c>
      <c r="B404" s="105" t="s">
        <v>157</v>
      </c>
      <c r="C404" s="106">
        <f t="shared" si="5"/>
        <v>7</v>
      </c>
      <c r="D404" s="107">
        <v>0</v>
      </c>
      <c r="E404" s="107">
        <v>0</v>
      </c>
      <c r="F404" s="107">
        <v>0</v>
      </c>
      <c r="G404" s="107">
        <v>0</v>
      </c>
      <c r="H404" s="107">
        <v>0</v>
      </c>
      <c r="I404" s="107">
        <v>0</v>
      </c>
      <c r="J404" s="107">
        <v>0</v>
      </c>
    </row>
    <row r="405" spans="1:10" ht="15" x14ac:dyDescent="0.2">
      <c r="A405" s="108" t="s">
        <v>103</v>
      </c>
      <c r="B405" s="108" t="s">
        <v>158</v>
      </c>
      <c r="C405" s="106">
        <f t="shared" si="5"/>
        <v>8</v>
      </c>
      <c r="D405" s="109">
        <v>0</v>
      </c>
      <c r="E405" s="109">
        <v>0</v>
      </c>
      <c r="F405" s="107">
        <v>0</v>
      </c>
      <c r="G405" s="107">
        <v>0</v>
      </c>
      <c r="H405" s="107">
        <v>0</v>
      </c>
      <c r="I405" s="107">
        <v>0</v>
      </c>
      <c r="J405" s="107">
        <v>0</v>
      </c>
    </row>
    <row r="406" spans="1:10" ht="15" x14ac:dyDescent="0.2">
      <c r="A406" s="105" t="s">
        <v>103</v>
      </c>
      <c r="B406" s="105" t="s">
        <v>159</v>
      </c>
      <c r="C406" s="106">
        <f t="shared" si="5"/>
        <v>9</v>
      </c>
      <c r="D406" s="107">
        <v>0</v>
      </c>
      <c r="E406" s="107">
        <v>0</v>
      </c>
      <c r="F406" s="107">
        <v>0</v>
      </c>
      <c r="G406" s="107">
        <v>0</v>
      </c>
      <c r="H406" s="107">
        <v>0</v>
      </c>
      <c r="I406" s="107">
        <v>0</v>
      </c>
      <c r="J406" s="107">
        <v>0</v>
      </c>
    </row>
    <row r="407" spans="1:10" ht="15" x14ac:dyDescent="0.2">
      <c r="A407" s="108" t="s">
        <v>103</v>
      </c>
      <c r="B407" s="108" t="s">
        <v>160</v>
      </c>
      <c r="C407" s="106">
        <f t="shared" si="5"/>
        <v>10</v>
      </c>
      <c r="D407" s="109">
        <v>0</v>
      </c>
      <c r="E407" s="109">
        <v>0</v>
      </c>
      <c r="F407" s="107">
        <v>0</v>
      </c>
      <c r="G407" s="107">
        <v>0</v>
      </c>
      <c r="H407" s="107">
        <v>0</v>
      </c>
      <c r="I407" s="107">
        <v>0</v>
      </c>
      <c r="J407" s="107">
        <v>0</v>
      </c>
    </row>
    <row r="408" spans="1:10" ht="15" x14ac:dyDescent="0.2">
      <c r="A408" s="105" t="s">
        <v>103</v>
      </c>
      <c r="B408" s="105" t="s">
        <v>161</v>
      </c>
      <c r="C408" s="106">
        <f t="shared" si="5"/>
        <v>11</v>
      </c>
      <c r="D408" s="107">
        <v>0</v>
      </c>
      <c r="E408" s="107">
        <v>0</v>
      </c>
      <c r="F408" s="107">
        <v>0</v>
      </c>
      <c r="G408" s="107">
        <v>0</v>
      </c>
      <c r="H408" s="107">
        <v>0</v>
      </c>
      <c r="I408" s="107">
        <v>0</v>
      </c>
      <c r="J408" s="107">
        <v>0</v>
      </c>
    </row>
    <row r="409" spans="1:10" ht="15" x14ac:dyDescent="0.2">
      <c r="A409" s="108" t="s">
        <v>103</v>
      </c>
      <c r="B409" s="108" t="s">
        <v>162</v>
      </c>
      <c r="C409" s="106">
        <f t="shared" si="5"/>
        <v>12</v>
      </c>
      <c r="D409" s="109">
        <v>0</v>
      </c>
      <c r="E409" s="109">
        <v>0</v>
      </c>
      <c r="F409" s="107">
        <v>0</v>
      </c>
      <c r="G409" s="107">
        <v>0</v>
      </c>
      <c r="H409" s="107">
        <v>0</v>
      </c>
      <c r="I409" s="107">
        <v>0</v>
      </c>
      <c r="J409" s="107">
        <v>0</v>
      </c>
    </row>
    <row r="410" spans="1:10" ht="15" x14ac:dyDescent="0.2">
      <c r="A410" s="105" t="s">
        <v>85</v>
      </c>
      <c r="B410" s="105" t="s">
        <v>151</v>
      </c>
      <c r="C410" s="106">
        <f t="shared" si="5"/>
        <v>1</v>
      </c>
      <c r="D410" s="107">
        <v>0</v>
      </c>
      <c r="E410" s="107">
        <v>0</v>
      </c>
      <c r="F410" s="107">
        <v>1</v>
      </c>
      <c r="G410" s="107">
        <v>0</v>
      </c>
      <c r="H410" s="107">
        <v>0</v>
      </c>
      <c r="I410" s="107">
        <v>0</v>
      </c>
      <c r="J410" s="107">
        <v>0</v>
      </c>
    </row>
    <row r="411" spans="1:10" ht="15" x14ac:dyDescent="0.2">
      <c r="A411" s="108" t="s">
        <v>85</v>
      </c>
      <c r="B411" s="108" t="s">
        <v>152</v>
      </c>
      <c r="C411" s="106">
        <f t="shared" si="5"/>
        <v>2</v>
      </c>
      <c r="D411" s="109">
        <v>0</v>
      </c>
      <c r="E411" s="109">
        <v>0</v>
      </c>
      <c r="F411" s="107">
        <v>0</v>
      </c>
      <c r="G411" s="107">
        <v>0</v>
      </c>
      <c r="H411" s="107">
        <v>0</v>
      </c>
      <c r="I411" s="107">
        <v>0</v>
      </c>
      <c r="J411" s="107">
        <v>0</v>
      </c>
    </row>
    <row r="412" spans="1:10" ht="15" x14ac:dyDescent="0.2">
      <c r="A412" s="105" t="s">
        <v>85</v>
      </c>
      <c r="B412" s="105" t="s">
        <v>153</v>
      </c>
      <c r="C412" s="106">
        <f t="shared" si="5"/>
        <v>3</v>
      </c>
      <c r="D412" s="107">
        <v>0</v>
      </c>
      <c r="E412" s="107">
        <v>0</v>
      </c>
      <c r="F412" s="107">
        <v>0</v>
      </c>
      <c r="G412" s="107">
        <v>0</v>
      </c>
      <c r="H412" s="107">
        <v>0</v>
      </c>
      <c r="I412" s="107">
        <v>0</v>
      </c>
      <c r="J412" s="107">
        <v>0</v>
      </c>
    </row>
    <row r="413" spans="1:10" ht="15" x14ac:dyDescent="0.2">
      <c r="A413" s="108" t="s">
        <v>85</v>
      </c>
      <c r="B413" s="108" t="s">
        <v>154</v>
      </c>
      <c r="C413" s="106">
        <f t="shared" si="5"/>
        <v>4</v>
      </c>
      <c r="D413" s="109">
        <v>0</v>
      </c>
      <c r="E413" s="109">
        <v>0</v>
      </c>
      <c r="F413" s="107">
        <v>0</v>
      </c>
      <c r="G413" s="107">
        <v>0</v>
      </c>
      <c r="H413" s="107">
        <v>0</v>
      </c>
      <c r="I413" s="107">
        <v>0</v>
      </c>
      <c r="J413" s="107">
        <v>0</v>
      </c>
    </row>
    <row r="414" spans="1:10" ht="15" x14ac:dyDescent="0.2">
      <c r="A414" s="105" t="s">
        <v>85</v>
      </c>
      <c r="B414" s="105" t="s">
        <v>155</v>
      </c>
      <c r="C414" s="106">
        <f t="shared" si="5"/>
        <v>5</v>
      </c>
      <c r="D414" s="107">
        <v>10</v>
      </c>
      <c r="E414" s="107">
        <v>100</v>
      </c>
      <c r="F414" s="107">
        <v>0</v>
      </c>
      <c r="G414" s="107">
        <v>0</v>
      </c>
      <c r="H414" s="107">
        <v>0</v>
      </c>
      <c r="I414" s="107">
        <v>0</v>
      </c>
      <c r="J414" s="107">
        <v>1</v>
      </c>
    </row>
    <row r="415" spans="1:10" ht="15" x14ac:dyDescent="0.2">
      <c r="A415" s="108" t="s">
        <v>85</v>
      </c>
      <c r="B415" s="108" t="s">
        <v>156</v>
      </c>
      <c r="C415" s="106">
        <f t="shared" si="5"/>
        <v>6</v>
      </c>
      <c r="D415" s="109">
        <v>10</v>
      </c>
      <c r="E415" s="109">
        <v>100</v>
      </c>
      <c r="F415" s="107">
        <v>0</v>
      </c>
      <c r="G415" s="107">
        <v>0</v>
      </c>
      <c r="H415" s="107">
        <v>0</v>
      </c>
      <c r="I415" s="107">
        <v>0</v>
      </c>
      <c r="J415" s="107">
        <v>1</v>
      </c>
    </row>
    <row r="416" spans="1:10" ht="15" x14ac:dyDescent="0.2">
      <c r="A416" s="105" t="s">
        <v>85</v>
      </c>
      <c r="B416" s="105" t="s">
        <v>157</v>
      </c>
      <c r="C416" s="106">
        <f t="shared" si="5"/>
        <v>7</v>
      </c>
      <c r="D416" s="107">
        <v>0</v>
      </c>
      <c r="E416" s="107">
        <v>0</v>
      </c>
      <c r="F416" s="107">
        <v>0</v>
      </c>
      <c r="G416" s="107">
        <v>0</v>
      </c>
      <c r="H416" s="107">
        <v>0</v>
      </c>
      <c r="I416" s="107">
        <v>0</v>
      </c>
      <c r="J416" s="107">
        <v>0</v>
      </c>
    </row>
    <row r="417" spans="1:10" ht="15" x14ac:dyDescent="0.2">
      <c r="A417" s="108" t="s">
        <v>85</v>
      </c>
      <c r="B417" s="108" t="s">
        <v>158</v>
      </c>
      <c r="C417" s="106">
        <f t="shared" si="5"/>
        <v>8</v>
      </c>
      <c r="D417" s="109">
        <v>0</v>
      </c>
      <c r="E417" s="109">
        <v>0</v>
      </c>
      <c r="F417" s="107">
        <v>0</v>
      </c>
      <c r="G417" s="107">
        <v>0</v>
      </c>
      <c r="H417" s="107">
        <v>0</v>
      </c>
      <c r="I417" s="107">
        <v>0</v>
      </c>
      <c r="J417" s="107">
        <v>0</v>
      </c>
    </row>
    <row r="418" spans="1:10" ht="15" x14ac:dyDescent="0.2">
      <c r="A418" s="105" t="s">
        <v>85</v>
      </c>
      <c r="B418" s="105" t="s">
        <v>159</v>
      </c>
      <c r="C418" s="106">
        <f t="shared" si="5"/>
        <v>9</v>
      </c>
      <c r="D418" s="107">
        <v>0</v>
      </c>
      <c r="E418" s="107">
        <v>0</v>
      </c>
      <c r="F418" s="107">
        <v>0</v>
      </c>
      <c r="G418" s="107">
        <v>0</v>
      </c>
      <c r="H418" s="107">
        <v>0</v>
      </c>
      <c r="I418" s="107">
        <v>0</v>
      </c>
      <c r="J418" s="107">
        <v>0</v>
      </c>
    </row>
    <row r="419" spans="1:10" ht="15" x14ac:dyDescent="0.2">
      <c r="A419" s="108" t="s">
        <v>85</v>
      </c>
      <c r="B419" s="108" t="s">
        <v>160</v>
      </c>
      <c r="C419" s="106">
        <f t="shared" si="5"/>
        <v>10</v>
      </c>
      <c r="D419" s="109">
        <v>0</v>
      </c>
      <c r="E419" s="109">
        <v>0</v>
      </c>
      <c r="F419" s="107">
        <v>0</v>
      </c>
      <c r="G419" s="107">
        <v>0</v>
      </c>
      <c r="H419" s="107">
        <v>0</v>
      </c>
      <c r="I419" s="107">
        <v>0</v>
      </c>
      <c r="J419" s="107">
        <v>0</v>
      </c>
    </row>
    <row r="420" spans="1:10" ht="15" x14ac:dyDescent="0.2">
      <c r="A420" s="105" t="s">
        <v>85</v>
      </c>
      <c r="B420" s="105" t="s">
        <v>161</v>
      </c>
      <c r="C420" s="106">
        <f t="shared" si="5"/>
        <v>11</v>
      </c>
      <c r="D420" s="107">
        <v>0</v>
      </c>
      <c r="E420" s="107">
        <v>0</v>
      </c>
      <c r="F420" s="107">
        <v>0</v>
      </c>
      <c r="G420" s="107">
        <v>0</v>
      </c>
      <c r="H420" s="107">
        <v>0</v>
      </c>
      <c r="I420" s="107">
        <v>0</v>
      </c>
      <c r="J420" s="107">
        <v>0</v>
      </c>
    </row>
    <row r="421" spans="1:10" ht="15" x14ac:dyDescent="0.2">
      <c r="A421" s="108" t="s">
        <v>85</v>
      </c>
      <c r="B421" s="108" t="s">
        <v>162</v>
      </c>
      <c r="C421" s="106">
        <f t="shared" si="5"/>
        <v>12</v>
      </c>
      <c r="D421" s="109">
        <v>0</v>
      </c>
      <c r="E421" s="109">
        <v>0</v>
      </c>
      <c r="F421" s="107">
        <v>0</v>
      </c>
      <c r="G421" s="107">
        <v>0</v>
      </c>
      <c r="H421" s="107">
        <v>0</v>
      </c>
      <c r="I421" s="107">
        <v>0</v>
      </c>
      <c r="J421" s="107">
        <v>0</v>
      </c>
    </row>
    <row r="422" spans="1:10" ht="15" x14ac:dyDescent="0.2">
      <c r="A422" s="105" t="s">
        <v>121</v>
      </c>
      <c r="B422" s="105" t="s">
        <v>151</v>
      </c>
      <c r="C422" s="106">
        <f t="shared" ref="C422:C485" si="6">_xlfn.IFS(B422="Janeiro",1,B422="Fevereiro",2,B422="Março",3,B422="Abril",4,B422="Maio",5,B422="Junho",6,B422="Julho",7,B422="Agosto",8,B422="Setembro",9,B422="Outubro",10,B422="Novembro",11,B422="Dezembro",12,TRUE,0)</f>
        <v>1</v>
      </c>
      <c r="D422" s="107">
        <v>4</v>
      </c>
      <c r="E422" s="107">
        <v>16</v>
      </c>
      <c r="F422" s="107">
        <v>0</v>
      </c>
      <c r="G422" s="107">
        <v>0</v>
      </c>
      <c r="H422" s="107">
        <v>0</v>
      </c>
      <c r="I422" s="107">
        <v>0</v>
      </c>
      <c r="J422" s="107">
        <v>1</v>
      </c>
    </row>
    <row r="423" spans="1:10" ht="15" x14ac:dyDescent="0.2">
      <c r="A423" s="108" t="s">
        <v>121</v>
      </c>
      <c r="B423" s="108" t="s">
        <v>152</v>
      </c>
      <c r="C423" s="106">
        <f t="shared" si="6"/>
        <v>2</v>
      </c>
      <c r="D423" s="109">
        <v>4</v>
      </c>
      <c r="E423" s="109">
        <v>16</v>
      </c>
      <c r="F423" s="107">
        <v>0</v>
      </c>
      <c r="G423" s="107">
        <v>0</v>
      </c>
      <c r="H423" s="107">
        <v>0</v>
      </c>
      <c r="I423" s="107">
        <v>0</v>
      </c>
      <c r="J423" s="107">
        <v>1</v>
      </c>
    </row>
    <row r="424" spans="1:10" ht="15" x14ac:dyDescent="0.2">
      <c r="A424" s="105" t="s">
        <v>121</v>
      </c>
      <c r="B424" s="105" t="s">
        <v>153</v>
      </c>
      <c r="C424" s="106">
        <f t="shared" si="6"/>
        <v>3</v>
      </c>
      <c r="D424" s="107">
        <v>4</v>
      </c>
      <c r="E424" s="107">
        <v>16</v>
      </c>
      <c r="F424" s="107">
        <v>0</v>
      </c>
      <c r="G424" s="107">
        <v>0</v>
      </c>
      <c r="H424" s="107">
        <v>0</v>
      </c>
      <c r="I424" s="107">
        <v>0</v>
      </c>
      <c r="J424" s="107">
        <v>1</v>
      </c>
    </row>
    <row r="425" spans="1:10" ht="15" x14ac:dyDescent="0.2">
      <c r="A425" s="108" t="s">
        <v>121</v>
      </c>
      <c r="B425" s="108" t="s">
        <v>154</v>
      </c>
      <c r="C425" s="106">
        <f t="shared" si="6"/>
        <v>4</v>
      </c>
      <c r="D425" s="109">
        <v>4</v>
      </c>
      <c r="E425" s="109">
        <v>16</v>
      </c>
      <c r="F425" s="107">
        <v>0</v>
      </c>
      <c r="G425" s="107">
        <v>0</v>
      </c>
      <c r="H425" s="107">
        <v>0</v>
      </c>
      <c r="I425" s="107">
        <v>0</v>
      </c>
      <c r="J425" s="107">
        <v>1</v>
      </c>
    </row>
    <row r="426" spans="1:10" ht="15" x14ac:dyDescent="0.2">
      <c r="A426" s="105" t="s">
        <v>121</v>
      </c>
      <c r="B426" s="105" t="s">
        <v>155</v>
      </c>
      <c r="C426" s="106">
        <f t="shared" si="6"/>
        <v>5</v>
      </c>
      <c r="D426" s="107">
        <v>0</v>
      </c>
      <c r="E426" s="107">
        <v>0</v>
      </c>
      <c r="F426" s="107">
        <v>0</v>
      </c>
      <c r="G426" s="107">
        <v>0</v>
      </c>
      <c r="H426" s="107">
        <v>0</v>
      </c>
      <c r="I426" s="107">
        <v>0</v>
      </c>
      <c r="J426" s="107">
        <v>0</v>
      </c>
    </row>
    <row r="427" spans="1:10" ht="15" x14ac:dyDescent="0.2">
      <c r="A427" s="108" t="s">
        <v>121</v>
      </c>
      <c r="B427" s="108" t="s">
        <v>156</v>
      </c>
      <c r="C427" s="106">
        <f t="shared" si="6"/>
        <v>6</v>
      </c>
      <c r="D427" s="109">
        <v>3</v>
      </c>
      <c r="E427" s="109">
        <v>12</v>
      </c>
      <c r="F427" s="107">
        <v>0</v>
      </c>
      <c r="G427" s="107">
        <v>0</v>
      </c>
      <c r="H427" s="107">
        <v>0</v>
      </c>
      <c r="I427" s="107">
        <v>0</v>
      </c>
      <c r="J427" s="107">
        <v>1</v>
      </c>
    </row>
    <row r="428" spans="1:10" ht="15" x14ac:dyDescent="0.2">
      <c r="A428" s="105" t="s">
        <v>121</v>
      </c>
      <c r="B428" s="105" t="s">
        <v>157</v>
      </c>
      <c r="C428" s="106">
        <f t="shared" si="6"/>
        <v>7</v>
      </c>
      <c r="D428" s="107">
        <v>0</v>
      </c>
      <c r="E428" s="107">
        <v>0</v>
      </c>
      <c r="F428" s="107">
        <v>0</v>
      </c>
      <c r="G428" s="107">
        <v>0</v>
      </c>
      <c r="H428" s="107">
        <v>0</v>
      </c>
      <c r="I428" s="107">
        <v>0</v>
      </c>
      <c r="J428" s="107">
        <v>0</v>
      </c>
    </row>
    <row r="429" spans="1:10" ht="15" x14ac:dyDescent="0.2">
      <c r="A429" s="108" t="s">
        <v>121</v>
      </c>
      <c r="B429" s="108" t="s">
        <v>158</v>
      </c>
      <c r="C429" s="106">
        <f t="shared" si="6"/>
        <v>8</v>
      </c>
      <c r="D429" s="109">
        <v>0</v>
      </c>
      <c r="E429" s="109">
        <v>0</v>
      </c>
      <c r="F429" s="107">
        <v>0</v>
      </c>
      <c r="G429" s="107">
        <v>0</v>
      </c>
      <c r="H429" s="107">
        <v>0</v>
      </c>
      <c r="I429" s="107">
        <v>0</v>
      </c>
      <c r="J429" s="107">
        <v>0</v>
      </c>
    </row>
    <row r="430" spans="1:10" ht="15" x14ac:dyDescent="0.2">
      <c r="A430" s="105" t="s">
        <v>121</v>
      </c>
      <c r="B430" s="105" t="s">
        <v>159</v>
      </c>
      <c r="C430" s="106">
        <f t="shared" si="6"/>
        <v>9</v>
      </c>
      <c r="D430" s="107">
        <v>0</v>
      </c>
      <c r="E430" s="107">
        <v>0</v>
      </c>
      <c r="F430" s="107">
        <v>0</v>
      </c>
      <c r="G430" s="107">
        <v>0</v>
      </c>
      <c r="H430" s="107">
        <v>0</v>
      </c>
      <c r="I430" s="107">
        <v>0</v>
      </c>
      <c r="J430" s="107">
        <v>0</v>
      </c>
    </row>
    <row r="431" spans="1:10" ht="15" x14ac:dyDescent="0.2">
      <c r="A431" s="108" t="s">
        <v>121</v>
      </c>
      <c r="B431" s="108" t="s">
        <v>160</v>
      </c>
      <c r="C431" s="106">
        <f t="shared" si="6"/>
        <v>10</v>
      </c>
      <c r="D431" s="109">
        <v>0</v>
      </c>
      <c r="E431" s="109">
        <v>0</v>
      </c>
      <c r="F431" s="107">
        <v>0</v>
      </c>
      <c r="G431" s="107">
        <v>0</v>
      </c>
      <c r="H431" s="107">
        <v>0</v>
      </c>
      <c r="I431" s="107">
        <v>0</v>
      </c>
      <c r="J431" s="107">
        <v>0</v>
      </c>
    </row>
    <row r="432" spans="1:10" ht="15" x14ac:dyDescent="0.2">
      <c r="A432" s="105" t="s">
        <v>121</v>
      </c>
      <c r="B432" s="105" t="s">
        <v>161</v>
      </c>
      <c r="C432" s="106">
        <f t="shared" si="6"/>
        <v>11</v>
      </c>
      <c r="D432" s="107">
        <v>0</v>
      </c>
      <c r="E432" s="107">
        <v>0</v>
      </c>
      <c r="F432" s="107">
        <v>0</v>
      </c>
      <c r="G432" s="107">
        <v>0</v>
      </c>
      <c r="H432" s="107">
        <v>0</v>
      </c>
      <c r="I432" s="107">
        <v>0</v>
      </c>
      <c r="J432" s="107">
        <v>0</v>
      </c>
    </row>
    <row r="433" spans="1:10" ht="15" x14ac:dyDescent="0.2">
      <c r="A433" s="108" t="s">
        <v>121</v>
      </c>
      <c r="B433" s="108" t="s">
        <v>162</v>
      </c>
      <c r="C433" s="106">
        <f t="shared" si="6"/>
        <v>12</v>
      </c>
      <c r="D433" s="109">
        <v>0</v>
      </c>
      <c r="E433" s="109">
        <v>0</v>
      </c>
      <c r="F433" s="107">
        <v>0</v>
      </c>
      <c r="G433" s="107">
        <v>0</v>
      </c>
      <c r="H433" s="107">
        <v>0</v>
      </c>
      <c r="I433" s="107">
        <v>0</v>
      </c>
      <c r="J433" s="107">
        <v>0</v>
      </c>
    </row>
    <row r="434" spans="1:10" ht="15" x14ac:dyDescent="0.2">
      <c r="A434" s="105" t="s">
        <v>116</v>
      </c>
      <c r="B434" s="105" t="s">
        <v>151</v>
      </c>
      <c r="C434" s="106">
        <f t="shared" si="6"/>
        <v>1</v>
      </c>
      <c r="D434" s="107">
        <v>1</v>
      </c>
      <c r="E434" s="107">
        <v>6</v>
      </c>
      <c r="F434" s="107">
        <v>0</v>
      </c>
      <c r="G434" s="107">
        <v>0</v>
      </c>
      <c r="H434" s="107">
        <v>0</v>
      </c>
      <c r="I434" s="107">
        <v>0</v>
      </c>
      <c r="J434" s="107">
        <v>1</v>
      </c>
    </row>
    <row r="435" spans="1:10" ht="15" x14ac:dyDescent="0.2">
      <c r="A435" s="108" t="s">
        <v>116</v>
      </c>
      <c r="B435" s="108" t="s">
        <v>152</v>
      </c>
      <c r="C435" s="106">
        <f t="shared" si="6"/>
        <v>2</v>
      </c>
      <c r="D435" s="109">
        <v>0</v>
      </c>
      <c r="E435" s="109">
        <v>0</v>
      </c>
      <c r="F435" s="107">
        <v>0</v>
      </c>
      <c r="G435" s="107">
        <v>0</v>
      </c>
      <c r="H435" s="107">
        <v>0</v>
      </c>
      <c r="I435" s="107">
        <v>0</v>
      </c>
      <c r="J435" s="107">
        <v>0</v>
      </c>
    </row>
    <row r="436" spans="1:10" ht="15" x14ac:dyDescent="0.2">
      <c r="A436" s="105" t="s">
        <v>116</v>
      </c>
      <c r="B436" s="105" t="s">
        <v>153</v>
      </c>
      <c r="C436" s="106">
        <f t="shared" si="6"/>
        <v>3</v>
      </c>
      <c r="D436" s="107">
        <v>0</v>
      </c>
      <c r="E436" s="107">
        <v>0</v>
      </c>
      <c r="F436" s="107">
        <v>0</v>
      </c>
      <c r="G436" s="107">
        <v>0</v>
      </c>
      <c r="H436" s="107">
        <v>0</v>
      </c>
      <c r="I436" s="107">
        <v>0</v>
      </c>
      <c r="J436" s="107">
        <v>0</v>
      </c>
    </row>
    <row r="437" spans="1:10" ht="15" x14ac:dyDescent="0.2">
      <c r="A437" s="108" t="s">
        <v>116</v>
      </c>
      <c r="B437" s="108" t="s">
        <v>154</v>
      </c>
      <c r="C437" s="106">
        <f t="shared" si="6"/>
        <v>4</v>
      </c>
      <c r="D437" s="109">
        <v>0</v>
      </c>
      <c r="E437" s="109">
        <v>6</v>
      </c>
      <c r="F437" s="107">
        <v>0</v>
      </c>
      <c r="G437" s="107">
        <v>0</v>
      </c>
      <c r="H437" s="107">
        <v>0</v>
      </c>
      <c r="I437" s="107">
        <v>0</v>
      </c>
      <c r="J437" s="107">
        <v>0</v>
      </c>
    </row>
    <row r="438" spans="1:10" ht="15" x14ac:dyDescent="0.2">
      <c r="A438" s="105" t="s">
        <v>116</v>
      </c>
      <c r="B438" s="105" t="s">
        <v>155</v>
      </c>
      <c r="C438" s="106">
        <f t="shared" si="6"/>
        <v>5</v>
      </c>
      <c r="D438" s="107">
        <v>1</v>
      </c>
      <c r="E438" s="107">
        <v>6</v>
      </c>
      <c r="F438" s="107">
        <v>0</v>
      </c>
      <c r="G438" s="107">
        <v>0</v>
      </c>
      <c r="H438" s="107">
        <v>0</v>
      </c>
      <c r="I438" s="107">
        <v>0</v>
      </c>
      <c r="J438" s="107">
        <v>1</v>
      </c>
    </row>
    <row r="439" spans="1:10" ht="15" x14ac:dyDescent="0.2">
      <c r="A439" s="108" t="s">
        <v>116</v>
      </c>
      <c r="B439" s="108" t="s">
        <v>156</v>
      </c>
      <c r="C439" s="106">
        <f t="shared" si="6"/>
        <v>6</v>
      </c>
      <c r="D439" s="109">
        <v>1</v>
      </c>
      <c r="E439" s="109">
        <v>0</v>
      </c>
      <c r="F439" s="107">
        <v>0</v>
      </c>
      <c r="G439" s="107">
        <v>0</v>
      </c>
      <c r="H439" s="107">
        <v>0</v>
      </c>
      <c r="I439" s="107">
        <v>0</v>
      </c>
      <c r="J439" s="107">
        <v>1</v>
      </c>
    </row>
    <row r="440" spans="1:10" ht="15" x14ac:dyDescent="0.2">
      <c r="A440" s="105" t="s">
        <v>116</v>
      </c>
      <c r="B440" s="105" t="s">
        <v>157</v>
      </c>
      <c r="C440" s="106">
        <f t="shared" si="6"/>
        <v>7</v>
      </c>
      <c r="D440" s="107">
        <v>0</v>
      </c>
      <c r="E440" s="107">
        <v>0</v>
      </c>
      <c r="F440" s="107">
        <v>0</v>
      </c>
      <c r="G440" s="107">
        <v>0</v>
      </c>
      <c r="H440" s="107">
        <v>0</v>
      </c>
      <c r="I440" s="107">
        <v>0</v>
      </c>
      <c r="J440" s="107">
        <v>0</v>
      </c>
    </row>
    <row r="441" spans="1:10" ht="15" x14ac:dyDescent="0.2">
      <c r="A441" s="108" t="s">
        <v>116</v>
      </c>
      <c r="B441" s="108" t="s">
        <v>158</v>
      </c>
      <c r="C441" s="106">
        <f t="shared" si="6"/>
        <v>8</v>
      </c>
      <c r="D441" s="109">
        <v>0</v>
      </c>
      <c r="E441" s="109">
        <v>0</v>
      </c>
      <c r="F441" s="107">
        <v>0</v>
      </c>
      <c r="G441" s="107">
        <v>0</v>
      </c>
      <c r="H441" s="107">
        <v>0</v>
      </c>
      <c r="I441" s="107">
        <v>0</v>
      </c>
      <c r="J441" s="107">
        <v>0</v>
      </c>
    </row>
    <row r="442" spans="1:10" ht="15" x14ac:dyDescent="0.2">
      <c r="A442" s="105" t="s">
        <v>116</v>
      </c>
      <c r="B442" s="105" t="s">
        <v>159</v>
      </c>
      <c r="C442" s="106">
        <f t="shared" si="6"/>
        <v>9</v>
      </c>
      <c r="D442" s="107">
        <v>0</v>
      </c>
      <c r="E442" s="107">
        <v>0</v>
      </c>
      <c r="F442" s="107">
        <v>0</v>
      </c>
      <c r="G442" s="107">
        <v>0</v>
      </c>
      <c r="H442" s="107">
        <v>0</v>
      </c>
      <c r="I442" s="107">
        <v>0</v>
      </c>
      <c r="J442" s="107">
        <v>0</v>
      </c>
    </row>
    <row r="443" spans="1:10" ht="15" x14ac:dyDescent="0.2">
      <c r="A443" s="108" t="s">
        <v>116</v>
      </c>
      <c r="B443" s="108" t="s">
        <v>160</v>
      </c>
      <c r="C443" s="106">
        <f t="shared" si="6"/>
        <v>10</v>
      </c>
      <c r="D443" s="109">
        <v>0</v>
      </c>
      <c r="E443" s="109">
        <v>0</v>
      </c>
      <c r="F443" s="107">
        <v>0</v>
      </c>
      <c r="G443" s="107">
        <v>0</v>
      </c>
      <c r="H443" s="107">
        <v>0</v>
      </c>
      <c r="I443" s="107">
        <v>0</v>
      </c>
      <c r="J443" s="107">
        <v>0</v>
      </c>
    </row>
    <row r="444" spans="1:10" ht="15" x14ac:dyDescent="0.2">
      <c r="A444" s="105" t="s">
        <v>116</v>
      </c>
      <c r="B444" s="105" t="s">
        <v>161</v>
      </c>
      <c r="C444" s="106">
        <f t="shared" si="6"/>
        <v>11</v>
      </c>
      <c r="D444" s="107">
        <v>0</v>
      </c>
      <c r="E444" s="107">
        <v>0</v>
      </c>
      <c r="F444" s="107">
        <v>0</v>
      </c>
      <c r="G444" s="107">
        <v>0</v>
      </c>
      <c r="H444" s="107">
        <v>0</v>
      </c>
      <c r="I444" s="107">
        <v>0</v>
      </c>
      <c r="J444" s="107">
        <v>0</v>
      </c>
    </row>
    <row r="445" spans="1:10" ht="15" x14ac:dyDescent="0.2">
      <c r="A445" s="108" t="s">
        <v>116</v>
      </c>
      <c r="B445" s="108" t="s">
        <v>162</v>
      </c>
      <c r="C445" s="106">
        <f t="shared" si="6"/>
        <v>12</v>
      </c>
      <c r="D445" s="109">
        <v>0</v>
      </c>
      <c r="E445" s="109">
        <v>0</v>
      </c>
      <c r="F445" s="107">
        <v>0</v>
      </c>
      <c r="G445" s="107">
        <v>0</v>
      </c>
      <c r="H445" s="107">
        <v>0</v>
      </c>
      <c r="I445" s="107">
        <v>0</v>
      </c>
      <c r="J445" s="107">
        <v>0</v>
      </c>
    </row>
    <row r="446" spans="1:10" ht="15" x14ac:dyDescent="0.2">
      <c r="A446" s="105" t="s">
        <v>86</v>
      </c>
      <c r="B446" s="105" t="s">
        <v>151</v>
      </c>
      <c r="C446" s="106">
        <f t="shared" si="6"/>
        <v>1</v>
      </c>
      <c r="D446" s="107">
        <v>0</v>
      </c>
      <c r="E446" s="107">
        <v>0</v>
      </c>
      <c r="F446" s="107">
        <v>0</v>
      </c>
      <c r="G446" s="107">
        <v>0</v>
      </c>
      <c r="H446" s="107">
        <v>0</v>
      </c>
      <c r="I446" s="107">
        <v>0</v>
      </c>
      <c r="J446" s="107">
        <v>0</v>
      </c>
    </row>
    <row r="447" spans="1:10" ht="15" x14ac:dyDescent="0.2">
      <c r="A447" s="108" t="s">
        <v>86</v>
      </c>
      <c r="B447" s="108" t="s">
        <v>152</v>
      </c>
      <c r="C447" s="106">
        <f t="shared" si="6"/>
        <v>2</v>
      </c>
      <c r="D447" s="109">
        <v>0</v>
      </c>
      <c r="E447" s="109">
        <v>0</v>
      </c>
      <c r="F447" s="107">
        <v>0</v>
      </c>
      <c r="G447" s="107">
        <v>0</v>
      </c>
      <c r="H447" s="107">
        <v>0</v>
      </c>
      <c r="I447" s="107">
        <v>0</v>
      </c>
      <c r="J447" s="107">
        <v>0</v>
      </c>
    </row>
    <row r="448" spans="1:10" ht="15" x14ac:dyDescent="0.2">
      <c r="A448" s="105" t="s">
        <v>86</v>
      </c>
      <c r="B448" s="105" t="s">
        <v>153</v>
      </c>
      <c r="C448" s="106">
        <f t="shared" si="6"/>
        <v>3</v>
      </c>
      <c r="D448" s="107">
        <v>0</v>
      </c>
      <c r="E448" s="107">
        <v>0</v>
      </c>
      <c r="F448" s="107">
        <v>0</v>
      </c>
      <c r="G448" s="107">
        <v>0</v>
      </c>
      <c r="H448" s="107">
        <v>0</v>
      </c>
      <c r="I448" s="107">
        <v>0</v>
      </c>
      <c r="J448" s="107">
        <v>0</v>
      </c>
    </row>
    <row r="449" spans="1:10" ht="15" x14ac:dyDescent="0.2">
      <c r="A449" s="108" t="s">
        <v>86</v>
      </c>
      <c r="B449" s="108" t="s">
        <v>154</v>
      </c>
      <c r="C449" s="106">
        <f t="shared" si="6"/>
        <v>4</v>
      </c>
      <c r="D449" s="109">
        <v>0</v>
      </c>
      <c r="E449" s="109">
        <v>0</v>
      </c>
      <c r="F449" s="107">
        <v>0</v>
      </c>
      <c r="G449" s="107">
        <v>0</v>
      </c>
      <c r="H449" s="107">
        <v>0</v>
      </c>
      <c r="I449" s="107">
        <v>0</v>
      </c>
      <c r="J449" s="107">
        <v>0</v>
      </c>
    </row>
    <row r="450" spans="1:10" ht="15" x14ac:dyDescent="0.2">
      <c r="A450" s="105" t="s">
        <v>86</v>
      </c>
      <c r="B450" s="105" t="s">
        <v>155</v>
      </c>
      <c r="C450" s="106">
        <f t="shared" si="6"/>
        <v>5</v>
      </c>
      <c r="D450" s="107">
        <v>0</v>
      </c>
      <c r="E450" s="107">
        <v>0</v>
      </c>
      <c r="F450" s="107">
        <v>0</v>
      </c>
      <c r="G450" s="107">
        <v>0</v>
      </c>
      <c r="H450" s="107">
        <v>0</v>
      </c>
      <c r="I450" s="107">
        <v>0</v>
      </c>
      <c r="J450" s="107">
        <v>0</v>
      </c>
    </row>
    <row r="451" spans="1:10" ht="15" x14ac:dyDescent="0.2">
      <c r="A451" s="108" t="s">
        <v>86</v>
      </c>
      <c r="B451" s="108" t="s">
        <v>156</v>
      </c>
      <c r="C451" s="106">
        <f t="shared" si="6"/>
        <v>6</v>
      </c>
      <c r="D451" s="109">
        <v>0</v>
      </c>
      <c r="E451" s="109">
        <v>0</v>
      </c>
      <c r="F451" s="107">
        <v>0</v>
      </c>
      <c r="G451" s="107">
        <v>0</v>
      </c>
      <c r="H451" s="107">
        <v>0</v>
      </c>
      <c r="I451" s="107">
        <v>0</v>
      </c>
      <c r="J451" s="107">
        <v>0</v>
      </c>
    </row>
    <row r="452" spans="1:10" ht="15" x14ac:dyDescent="0.2">
      <c r="A452" s="105" t="s">
        <v>86</v>
      </c>
      <c r="B452" s="105" t="s">
        <v>157</v>
      </c>
      <c r="C452" s="106">
        <f t="shared" si="6"/>
        <v>7</v>
      </c>
      <c r="D452" s="107">
        <v>0</v>
      </c>
      <c r="E452" s="107">
        <v>0</v>
      </c>
      <c r="F452" s="107">
        <v>0</v>
      </c>
      <c r="G452" s="107">
        <v>0</v>
      </c>
      <c r="H452" s="107">
        <v>0</v>
      </c>
      <c r="I452" s="107">
        <v>0</v>
      </c>
      <c r="J452" s="107">
        <v>0</v>
      </c>
    </row>
    <row r="453" spans="1:10" ht="15" x14ac:dyDescent="0.2">
      <c r="A453" s="108" t="s">
        <v>86</v>
      </c>
      <c r="B453" s="108" t="s">
        <v>158</v>
      </c>
      <c r="C453" s="106">
        <f t="shared" si="6"/>
        <v>8</v>
      </c>
      <c r="D453" s="109">
        <v>0</v>
      </c>
      <c r="E453" s="109">
        <v>0</v>
      </c>
      <c r="F453" s="107">
        <v>0</v>
      </c>
      <c r="G453" s="107">
        <v>0</v>
      </c>
      <c r="H453" s="107">
        <v>0</v>
      </c>
      <c r="I453" s="107">
        <v>0</v>
      </c>
      <c r="J453" s="107">
        <v>0</v>
      </c>
    </row>
    <row r="454" spans="1:10" ht="15" x14ac:dyDescent="0.2">
      <c r="A454" s="105" t="s">
        <v>86</v>
      </c>
      <c r="B454" s="105" t="s">
        <v>159</v>
      </c>
      <c r="C454" s="106">
        <f t="shared" si="6"/>
        <v>9</v>
      </c>
      <c r="D454" s="107">
        <v>0</v>
      </c>
      <c r="E454" s="107">
        <v>0</v>
      </c>
      <c r="F454" s="107">
        <v>0</v>
      </c>
      <c r="G454" s="107">
        <v>0</v>
      </c>
      <c r="H454" s="107">
        <v>0</v>
      </c>
      <c r="I454" s="107">
        <v>0</v>
      </c>
      <c r="J454" s="107">
        <v>0</v>
      </c>
    </row>
    <row r="455" spans="1:10" ht="15" x14ac:dyDescent="0.2">
      <c r="A455" s="108" t="s">
        <v>86</v>
      </c>
      <c r="B455" s="108" t="s">
        <v>160</v>
      </c>
      <c r="C455" s="106">
        <f t="shared" si="6"/>
        <v>10</v>
      </c>
      <c r="D455" s="109">
        <v>0</v>
      </c>
      <c r="E455" s="109">
        <v>0</v>
      </c>
      <c r="F455" s="107">
        <v>0</v>
      </c>
      <c r="G455" s="107">
        <v>0</v>
      </c>
      <c r="H455" s="107">
        <v>0</v>
      </c>
      <c r="I455" s="107">
        <v>0</v>
      </c>
      <c r="J455" s="107">
        <v>0</v>
      </c>
    </row>
    <row r="456" spans="1:10" ht="15" x14ac:dyDescent="0.2">
      <c r="A456" s="105" t="s">
        <v>86</v>
      </c>
      <c r="B456" s="105" t="s">
        <v>161</v>
      </c>
      <c r="C456" s="106">
        <f t="shared" si="6"/>
        <v>11</v>
      </c>
      <c r="D456" s="107">
        <v>0</v>
      </c>
      <c r="E456" s="107">
        <v>0</v>
      </c>
      <c r="F456" s="107">
        <v>0</v>
      </c>
      <c r="G456" s="107">
        <v>0</v>
      </c>
      <c r="H456" s="107">
        <v>0</v>
      </c>
      <c r="I456" s="107">
        <v>0</v>
      </c>
      <c r="J456" s="107">
        <v>0</v>
      </c>
    </row>
    <row r="457" spans="1:10" ht="15" x14ac:dyDescent="0.2">
      <c r="A457" s="108" t="s">
        <v>86</v>
      </c>
      <c r="B457" s="108" t="s">
        <v>162</v>
      </c>
      <c r="C457" s="106">
        <f t="shared" si="6"/>
        <v>12</v>
      </c>
      <c r="D457" s="109">
        <v>0</v>
      </c>
      <c r="E457" s="109">
        <v>0</v>
      </c>
      <c r="F457" s="107">
        <v>0</v>
      </c>
      <c r="G457" s="107">
        <v>0</v>
      </c>
      <c r="H457" s="107">
        <v>0</v>
      </c>
      <c r="I457" s="107">
        <v>0</v>
      </c>
      <c r="J457" s="107">
        <v>0</v>
      </c>
    </row>
    <row r="458" spans="1:10" ht="15" x14ac:dyDescent="0.2">
      <c r="A458" s="105" t="s">
        <v>102</v>
      </c>
      <c r="B458" s="105" t="s">
        <v>151</v>
      </c>
      <c r="C458" s="106">
        <f t="shared" si="6"/>
        <v>1</v>
      </c>
      <c r="D458" s="107">
        <v>0</v>
      </c>
      <c r="E458" s="107">
        <v>0</v>
      </c>
      <c r="F458" s="107">
        <v>0</v>
      </c>
      <c r="G458" s="107">
        <v>0</v>
      </c>
      <c r="H458" s="107">
        <v>0</v>
      </c>
      <c r="I458" s="107">
        <v>0</v>
      </c>
      <c r="J458" s="107">
        <v>0</v>
      </c>
    </row>
    <row r="459" spans="1:10" ht="15" x14ac:dyDescent="0.2">
      <c r="A459" s="108" t="s">
        <v>102</v>
      </c>
      <c r="B459" s="108" t="s">
        <v>152</v>
      </c>
      <c r="C459" s="106">
        <f t="shared" si="6"/>
        <v>2</v>
      </c>
      <c r="D459" s="109">
        <v>0</v>
      </c>
      <c r="E459" s="109">
        <v>0</v>
      </c>
      <c r="F459" s="107">
        <v>0</v>
      </c>
      <c r="G459" s="107">
        <v>0</v>
      </c>
      <c r="H459" s="107">
        <v>0</v>
      </c>
      <c r="I459" s="107">
        <v>0</v>
      </c>
      <c r="J459" s="107">
        <v>0</v>
      </c>
    </row>
    <row r="460" spans="1:10" ht="15" x14ac:dyDescent="0.2">
      <c r="A460" s="105" t="s">
        <v>102</v>
      </c>
      <c r="B460" s="105" t="s">
        <v>153</v>
      </c>
      <c r="C460" s="106">
        <f t="shared" si="6"/>
        <v>3</v>
      </c>
      <c r="D460" s="107">
        <v>0</v>
      </c>
      <c r="E460" s="107">
        <v>33</v>
      </c>
      <c r="F460" s="107">
        <v>0</v>
      </c>
      <c r="G460" s="107">
        <v>0</v>
      </c>
      <c r="H460" s="107">
        <v>0</v>
      </c>
      <c r="I460" s="107">
        <v>0</v>
      </c>
      <c r="J460" s="107">
        <v>0</v>
      </c>
    </row>
    <row r="461" spans="1:10" ht="15" x14ac:dyDescent="0.2">
      <c r="A461" s="108" t="s">
        <v>102</v>
      </c>
      <c r="B461" s="108" t="s">
        <v>154</v>
      </c>
      <c r="C461" s="106">
        <f t="shared" si="6"/>
        <v>4</v>
      </c>
      <c r="D461" s="109">
        <v>0</v>
      </c>
      <c r="E461" s="109">
        <v>0</v>
      </c>
      <c r="F461" s="107">
        <v>0</v>
      </c>
      <c r="G461" s="107">
        <v>0</v>
      </c>
      <c r="H461" s="107">
        <v>0</v>
      </c>
      <c r="I461" s="107">
        <v>0</v>
      </c>
      <c r="J461" s="107">
        <v>0</v>
      </c>
    </row>
    <row r="462" spans="1:10" ht="15" x14ac:dyDescent="0.2">
      <c r="A462" s="105" t="s">
        <v>102</v>
      </c>
      <c r="B462" s="105" t="s">
        <v>155</v>
      </c>
      <c r="C462" s="106">
        <f t="shared" si="6"/>
        <v>5</v>
      </c>
      <c r="D462" s="107">
        <v>0</v>
      </c>
      <c r="E462" s="107">
        <v>0</v>
      </c>
      <c r="F462" s="107">
        <v>0</v>
      </c>
      <c r="G462" s="107">
        <v>0</v>
      </c>
      <c r="H462" s="107">
        <v>0</v>
      </c>
      <c r="I462" s="107">
        <v>0</v>
      </c>
      <c r="J462" s="107">
        <v>0</v>
      </c>
    </row>
    <row r="463" spans="1:10" ht="15" x14ac:dyDescent="0.2">
      <c r="A463" s="108" t="s">
        <v>102</v>
      </c>
      <c r="B463" s="108" t="s">
        <v>156</v>
      </c>
      <c r="C463" s="106">
        <f t="shared" si="6"/>
        <v>6</v>
      </c>
      <c r="D463" s="109">
        <v>0</v>
      </c>
      <c r="E463" s="109">
        <v>0</v>
      </c>
      <c r="F463" s="107">
        <v>0</v>
      </c>
      <c r="G463" s="107">
        <v>0</v>
      </c>
      <c r="H463" s="107">
        <v>0</v>
      </c>
      <c r="I463" s="107">
        <v>0</v>
      </c>
      <c r="J463" s="107">
        <v>0</v>
      </c>
    </row>
    <row r="464" spans="1:10" ht="15" x14ac:dyDescent="0.2">
      <c r="A464" s="105" t="s">
        <v>102</v>
      </c>
      <c r="B464" s="105" t="s">
        <v>157</v>
      </c>
      <c r="C464" s="106">
        <f t="shared" si="6"/>
        <v>7</v>
      </c>
      <c r="D464" s="107">
        <v>0</v>
      </c>
      <c r="E464" s="107">
        <v>0</v>
      </c>
      <c r="F464" s="107">
        <v>0</v>
      </c>
      <c r="G464" s="107">
        <v>0</v>
      </c>
      <c r="H464" s="107">
        <v>0</v>
      </c>
      <c r="I464" s="107">
        <v>0</v>
      </c>
      <c r="J464" s="107">
        <v>0</v>
      </c>
    </row>
    <row r="465" spans="1:10" ht="15" x14ac:dyDescent="0.2">
      <c r="A465" s="108" t="s">
        <v>102</v>
      </c>
      <c r="B465" s="108" t="s">
        <v>158</v>
      </c>
      <c r="C465" s="106">
        <f t="shared" si="6"/>
        <v>8</v>
      </c>
      <c r="D465" s="109">
        <v>0</v>
      </c>
      <c r="E465" s="109">
        <v>0</v>
      </c>
      <c r="F465" s="107">
        <v>0</v>
      </c>
      <c r="G465" s="107">
        <v>0</v>
      </c>
      <c r="H465" s="107">
        <v>0</v>
      </c>
      <c r="I465" s="107">
        <v>0</v>
      </c>
      <c r="J465" s="107">
        <v>0</v>
      </c>
    </row>
    <row r="466" spans="1:10" ht="15" x14ac:dyDescent="0.2">
      <c r="A466" s="105" t="s">
        <v>102</v>
      </c>
      <c r="B466" s="105" t="s">
        <v>159</v>
      </c>
      <c r="C466" s="106">
        <f t="shared" si="6"/>
        <v>9</v>
      </c>
      <c r="D466" s="107">
        <v>0</v>
      </c>
      <c r="E466" s="107">
        <v>0</v>
      </c>
      <c r="F466" s="107">
        <v>0</v>
      </c>
      <c r="G466" s="107">
        <v>0</v>
      </c>
      <c r="H466" s="107">
        <v>0</v>
      </c>
      <c r="I466" s="107">
        <v>0</v>
      </c>
      <c r="J466" s="107">
        <v>0</v>
      </c>
    </row>
    <row r="467" spans="1:10" ht="15" x14ac:dyDescent="0.2">
      <c r="A467" s="108" t="s">
        <v>102</v>
      </c>
      <c r="B467" s="108" t="s">
        <v>160</v>
      </c>
      <c r="C467" s="106">
        <f t="shared" si="6"/>
        <v>10</v>
      </c>
      <c r="D467" s="109">
        <v>0</v>
      </c>
      <c r="E467" s="109">
        <v>0</v>
      </c>
      <c r="F467" s="107">
        <v>0</v>
      </c>
      <c r="G467" s="107">
        <v>0</v>
      </c>
      <c r="H467" s="107">
        <v>0</v>
      </c>
      <c r="I467" s="107">
        <v>0</v>
      </c>
      <c r="J467" s="107">
        <v>0</v>
      </c>
    </row>
    <row r="468" spans="1:10" ht="15" x14ac:dyDescent="0.2">
      <c r="A468" s="105" t="s">
        <v>102</v>
      </c>
      <c r="B468" s="105" t="s">
        <v>161</v>
      </c>
      <c r="C468" s="106">
        <f t="shared" si="6"/>
        <v>11</v>
      </c>
      <c r="D468" s="107">
        <v>0</v>
      </c>
      <c r="E468" s="107">
        <v>0</v>
      </c>
      <c r="F468" s="107">
        <v>0</v>
      </c>
      <c r="G468" s="107">
        <v>0</v>
      </c>
      <c r="H468" s="107">
        <v>0</v>
      </c>
      <c r="I468" s="107">
        <v>0</v>
      </c>
      <c r="J468" s="107">
        <v>0</v>
      </c>
    </row>
    <row r="469" spans="1:10" ht="15" x14ac:dyDescent="0.2">
      <c r="A469" s="108" t="s">
        <v>102</v>
      </c>
      <c r="B469" s="108" t="s">
        <v>162</v>
      </c>
      <c r="C469" s="106">
        <f t="shared" si="6"/>
        <v>12</v>
      </c>
      <c r="D469" s="109">
        <v>0</v>
      </c>
      <c r="E469" s="109">
        <v>0</v>
      </c>
      <c r="F469" s="107">
        <v>0</v>
      </c>
      <c r="G469" s="107">
        <v>0</v>
      </c>
      <c r="H469" s="107">
        <v>0</v>
      </c>
      <c r="I469" s="107">
        <v>0</v>
      </c>
      <c r="J469" s="107">
        <v>0</v>
      </c>
    </row>
    <row r="470" spans="1:10" ht="15" x14ac:dyDescent="0.2">
      <c r="A470" s="105" t="s">
        <v>106</v>
      </c>
      <c r="B470" s="105" t="s">
        <v>151</v>
      </c>
      <c r="C470" s="106">
        <f t="shared" si="6"/>
        <v>1</v>
      </c>
      <c r="D470" s="107">
        <v>3</v>
      </c>
      <c r="E470" s="107">
        <v>23</v>
      </c>
      <c r="F470" s="107">
        <v>0</v>
      </c>
      <c r="G470" s="107">
        <v>0</v>
      </c>
      <c r="H470" s="107">
        <v>0</v>
      </c>
      <c r="I470" s="107">
        <v>0</v>
      </c>
      <c r="J470" s="107">
        <v>1</v>
      </c>
    </row>
    <row r="471" spans="1:10" ht="15" x14ac:dyDescent="0.2">
      <c r="A471" s="108" t="s">
        <v>106</v>
      </c>
      <c r="B471" s="108" t="s">
        <v>152</v>
      </c>
      <c r="C471" s="106">
        <f t="shared" si="6"/>
        <v>2</v>
      </c>
      <c r="D471" s="109">
        <v>0</v>
      </c>
      <c r="E471" s="109">
        <v>0</v>
      </c>
      <c r="F471" s="107">
        <v>0</v>
      </c>
      <c r="G471" s="107">
        <v>0</v>
      </c>
      <c r="H471" s="107">
        <v>0</v>
      </c>
      <c r="I471" s="107">
        <v>0</v>
      </c>
      <c r="J471" s="107">
        <v>0</v>
      </c>
    </row>
    <row r="472" spans="1:10" ht="15" x14ac:dyDescent="0.2">
      <c r="A472" s="105" t="s">
        <v>106</v>
      </c>
      <c r="B472" s="105" t="s">
        <v>153</v>
      </c>
      <c r="C472" s="106">
        <f t="shared" si="6"/>
        <v>3</v>
      </c>
      <c r="D472" s="107">
        <v>2</v>
      </c>
      <c r="E472" s="107">
        <v>15</v>
      </c>
      <c r="F472" s="107">
        <v>0</v>
      </c>
      <c r="G472" s="107">
        <v>0</v>
      </c>
      <c r="H472" s="107">
        <v>0</v>
      </c>
      <c r="I472" s="107">
        <v>0</v>
      </c>
      <c r="J472" s="107">
        <v>1</v>
      </c>
    </row>
    <row r="473" spans="1:10" ht="15" x14ac:dyDescent="0.2">
      <c r="A473" s="108" t="s">
        <v>106</v>
      </c>
      <c r="B473" s="108" t="s">
        <v>154</v>
      </c>
      <c r="C473" s="106">
        <f t="shared" si="6"/>
        <v>4</v>
      </c>
      <c r="D473" s="109">
        <v>3</v>
      </c>
      <c r="E473" s="109">
        <v>23</v>
      </c>
      <c r="F473" s="107">
        <v>1</v>
      </c>
      <c r="G473" s="107">
        <v>1</v>
      </c>
      <c r="H473" s="107">
        <v>0</v>
      </c>
      <c r="I473" s="107">
        <v>0</v>
      </c>
      <c r="J473" s="107">
        <v>1</v>
      </c>
    </row>
    <row r="474" spans="1:10" ht="15" x14ac:dyDescent="0.2">
      <c r="A474" s="105" t="s">
        <v>106</v>
      </c>
      <c r="B474" s="105" t="s">
        <v>155</v>
      </c>
      <c r="C474" s="106">
        <f t="shared" si="6"/>
        <v>5</v>
      </c>
      <c r="D474" s="107">
        <v>0</v>
      </c>
      <c r="E474" s="107">
        <v>0</v>
      </c>
      <c r="F474" s="107">
        <v>0</v>
      </c>
      <c r="G474" s="107">
        <v>0</v>
      </c>
      <c r="H474" s="107">
        <v>0</v>
      </c>
      <c r="I474" s="107">
        <v>0</v>
      </c>
      <c r="J474" s="107">
        <v>0</v>
      </c>
    </row>
    <row r="475" spans="1:10" ht="15" x14ac:dyDescent="0.2">
      <c r="A475" s="108" t="s">
        <v>106</v>
      </c>
      <c r="B475" s="108" t="s">
        <v>156</v>
      </c>
      <c r="C475" s="106">
        <f t="shared" si="6"/>
        <v>6</v>
      </c>
      <c r="D475" s="109">
        <v>3</v>
      </c>
      <c r="E475" s="109">
        <v>23</v>
      </c>
      <c r="F475" s="107">
        <v>0</v>
      </c>
      <c r="G475" s="107">
        <v>0</v>
      </c>
      <c r="H475" s="107">
        <v>0</v>
      </c>
      <c r="I475" s="107">
        <v>0</v>
      </c>
      <c r="J475" s="107">
        <v>1</v>
      </c>
    </row>
    <row r="476" spans="1:10" ht="15" x14ac:dyDescent="0.2">
      <c r="A476" s="105" t="s">
        <v>106</v>
      </c>
      <c r="B476" s="105" t="s">
        <v>157</v>
      </c>
      <c r="C476" s="106">
        <f t="shared" si="6"/>
        <v>7</v>
      </c>
      <c r="D476" s="107">
        <v>6</v>
      </c>
      <c r="E476" s="107">
        <v>46</v>
      </c>
      <c r="F476" s="107">
        <v>0</v>
      </c>
      <c r="G476" s="107">
        <v>0</v>
      </c>
      <c r="H476" s="107">
        <v>0</v>
      </c>
      <c r="I476" s="107">
        <v>0</v>
      </c>
      <c r="J476" s="107">
        <v>2</v>
      </c>
    </row>
    <row r="477" spans="1:10" ht="15" x14ac:dyDescent="0.2">
      <c r="A477" s="108" t="s">
        <v>106</v>
      </c>
      <c r="B477" s="108" t="s">
        <v>158</v>
      </c>
      <c r="C477" s="106">
        <f t="shared" si="6"/>
        <v>8</v>
      </c>
      <c r="D477" s="109">
        <v>0</v>
      </c>
      <c r="E477" s="109">
        <v>0</v>
      </c>
      <c r="F477" s="107">
        <v>0</v>
      </c>
      <c r="G477" s="107">
        <v>0</v>
      </c>
      <c r="H477" s="107">
        <v>0</v>
      </c>
      <c r="I477" s="107">
        <v>0</v>
      </c>
      <c r="J477" s="107">
        <v>0</v>
      </c>
    </row>
    <row r="478" spans="1:10" ht="15" x14ac:dyDescent="0.2">
      <c r="A478" s="105" t="s">
        <v>106</v>
      </c>
      <c r="B478" s="105" t="s">
        <v>159</v>
      </c>
      <c r="C478" s="106">
        <f t="shared" si="6"/>
        <v>9</v>
      </c>
      <c r="D478" s="107">
        <v>0</v>
      </c>
      <c r="E478" s="107">
        <v>0</v>
      </c>
      <c r="F478" s="107">
        <v>0</v>
      </c>
      <c r="G478" s="107">
        <v>0</v>
      </c>
      <c r="H478" s="107">
        <v>0</v>
      </c>
      <c r="I478" s="107">
        <v>0</v>
      </c>
      <c r="J478" s="107">
        <v>0</v>
      </c>
    </row>
    <row r="479" spans="1:10" ht="15" x14ac:dyDescent="0.2">
      <c r="A479" s="108" t="s">
        <v>106</v>
      </c>
      <c r="B479" s="108" t="s">
        <v>160</v>
      </c>
      <c r="C479" s="106">
        <f t="shared" si="6"/>
        <v>10</v>
      </c>
      <c r="D479" s="109">
        <v>0</v>
      </c>
      <c r="E479" s="109">
        <v>0</v>
      </c>
      <c r="F479" s="107">
        <v>0</v>
      </c>
      <c r="G479" s="107">
        <v>0</v>
      </c>
      <c r="H479" s="107">
        <v>0</v>
      </c>
      <c r="I479" s="107">
        <v>0</v>
      </c>
      <c r="J479" s="107">
        <v>0</v>
      </c>
    </row>
    <row r="480" spans="1:10" ht="15" x14ac:dyDescent="0.2">
      <c r="A480" s="105" t="s">
        <v>106</v>
      </c>
      <c r="B480" s="105" t="s">
        <v>161</v>
      </c>
      <c r="C480" s="106">
        <f t="shared" si="6"/>
        <v>11</v>
      </c>
      <c r="D480" s="107">
        <v>0</v>
      </c>
      <c r="E480" s="107">
        <v>0</v>
      </c>
      <c r="F480" s="107">
        <v>0</v>
      </c>
      <c r="G480" s="107">
        <v>0</v>
      </c>
      <c r="H480" s="107">
        <v>0</v>
      </c>
      <c r="I480" s="107">
        <v>0</v>
      </c>
      <c r="J480" s="107">
        <v>0</v>
      </c>
    </row>
    <row r="481" spans="1:10" ht="15" x14ac:dyDescent="0.2">
      <c r="A481" s="108" t="s">
        <v>106</v>
      </c>
      <c r="B481" s="108" t="s">
        <v>162</v>
      </c>
      <c r="C481" s="106">
        <f t="shared" si="6"/>
        <v>12</v>
      </c>
      <c r="D481" s="109">
        <v>0</v>
      </c>
      <c r="E481" s="109">
        <v>0</v>
      </c>
      <c r="F481" s="107">
        <v>0</v>
      </c>
      <c r="G481" s="107">
        <v>0</v>
      </c>
      <c r="H481" s="107">
        <v>0</v>
      </c>
      <c r="I481" s="107">
        <v>0</v>
      </c>
      <c r="J481" s="107">
        <v>0</v>
      </c>
    </row>
    <row r="482" spans="1:10" ht="15" x14ac:dyDescent="0.2">
      <c r="A482" s="105" t="s">
        <v>31</v>
      </c>
      <c r="B482" s="105" t="s">
        <v>151</v>
      </c>
      <c r="C482" s="106">
        <f t="shared" si="6"/>
        <v>1</v>
      </c>
      <c r="D482" s="107">
        <v>0</v>
      </c>
      <c r="E482" s="107">
        <v>0</v>
      </c>
      <c r="F482" s="107">
        <v>0</v>
      </c>
      <c r="G482" s="107">
        <v>0</v>
      </c>
      <c r="H482" s="107">
        <v>0</v>
      </c>
      <c r="I482" s="107">
        <v>0</v>
      </c>
      <c r="J482" s="107">
        <v>0</v>
      </c>
    </row>
    <row r="483" spans="1:10" ht="15" x14ac:dyDescent="0.2">
      <c r="A483" s="108" t="s">
        <v>31</v>
      </c>
      <c r="B483" s="108" t="s">
        <v>152</v>
      </c>
      <c r="C483" s="106">
        <f t="shared" si="6"/>
        <v>2</v>
      </c>
      <c r="D483" s="109">
        <v>0</v>
      </c>
      <c r="E483" s="109">
        <v>0</v>
      </c>
      <c r="F483" s="107">
        <v>0</v>
      </c>
      <c r="G483" s="107">
        <v>0</v>
      </c>
      <c r="H483" s="107">
        <v>0</v>
      </c>
      <c r="I483" s="107">
        <v>0</v>
      </c>
      <c r="J483" s="107">
        <v>0</v>
      </c>
    </row>
    <row r="484" spans="1:10" ht="15" x14ac:dyDescent="0.2">
      <c r="A484" s="105" t="s">
        <v>31</v>
      </c>
      <c r="B484" s="105" t="s">
        <v>153</v>
      </c>
      <c r="C484" s="106">
        <f t="shared" si="6"/>
        <v>3</v>
      </c>
      <c r="D484" s="107">
        <v>0</v>
      </c>
      <c r="E484" s="107">
        <v>0</v>
      </c>
      <c r="F484" s="107">
        <v>0</v>
      </c>
      <c r="G484" s="107">
        <v>0</v>
      </c>
      <c r="H484" s="107">
        <v>0</v>
      </c>
      <c r="I484" s="107">
        <v>0</v>
      </c>
      <c r="J484" s="107">
        <v>0</v>
      </c>
    </row>
    <row r="485" spans="1:10" ht="15" x14ac:dyDescent="0.2">
      <c r="A485" s="108" t="s">
        <v>31</v>
      </c>
      <c r="B485" s="108" t="s">
        <v>154</v>
      </c>
      <c r="C485" s="106">
        <f t="shared" si="6"/>
        <v>4</v>
      </c>
      <c r="D485" s="109">
        <v>0</v>
      </c>
      <c r="E485" s="109">
        <v>0</v>
      </c>
      <c r="F485" s="107">
        <v>0</v>
      </c>
      <c r="G485" s="107">
        <v>0</v>
      </c>
      <c r="H485" s="107">
        <v>0</v>
      </c>
      <c r="I485" s="107">
        <v>0</v>
      </c>
      <c r="J485" s="107">
        <v>0</v>
      </c>
    </row>
    <row r="486" spans="1:10" ht="15" x14ac:dyDescent="0.2">
      <c r="A486" s="105" t="s">
        <v>31</v>
      </c>
      <c r="B486" s="105" t="s">
        <v>155</v>
      </c>
      <c r="C486" s="106">
        <f t="shared" ref="C486:C549" si="7">_xlfn.IFS(B486="Janeiro",1,B486="Fevereiro",2,B486="Março",3,B486="Abril",4,B486="Maio",5,B486="Junho",6,B486="Julho",7,B486="Agosto",8,B486="Setembro",9,B486="Outubro",10,B486="Novembro",11,B486="Dezembro",12,TRUE,0)</f>
        <v>5</v>
      </c>
      <c r="D486" s="107">
        <v>0</v>
      </c>
      <c r="E486" s="107">
        <v>0</v>
      </c>
      <c r="F486" s="107">
        <v>0</v>
      </c>
      <c r="G486" s="107">
        <v>0</v>
      </c>
      <c r="H486" s="107">
        <v>0</v>
      </c>
      <c r="I486" s="107">
        <v>0</v>
      </c>
      <c r="J486" s="107">
        <v>0</v>
      </c>
    </row>
    <row r="487" spans="1:10" ht="15" x14ac:dyDescent="0.2">
      <c r="A487" s="108" t="s">
        <v>31</v>
      </c>
      <c r="B487" s="108" t="s">
        <v>156</v>
      </c>
      <c r="C487" s="106">
        <f t="shared" si="7"/>
        <v>6</v>
      </c>
      <c r="D487" s="109">
        <v>3</v>
      </c>
      <c r="E487" s="109">
        <v>21</v>
      </c>
      <c r="F487" s="107">
        <v>0</v>
      </c>
      <c r="G487" s="107">
        <v>0</v>
      </c>
      <c r="H487" s="107">
        <v>0</v>
      </c>
      <c r="I487" s="107">
        <v>0</v>
      </c>
      <c r="J487" s="107">
        <v>1</v>
      </c>
    </row>
    <row r="488" spans="1:10" ht="15" x14ac:dyDescent="0.2">
      <c r="A488" s="105" t="s">
        <v>31</v>
      </c>
      <c r="B488" s="105" t="s">
        <v>157</v>
      </c>
      <c r="C488" s="106">
        <f t="shared" si="7"/>
        <v>7</v>
      </c>
      <c r="D488" s="107">
        <v>0</v>
      </c>
      <c r="E488" s="107">
        <v>0</v>
      </c>
      <c r="F488" s="107">
        <v>0</v>
      </c>
      <c r="G488" s="107">
        <v>0</v>
      </c>
      <c r="H488" s="107">
        <v>0</v>
      </c>
      <c r="I488" s="107">
        <v>0</v>
      </c>
      <c r="J488" s="107">
        <v>0</v>
      </c>
    </row>
    <row r="489" spans="1:10" ht="15" x14ac:dyDescent="0.2">
      <c r="A489" s="108" t="s">
        <v>31</v>
      </c>
      <c r="B489" s="108" t="s">
        <v>158</v>
      </c>
      <c r="C489" s="106">
        <f t="shared" si="7"/>
        <v>8</v>
      </c>
      <c r="D489" s="109">
        <v>0</v>
      </c>
      <c r="E489" s="109">
        <v>0</v>
      </c>
      <c r="F489" s="107">
        <v>0</v>
      </c>
      <c r="G489" s="107">
        <v>0</v>
      </c>
      <c r="H489" s="107">
        <v>0</v>
      </c>
      <c r="I489" s="107">
        <v>0</v>
      </c>
      <c r="J489" s="107">
        <v>0</v>
      </c>
    </row>
    <row r="490" spans="1:10" ht="15" x14ac:dyDescent="0.2">
      <c r="A490" s="105" t="s">
        <v>31</v>
      </c>
      <c r="B490" s="105" t="s">
        <v>159</v>
      </c>
      <c r="C490" s="106">
        <f t="shared" si="7"/>
        <v>9</v>
      </c>
      <c r="D490" s="107">
        <v>0</v>
      </c>
      <c r="E490" s="107">
        <v>0</v>
      </c>
      <c r="F490" s="107">
        <v>0</v>
      </c>
      <c r="G490" s="107">
        <v>0</v>
      </c>
      <c r="H490" s="107">
        <v>0</v>
      </c>
      <c r="I490" s="107">
        <v>0</v>
      </c>
      <c r="J490" s="107">
        <v>0</v>
      </c>
    </row>
    <row r="491" spans="1:10" ht="15" x14ac:dyDescent="0.2">
      <c r="A491" s="108" t="s">
        <v>31</v>
      </c>
      <c r="B491" s="108" t="s">
        <v>160</v>
      </c>
      <c r="C491" s="106">
        <f t="shared" si="7"/>
        <v>10</v>
      </c>
      <c r="D491" s="109">
        <v>0</v>
      </c>
      <c r="E491" s="109">
        <v>0</v>
      </c>
      <c r="F491" s="107">
        <v>0</v>
      </c>
      <c r="G491" s="107">
        <v>0</v>
      </c>
      <c r="H491" s="107">
        <v>0</v>
      </c>
      <c r="I491" s="107">
        <v>0</v>
      </c>
      <c r="J491" s="107">
        <v>0</v>
      </c>
    </row>
    <row r="492" spans="1:10" ht="15" x14ac:dyDescent="0.2">
      <c r="A492" s="105" t="s">
        <v>31</v>
      </c>
      <c r="B492" s="105" t="s">
        <v>161</v>
      </c>
      <c r="C492" s="106">
        <f t="shared" si="7"/>
        <v>11</v>
      </c>
      <c r="D492" s="107">
        <v>0</v>
      </c>
      <c r="E492" s="107">
        <v>0</v>
      </c>
      <c r="F492" s="107">
        <v>0</v>
      </c>
      <c r="G492" s="107">
        <v>0</v>
      </c>
      <c r="H492" s="107">
        <v>0</v>
      </c>
      <c r="I492" s="107">
        <v>0</v>
      </c>
      <c r="J492" s="107">
        <v>0</v>
      </c>
    </row>
    <row r="493" spans="1:10" ht="15" x14ac:dyDescent="0.2">
      <c r="A493" s="108" t="s">
        <v>31</v>
      </c>
      <c r="B493" s="108" t="s">
        <v>162</v>
      </c>
      <c r="C493" s="106">
        <f t="shared" si="7"/>
        <v>12</v>
      </c>
      <c r="D493" s="109">
        <v>0</v>
      </c>
      <c r="E493" s="109">
        <v>0</v>
      </c>
      <c r="F493" s="107">
        <v>0</v>
      </c>
      <c r="G493" s="107">
        <v>0</v>
      </c>
      <c r="H493" s="107">
        <v>0</v>
      </c>
      <c r="I493" s="107">
        <v>0</v>
      </c>
      <c r="J493" s="107">
        <v>0</v>
      </c>
    </row>
    <row r="494" spans="1:10" ht="15" x14ac:dyDescent="0.2">
      <c r="A494" s="105" t="s">
        <v>143</v>
      </c>
      <c r="B494" s="105" t="s">
        <v>151</v>
      </c>
      <c r="C494" s="106">
        <f t="shared" si="7"/>
        <v>1</v>
      </c>
      <c r="D494" s="107">
        <v>1</v>
      </c>
      <c r="E494" s="107">
        <v>4</v>
      </c>
      <c r="F494" s="107">
        <v>0</v>
      </c>
      <c r="G494" s="107">
        <v>0</v>
      </c>
      <c r="H494" s="107">
        <v>0</v>
      </c>
      <c r="I494" s="107">
        <v>0</v>
      </c>
      <c r="J494" s="107">
        <v>1</v>
      </c>
    </row>
    <row r="495" spans="1:10" ht="15" x14ac:dyDescent="0.2">
      <c r="A495" s="108" t="s">
        <v>143</v>
      </c>
      <c r="B495" s="108" t="s">
        <v>152</v>
      </c>
      <c r="C495" s="106">
        <f t="shared" si="7"/>
        <v>2</v>
      </c>
      <c r="D495" s="109">
        <v>4</v>
      </c>
      <c r="E495" s="109">
        <v>18</v>
      </c>
      <c r="F495" s="107">
        <v>0</v>
      </c>
      <c r="G495" s="107">
        <v>0</v>
      </c>
      <c r="H495" s="107">
        <v>0</v>
      </c>
      <c r="I495" s="107">
        <v>0</v>
      </c>
      <c r="J495" s="107">
        <v>2</v>
      </c>
    </row>
    <row r="496" spans="1:10" ht="15" x14ac:dyDescent="0.2">
      <c r="A496" s="105" t="s">
        <v>143</v>
      </c>
      <c r="B496" s="105" t="s">
        <v>153</v>
      </c>
      <c r="C496" s="106">
        <f t="shared" si="7"/>
        <v>3</v>
      </c>
      <c r="D496" s="107">
        <v>4</v>
      </c>
      <c r="E496" s="107">
        <v>18</v>
      </c>
      <c r="F496" s="107">
        <v>0</v>
      </c>
      <c r="G496" s="107">
        <v>0</v>
      </c>
      <c r="H496" s="107">
        <v>0</v>
      </c>
      <c r="I496" s="107">
        <v>0</v>
      </c>
      <c r="J496" s="107">
        <v>2</v>
      </c>
    </row>
    <row r="497" spans="1:10" ht="15" x14ac:dyDescent="0.2">
      <c r="A497" s="108" t="s">
        <v>143</v>
      </c>
      <c r="B497" s="108" t="s">
        <v>154</v>
      </c>
      <c r="C497" s="106">
        <f t="shared" si="7"/>
        <v>4</v>
      </c>
      <c r="D497" s="109">
        <v>2</v>
      </c>
      <c r="E497" s="109">
        <v>9</v>
      </c>
      <c r="F497" s="107">
        <v>0</v>
      </c>
      <c r="G497" s="107">
        <v>0</v>
      </c>
      <c r="H497" s="107">
        <v>0</v>
      </c>
      <c r="I497" s="107">
        <v>0</v>
      </c>
      <c r="J497" s="107">
        <v>1</v>
      </c>
    </row>
    <row r="498" spans="1:10" ht="15" x14ac:dyDescent="0.2">
      <c r="A498" s="105" t="s">
        <v>143</v>
      </c>
      <c r="B498" s="105" t="s">
        <v>155</v>
      </c>
      <c r="C498" s="106">
        <f t="shared" si="7"/>
        <v>5</v>
      </c>
      <c r="D498" s="107">
        <v>2</v>
      </c>
      <c r="E498" s="107">
        <v>9</v>
      </c>
      <c r="F498" s="107">
        <v>0</v>
      </c>
      <c r="G498" s="107">
        <v>0</v>
      </c>
      <c r="H498" s="107">
        <v>0</v>
      </c>
      <c r="I498" s="107">
        <v>0</v>
      </c>
      <c r="J498" s="107">
        <v>1</v>
      </c>
    </row>
    <row r="499" spans="1:10" ht="15" x14ac:dyDescent="0.2">
      <c r="A499" s="108" t="s">
        <v>143</v>
      </c>
      <c r="B499" s="108" t="s">
        <v>156</v>
      </c>
      <c r="C499" s="106">
        <f t="shared" si="7"/>
        <v>6</v>
      </c>
      <c r="D499" s="109">
        <v>4</v>
      </c>
      <c r="E499" s="109">
        <v>18</v>
      </c>
      <c r="F499" s="107">
        <v>0</v>
      </c>
      <c r="G499" s="107">
        <v>0</v>
      </c>
      <c r="H499" s="107">
        <v>0</v>
      </c>
      <c r="I499" s="107">
        <v>0</v>
      </c>
      <c r="J499" s="107">
        <v>2</v>
      </c>
    </row>
    <row r="500" spans="1:10" ht="15" x14ac:dyDescent="0.2">
      <c r="A500" s="105" t="s">
        <v>143</v>
      </c>
      <c r="B500" s="105" t="s">
        <v>157</v>
      </c>
      <c r="C500" s="106">
        <f t="shared" si="7"/>
        <v>7</v>
      </c>
      <c r="D500" s="107">
        <v>0</v>
      </c>
      <c r="E500" s="107">
        <v>0</v>
      </c>
      <c r="F500" s="107">
        <v>0</v>
      </c>
      <c r="G500" s="107">
        <v>0</v>
      </c>
      <c r="H500" s="107">
        <v>0</v>
      </c>
      <c r="I500" s="107">
        <v>0</v>
      </c>
      <c r="J500" s="107">
        <v>0</v>
      </c>
    </row>
    <row r="501" spans="1:10" ht="15" x14ac:dyDescent="0.2">
      <c r="A501" s="108" t="s">
        <v>143</v>
      </c>
      <c r="B501" s="108" t="s">
        <v>158</v>
      </c>
      <c r="C501" s="106">
        <f t="shared" si="7"/>
        <v>8</v>
      </c>
      <c r="D501" s="109">
        <v>0</v>
      </c>
      <c r="E501" s="109">
        <v>0</v>
      </c>
      <c r="F501" s="107">
        <v>0</v>
      </c>
      <c r="G501" s="107">
        <v>0</v>
      </c>
      <c r="H501" s="107">
        <v>0</v>
      </c>
      <c r="I501" s="107">
        <v>0</v>
      </c>
      <c r="J501" s="107">
        <v>0</v>
      </c>
    </row>
    <row r="502" spans="1:10" ht="15" x14ac:dyDescent="0.2">
      <c r="A502" s="105" t="s">
        <v>143</v>
      </c>
      <c r="B502" s="105" t="s">
        <v>159</v>
      </c>
      <c r="C502" s="106">
        <f t="shared" si="7"/>
        <v>9</v>
      </c>
      <c r="D502" s="107">
        <v>0</v>
      </c>
      <c r="E502" s="107">
        <v>0</v>
      </c>
      <c r="F502" s="107">
        <v>0</v>
      </c>
      <c r="G502" s="107">
        <v>0</v>
      </c>
      <c r="H502" s="107">
        <v>0</v>
      </c>
      <c r="I502" s="107">
        <v>0</v>
      </c>
      <c r="J502" s="107">
        <v>0</v>
      </c>
    </row>
    <row r="503" spans="1:10" ht="15" x14ac:dyDescent="0.2">
      <c r="A503" s="108" t="s">
        <v>143</v>
      </c>
      <c r="B503" s="108" t="s">
        <v>160</v>
      </c>
      <c r="C503" s="106">
        <f t="shared" si="7"/>
        <v>10</v>
      </c>
      <c r="D503" s="109">
        <v>0</v>
      </c>
      <c r="E503" s="109">
        <v>0</v>
      </c>
      <c r="F503" s="107">
        <v>0</v>
      </c>
      <c r="G503" s="107">
        <v>0</v>
      </c>
      <c r="H503" s="107">
        <v>0</v>
      </c>
      <c r="I503" s="107">
        <v>0</v>
      </c>
      <c r="J503" s="107">
        <v>0</v>
      </c>
    </row>
    <row r="504" spans="1:10" ht="15" x14ac:dyDescent="0.2">
      <c r="A504" s="105" t="s">
        <v>143</v>
      </c>
      <c r="B504" s="105" t="s">
        <v>161</v>
      </c>
      <c r="C504" s="106">
        <f t="shared" si="7"/>
        <v>11</v>
      </c>
      <c r="D504" s="107">
        <v>0</v>
      </c>
      <c r="E504" s="107">
        <v>0</v>
      </c>
      <c r="F504" s="107">
        <v>0</v>
      </c>
      <c r="G504" s="107">
        <v>0</v>
      </c>
      <c r="H504" s="107">
        <v>0</v>
      </c>
      <c r="I504" s="107">
        <v>0</v>
      </c>
      <c r="J504" s="107">
        <v>0</v>
      </c>
    </row>
    <row r="505" spans="1:10" ht="15" x14ac:dyDescent="0.2">
      <c r="A505" s="108" t="s">
        <v>143</v>
      </c>
      <c r="B505" s="108" t="s">
        <v>162</v>
      </c>
      <c r="C505" s="106">
        <f t="shared" si="7"/>
        <v>12</v>
      </c>
      <c r="D505" s="109">
        <v>0</v>
      </c>
      <c r="E505" s="109">
        <v>0</v>
      </c>
      <c r="F505" s="107">
        <v>0</v>
      </c>
      <c r="G505" s="107">
        <v>0</v>
      </c>
      <c r="H505" s="107">
        <v>0</v>
      </c>
      <c r="I505" s="107">
        <v>0</v>
      </c>
      <c r="J505" s="107">
        <v>0</v>
      </c>
    </row>
    <row r="506" spans="1:10" ht="15" x14ac:dyDescent="0.2">
      <c r="A506" s="105" t="s">
        <v>70</v>
      </c>
      <c r="B506" s="105" t="s">
        <v>151</v>
      </c>
      <c r="C506" s="106">
        <f t="shared" si="7"/>
        <v>1</v>
      </c>
      <c r="D506" s="107">
        <v>5</v>
      </c>
      <c r="E506" s="107">
        <v>35</v>
      </c>
      <c r="F506" s="107">
        <v>0</v>
      </c>
      <c r="G506" s="107">
        <v>0</v>
      </c>
      <c r="H506" s="107">
        <v>0</v>
      </c>
      <c r="I506" s="107">
        <v>0</v>
      </c>
      <c r="J506" s="107">
        <v>1</v>
      </c>
    </row>
    <row r="507" spans="1:10" ht="15" x14ac:dyDescent="0.2">
      <c r="A507" s="108" t="s">
        <v>70</v>
      </c>
      <c r="B507" s="108" t="s">
        <v>152</v>
      </c>
      <c r="C507" s="106">
        <f t="shared" si="7"/>
        <v>2</v>
      </c>
      <c r="D507" s="109">
        <v>0</v>
      </c>
      <c r="E507" s="109">
        <v>0</v>
      </c>
      <c r="F507" s="107">
        <v>0</v>
      </c>
      <c r="G507" s="107">
        <v>0</v>
      </c>
      <c r="H507" s="107">
        <v>0</v>
      </c>
      <c r="I507" s="107">
        <v>0</v>
      </c>
      <c r="J507" s="107">
        <v>0</v>
      </c>
    </row>
    <row r="508" spans="1:10" ht="15" x14ac:dyDescent="0.2">
      <c r="A508" s="105" t="s">
        <v>70</v>
      </c>
      <c r="B508" s="105" t="s">
        <v>153</v>
      </c>
      <c r="C508" s="106">
        <f t="shared" si="7"/>
        <v>3</v>
      </c>
      <c r="D508" s="107">
        <v>0</v>
      </c>
      <c r="E508" s="107">
        <v>0</v>
      </c>
      <c r="F508" s="107">
        <v>0</v>
      </c>
      <c r="G508" s="107">
        <v>0</v>
      </c>
      <c r="H508" s="107">
        <v>0</v>
      </c>
      <c r="I508" s="107">
        <v>0</v>
      </c>
      <c r="J508" s="107">
        <v>0</v>
      </c>
    </row>
    <row r="509" spans="1:10" ht="15" x14ac:dyDescent="0.2">
      <c r="A509" s="108" t="s">
        <v>70</v>
      </c>
      <c r="B509" s="108" t="s">
        <v>154</v>
      </c>
      <c r="C509" s="106">
        <f t="shared" si="7"/>
        <v>4</v>
      </c>
      <c r="D509" s="109">
        <v>0</v>
      </c>
      <c r="E509" s="109">
        <v>0</v>
      </c>
      <c r="F509" s="107">
        <v>0</v>
      </c>
      <c r="G509" s="107">
        <v>0</v>
      </c>
      <c r="H509" s="107">
        <v>0</v>
      </c>
      <c r="I509" s="107">
        <v>0</v>
      </c>
      <c r="J509" s="107">
        <v>0</v>
      </c>
    </row>
    <row r="510" spans="1:10" ht="15" x14ac:dyDescent="0.2">
      <c r="A510" s="105" t="s">
        <v>70</v>
      </c>
      <c r="B510" s="105" t="s">
        <v>155</v>
      </c>
      <c r="C510" s="106">
        <f t="shared" si="7"/>
        <v>5</v>
      </c>
      <c r="D510" s="107">
        <v>0</v>
      </c>
      <c r="E510" s="107">
        <v>42</v>
      </c>
      <c r="F510" s="107">
        <v>0</v>
      </c>
      <c r="G510" s="107">
        <v>0</v>
      </c>
      <c r="H510" s="107">
        <v>0</v>
      </c>
      <c r="I510" s="107">
        <v>0</v>
      </c>
      <c r="J510" s="107">
        <v>1</v>
      </c>
    </row>
    <row r="511" spans="1:10" ht="15" x14ac:dyDescent="0.2">
      <c r="A511" s="108" t="s">
        <v>70</v>
      </c>
      <c r="B511" s="108" t="s">
        <v>156</v>
      </c>
      <c r="C511" s="106">
        <f t="shared" si="7"/>
        <v>6</v>
      </c>
      <c r="D511" s="109">
        <v>0</v>
      </c>
      <c r="E511" s="109">
        <v>0</v>
      </c>
      <c r="F511" s="107">
        <v>0</v>
      </c>
      <c r="G511" s="107">
        <v>0</v>
      </c>
      <c r="H511" s="107">
        <v>0</v>
      </c>
      <c r="I511" s="107">
        <v>0</v>
      </c>
      <c r="J511" s="107">
        <v>0</v>
      </c>
    </row>
    <row r="512" spans="1:10" ht="15" x14ac:dyDescent="0.2">
      <c r="A512" s="105" t="s">
        <v>70</v>
      </c>
      <c r="B512" s="105" t="s">
        <v>157</v>
      </c>
      <c r="C512" s="106">
        <f t="shared" si="7"/>
        <v>7</v>
      </c>
      <c r="D512" s="107">
        <v>0</v>
      </c>
      <c r="E512" s="107">
        <v>0</v>
      </c>
      <c r="F512" s="107">
        <v>0</v>
      </c>
      <c r="G512" s="107">
        <v>0</v>
      </c>
      <c r="H512" s="107">
        <v>0</v>
      </c>
      <c r="I512" s="107">
        <v>0</v>
      </c>
      <c r="J512" s="107">
        <v>0</v>
      </c>
    </row>
    <row r="513" spans="1:10" ht="15" x14ac:dyDescent="0.2">
      <c r="A513" s="108" t="s">
        <v>70</v>
      </c>
      <c r="B513" s="108" t="s">
        <v>158</v>
      </c>
      <c r="C513" s="106">
        <f t="shared" si="7"/>
        <v>8</v>
      </c>
      <c r="D513" s="109">
        <v>0</v>
      </c>
      <c r="E513" s="109">
        <v>0</v>
      </c>
      <c r="F513" s="107">
        <v>0</v>
      </c>
      <c r="G513" s="107">
        <v>0</v>
      </c>
      <c r="H513" s="107">
        <v>0</v>
      </c>
      <c r="I513" s="107">
        <v>0</v>
      </c>
      <c r="J513" s="107">
        <v>0</v>
      </c>
    </row>
    <row r="514" spans="1:10" ht="15" x14ac:dyDescent="0.2">
      <c r="A514" s="105" t="s">
        <v>70</v>
      </c>
      <c r="B514" s="105" t="s">
        <v>159</v>
      </c>
      <c r="C514" s="106">
        <f t="shared" si="7"/>
        <v>9</v>
      </c>
      <c r="D514" s="107">
        <v>0</v>
      </c>
      <c r="E514" s="107">
        <v>0</v>
      </c>
      <c r="F514" s="107">
        <v>0</v>
      </c>
      <c r="G514" s="107">
        <v>0</v>
      </c>
      <c r="H514" s="107">
        <v>0</v>
      </c>
      <c r="I514" s="107">
        <v>0</v>
      </c>
      <c r="J514" s="107">
        <v>0</v>
      </c>
    </row>
    <row r="515" spans="1:10" ht="15" x14ac:dyDescent="0.2">
      <c r="A515" s="108" t="s">
        <v>70</v>
      </c>
      <c r="B515" s="108" t="s">
        <v>160</v>
      </c>
      <c r="C515" s="106">
        <f t="shared" si="7"/>
        <v>10</v>
      </c>
      <c r="D515" s="109">
        <v>0</v>
      </c>
      <c r="E515" s="109">
        <v>0</v>
      </c>
      <c r="F515" s="107">
        <v>0</v>
      </c>
      <c r="G515" s="107">
        <v>0</v>
      </c>
      <c r="H515" s="107">
        <v>0</v>
      </c>
      <c r="I515" s="107">
        <v>0</v>
      </c>
      <c r="J515" s="107">
        <v>0</v>
      </c>
    </row>
    <row r="516" spans="1:10" ht="15" x14ac:dyDescent="0.2">
      <c r="A516" s="105" t="s">
        <v>70</v>
      </c>
      <c r="B516" s="105" t="s">
        <v>161</v>
      </c>
      <c r="C516" s="106">
        <f t="shared" si="7"/>
        <v>11</v>
      </c>
      <c r="D516" s="107">
        <v>0</v>
      </c>
      <c r="E516" s="107">
        <v>0</v>
      </c>
      <c r="F516" s="107">
        <v>0</v>
      </c>
      <c r="G516" s="107">
        <v>0</v>
      </c>
      <c r="H516" s="107">
        <v>0</v>
      </c>
      <c r="I516" s="107">
        <v>0</v>
      </c>
      <c r="J516" s="107">
        <v>0</v>
      </c>
    </row>
    <row r="517" spans="1:10" ht="15" x14ac:dyDescent="0.2">
      <c r="A517" s="108" t="s">
        <v>70</v>
      </c>
      <c r="B517" s="108" t="s">
        <v>162</v>
      </c>
      <c r="C517" s="106">
        <f t="shared" si="7"/>
        <v>12</v>
      </c>
      <c r="D517" s="109">
        <v>0</v>
      </c>
      <c r="E517" s="109">
        <v>0</v>
      </c>
      <c r="F517" s="107">
        <v>0</v>
      </c>
      <c r="G517" s="107">
        <v>0</v>
      </c>
      <c r="H517" s="107">
        <v>0</v>
      </c>
      <c r="I517" s="107">
        <v>0</v>
      </c>
      <c r="J517" s="107">
        <v>0</v>
      </c>
    </row>
    <row r="518" spans="1:10" ht="15" x14ac:dyDescent="0.2">
      <c r="A518" s="105" t="s">
        <v>80</v>
      </c>
      <c r="B518" s="105" t="s">
        <v>151</v>
      </c>
      <c r="C518" s="106">
        <f t="shared" si="7"/>
        <v>1</v>
      </c>
      <c r="D518" s="107">
        <v>0</v>
      </c>
      <c r="E518" s="107">
        <v>0</v>
      </c>
      <c r="F518" s="107">
        <v>0</v>
      </c>
      <c r="G518" s="107">
        <v>0</v>
      </c>
      <c r="H518" s="107">
        <v>0</v>
      </c>
      <c r="I518" s="107">
        <v>0</v>
      </c>
      <c r="J518" s="107">
        <v>0</v>
      </c>
    </row>
    <row r="519" spans="1:10" ht="15" x14ac:dyDescent="0.2">
      <c r="A519" s="108" t="s">
        <v>80</v>
      </c>
      <c r="B519" s="108" t="s">
        <v>152</v>
      </c>
      <c r="C519" s="106">
        <f t="shared" si="7"/>
        <v>2</v>
      </c>
      <c r="D519" s="109">
        <v>0</v>
      </c>
      <c r="E519" s="109">
        <v>0</v>
      </c>
      <c r="F519" s="107">
        <v>0</v>
      </c>
      <c r="G519" s="107">
        <v>0</v>
      </c>
      <c r="H519" s="107">
        <v>0</v>
      </c>
      <c r="I519" s="107">
        <v>0</v>
      </c>
      <c r="J519" s="107">
        <v>0</v>
      </c>
    </row>
    <row r="520" spans="1:10" ht="15" x14ac:dyDescent="0.2">
      <c r="A520" s="105" t="s">
        <v>80</v>
      </c>
      <c r="B520" s="105" t="s">
        <v>153</v>
      </c>
      <c r="C520" s="106">
        <f t="shared" si="7"/>
        <v>3</v>
      </c>
      <c r="D520" s="107">
        <v>0</v>
      </c>
      <c r="E520" s="107">
        <v>0</v>
      </c>
      <c r="F520" s="107">
        <v>0</v>
      </c>
      <c r="G520" s="107">
        <v>0</v>
      </c>
      <c r="H520" s="107">
        <v>0</v>
      </c>
      <c r="I520" s="107">
        <v>0</v>
      </c>
      <c r="J520" s="107">
        <v>0</v>
      </c>
    </row>
    <row r="521" spans="1:10" ht="15" x14ac:dyDescent="0.2">
      <c r="A521" s="108" t="s">
        <v>80</v>
      </c>
      <c r="B521" s="108" t="s">
        <v>154</v>
      </c>
      <c r="C521" s="106">
        <f t="shared" si="7"/>
        <v>4</v>
      </c>
      <c r="D521" s="109">
        <v>0</v>
      </c>
      <c r="E521" s="109">
        <v>0</v>
      </c>
      <c r="F521" s="107">
        <v>0</v>
      </c>
      <c r="G521" s="107">
        <v>0</v>
      </c>
      <c r="H521" s="107">
        <v>0</v>
      </c>
      <c r="I521" s="107">
        <v>0</v>
      </c>
      <c r="J521" s="107">
        <v>0</v>
      </c>
    </row>
    <row r="522" spans="1:10" ht="15" x14ac:dyDescent="0.2">
      <c r="A522" s="105" t="s">
        <v>80</v>
      </c>
      <c r="B522" s="105" t="s">
        <v>155</v>
      </c>
      <c r="C522" s="106">
        <f t="shared" si="7"/>
        <v>5</v>
      </c>
      <c r="D522" s="107">
        <v>0</v>
      </c>
      <c r="E522" s="107">
        <v>0</v>
      </c>
      <c r="F522" s="107">
        <v>0</v>
      </c>
      <c r="G522" s="107">
        <v>0</v>
      </c>
      <c r="H522" s="107">
        <v>0</v>
      </c>
      <c r="I522" s="107">
        <v>0</v>
      </c>
      <c r="J522" s="107">
        <v>0</v>
      </c>
    </row>
    <row r="523" spans="1:10" ht="15" x14ac:dyDescent="0.2">
      <c r="A523" s="108" t="s">
        <v>80</v>
      </c>
      <c r="B523" s="108" t="s">
        <v>156</v>
      </c>
      <c r="C523" s="106">
        <f t="shared" si="7"/>
        <v>6</v>
      </c>
      <c r="D523" s="109">
        <v>0</v>
      </c>
      <c r="E523" s="109">
        <v>0</v>
      </c>
      <c r="F523" s="107">
        <v>0</v>
      </c>
      <c r="G523" s="107">
        <v>0</v>
      </c>
      <c r="H523" s="107">
        <v>0</v>
      </c>
      <c r="I523" s="107">
        <v>0</v>
      </c>
      <c r="J523" s="107">
        <v>0</v>
      </c>
    </row>
    <row r="524" spans="1:10" ht="15" x14ac:dyDescent="0.2">
      <c r="A524" s="105" t="s">
        <v>80</v>
      </c>
      <c r="B524" s="105" t="s">
        <v>157</v>
      </c>
      <c r="C524" s="106">
        <f t="shared" si="7"/>
        <v>7</v>
      </c>
      <c r="D524" s="107">
        <v>0</v>
      </c>
      <c r="E524" s="107">
        <v>0</v>
      </c>
      <c r="F524" s="107">
        <v>0</v>
      </c>
      <c r="G524" s="107">
        <v>0</v>
      </c>
      <c r="H524" s="107">
        <v>0</v>
      </c>
      <c r="I524" s="107">
        <v>0</v>
      </c>
      <c r="J524" s="107">
        <v>0</v>
      </c>
    </row>
    <row r="525" spans="1:10" ht="15" x14ac:dyDescent="0.2">
      <c r="A525" s="108" t="s">
        <v>80</v>
      </c>
      <c r="B525" s="108" t="s">
        <v>158</v>
      </c>
      <c r="C525" s="106">
        <f t="shared" si="7"/>
        <v>8</v>
      </c>
      <c r="D525" s="109">
        <v>0</v>
      </c>
      <c r="E525" s="109">
        <v>0</v>
      </c>
      <c r="F525" s="107">
        <v>0</v>
      </c>
      <c r="G525" s="107">
        <v>0</v>
      </c>
      <c r="H525" s="107">
        <v>0</v>
      </c>
      <c r="I525" s="107">
        <v>0</v>
      </c>
      <c r="J525" s="107">
        <v>0</v>
      </c>
    </row>
    <row r="526" spans="1:10" ht="15" x14ac:dyDescent="0.2">
      <c r="A526" s="105" t="s">
        <v>80</v>
      </c>
      <c r="B526" s="105" t="s">
        <v>159</v>
      </c>
      <c r="C526" s="106">
        <f t="shared" si="7"/>
        <v>9</v>
      </c>
      <c r="D526" s="107">
        <v>0</v>
      </c>
      <c r="E526" s="107">
        <v>0</v>
      </c>
      <c r="F526" s="107">
        <v>0</v>
      </c>
      <c r="G526" s="107">
        <v>0</v>
      </c>
      <c r="H526" s="107">
        <v>0</v>
      </c>
      <c r="I526" s="107">
        <v>0</v>
      </c>
      <c r="J526" s="107">
        <v>0</v>
      </c>
    </row>
    <row r="527" spans="1:10" ht="15" x14ac:dyDescent="0.2">
      <c r="A527" s="108" t="s">
        <v>80</v>
      </c>
      <c r="B527" s="108" t="s">
        <v>160</v>
      </c>
      <c r="C527" s="106">
        <f t="shared" si="7"/>
        <v>10</v>
      </c>
      <c r="D527" s="109">
        <v>0</v>
      </c>
      <c r="E527" s="109">
        <v>0</v>
      </c>
      <c r="F527" s="107">
        <v>0</v>
      </c>
      <c r="G527" s="107">
        <v>0</v>
      </c>
      <c r="H527" s="107">
        <v>0</v>
      </c>
      <c r="I527" s="107">
        <v>0</v>
      </c>
      <c r="J527" s="107">
        <v>0</v>
      </c>
    </row>
    <row r="528" spans="1:10" ht="15" x14ac:dyDescent="0.2">
      <c r="A528" s="105" t="s">
        <v>80</v>
      </c>
      <c r="B528" s="105" t="s">
        <v>161</v>
      </c>
      <c r="C528" s="106">
        <f t="shared" si="7"/>
        <v>11</v>
      </c>
      <c r="D528" s="107">
        <v>0</v>
      </c>
      <c r="E528" s="107">
        <v>0</v>
      </c>
      <c r="F528" s="107">
        <v>0</v>
      </c>
      <c r="G528" s="107">
        <v>0</v>
      </c>
      <c r="H528" s="107">
        <v>0</v>
      </c>
      <c r="I528" s="107">
        <v>0</v>
      </c>
      <c r="J528" s="107">
        <v>0</v>
      </c>
    </row>
    <row r="529" spans="1:10" ht="15" x14ac:dyDescent="0.2">
      <c r="A529" s="108" t="s">
        <v>80</v>
      </c>
      <c r="B529" s="108" t="s">
        <v>162</v>
      </c>
      <c r="C529" s="106">
        <f t="shared" si="7"/>
        <v>12</v>
      </c>
      <c r="D529" s="109">
        <v>0</v>
      </c>
      <c r="E529" s="109">
        <v>0</v>
      </c>
      <c r="F529" s="107">
        <v>0</v>
      </c>
      <c r="G529" s="107">
        <v>0</v>
      </c>
      <c r="H529" s="107">
        <v>0</v>
      </c>
      <c r="I529" s="107">
        <v>0</v>
      </c>
      <c r="J529" s="107">
        <v>0</v>
      </c>
    </row>
    <row r="530" spans="1:10" ht="15" x14ac:dyDescent="0.2">
      <c r="A530" s="105" t="s">
        <v>77</v>
      </c>
      <c r="B530" s="105" t="s">
        <v>151</v>
      </c>
      <c r="C530" s="106">
        <f t="shared" si="7"/>
        <v>1</v>
      </c>
      <c r="D530" s="107">
        <v>2</v>
      </c>
      <c r="E530" s="107">
        <v>50</v>
      </c>
      <c r="F530" s="107">
        <v>0</v>
      </c>
      <c r="G530" s="107">
        <v>0</v>
      </c>
      <c r="H530" s="107">
        <v>0</v>
      </c>
      <c r="I530" s="107">
        <v>0</v>
      </c>
      <c r="J530" s="107">
        <v>1</v>
      </c>
    </row>
    <row r="531" spans="1:10" ht="15" x14ac:dyDescent="0.2">
      <c r="A531" s="108" t="s">
        <v>77</v>
      </c>
      <c r="B531" s="108" t="s">
        <v>152</v>
      </c>
      <c r="C531" s="106">
        <f t="shared" si="7"/>
        <v>2</v>
      </c>
      <c r="D531" s="109">
        <v>0</v>
      </c>
      <c r="E531" s="109">
        <v>0</v>
      </c>
      <c r="F531" s="107">
        <v>0</v>
      </c>
      <c r="G531" s="107">
        <v>0</v>
      </c>
      <c r="H531" s="107">
        <v>0</v>
      </c>
      <c r="I531" s="107">
        <v>0</v>
      </c>
      <c r="J531" s="107">
        <v>0</v>
      </c>
    </row>
    <row r="532" spans="1:10" ht="15" x14ac:dyDescent="0.2">
      <c r="A532" s="105" t="s">
        <v>77</v>
      </c>
      <c r="B532" s="105" t="s">
        <v>153</v>
      </c>
      <c r="C532" s="106">
        <f t="shared" si="7"/>
        <v>3</v>
      </c>
      <c r="D532" s="107">
        <v>0</v>
      </c>
      <c r="E532" s="107">
        <v>0</v>
      </c>
      <c r="F532" s="107">
        <v>0</v>
      </c>
      <c r="G532" s="107">
        <v>0</v>
      </c>
      <c r="H532" s="107">
        <v>0</v>
      </c>
      <c r="I532" s="107">
        <v>0</v>
      </c>
      <c r="J532" s="107">
        <v>0</v>
      </c>
    </row>
    <row r="533" spans="1:10" ht="15" x14ac:dyDescent="0.2">
      <c r="A533" s="108" t="s">
        <v>77</v>
      </c>
      <c r="B533" s="108" t="s">
        <v>154</v>
      </c>
      <c r="C533" s="106">
        <f t="shared" si="7"/>
        <v>4</v>
      </c>
      <c r="D533" s="109">
        <v>1</v>
      </c>
      <c r="E533" s="109">
        <v>25</v>
      </c>
      <c r="F533" s="107">
        <v>0</v>
      </c>
      <c r="G533" s="107">
        <v>0</v>
      </c>
      <c r="H533" s="107">
        <v>0</v>
      </c>
      <c r="I533" s="107">
        <v>0</v>
      </c>
      <c r="J533" s="107">
        <v>1</v>
      </c>
    </row>
    <row r="534" spans="1:10" ht="15" x14ac:dyDescent="0.2">
      <c r="A534" s="105" t="s">
        <v>77</v>
      </c>
      <c r="B534" s="105" t="s">
        <v>155</v>
      </c>
      <c r="C534" s="106">
        <f t="shared" si="7"/>
        <v>5</v>
      </c>
      <c r="D534" s="107">
        <v>0</v>
      </c>
      <c r="E534" s="107">
        <v>0</v>
      </c>
      <c r="F534" s="107">
        <v>0</v>
      </c>
      <c r="G534" s="107">
        <v>0</v>
      </c>
      <c r="H534" s="107">
        <v>0</v>
      </c>
      <c r="I534" s="107">
        <v>0</v>
      </c>
      <c r="J534" s="107">
        <v>0</v>
      </c>
    </row>
    <row r="535" spans="1:10" ht="15" x14ac:dyDescent="0.2">
      <c r="A535" s="108" t="s">
        <v>77</v>
      </c>
      <c r="B535" s="108" t="s">
        <v>156</v>
      </c>
      <c r="C535" s="106">
        <f t="shared" si="7"/>
        <v>6</v>
      </c>
      <c r="D535" s="109">
        <v>0</v>
      </c>
      <c r="E535" s="109">
        <v>0</v>
      </c>
      <c r="F535" s="107">
        <v>0</v>
      </c>
      <c r="G535" s="107">
        <v>0</v>
      </c>
      <c r="H535" s="107">
        <v>0</v>
      </c>
      <c r="I535" s="107">
        <v>0</v>
      </c>
      <c r="J535" s="107">
        <v>0</v>
      </c>
    </row>
    <row r="536" spans="1:10" ht="15" x14ac:dyDescent="0.2">
      <c r="A536" s="105" t="s">
        <v>77</v>
      </c>
      <c r="B536" s="105" t="s">
        <v>157</v>
      </c>
      <c r="C536" s="106">
        <f t="shared" si="7"/>
        <v>7</v>
      </c>
      <c r="D536" s="107">
        <v>0</v>
      </c>
      <c r="E536" s="107">
        <v>0</v>
      </c>
      <c r="F536" s="107">
        <v>0</v>
      </c>
      <c r="G536" s="107">
        <v>0</v>
      </c>
      <c r="H536" s="107">
        <v>0</v>
      </c>
      <c r="I536" s="107">
        <v>0</v>
      </c>
      <c r="J536" s="107">
        <v>0</v>
      </c>
    </row>
    <row r="537" spans="1:10" ht="15" x14ac:dyDescent="0.2">
      <c r="A537" s="108" t="s">
        <v>77</v>
      </c>
      <c r="B537" s="108" t="s">
        <v>158</v>
      </c>
      <c r="C537" s="106">
        <f t="shared" si="7"/>
        <v>8</v>
      </c>
      <c r="D537" s="109">
        <v>0</v>
      </c>
      <c r="E537" s="109">
        <v>0</v>
      </c>
      <c r="F537" s="107">
        <v>0</v>
      </c>
      <c r="G537" s="107">
        <v>0</v>
      </c>
      <c r="H537" s="107">
        <v>0</v>
      </c>
      <c r="I537" s="107">
        <v>0</v>
      </c>
      <c r="J537" s="107">
        <v>0</v>
      </c>
    </row>
    <row r="538" spans="1:10" ht="15" x14ac:dyDescent="0.2">
      <c r="A538" s="105" t="s">
        <v>77</v>
      </c>
      <c r="B538" s="105" t="s">
        <v>159</v>
      </c>
      <c r="C538" s="106">
        <f t="shared" si="7"/>
        <v>9</v>
      </c>
      <c r="D538" s="107">
        <v>0</v>
      </c>
      <c r="E538" s="107">
        <v>0</v>
      </c>
      <c r="F538" s="107">
        <v>0</v>
      </c>
      <c r="G538" s="107">
        <v>0</v>
      </c>
      <c r="H538" s="107">
        <v>0</v>
      </c>
      <c r="I538" s="107">
        <v>0</v>
      </c>
      <c r="J538" s="107">
        <v>0</v>
      </c>
    </row>
    <row r="539" spans="1:10" ht="15" x14ac:dyDescent="0.2">
      <c r="A539" s="108" t="s">
        <v>77</v>
      </c>
      <c r="B539" s="108" t="s">
        <v>160</v>
      </c>
      <c r="C539" s="106">
        <f t="shared" si="7"/>
        <v>10</v>
      </c>
      <c r="D539" s="109">
        <v>0</v>
      </c>
      <c r="E539" s="109">
        <v>0</v>
      </c>
      <c r="F539" s="107">
        <v>0</v>
      </c>
      <c r="G539" s="107">
        <v>0</v>
      </c>
      <c r="H539" s="107">
        <v>0</v>
      </c>
      <c r="I539" s="107">
        <v>0</v>
      </c>
      <c r="J539" s="107">
        <v>0</v>
      </c>
    </row>
    <row r="540" spans="1:10" ht="15" x14ac:dyDescent="0.2">
      <c r="A540" s="105" t="s">
        <v>77</v>
      </c>
      <c r="B540" s="105" t="s">
        <v>161</v>
      </c>
      <c r="C540" s="106">
        <f t="shared" si="7"/>
        <v>11</v>
      </c>
      <c r="D540" s="107">
        <v>0</v>
      </c>
      <c r="E540" s="107">
        <v>0</v>
      </c>
      <c r="F540" s="107">
        <v>0</v>
      </c>
      <c r="G540" s="107">
        <v>0</v>
      </c>
      <c r="H540" s="107">
        <v>0</v>
      </c>
      <c r="I540" s="107">
        <v>0</v>
      </c>
      <c r="J540" s="107">
        <v>0</v>
      </c>
    </row>
    <row r="541" spans="1:10" ht="15" x14ac:dyDescent="0.2">
      <c r="A541" s="108" t="s">
        <v>77</v>
      </c>
      <c r="B541" s="108" t="s">
        <v>162</v>
      </c>
      <c r="C541" s="106">
        <f t="shared" si="7"/>
        <v>12</v>
      </c>
      <c r="D541" s="109">
        <v>0</v>
      </c>
      <c r="E541" s="109">
        <v>0</v>
      </c>
      <c r="F541" s="107">
        <v>0</v>
      </c>
      <c r="G541" s="107">
        <v>0</v>
      </c>
      <c r="H541" s="107">
        <v>0</v>
      </c>
      <c r="I541" s="107">
        <v>0</v>
      </c>
      <c r="J541" s="107">
        <v>0</v>
      </c>
    </row>
    <row r="542" spans="1:10" ht="15" x14ac:dyDescent="0.2">
      <c r="A542" s="105" t="s">
        <v>52</v>
      </c>
      <c r="B542" s="105" t="s">
        <v>151</v>
      </c>
      <c r="C542" s="106">
        <f t="shared" si="7"/>
        <v>1</v>
      </c>
      <c r="D542" s="107">
        <v>0</v>
      </c>
      <c r="E542" s="107">
        <v>0</v>
      </c>
      <c r="F542" s="107">
        <v>0</v>
      </c>
      <c r="G542" s="107">
        <v>0</v>
      </c>
      <c r="H542" s="107">
        <v>0</v>
      </c>
      <c r="I542" s="107">
        <v>0</v>
      </c>
      <c r="J542" s="107">
        <v>0</v>
      </c>
    </row>
    <row r="543" spans="1:10" ht="15" x14ac:dyDescent="0.2">
      <c r="A543" s="108" t="s">
        <v>52</v>
      </c>
      <c r="B543" s="108" t="s">
        <v>152</v>
      </c>
      <c r="C543" s="106">
        <f t="shared" si="7"/>
        <v>2</v>
      </c>
      <c r="D543" s="109">
        <v>0</v>
      </c>
      <c r="E543" s="109">
        <v>0</v>
      </c>
      <c r="F543" s="107">
        <v>0</v>
      </c>
      <c r="G543" s="107">
        <v>0</v>
      </c>
      <c r="H543" s="107">
        <v>0</v>
      </c>
      <c r="I543" s="107">
        <v>0</v>
      </c>
      <c r="J543" s="107">
        <v>0</v>
      </c>
    </row>
    <row r="544" spans="1:10" ht="15" x14ac:dyDescent="0.2">
      <c r="A544" s="105" t="s">
        <v>52</v>
      </c>
      <c r="B544" s="105" t="s">
        <v>153</v>
      </c>
      <c r="C544" s="106">
        <f t="shared" si="7"/>
        <v>3</v>
      </c>
      <c r="D544" s="107">
        <v>6</v>
      </c>
      <c r="E544" s="107">
        <v>100</v>
      </c>
      <c r="F544" s="107">
        <v>0</v>
      </c>
      <c r="G544" s="107">
        <v>0</v>
      </c>
      <c r="H544" s="107">
        <v>0</v>
      </c>
      <c r="I544" s="107">
        <v>0</v>
      </c>
      <c r="J544" s="107">
        <v>2</v>
      </c>
    </row>
    <row r="545" spans="1:10" ht="15" x14ac:dyDescent="0.2">
      <c r="A545" s="108" t="s">
        <v>52</v>
      </c>
      <c r="B545" s="108" t="s">
        <v>154</v>
      </c>
      <c r="C545" s="106">
        <f t="shared" si="7"/>
        <v>4</v>
      </c>
      <c r="D545" s="109">
        <v>0</v>
      </c>
      <c r="E545" s="109">
        <v>0</v>
      </c>
      <c r="F545" s="107">
        <v>0</v>
      </c>
      <c r="G545" s="107">
        <v>0</v>
      </c>
      <c r="H545" s="107">
        <v>0</v>
      </c>
      <c r="I545" s="107">
        <v>0</v>
      </c>
      <c r="J545" s="107">
        <v>0</v>
      </c>
    </row>
    <row r="546" spans="1:10" ht="15" x14ac:dyDescent="0.2">
      <c r="A546" s="105" t="s">
        <v>52</v>
      </c>
      <c r="B546" s="105" t="s">
        <v>155</v>
      </c>
      <c r="C546" s="106">
        <f t="shared" si="7"/>
        <v>5</v>
      </c>
      <c r="D546" s="107">
        <v>0</v>
      </c>
      <c r="E546" s="107">
        <v>0</v>
      </c>
      <c r="F546" s="107">
        <v>0</v>
      </c>
      <c r="G546" s="107">
        <v>0</v>
      </c>
      <c r="H546" s="107">
        <v>0</v>
      </c>
      <c r="I546" s="107">
        <v>0</v>
      </c>
      <c r="J546" s="107">
        <v>0</v>
      </c>
    </row>
    <row r="547" spans="1:10" ht="15" x14ac:dyDescent="0.2">
      <c r="A547" s="108" t="s">
        <v>52</v>
      </c>
      <c r="B547" s="108" t="s">
        <v>156</v>
      </c>
      <c r="C547" s="106">
        <f t="shared" si="7"/>
        <v>6</v>
      </c>
      <c r="D547" s="109">
        <v>0</v>
      </c>
      <c r="E547" s="109">
        <v>0</v>
      </c>
      <c r="F547" s="107">
        <v>0</v>
      </c>
      <c r="G547" s="107">
        <v>0</v>
      </c>
      <c r="H547" s="107">
        <v>0</v>
      </c>
      <c r="I547" s="107">
        <v>0</v>
      </c>
      <c r="J547" s="107">
        <v>0</v>
      </c>
    </row>
    <row r="548" spans="1:10" ht="15" x14ac:dyDescent="0.2">
      <c r="A548" s="105" t="s">
        <v>52</v>
      </c>
      <c r="B548" s="105" t="s">
        <v>157</v>
      </c>
      <c r="C548" s="106">
        <f t="shared" si="7"/>
        <v>7</v>
      </c>
      <c r="D548" s="107">
        <v>0</v>
      </c>
      <c r="E548" s="107">
        <v>0</v>
      </c>
      <c r="F548" s="107">
        <v>0</v>
      </c>
      <c r="G548" s="107">
        <v>0</v>
      </c>
      <c r="H548" s="107">
        <v>0</v>
      </c>
      <c r="I548" s="107">
        <v>0</v>
      </c>
      <c r="J548" s="107">
        <v>0</v>
      </c>
    </row>
    <row r="549" spans="1:10" ht="15" x14ac:dyDescent="0.2">
      <c r="A549" s="108" t="s">
        <v>52</v>
      </c>
      <c r="B549" s="108" t="s">
        <v>158</v>
      </c>
      <c r="C549" s="106">
        <f t="shared" si="7"/>
        <v>8</v>
      </c>
      <c r="D549" s="109">
        <v>0</v>
      </c>
      <c r="E549" s="109">
        <v>0</v>
      </c>
      <c r="F549" s="107">
        <v>0</v>
      </c>
      <c r="G549" s="107">
        <v>0</v>
      </c>
      <c r="H549" s="107">
        <v>0</v>
      </c>
      <c r="I549" s="107">
        <v>0</v>
      </c>
      <c r="J549" s="107">
        <v>0</v>
      </c>
    </row>
    <row r="550" spans="1:10" ht="15" x14ac:dyDescent="0.2">
      <c r="A550" s="105" t="s">
        <v>52</v>
      </c>
      <c r="B550" s="105" t="s">
        <v>159</v>
      </c>
      <c r="C550" s="106">
        <f t="shared" ref="C550:C625" si="8">_xlfn.IFS(B550="Janeiro",1,B550="Fevereiro",2,B550="Março",3,B550="Abril",4,B550="Maio",5,B550="Junho",6,B550="Julho",7,B550="Agosto",8,B550="Setembro",9,B550="Outubro",10,B550="Novembro",11,B550="Dezembro",12,TRUE,0)</f>
        <v>9</v>
      </c>
      <c r="D550" s="107">
        <v>0</v>
      </c>
      <c r="E550" s="107">
        <v>0</v>
      </c>
      <c r="F550" s="107">
        <v>0</v>
      </c>
      <c r="G550" s="107">
        <v>0</v>
      </c>
      <c r="H550" s="107">
        <v>0</v>
      </c>
      <c r="I550" s="107">
        <v>0</v>
      </c>
      <c r="J550" s="107">
        <v>0</v>
      </c>
    </row>
    <row r="551" spans="1:10" ht="15" x14ac:dyDescent="0.2">
      <c r="A551" s="108" t="s">
        <v>52</v>
      </c>
      <c r="B551" s="108" t="s">
        <v>160</v>
      </c>
      <c r="C551" s="106">
        <f t="shared" si="8"/>
        <v>10</v>
      </c>
      <c r="D551" s="109">
        <v>0</v>
      </c>
      <c r="E551" s="109">
        <v>0</v>
      </c>
      <c r="F551" s="107">
        <v>0</v>
      </c>
      <c r="G551" s="107">
        <v>0</v>
      </c>
      <c r="H551" s="107">
        <v>0</v>
      </c>
      <c r="I551" s="107">
        <v>0</v>
      </c>
      <c r="J551" s="107">
        <v>0</v>
      </c>
    </row>
    <row r="552" spans="1:10" ht="15" x14ac:dyDescent="0.2">
      <c r="A552" s="105" t="s">
        <v>52</v>
      </c>
      <c r="B552" s="105" t="s">
        <v>161</v>
      </c>
      <c r="C552" s="106">
        <f t="shared" si="8"/>
        <v>11</v>
      </c>
      <c r="D552" s="107">
        <v>0</v>
      </c>
      <c r="E552" s="107">
        <v>0</v>
      </c>
      <c r="F552" s="107">
        <v>0</v>
      </c>
      <c r="G552" s="107">
        <v>0</v>
      </c>
      <c r="H552" s="107">
        <v>0</v>
      </c>
      <c r="I552" s="107">
        <v>0</v>
      </c>
      <c r="J552" s="107">
        <v>0</v>
      </c>
    </row>
    <row r="553" spans="1:10" ht="15" x14ac:dyDescent="0.2">
      <c r="A553" s="108" t="s">
        <v>52</v>
      </c>
      <c r="B553" s="108" t="s">
        <v>162</v>
      </c>
      <c r="C553" s="106">
        <f t="shared" si="8"/>
        <v>12</v>
      </c>
      <c r="D553" s="109">
        <v>0</v>
      </c>
      <c r="E553" s="109">
        <v>0</v>
      </c>
      <c r="F553" s="107">
        <v>0</v>
      </c>
      <c r="G553" s="107">
        <v>0</v>
      </c>
      <c r="H553" s="107">
        <v>0</v>
      </c>
      <c r="I553" s="107">
        <v>0</v>
      </c>
      <c r="J553" s="107">
        <v>0</v>
      </c>
    </row>
    <row r="554" spans="1:10" ht="15" x14ac:dyDescent="0.2">
      <c r="A554" s="105" t="s">
        <v>105</v>
      </c>
      <c r="B554" s="105" t="s">
        <v>151</v>
      </c>
      <c r="C554" s="106">
        <f t="shared" si="8"/>
        <v>1</v>
      </c>
      <c r="D554" s="107">
        <v>0</v>
      </c>
      <c r="E554" s="107">
        <v>0</v>
      </c>
      <c r="F554" s="107">
        <v>0</v>
      </c>
      <c r="G554" s="107">
        <v>0</v>
      </c>
      <c r="H554" s="107">
        <v>0</v>
      </c>
      <c r="I554" s="107">
        <v>0</v>
      </c>
      <c r="J554" s="107">
        <v>0</v>
      </c>
    </row>
    <row r="555" spans="1:10" ht="15" x14ac:dyDescent="0.2">
      <c r="A555" s="108" t="s">
        <v>105</v>
      </c>
      <c r="B555" s="108" t="s">
        <v>152</v>
      </c>
      <c r="C555" s="106">
        <f t="shared" si="8"/>
        <v>2</v>
      </c>
      <c r="D555" s="109">
        <v>0</v>
      </c>
      <c r="E555" s="109">
        <v>0</v>
      </c>
      <c r="F555" s="107">
        <v>0</v>
      </c>
      <c r="G555" s="107">
        <v>0</v>
      </c>
      <c r="H555" s="107">
        <v>0</v>
      </c>
      <c r="I555" s="107">
        <v>0</v>
      </c>
      <c r="J555" s="107">
        <v>0</v>
      </c>
    </row>
    <row r="556" spans="1:10" ht="15" x14ac:dyDescent="0.2">
      <c r="A556" s="105" t="s">
        <v>105</v>
      </c>
      <c r="B556" s="105" t="s">
        <v>153</v>
      </c>
      <c r="C556" s="106">
        <f t="shared" si="8"/>
        <v>3</v>
      </c>
      <c r="D556" s="107">
        <v>0</v>
      </c>
      <c r="E556" s="107">
        <v>0</v>
      </c>
      <c r="F556" s="107">
        <v>0</v>
      </c>
      <c r="G556" s="107">
        <v>0</v>
      </c>
      <c r="H556" s="107">
        <v>0</v>
      </c>
      <c r="I556" s="107">
        <v>0</v>
      </c>
      <c r="J556" s="107">
        <v>0</v>
      </c>
    </row>
    <row r="557" spans="1:10" ht="15" x14ac:dyDescent="0.2">
      <c r="A557" s="108" t="s">
        <v>105</v>
      </c>
      <c r="B557" s="108" t="s">
        <v>154</v>
      </c>
      <c r="C557" s="106">
        <f t="shared" si="8"/>
        <v>4</v>
      </c>
      <c r="D557" s="109">
        <v>0</v>
      </c>
      <c r="E557" s="109">
        <v>0</v>
      </c>
      <c r="F557" s="107">
        <v>0</v>
      </c>
      <c r="G557" s="107">
        <v>0</v>
      </c>
      <c r="H557" s="107">
        <v>0</v>
      </c>
      <c r="I557" s="107">
        <v>0</v>
      </c>
      <c r="J557" s="107">
        <v>0</v>
      </c>
    </row>
    <row r="558" spans="1:10" ht="15" x14ac:dyDescent="0.2">
      <c r="A558" s="105" t="s">
        <v>105</v>
      </c>
      <c r="B558" s="105" t="s">
        <v>155</v>
      </c>
      <c r="C558" s="106">
        <f t="shared" si="8"/>
        <v>5</v>
      </c>
      <c r="D558" s="107">
        <v>0</v>
      </c>
      <c r="E558" s="107">
        <v>0</v>
      </c>
      <c r="F558" s="107">
        <v>0</v>
      </c>
      <c r="G558" s="107">
        <v>0</v>
      </c>
      <c r="H558" s="107">
        <v>0</v>
      </c>
      <c r="I558" s="107">
        <v>0</v>
      </c>
      <c r="J558" s="107">
        <v>0</v>
      </c>
    </row>
    <row r="559" spans="1:10" ht="15" x14ac:dyDescent="0.2">
      <c r="A559" s="108" t="s">
        <v>105</v>
      </c>
      <c r="B559" s="108" t="s">
        <v>156</v>
      </c>
      <c r="C559" s="106">
        <f t="shared" si="8"/>
        <v>6</v>
      </c>
      <c r="D559" s="109">
        <v>0</v>
      </c>
      <c r="E559" s="109">
        <v>0</v>
      </c>
      <c r="F559" s="107">
        <v>0</v>
      </c>
      <c r="G559" s="107">
        <v>0</v>
      </c>
      <c r="H559" s="107">
        <v>0</v>
      </c>
      <c r="I559" s="107">
        <v>0</v>
      </c>
      <c r="J559" s="107">
        <v>0</v>
      </c>
    </row>
    <row r="560" spans="1:10" ht="15" x14ac:dyDescent="0.2">
      <c r="A560" s="105" t="s">
        <v>105</v>
      </c>
      <c r="B560" s="105" t="s">
        <v>157</v>
      </c>
      <c r="C560" s="106">
        <f t="shared" si="8"/>
        <v>7</v>
      </c>
      <c r="D560" s="107">
        <v>0</v>
      </c>
      <c r="E560" s="107">
        <v>0</v>
      </c>
      <c r="F560" s="107">
        <v>0</v>
      </c>
      <c r="G560" s="107">
        <v>0</v>
      </c>
      <c r="H560" s="107">
        <v>0</v>
      </c>
      <c r="I560" s="107">
        <v>0</v>
      </c>
      <c r="J560" s="107">
        <v>0</v>
      </c>
    </row>
    <row r="561" spans="1:10" ht="15" x14ac:dyDescent="0.2">
      <c r="A561" s="108" t="s">
        <v>105</v>
      </c>
      <c r="B561" s="108" t="s">
        <v>158</v>
      </c>
      <c r="C561" s="106">
        <f t="shared" si="8"/>
        <v>8</v>
      </c>
      <c r="D561" s="109">
        <v>0</v>
      </c>
      <c r="E561" s="109">
        <v>0</v>
      </c>
      <c r="F561" s="107">
        <v>0</v>
      </c>
      <c r="G561" s="107">
        <v>0</v>
      </c>
      <c r="H561" s="107">
        <v>0</v>
      </c>
      <c r="I561" s="107">
        <v>0</v>
      </c>
      <c r="J561" s="107">
        <v>0</v>
      </c>
    </row>
    <row r="562" spans="1:10" ht="15" x14ac:dyDescent="0.2">
      <c r="A562" s="105" t="s">
        <v>105</v>
      </c>
      <c r="B562" s="105" t="s">
        <v>159</v>
      </c>
      <c r="C562" s="106">
        <f t="shared" si="8"/>
        <v>9</v>
      </c>
      <c r="D562" s="107">
        <v>0</v>
      </c>
      <c r="E562" s="107">
        <v>0</v>
      </c>
      <c r="F562" s="107">
        <v>0</v>
      </c>
      <c r="G562" s="107">
        <v>0</v>
      </c>
      <c r="H562" s="107">
        <v>0</v>
      </c>
      <c r="I562" s="107">
        <v>0</v>
      </c>
      <c r="J562" s="107">
        <v>0</v>
      </c>
    </row>
    <row r="563" spans="1:10" ht="15" x14ac:dyDescent="0.2">
      <c r="A563" s="108" t="s">
        <v>105</v>
      </c>
      <c r="B563" s="108" t="s">
        <v>160</v>
      </c>
      <c r="C563" s="106">
        <f t="shared" si="8"/>
        <v>10</v>
      </c>
      <c r="D563" s="109">
        <v>0</v>
      </c>
      <c r="E563" s="109">
        <v>0</v>
      </c>
      <c r="F563" s="107">
        <v>0</v>
      </c>
      <c r="G563" s="107">
        <v>0</v>
      </c>
      <c r="H563" s="107">
        <v>0</v>
      </c>
      <c r="I563" s="107">
        <v>0</v>
      </c>
      <c r="J563" s="107">
        <v>0</v>
      </c>
    </row>
    <row r="564" spans="1:10" ht="15" x14ac:dyDescent="0.2">
      <c r="A564" s="105" t="s">
        <v>105</v>
      </c>
      <c r="B564" s="105" t="s">
        <v>161</v>
      </c>
      <c r="C564" s="106">
        <f t="shared" si="8"/>
        <v>11</v>
      </c>
      <c r="D564" s="107">
        <v>0</v>
      </c>
      <c r="E564" s="107">
        <v>0</v>
      </c>
      <c r="F564" s="107">
        <v>0</v>
      </c>
      <c r="G564" s="107">
        <v>0</v>
      </c>
      <c r="H564" s="107">
        <v>0</v>
      </c>
      <c r="I564" s="107">
        <v>0</v>
      </c>
      <c r="J564" s="107">
        <v>0</v>
      </c>
    </row>
    <row r="565" spans="1:10" ht="15" x14ac:dyDescent="0.2">
      <c r="A565" s="108" t="s">
        <v>105</v>
      </c>
      <c r="B565" s="108" t="s">
        <v>162</v>
      </c>
      <c r="C565" s="106">
        <f t="shared" si="8"/>
        <v>12</v>
      </c>
      <c r="D565" s="109">
        <v>0</v>
      </c>
      <c r="E565" s="109">
        <v>0</v>
      </c>
      <c r="F565" s="107">
        <v>0</v>
      </c>
      <c r="G565" s="107">
        <v>0</v>
      </c>
      <c r="H565" s="107">
        <v>0</v>
      </c>
      <c r="I565" s="107">
        <v>0</v>
      </c>
      <c r="J565" s="107">
        <v>0</v>
      </c>
    </row>
    <row r="566" spans="1:10" ht="15" x14ac:dyDescent="0.2">
      <c r="A566" s="105" t="s">
        <v>98</v>
      </c>
      <c r="B566" s="105" t="s">
        <v>151</v>
      </c>
      <c r="C566" s="106">
        <f t="shared" si="8"/>
        <v>1</v>
      </c>
      <c r="D566" s="107">
        <v>14</v>
      </c>
      <c r="E566" s="107">
        <v>58</v>
      </c>
      <c r="F566" s="107">
        <v>0</v>
      </c>
      <c r="G566" s="107">
        <v>0</v>
      </c>
      <c r="H566" s="107">
        <v>0</v>
      </c>
      <c r="I566" s="107">
        <v>0</v>
      </c>
      <c r="J566" s="107">
        <v>6</v>
      </c>
    </row>
    <row r="567" spans="1:10" ht="15" x14ac:dyDescent="0.2">
      <c r="A567" s="108" t="s">
        <v>98</v>
      </c>
      <c r="B567" s="108" t="s">
        <v>152</v>
      </c>
      <c r="C567" s="106">
        <f t="shared" si="8"/>
        <v>2</v>
      </c>
      <c r="D567" s="109">
        <v>7</v>
      </c>
      <c r="E567" s="109">
        <v>29</v>
      </c>
      <c r="F567" s="107">
        <v>0</v>
      </c>
      <c r="G567" s="107">
        <v>0</v>
      </c>
      <c r="H567" s="107">
        <v>0</v>
      </c>
      <c r="I567" s="107">
        <v>0</v>
      </c>
      <c r="J567" s="107">
        <v>3</v>
      </c>
    </row>
    <row r="568" spans="1:10" ht="15" x14ac:dyDescent="0.2">
      <c r="A568" s="105" t="s">
        <v>98</v>
      </c>
      <c r="B568" s="105" t="s">
        <v>153</v>
      </c>
      <c r="C568" s="106">
        <f t="shared" si="8"/>
        <v>3</v>
      </c>
      <c r="D568" s="107">
        <v>5</v>
      </c>
      <c r="E568" s="107">
        <v>20</v>
      </c>
      <c r="F568" s="107">
        <v>1</v>
      </c>
      <c r="G568" s="107">
        <v>0</v>
      </c>
      <c r="H568" s="107">
        <v>0</v>
      </c>
      <c r="I568" s="107">
        <v>0</v>
      </c>
      <c r="J568" s="107">
        <v>3</v>
      </c>
    </row>
    <row r="569" spans="1:10" ht="15" x14ac:dyDescent="0.2">
      <c r="A569" s="108" t="s">
        <v>98</v>
      </c>
      <c r="B569" s="108" t="s">
        <v>154</v>
      </c>
      <c r="C569" s="106">
        <f t="shared" si="8"/>
        <v>4</v>
      </c>
      <c r="D569" s="109">
        <v>2</v>
      </c>
      <c r="E569" s="109">
        <v>8</v>
      </c>
      <c r="F569" s="107">
        <v>2</v>
      </c>
      <c r="G569" s="107">
        <v>0</v>
      </c>
      <c r="H569" s="107">
        <v>0</v>
      </c>
      <c r="I569" s="107">
        <v>0</v>
      </c>
      <c r="J569" s="107">
        <v>1</v>
      </c>
    </row>
    <row r="570" spans="1:10" ht="15" x14ac:dyDescent="0.2">
      <c r="A570" s="105" t="s">
        <v>98</v>
      </c>
      <c r="B570" s="105" t="s">
        <v>155</v>
      </c>
      <c r="C570" s="106">
        <f t="shared" si="8"/>
        <v>5</v>
      </c>
      <c r="D570" s="107">
        <v>9</v>
      </c>
      <c r="E570" s="107">
        <v>37</v>
      </c>
      <c r="F570" s="107">
        <v>1</v>
      </c>
      <c r="G570" s="107">
        <v>1</v>
      </c>
      <c r="H570" s="107">
        <v>0</v>
      </c>
      <c r="I570" s="107">
        <v>0</v>
      </c>
      <c r="J570" s="107">
        <v>8</v>
      </c>
    </row>
    <row r="571" spans="1:10" ht="15" x14ac:dyDescent="0.2">
      <c r="A571" s="108" t="s">
        <v>98</v>
      </c>
      <c r="B571" s="108" t="s">
        <v>156</v>
      </c>
      <c r="C571" s="106">
        <f t="shared" si="8"/>
        <v>6</v>
      </c>
      <c r="D571" s="109">
        <v>9</v>
      </c>
      <c r="E571" s="109">
        <v>37</v>
      </c>
      <c r="F571" s="107">
        <v>2</v>
      </c>
      <c r="G571" s="107">
        <v>1</v>
      </c>
      <c r="H571" s="107">
        <v>0</v>
      </c>
      <c r="I571" s="107">
        <v>0</v>
      </c>
      <c r="J571" s="107">
        <v>6</v>
      </c>
    </row>
    <row r="572" spans="1:10" ht="15" x14ac:dyDescent="0.2">
      <c r="A572" s="105" t="s">
        <v>98</v>
      </c>
      <c r="B572" s="105" t="s">
        <v>157</v>
      </c>
      <c r="C572" s="106">
        <f t="shared" si="8"/>
        <v>7</v>
      </c>
      <c r="D572" s="107">
        <v>3</v>
      </c>
      <c r="E572" s="107">
        <v>12</v>
      </c>
      <c r="F572" s="107">
        <v>1</v>
      </c>
      <c r="G572" s="107">
        <v>1</v>
      </c>
      <c r="H572" s="107">
        <v>0</v>
      </c>
      <c r="I572" s="107">
        <v>0</v>
      </c>
      <c r="J572" s="107">
        <v>2</v>
      </c>
    </row>
    <row r="573" spans="1:10" ht="15" x14ac:dyDescent="0.2">
      <c r="A573" s="108" t="s">
        <v>98</v>
      </c>
      <c r="B573" s="108" t="s">
        <v>158</v>
      </c>
      <c r="C573" s="106">
        <f t="shared" si="8"/>
        <v>8</v>
      </c>
      <c r="D573" s="109">
        <v>0</v>
      </c>
      <c r="E573" s="109">
        <v>0</v>
      </c>
      <c r="F573" s="107">
        <v>0</v>
      </c>
      <c r="G573" s="107">
        <v>0</v>
      </c>
      <c r="H573" s="107">
        <v>0</v>
      </c>
      <c r="I573" s="107">
        <v>0</v>
      </c>
      <c r="J573" s="107">
        <v>0</v>
      </c>
    </row>
    <row r="574" spans="1:10" ht="15" x14ac:dyDescent="0.2">
      <c r="A574" s="105" t="s">
        <v>98</v>
      </c>
      <c r="B574" s="105" t="s">
        <v>159</v>
      </c>
      <c r="C574" s="106">
        <f t="shared" si="8"/>
        <v>9</v>
      </c>
      <c r="D574" s="107">
        <v>0</v>
      </c>
      <c r="E574" s="107">
        <v>0</v>
      </c>
      <c r="F574" s="107">
        <v>0</v>
      </c>
      <c r="G574" s="107">
        <v>0</v>
      </c>
      <c r="H574" s="107">
        <v>0</v>
      </c>
      <c r="I574" s="107">
        <v>0</v>
      </c>
      <c r="J574" s="107">
        <v>0</v>
      </c>
    </row>
    <row r="575" spans="1:10" ht="15" x14ac:dyDescent="0.2">
      <c r="A575" s="108" t="s">
        <v>98</v>
      </c>
      <c r="B575" s="108" t="s">
        <v>160</v>
      </c>
      <c r="C575" s="106">
        <f t="shared" si="8"/>
        <v>10</v>
      </c>
      <c r="D575" s="109">
        <v>0</v>
      </c>
      <c r="E575" s="109">
        <v>0</v>
      </c>
      <c r="F575" s="107">
        <v>0</v>
      </c>
      <c r="G575" s="107">
        <v>0</v>
      </c>
      <c r="H575" s="107">
        <v>0</v>
      </c>
      <c r="I575" s="107">
        <v>0</v>
      </c>
      <c r="J575" s="107">
        <v>0</v>
      </c>
    </row>
    <row r="576" spans="1:10" ht="15" x14ac:dyDescent="0.2">
      <c r="A576" s="105" t="s">
        <v>98</v>
      </c>
      <c r="B576" s="105" t="s">
        <v>161</v>
      </c>
      <c r="C576" s="106">
        <f t="shared" si="8"/>
        <v>11</v>
      </c>
      <c r="D576" s="107">
        <v>0</v>
      </c>
      <c r="E576" s="107">
        <v>0</v>
      </c>
      <c r="F576" s="107">
        <v>0</v>
      </c>
      <c r="G576" s="107">
        <v>0</v>
      </c>
      <c r="H576" s="107">
        <v>0</v>
      </c>
      <c r="I576" s="107">
        <v>0</v>
      </c>
      <c r="J576" s="107">
        <v>0</v>
      </c>
    </row>
    <row r="577" spans="1:10" ht="15" x14ac:dyDescent="0.2">
      <c r="A577" s="108" t="s">
        <v>98</v>
      </c>
      <c r="B577" s="108" t="s">
        <v>162</v>
      </c>
      <c r="C577" s="106">
        <f t="shared" si="8"/>
        <v>12</v>
      </c>
      <c r="D577" s="109">
        <v>0</v>
      </c>
      <c r="E577" s="109">
        <v>0</v>
      </c>
      <c r="F577" s="107">
        <v>0</v>
      </c>
      <c r="G577" s="107">
        <v>0</v>
      </c>
      <c r="H577" s="107">
        <v>0</v>
      </c>
      <c r="I577" s="107">
        <v>0</v>
      </c>
      <c r="J577" s="107">
        <v>0</v>
      </c>
    </row>
    <row r="578" spans="1:10" ht="15" x14ac:dyDescent="0.2">
      <c r="A578" s="105" t="s">
        <v>109</v>
      </c>
      <c r="B578" s="105" t="s">
        <v>151</v>
      </c>
      <c r="C578" s="106">
        <f t="shared" si="8"/>
        <v>1</v>
      </c>
      <c r="D578" s="107">
        <v>0</v>
      </c>
      <c r="E578" s="107">
        <v>0</v>
      </c>
      <c r="F578" s="107">
        <v>0</v>
      </c>
      <c r="G578" s="107">
        <v>0</v>
      </c>
      <c r="H578" s="107">
        <v>0</v>
      </c>
      <c r="I578" s="107">
        <v>0</v>
      </c>
      <c r="J578" s="107">
        <v>0</v>
      </c>
    </row>
    <row r="579" spans="1:10" ht="15" x14ac:dyDescent="0.2">
      <c r="A579" s="108" t="s">
        <v>109</v>
      </c>
      <c r="B579" s="108" t="s">
        <v>152</v>
      </c>
      <c r="C579" s="106">
        <f t="shared" si="8"/>
        <v>2</v>
      </c>
      <c r="D579" s="109">
        <v>0</v>
      </c>
      <c r="E579" s="109">
        <v>0</v>
      </c>
      <c r="F579" s="107">
        <v>1</v>
      </c>
      <c r="G579" s="107">
        <v>0</v>
      </c>
      <c r="H579" s="107">
        <v>0</v>
      </c>
      <c r="I579" s="107">
        <v>0</v>
      </c>
      <c r="J579" s="107">
        <v>0</v>
      </c>
    </row>
    <row r="580" spans="1:10" ht="15" x14ac:dyDescent="0.2">
      <c r="A580" s="105" t="s">
        <v>109</v>
      </c>
      <c r="B580" s="105" t="s">
        <v>153</v>
      </c>
      <c r="C580" s="106">
        <f t="shared" si="8"/>
        <v>3</v>
      </c>
      <c r="D580" s="107">
        <v>0</v>
      </c>
      <c r="E580" s="107">
        <v>0</v>
      </c>
      <c r="F580" s="107">
        <v>0</v>
      </c>
      <c r="G580" s="107">
        <v>0</v>
      </c>
      <c r="H580" s="107">
        <v>0</v>
      </c>
      <c r="I580" s="107">
        <v>0</v>
      </c>
      <c r="J580" s="107">
        <v>0</v>
      </c>
    </row>
    <row r="581" spans="1:10" ht="15" x14ac:dyDescent="0.2">
      <c r="A581" s="108" t="s">
        <v>109</v>
      </c>
      <c r="B581" s="108" t="s">
        <v>154</v>
      </c>
      <c r="C581" s="106">
        <f t="shared" si="8"/>
        <v>4</v>
      </c>
      <c r="D581" s="109">
        <v>0</v>
      </c>
      <c r="E581" s="109">
        <v>0</v>
      </c>
      <c r="F581" s="107">
        <v>0</v>
      </c>
      <c r="G581" s="107">
        <v>0</v>
      </c>
      <c r="H581" s="107">
        <v>0</v>
      </c>
      <c r="I581" s="107">
        <v>0</v>
      </c>
      <c r="J581" s="107">
        <v>0</v>
      </c>
    </row>
    <row r="582" spans="1:10" ht="15" x14ac:dyDescent="0.2">
      <c r="A582" s="105" t="s">
        <v>109</v>
      </c>
      <c r="B582" s="105" t="s">
        <v>155</v>
      </c>
      <c r="C582" s="106">
        <f t="shared" si="8"/>
        <v>5</v>
      </c>
      <c r="D582" s="107">
        <v>0</v>
      </c>
      <c r="E582" s="107">
        <v>0</v>
      </c>
      <c r="F582" s="107">
        <v>0</v>
      </c>
      <c r="G582" s="107">
        <v>0</v>
      </c>
      <c r="H582" s="107">
        <v>0</v>
      </c>
      <c r="I582" s="107">
        <v>0</v>
      </c>
      <c r="J582" s="107">
        <v>0</v>
      </c>
    </row>
    <row r="583" spans="1:10" ht="15" x14ac:dyDescent="0.2">
      <c r="A583" s="108" t="s">
        <v>109</v>
      </c>
      <c r="B583" s="108" t="s">
        <v>156</v>
      </c>
      <c r="C583" s="106">
        <f t="shared" si="8"/>
        <v>6</v>
      </c>
      <c r="D583" s="109">
        <v>0</v>
      </c>
      <c r="E583" s="109">
        <v>0</v>
      </c>
      <c r="F583" s="107">
        <v>0</v>
      </c>
      <c r="G583" s="107">
        <v>0</v>
      </c>
      <c r="H583" s="107">
        <v>0</v>
      </c>
      <c r="I583" s="107">
        <v>0</v>
      </c>
      <c r="J583" s="107">
        <v>0</v>
      </c>
    </row>
    <row r="584" spans="1:10" ht="15" x14ac:dyDescent="0.2">
      <c r="A584" s="105" t="s">
        <v>109</v>
      </c>
      <c r="B584" s="105" t="s">
        <v>157</v>
      </c>
      <c r="C584" s="106">
        <f t="shared" si="8"/>
        <v>7</v>
      </c>
      <c r="D584" s="107">
        <v>0</v>
      </c>
      <c r="E584" s="107">
        <v>0</v>
      </c>
      <c r="F584" s="107">
        <v>0</v>
      </c>
      <c r="G584" s="107">
        <v>0</v>
      </c>
      <c r="H584" s="107">
        <v>0</v>
      </c>
      <c r="I584" s="107">
        <v>0</v>
      </c>
      <c r="J584" s="107">
        <v>0</v>
      </c>
    </row>
    <row r="585" spans="1:10" ht="15" x14ac:dyDescent="0.2">
      <c r="A585" s="108" t="s">
        <v>109</v>
      </c>
      <c r="B585" s="108" t="s">
        <v>158</v>
      </c>
      <c r="C585" s="106">
        <f t="shared" si="8"/>
        <v>8</v>
      </c>
      <c r="D585" s="109">
        <v>0</v>
      </c>
      <c r="E585" s="109">
        <v>0</v>
      </c>
      <c r="F585" s="107">
        <v>0</v>
      </c>
      <c r="G585" s="107">
        <v>0</v>
      </c>
      <c r="H585" s="107">
        <v>0</v>
      </c>
      <c r="I585" s="107">
        <v>0</v>
      </c>
      <c r="J585" s="107">
        <v>0</v>
      </c>
    </row>
    <row r="586" spans="1:10" ht="15" x14ac:dyDescent="0.2">
      <c r="A586" s="105" t="s">
        <v>109</v>
      </c>
      <c r="B586" s="105" t="s">
        <v>159</v>
      </c>
      <c r="C586" s="106">
        <f t="shared" si="8"/>
        <v>9</v>
      </c>
      <c r="D586" s="107">
        <v>0</v>
      </c>
      <c r="E586" s="107">
        <v>0</v>
      </c>
      <c r="F586" s="107">
        <v>0</v>
      </c>
      <c r="G586" s="107">
        <v>0</v>
      </c>
      <c r="H586" s="107">
        <v>0</v>
      </c>
      <c r="I586" s="107">
        <v>0</v>
      </c>
      <c r="J586" s="107">
        <v>0</v>
      </c>
    </row>
    <row r="587" spans="1:10" ht="15" x14ac:dyDescent="0.2">
      <c r="A587" s="108" t="s">
        <v>109</v>
      </c>
      <c r="B587" s="108" t="s">
        <v>160</v>
      </c>
      <c r="C587" s="106">
        <f t="shared" si="8"/>
        <v>10</v>
      </c>
      <c r="D587" s="109">
        <v>0</v>
      </c>
      <c r="E587" s="109">
        <v>0</v>
      </c>
      <c r="F587" s="107">
        <v>0</v>
      </c>
      <c r="G587" s="107">
        <v>0</v>
      </c>
      <c r="H587" s="107">
        <v>0</v>
      </c>
      <c r="I587" s="107">
        <v>0</v>
      </c>
      <c r="J587" s="107">
        <v>0</v>
      </c>
    </row>
    <row r="588" spans="1:10" ht="15" x14ac:dyDescent="0.2">
      <c r="A588" s="105" t="s">
        <v>109</v>
      </c>
      <c r="B588" s="105" t="s">
        <v>161</v>
      </c>
      <c r="C588" s="106">
        <f t="shared" si="8"/>
        <v>11</v>
      </c>
      <c r="D588" s="107">
        <v>0</v>
      </c>
      <c r="E588" s="107">
        <v>0</v>
      </c>
      <c r="F588" s="107">
        <v>0</v>
      </c>
      <c r="G588" s="107">
        <v>0</v>
      </c>
      <c r="H588" s="107">
        <v>0</v>
      </c>
      <c r="I588" s="107">
        <v>0</v>
      </c>
      <c r="J588" s="107">
        <v>0</v>
      </c>
    </row>
    <row r="589" spans="1:10" ht="15" x14ac:dyDescent="0.2">
      <c r="A589" s="108" t="s">
        <v>109</v>
      </c>
      <c r="B589" s="108" t="s">
        <v>162</v>
      </c>
      <c r="C589" s="106">
        <f t="shared" si="8"/>
        <v>12</v>
      </c>
      <c r="D589" s="109">
        <v>0</v>
      </c>
      <c r="E589" s="109">
        <v>0</v>
      </c>
      <c r="F589" s="107">
        <v>0</v>
      </c>
      <c r="G589" s="107">
        <v>0</v>
      </c>
      <c r="H589" s="107">
        <v>0</v>
      </c>
      <c r="I589" s="107">
        <v>0</v>
      </c>
      <c r="J589" s="107">
        <v>0</v>
      </c>
    </row>
    <row r="590" spans="1:10" ht="15" x14ac:dyDescent="0.2">
      <c r="A590" s="108" t="s">
        <v>111</v>
      </c>
      <c r="B590" s="108"/>
      <c r="C590" s="106"/>
      <c r="D590" s="109"/>
      <c r="E590" s="109"/>
      <c r="F590" s="107"/>
      <c r="G590" s="107"/>
      <c r="H590" s="107"/>
      <c r="I590" s="107"/>
      <c r="J590" s="107"/>
    </row>
    <row r="591" spans="1:10" ht="15" x14ac:dyDescent="0.2">
      <c r="A591" s="108" t="s">
        <v>111</v>
      </c>
      <c r="B591" s="108"/>
      <c r="C591" s="106"/>
      <c r="D591" s="109"/>
      <c r="E591" s="109"/>
      <c r="F591" s="107"/>
      <c r="G591" s="107"/>
      <c r="H591" s="107"/>
      <c r="I591" s="107"/>
      <c r="J591" s="107"/>
    </row>
    <row r="592" spans="1:10" ht="15" x14ac:dyDescent="0.2">
      <c r="A592" s="108" t="s">
        <v>111</v>
      </c>
      <c r="B592" s="108"/>
      <c r="C592" s="106"/>
      <c r="D592" s="109"/>
      <c r="E592" s="109"/>
      <c r="F592" s="107"/>
      <c r="G592" s="107"/>
      <c r="H592" s="107"/>
      <c r="I592" s="107"/>
      <c r="J592" s="107"/>
    </row>
    <row r="593" spans="1:10" ht="15" x14ac:dyDescent="0.2">
      <c r="A593" s="108" t="s">
        <v>111</v>
      </c>
      <c r="B593" s="108"/>
      <c r="C593" s="106"/>
      <c r="D593" s="109"/>
      <c r="E593" s="109"/>
      <c r="F593" s="107"/>
      <c r="G593" s="107"/>
      <c r="H593" s="107"/>
      <c r="I593" s="107"/>
      <c r="J593" s="107"/>
    </row>
    <row r="594" spans="1:10" ht="15" x14ac:dyDescent="0.2">
      <c r="A594" s="108" t="s">
        <v>111</v>
      </c>
      <c r="B594" s="108"/>
      <c r="C594" s="106"/>
      <c r="D594" s="109"/>
      <c r="E594" s="109"/>
      <c r="F594" s="107"/>
      <c r="G594" s="107"/>
      <c r="H594" s="107"/>
      <c r="I594" s="107"/>
      <c r="J594" s="107"/>
    </row>
    <row r="595" spans="1:10" ht="15" x14ac:dyDescent="0.2">
      <c r="A595" s="108" t="s">
        <v>111</v>
      </c>
      <c r="B595" s="108"/>
      <c r="C595" s="106"/>
      <c r="D595" s="109"/>
      <c r="E595" s="109"/>
      <c r="F595" s="107"/>
      <c r="G595" s="107"/>
      <c r="H595" s="107"/>
      <c r="I595" s="107"/>
      <c r="J595" s="107"/>
    </row>
    <row r="596" spans="1:10" ht="15" x14ac:dyDescent="0.2">
      <c r="A596" s="108" t="s">
        <v>111</v>
      </c>
      <c r="B596" s="108"/>
      <c r="C596" s="106"/>
      <c r="D596" s="109"/>
      <c r="E596" s="109"/>
      <c r="F596" s="107"/>
      <c r="G596" s="107"/>
      <c r="H596" s="107"/>
      <c r="I596" s="107"/>
      <c r="J596" s="107"/>
    </row>
    <row r="597" spans="1:10" ht="15" x14ac:dyDescent="0.2">
      <c r="A597" s="108" t="s">
        <v>111</v>
      </c>
      <c r="B597" s="108"/>
      <c r="C597" s="106"/>
      <c r="D597" s="109"/>
      <c r="E597" s="109"/>
      <c r="F597" s="107"/>
      <c r="G597" s="107"/>
      <c r="H597" s="107"/>
      <c r="I597" s="107"/>
      <c r="J597" s="107"/>
    </row>
    <row r="598" spans="1:10" ht="15" x14ac:dyDescent="0.2">
      <c r="A598" s="108" t="s">
        <v>111</v>
      </c>
      <c r="B598" s="108"/>
      <c r="C598" s="106"/>
      <c r="D598" s="109"/>
      <c r="E598" s="109"/>
      <c r="F598" s="107"/>
      <c r="G598" s="107"/>
      <c r="H598" s="107"/>
      <c r="I598" s="107"/>
      <c r="J598" s="107"/>
    </row>
    <row r="599" spans="1:10" ht="15" x14ac:dyDescent="0.2">
      <c r="A599" s="108" t="s">
        <v>111</v>
      </c>
      <c r="B599" s="108"/>
      <c r="C599" s="106"/>
      <c r="D599" s="109"/>
      <c r="E599" s="109"/>
      <c r="F599" s="107"/>
      <c r="G599" s="107"/>
      <c r="H599" s="107"/>
      <c r="I599" s="107"/>
      <c r="J599" s="107"/>
    </row>
    <row r="600" spans="1:10" ht="15" x14ac:dyDescent="0.2">
      <c r="A600" s="108" t="s">
        <v>111</v>
      </c>
      <c r="B600" s="108"/>
      <c r="C600" s="106"/>
      <c r="D600" s="109"/>
      <c r="E600" s="109"/>
      <c r="F600" s="107"/>
      <c r="G600" s="107"/>
      <c r="H600" s="107"/>
      <c r="I600" s="107"/>
      <c r="J600" s="107"/>
    </row>
    <row r="601" spans="1:10" ht="15" x14ac:dyDescent="0.2">
      <c r="A601" s="108" t="s">
        <v>111</v>
      </c>
      <c r="B601" s="108"/>
      <c r="C601" s="106"/>
      <c r="D601" s="109"/>
      <c r="E601" s="109"/>
      <c r="F601" s="107"/>
      <c r="G601" s="107"/>
      <c r="H601" s="107"/>
      <c r="I601" s="107"/>
      <c r="J601" s="107"/>
    </row>
    <row r="602" spans="1:10" ht="15" x14ac:dyDescent="0.2">
      <c r="A602" s="105" t="s">
        <v>96</v>
      </c>
      <c r="B602" s="105" t="s">
        <v>151</v>
      </c>
      <c r="C602" s="106">
        <f t="shared" si="8"/>
        <v>1</v>
      </c>
      <c r="D602" s="107">
        <v>0</v>
      </c>
      <c r="E602" s="107">
        <v>0</v>
      </c>
      <c r="F602" s="107">
        <v>0</v>
      </c>
      <c r="G602" s="107">
        <v>0</v>
      </c>
      <c r="H602" s="107">
        <v>0</v>
      </c>
      <c r="I602" s="107">
        <v>0</v>
      </c>
      <c r="J602" s="107">
        <v>0</v>
      </c>
    </row>
    <row r="603" spans="1:10" ht="15" x14ac:dyDescent="0.2">
      <c r="A603" s="108" t="s">
        <v>96</v>
      </c>
      <c r="B603" s="108" t="s">
        <v>152</v>
      </c>
      <c r="C603" s="106">
        <f t="shared" si="8"/>
        <v>2</v>
      </c>
      <c r="D603" s="109">
        <v>0</v>
      </c>
      <c r="E603" s="109">
        <v>0</v>
      </c>
      <c r="F603" s="107">
        <v>0</v>
      </c>
      <c r="G603" s="107">
        <v>0</v>
      </c>
      <c r="H603" s="107">
        <v>0</v>
      </c>
      <c r="I603" s="107">
        <v>0</v>
      </c>
      <c r="J603" s="107">
        <v>0</v>
      </c>
    </row>
    <row r="604" spans="1:10" ht="15" x14ac:dyDescent="0.2">
      <c r="A604" s="105" t="s">
        <v>96</v>
      </c>
      <c r="B604" s="105" t="s">
        <v>153</v>
      </c>
      <c r="C604" s="106">
        <f t="shared" si="8"/>
        <v>3</v>
      </c>
      <c r="D604" s="107">
        <v>0</v>
      </c>
      <c r="E604" s="107">
        <v>0</v>
      </c>
      <c r="F604" s="107">
        <v>0</v>
      </c>
      <c r="G604" s="107">
        <v>0</v>
      </c>
      <c r="H604" s="107">
        <v>0</v>
      </c>
      <c r="I604" s="107">
        <v>0</v>
      </c>
      <c r="J604" s="107">
        <v>0</v>
      </c>
    </row>
    <row r="605" spans="1:10" ht="15" x14ac:dyDescent="0.2">
      <c r="A605" s="108" t="s">
        <v>96</v>
      </c>
      <c r="B605" s="108" t="s">
        <v>154</v>
      </c>
      <c r="C605" s="106">
        <f t="shared" si="8"/>
        <v>4</v>
      </c>
      <c r="D605" s="109">
        <v>0</v>
      </c>
      <c r="E605" s="109">
        <v>0</v>
      </c>
      <c r="F605" s="107">
        <v>0</v>
      </c>
      <c r="G605" s="107">
        <v>0</v>
      </c>
      <c r="H605" s="107">
        <v>0</v>
      </c>
      <c r="I605" s="107">
        <v>0</v>
      </c>
      <c r="J605" s="107">
        <v>0</v>
      </c>
    </row>
    <row r="606" spans="1:10" ht="15" x14ac:dyDescent="0.2">
      <c r="A606" s="105" t="s">
        <v>96</v>
      </c>
      <c r="B606" s="105" t="s">
        <v>155</v>
      </c>
      <c r="C606" s="106">
        <f t="shared" si="8"/>
        <v>5</v>
      </c>
      <c r="D606" s="107">
        <v>2</v>
      </c>
      <c r="E606" s="107">
        <v>11</v>
      </c>
      <c r="F606" s="107">
        <v>1</v>
      </c>
      <c r="G606" s="107">
        <v>0</v>
      </c>
      <c r="H606" s="107">
        <v>0</v>
      </c>
      <c r="I606" s="107">
        <v>0</v>
      </c>
      <c r="J606" s="107">
        <v>1</v>
      </c>
    </row>
    <row r="607" spans="1:10" ht="15" x14ac:dyDescent="0.2">
      <c r="A607" s="108" t="s">
        <v>96</v>
      </c>
      <c r="B607" s="108" t="s">
        <v>156</v>
      </c>
      <c r="C607" s="106">
        <f t="shared" si="8"/>
        <v>6</v>
      </c>
      <c r="D607" s="109">
        <v>0</v>
      </c>
      <c r="E607" s="109">
        <v>0</v>
      </c>
      <c r="F607" s="107">
        <v>0</v>
      </c>
      <c r="G607" s="107">
        <v>0</v>
      </c>
      <c r="H607" s="107">
        <v>0</v>
      </c>
      <c r="I607" s="107">
        <v>0</v>
      </c>
      <c r="J607" s="107">
        <v>0</v>
      </c>
    </row>
    <row r="608" spans="1:10" ht="15" x14ac:dyDescent="0.2">
      <c r="A608" s="105" t="s">
        <v>96</v>
      </c>
      <c r="B608" s="105" t="s">
        <v>157</v>
      </c>
      <c r="C608" s="106">
        <f t="shared" si="8"/>
        <v>7</v>
      </c>
      <c r="D608" s="107">
        <v>0</v>
      </c>
      <c r="E608" s="107">
        <v>0</v>
      </c>
      <c r="F608" s="107">
        <v>0</v>
      </c>
      <c r="G608" s="107">
        <v>0</v>
      </c>
      <c r="H608" s="107">
        <v>0</v>
      </c>
      <c r="I608" s="107">
        <v>0</v>
      </c>
      <c r="J608" s="107">
        <v>0</v>
      </c>
    </row>
    <row r="609" spans="1:10" ht="15" x14ac:dyDescent="0.2">
      <c r="A609" s="108" t="s">
        <v>96</v>
      </c>
      <c r="B609" s="108" t="s">
        <v>158</v>
      </c>
      <c r="C609" s="106">
        <f t="shared" si="8"/>
        <v>8</v>
      </c>
      <c r="D609" s="109">
        <v>0</v>
      </c>
      <c r="E609" s="109">
        <v>0</v>
      </c>
      <c r="F609" s="107">
        <v>0</v>
      </c>
      <c r="G609" s="107">
        <v>0</v>
      </c>
      <c r="H609" s="107">
        <v>0</v>
      </c>
      <c r="I609" s="107">
        <v>0</v>
      </c>
      <c r="J609" s="107">
        <v>0</v>
      </c>
    </row>
    <row r="610" spans="1:10" ht="15" x14ac:dyDescent="0.2">
      <c r="A610" s="105" t="s">
        <v>96</v>
      </c>
      <c r="B610" s="105" t="s">
        <v>159</v>
      </c>
      <c r="C610" s="106">
        <f t="shared" si="8"/>
        <v>9</v>
      </c>
      <c r="D610" s="107">
        <v>0</v>
      </c>
      <c r="E610" s="107">
        <v>0</v>
      </c>
      <c r="F610" s="107">
        <v>0</v>
      </c>
      <c r="G610" s="107">
        <v>0</v>
      </c>
      <c r="H610" s="107">
        <v>0</v>
      </c>
      <c r="I610" s="107">
        <v>0</v>
      </c>
      <c r="J610" s="107">
        <v>0</v>
      </c>
    </row>
    <row r="611" spans="1:10" ht="15" x14ac:dyDescent="0.2">
      <c r="A611" s="108" t="s">
        <v>96</v>
      </c>
      <c r="B611" s="108" t="s">
        <v>160</v>
      </c>
      <c r="C611" s="106">
        <f t="shared" si="8"/>
        <v>10</v>
      </c>
      <c r="D611" s="109">
        <v>0</v>
      </c>
      <c r="E611" s="109">
        <v>0</v>
      </c>
      <c r="F611" s="107">
        <v>0</v>
      </c>
      <c r="G611" s="107">
        <v>0</v>
      </c>
      <c r="H611" s="107">
        <v>0</v>
      </c>
      <c r="I611" s="107">
        <v>0</v>
      </c>
      <c r="J611" s="107">
        <v>0</v>
      </c>
    </row>
    <row r="612" spans="1:10" ht="15" x14ac:dyDescent="0.2">
      <c r="A612" s="105" t="s">
        <v>96</v>
      </c>
      <c r="B612" s="105" t="s">
        <v>161</v>
      </c>
      <c r="C612" s="106">
        <f t="shared" si="8"/>
        <v>11</v>
      </c>
      <c r="D612" s="107">
        <v>0</v>
      </c>
      <c r="E612" s="107">
        <v>0</v>
      </c>
      <c r="F612" s="107">
        <v>0</v>
      </c>
      <c r="G612" s="107">
        <v>0</v>
      </c>
      <c r="H612" s="107">
        <v>0</v>
      </c>
      <c r="I612" s="107">
        <v>0</v>
      </c>
      <c r="J612" s="107">
        <v>0</v>
      </c>
    </row>
    <row r="613" spans="1:10" ht="15" x14ac:dyDescent="0.2">
      <c r="A613" s="108" t="s">
        <v>96</v>
      </c>
      <c r="B613" s="108" t="s">
        <v>162</v>
      </c>
      <c r="C613" s="106">
        <f t="shared" si="8"/>
        <v>12</v>
      </c>
      <c r="D613" s="109">
        <v>0</v>
      </c>
      <c r="E613" s="109">
        <v>0</v>
      </c>
      <c r="F613" s="107">
        <v>0</v>
      </c>
      <c r="G613" s="107">
        <v>0</v>
      </c>
      <c r="H613" s="107">
        <v>0</v>
      </c>
      <c r="I613" s="107">
        <v>0</v>
      </c>
      <c r="J613" s="107">
        <v>0</v>
      </c>
    </row>
    <row r="614" spans="1:10" ht="15" x14ac:dyDescent="0.2">
      <c r="A614" s="105" t="s">
        <v>66</v>
      </c>
      <c r="B614" s="105" t="s">
        <v>151</v>
      </c>
      <c r="C614" s="106">
        <f t="shared" si="8"/>
        <v>1</v>
      </c>
      <c r="D614" s="107">
        <v>0</v>
      </c>
      <c r="E614" s="107">
        <v>0</v>
      </c>
      <c r="F614" s="107">
        <v>0</v>
      </c>
      <c r="G614" s="107">
        <v>0</v>
      </c>
      <c r="H614" s="107">
        <v>0</v>
      </c>
      <c r="I614" s="107">
        <v>0</v>
      </c>
      <c r="J614" s="107">
        <v>0</v>
      </c>
    </row>
    <row r="615" spans="1:10" ht="15" x14ac:dyDescent="0.2">
      <c r="A615" s="108" t="s">
        <v>66</v>
      </c>
      <c r="B615" s="108" t="s">
        <v>152</v>
      </c>
      <c r="C615" s="106">
        <f t="shared" si="8"/>
        <v>2</v>
      </c>
      <c r="D615" s="109">
        <v>5</v>
      </c>
      <c r="E615" s="109">
        <v>45</v>
      </c>
      <c r="F615" s="107">
        <v>0</v>
      </c>
      <c r="G615" s="107">
        <v>0</v>
      </c>
      <c r="H615" s="107">
        <v>0</v>
      </c>
      <c r="I615" s="107">
        <v>0</v>
      </c>
      <c r="J615" s="107">
        <v>1</v>
      </c>
    </row>
    <row r="616" spans="1:10" ht="15" x14ac:dyDescent="0.2">
      <c r="A616" s="105" t="s">
        <v>66</v>
      </c>
      <c r="B616" s="105" t="s">
        <v>153</v>
      </c>
      <c r="C616" s="106">
        <f t="shared" si="8"/>
        <v>3</v>
      </c>
      <c r="D616" s="107">
        <v>0</v>
      </c>
      <c r="E616" s="107">
        <v>0</v>
      </c>
      <c r="F616" s="107">
        <v>0</v>
      </c>
      <c r="G616" s="107">
        <v>0</v>
      </c>
      <c r="H616" s="107">
        <v>0</v>
      </c>
      <c r="I616" s="107">
        <v>0</v>
      </c>
      <c r="J616" s="107">
        <v>0</v>
      </c>
    </row>
    <row r="617" spans="1:10" ht="15" x14ac:dyDescent="0.2">
      <c r="A617" s="108" t="s">
        <v>66</v>
      </c>
      <c r="B617" s="108" t="s">
        <v>154</v>
      </c>
      <c r="C617" s="106">
        <f t="shared" si="8"/>
        <v>4</v>
      </c>
      <c r="D617" s="109">
        <v>0</v>
      </c>
      <c r="E617" s="109">
        <v>0</v>
      </c>
      <c r="F617" s="107">
        <v>0</v>
      </c>
      <c r="G617" s="107">
        <v>0</v>
      </c>
      <c r="H617" s="107">
        <v>0</v>
      </c>
      <c r="I617" s="107">
        <v>0</v>
      </c>
      <c r="J617" s="107">
        <v>0</v>
      </c>
    </row>
    <row r="618" spans="1:10" ht="15" x14ac:dyDescent="0.2">
      <c r="A618" s="105" t="s">
        <v>66</v>
      </c>
      <c r="B618" s="105" t="s">
        <v>155</v>
      </c>
      <c r="C618" s="106">
        <f t="shared" si="8"/>
        <v>5</v>
      </c>
      <c r="D618" s="107">
        <v>0</v>
      </c>
      <c r="E618" s="107">
        <v>0</v>
      </c>
      <c r="F618" s="107">
        <v>0</v>
      </c>
      <c r="G618" s="107">
        <v>0</v>
      </c>
      <c r="H618" s="107">
        <v>0</v>
      </c>
      <c r="I618" s="107">
        <v>0</v>
      </c>
      <c r="J618" s="107">
        <v>0</v>
      </c>
    </row>
    <row r="619" spans="1:10" ht="15" x14ac:dyDescent="0.2">
      <c r="A619" s="108" t="s">
        <v>66</v>
      </c>
      <c r="B619" s="108" t="s">
        <v>156</v>
      </c>
      <c r="C619" s="106">
        <f t="shared" si="8"/>
        <v>6</v>
      </c>
      <c r="D619" s="109">
        <v>9</v>
      </c>
      <c r="E619" s="109">
        <v>81</v>
      </c>
      <c r="F619" s="107">
        <v>0</v>
      </c>
      <c r="G619" s="107">
        <v>0</v>
      </c>
      <c r="H619" s="107">
        <v>0</v>
      </c>
      <c r="I619" s="107">
        <v>0</v>
      </c>
      <c r="J619" s="107">
        <v>3</v>
      </c>
    </row>
    <row r="620" spans="1:10" ht="15" x14ac:dyDescent="0.2">
      <c r="A620" s="105" t="s">
        <v>66</v>
      </c>
      <c r="B620" s="105" t="s">
        <v>157</v>
      </c>
      <c r="C620" s="106">
        <f t="shared" si="8"/>
        <v>7</v>
      </c>
      <c r="D620" s="107">
        <v>0</v>
      </c>
      <c r="E620" s="107">
        <v>0</v>
      </c>
      <c r="F620" s="107">
        <v>0</v>
      </c>
      <c r="G620" s="107">
        <v>0</v>
      </c>
      <c r="H620" s="107">
        <v>0</v>
      </c>
      <c r="I620" s="107">
        <v>0</v>
      </c>
      <c r="J620" s="107">
        <v>0</v>
      </c>
    </row>
    <row r="621" spans="1:10" ht="15" x14ac:dyDescent="0.2">
      <c r="A621" s="108" t="s">
        <v>66</v>
      </c>
      <c r="B621" s="108" t="s">
        <v>158</v>
      </c>
      <c r="C621" s="106">
        <f t="shared" si="8"/>
        <v>8</v>
      </c>
      <c r="D621" s="109">
        <v>0</v>
      </c>
      <c r="E621" s="109">
        <v>0</v>
      </c>
      <c r="F621" s="107">
        <v>0</v>
      </c>
      <c r="G621" s="107">
        <v>0</v>
      </c>
      <c r="H621" s="107">
        <v>0</v>
      </c>
      <c r="I621" s="107">
        <v>0</v>
      </c>
      <c r="J621" s="107">
        <v>0</v>
      </c>
    </row>
    <row r="622" spans="1:10" ht="15" x14ac:dyDescent="0.2">
      <c r="A622" s="105" t="s">
        <v>66</v>
      </c>
      <c r="B622" s="105" t="s">
        <v>159</v>
      </c>
      <c r="C622" s="106">
        <f t="shared" si="8"/>
        <v>9</v>
      </c>
      <c r="D622" s="107">
        <v>0</v>
      </c>
      <c r="E622" s="107">
        <v>0</v>
      </c>
      <c r="F622" s="107">
        <v>0</v>
      </c>
      <c r="G622" s="107">
        <v>0</v>
      </c>
      <c r="H622" s="107">
        <v>0</v>
      </c>
      <c r="I622" s="107">
        <v>0</v>
      </c>
      <c r="J622" s="107">
        <v>0</v>
      </c>
    </row>
    <row r="623" spans="1:10" ht="15" x14ac:dyDescent="0.2">
      <c r="A623" s="108" t="s">
        <v>66</v>
      </c>
      <c r="B623" s="108" t="s">
        <v>160</v>
      </c>
      <c r="C623" s="106">
        <f t="shared" si="8"/>
        <v>10</v>
      </c>
      <c r="D623" s="109">
        <v>0</v>
      </c>
      <c r="E623" s="109">
        <v>0</v>
      </c>
      <c r="F623" s="107">
        <v>0</v>
      </c>
      <c r="G623" s="107">
        <v>0</v>
      </c>
      <c r="H623" s="107">
        <v>0</v>
      </c>
      <c r="I623" s="107">
        <v>0</v>
      </c>
      <c r="J623" s="107">
        <v>0</v>
      </c>
    </row>
    <row r="624" spans="1:10" ht="15" x14ac:dyDescent="0.2">
      <c r="A624" s="105" t="s">
        <v>66</v>
      </c>
      <c r="B624" s="105" t="s">
        <v>161</v>
      </c>
      <c r="C624" s="106">
        <f t="shared" si="8"/>
        <v>11</v>
      </c>
      <c r="D624" s="107">
        <v>0</v>
      </c>
      <c r="E624" s="107">
        <v>0</v>
      </c>
      <c r="F624" s="107">
        <v>0</v>
      </c>
      <c r="G624" s="107">
        <v>0</v>
      </c>
      <c r="H624" s="107">
        <v>0</v>
      </c>
      <c r="I624" s="107">
        <v>0</v>
      </c>
      <c r="J624" s="107">
        <v>0</v>
      </c>
    </row>
    <row r="625" spans="1:10" ht="15" x14ac:dyDescent="0.2">
      <c r="A625" s="108" t="s">
        <v>66</v>
      </c>
      <c r="B625" s="108" t="s">
        <v>162</v>
      </c>
      <c r="C625" s="106">
        <f t="shared" si="8"/>
        <v>12</v>
      </c>
      <c r="D625" s="109">
        <v>0</v>
      </c>
      <c r="E625" s="109">
        <v>0</v>
      </c>
      <c r="F625" s="107">
        <v>0</v>
      </c>
      <c r="G625" s="107">
        <v>0</v>
      </c>
      <c r="H625" s="107">
        <v>0</v>
      </c>
      <c r="I625" s="107">
        <v>0</v>
      </c>
      <c r="J625" s="107">
        <v>0</v>
      </c>
    </row>
    <row r="626" spans="1:10" ht="15" x14ac:dyDescent="0.2">
      <c r="A626" s="105" t="s">
        <v>146</v>
      </c>
      <c r="B626" s="105" t="s">
        <v>151</v>
      </c>
      <c r="C626" s="106">
        <f t="shared" ref="C626:C701" si="9">_xlfn.IFS(B626="Janeiro",1,B626="Fevereiro",2,B626="Março",3,B626="Abril",4,B626="Maio",5,B626="Junho",6,B626="Julho",7,B626="Agosto",8,B626="Setembro",9,B626="Outubro",10,B626="Novembro",11,B626="Dezembro",12,TRUE,0)</f>
        <v>1</v>
      </c>
      <c r="D626" s="107">
        <v>0</v>
      </c>
      <c r="E626" s="107">
        <v>0</v>
      </c>
      <c r="F626" s="107">
        <v>0</v>
      </c>
      <c r="G626" s="107">
        <v>0</v>
      </c>
      <c r="H626" s="107">
        <v>0</v>
      </c>
      <c r="I626" s="107">
        <v>0</v>
      </c>
      <c r="J626" s="107">
        <v>0</v>
      </c>
    </row>
    <row r="627" spans="1:10" ht="15" x14ac:dyDescent="0.2">
      <c r="A627" s="108" t="s">
        <v>146</v>
      </c>
      <c r="B627" s="108" t="s">
        <v>152</v>
      </c>
      <c r="C627" s="106">
        <f t="shared" si="9"/>
        <v>2</v>
      </c>
      <c r="D627" s="109">
        <v>0</v>
      </c>
      <c r="E627" s="109">
        <v>0</v>
      </c>
      <c r="F627" s="107">
        <v>0</v>
      </c>
      <c r="G627" s="107">
        <v>0</v>
      </c>
      <c r="H627" s="107">
        <v>0</v>
      </c>
      <c r="I627" s="107">
        <v>0</v>
      </c>
      <c r="J627" s="107">
        <v>0</v>
      </c>
    </row>
    <row r="628" spans="1:10" ht="15" x14ac:dyDescent="0.2">
      <c r="A628" s="105" t="s">
        <v>146</v>
      </c>
      <c r="B628" s="105" t="s">
        <v>153</v>
      </c>
      <c r="C628" s="106">
        <f t="shared" si="9"/>
        <v>3</v>
      </c>
      <c r="D628" s="107">
        <v>0</v>
      </c>
      <c r="E628" s="107">
        <v>0</v>
      </c>
      <c r="F628" s="107">
        <v>0</v>
      </c>
      <c r="G628" s="107">
        <v>0</v>
      </c>
      <c r="H628" s="107">
        <v>0</v>
      </c>
      <c r="I628" s="107">
        <v>0</v>
      </c>
      <c r="J628" s="107">
        <v>0</v>
      </c>
    </row>
    <row r="629" spans="1:10" ht="15" x14ac:dyDescent="0.2">
      <c r="A629" s="108" t="s">
        <v>146</v>
      </c>
      <c r="B629" s="108" t="s">
        <v>154</v>
      </c>
      <c r="C629" s="106">
        <f t="shared" si="9"/>
        <v>4</v>
      </c>
      <c r="D629" s="109">
        <v>7</v>
      </c>
      <c r="E629" s="109">
        <v>43</v>
      </c>
      <c r="F629" s="107">
        <v>0</v>
      </c>
      <c r="G629" s="107">
        <v>0</v>
      </c>
      <c r="H629" s="107">
        <v>0</v>
      </c>
      <c r="I629" s="107">
        <v>0</v>
      </c>
      <c r="J629" s="107">
        <v>1</v>
      </c>
    </row>
    <row r="630" spans="1:10" ht="15" x14ac:dyDescent="0.2">
      <c r="A630" s="105" t="s">
        <v>146</v>
      </c>
      <c r="B630" s="105" t="s">
        <v>155</v>
      </c>
      <c r="C630" s="106">
        <f t="shared" si="9"/>
        <v>5</v>
      </c>
      <c r="D630" s="107">
        <v>0</v>
      </c>
      <c r="E630" s="107">
        <v>0</v>
      </c>
      <c r="F630" s="107">
        <v>0</v>
      </c>
      <c r="G630" s="107">
        <v>0</v>
      </c>
      <c r="H630" s="107">
        <v>0</v>
      </c>
      <c r="I630" s="107">
        <v>0</v>
      </c>
      <c r="J630" s="107">
        <v>0</v>
      </c>
    </row>
    <row r="631" spans="1:10" ht="15" x14ac:dyDescent="0.2">
      <c r="A631" s="108" t="s">
        <v>146</v>
      </c>
      <c r="B631" s="108" t="s">
        <v>156</v>
      </c>
      <c r="C631" s="106">
        <f t="shared" si="9"/>
        <v>6</v>
      </c>
      <c r="D631" s="109">
        <v>0</v>
      </c>
      <c r="E631" s="109">
        <v>0</v>
      </c>
      <c r="F631" s="107">
        <v>0</v>
      </c>
      <c r="G631" s="107">
        <v>0</v>
      </c>
      <c r="H631" s="107">
        <v>0</v>
      </c>
      <c r="I631" s="107">
        <v>0</v>
      </c>
      <c r="J631" s="107">
        <v>0</v>
      </c>
    </row>
    <row r="632" spans="1:10" ht="15" x14ac:dyDescent="0.2">
      <c r="A632" s="105" t="s">
        <v>146</v>
      </c>
      <c r="B632" s="105" t="s">
        <v>157</v>
      </c>
      <c r="C632" s="106">
        <f t="shared" si="9"/>
        <v>7</v>
      </c>
      <c r="D632" s="107">
        <v>0</v>
      </c>
      <c r="E632" s="107">
        <v>0</v>
      </c>
      <c r="F632" s="107">
        <v>0</v>
      </c>
      <c r="G632" s="107">
        <v>0</v>
      </c>
      <c r="H632" s="107">
        <v>0</v>
      </c>
      <c r="I632" s="107">
        <v>0</v>
      </c>
      <c r="J632" s="107">
        <v>0</v>
      </c>
    </row>
    <row r="633" spans="1:10" ht="15" x14ac:dyDescent="0.2">
      <c r="A633" s="108" t="s">
        <v>146</v>
      </c>
      <c r="B633" s="108" t="s">
        <v>158</v>
      </c>
      <c r="C633" s="106">
        <f t="shared" si="9"/>
        <v>8</v>
      </c>
      <c r="D633" s="109">
        <v>0</v>
      </c>
      <c r="E633" s="109">
        <v>0</v>
      </c>
      <c r="F633" s="107">
        <v>0</v>
      </c>
      <c r="G633" s="107">
        <v>0</v>
      </c>
      <c r="H633" s="107">
        <v>0</v>
      </c>
      <c r="I633" s="107">
        <v>0</v>
      </c>
      <c r="J633" s="107">
        <v>0</v>
      </c>
    </row>
    <row r="634" spans="1:10" ht="15" x14ac:dyDescent="0.2">
      <c r="A634" s="105" t="s">
        <v>146</v>
      </c>
      <c r="B634" s="105" t="s">
        <v>159</v>
      </c>
      <c r="C634" s="106">
        <f t="shared" si="9"/>
        <v>9</v>
      </c>
      <c r="D634" s="107">
        <v>0</v>
      </c>
      <c r="E634" s="107">
        <v>0</v>
      </c>
      <c r="F634" s="107">
        <v>0</v>
      </c>
      <c r="G634" s="107">
        <v>0</v>
      </c>
      <c r="H634" s="107">
        <v>0</v>
      </c>
      <c r="I634" s="107">
        <v>0</v>
      </c>
      <c r="J634" s="107">
        <v>0</v>
      </c>
    </row>
    <row r="635" spans="1:10" ht="15" x14ac:dyDescent="0.2">
      <c r="A635" s="108" t="s">
        <v>146</v>
      </c>
      <c r="B635" s="108" t="s">
        <v>160</v>
      </c>
      <c r="C635" s="106">
        <f t="shared" si="9"/>
        <v>10</v>
      </c>
      <c r="D635" s="109">
        <v>0</v>
      </c>
      <c r="E635" s="109">
        <v>0</v>
      </c>
      <c r="F635" s="107">
        <v>0</v>
      </c>
      <c r="G635" s="107">
        <v>0</v>
      </c>
      <c r="H635" s="107">
        <v>0</v>
      </c>
      <c r="I635" s="107">
        <v>0</v>
      </c>
      <c r="J635" s="107">
        <v>0</v>
      </c>
    </row>
    <row r="636" spans="1:10" ht="15" x14ac:dyDescent="0.2">
      <c r="A636" s="105" t="s">
        <v>146</v>
      </c>
      <c r="B636" s="105" t="s">
        <v>161</v>
      </c>
      <c r="C636" s="106">
        <f t="shared" si="9"/>
        <v>11</v>
      </c>
      <c r="D636" s="107">
        <v>0</v>
      </c>
      <c r="E636" s="107">
        <v>0</v>
      </c>
      <c r="F636" s="107">
        <v>0</v>
      </c>
      <c r="G636" s="107">
        <v>0</v>
      </c>
      <c r="H636" s="107">
        <v>0</v>
      </c>
      <c r="I636" s="107">
        <v>0</v>
      </c>
      <c r="J636" s="107">
        <v>0</v>
      </c>
    </row>
    <row r="637" spans="1:10" ht="15" x14ac:dyDescent="0.2">
      <c r="A637" s="108" t="s">
        <v>146</v>
      </c>
      <c r="B637" s="108" t="s">
        <v>162</v>
      </c>
      <c r="C637" s="106">
        <f t="shared" si="9"/>
        <v>12</v>
      </c>
      <c r="D637" s="109">
        <v>0</v>
      </c>
      <c r="E637" s="109">
        <v>0</v>
      </c>
      <c r="F637" s="107">
        <v>0</v>
      </c>
      <c r="G637" s="107">
        <v>0</v>
      </c>
      <c r="H637" s="107">
        <v>0</v>
      </c>
      <c r="I637" s="107">
        <v>0</v>
      </c>
      <c r="J637" s="107">
        <v>0</v>
      </c>
    </row>
    <row r="638" spans="1:10" ht="15" x14ac:dyDescent="0.2">
      <c r="A638" s="105" t="s">
        <v>131</v>
      </c>
      <c r="B638" s="105" t="s">
        <v>151</v>
      </c>
      <c r="C638" s="106">
        <f t="shared" si="9"/>
        <v>1</v>
      </c>
      <c r="D638" s="107">
        <v>4</v>
      </c>
      <c r="E638" s="107">
        <v>26</v>
      </c>
      <c r="F638" s="107">
        <v>0</v>
      </c>
      <c r="G638" s="107">
        <v>0</v>
      </c>
      <c r="H638" s="107">
        <v>0</v>
      </c>
      <c r="I638" s="107">
        <v>0</v>
      </c>
      <c r="J638" s="107">
        <v>1</v>
      </c>
    </row>
    <row r="639" spans="1:10" ht="15" x14ac:dyDescent="0.2">
      <c r="A639" s="108" t="s">
        <v>131</v>
      </c>
      <c r="B639" s="108" t="s">
        <v>152</v>
      </c>
      <c r="C639" s="106">
        <f t="shared" si="9"/>
        <v>2</v>
      </c>
      <c r="D639" s="109">
        <v>5</v>
      </c>
      <c r="E639" s="109">
        <v>33</v>
      </c>
      <c r="F639" s="107">
        <v>1</v>
      </c>
      <c r="G639" s="107">
        <v>1</v>
      </c>
      <c r="H639" s="107">
        <v>0</v>
      </c>
      <c r="I639" s="107">
        <v>0</v>
      </c>
      <c r="J639" s="107">
        <v>2</v>
      </c>
    </row>
    <row r="640" spans="1:10" ht="15" x14ac:dyDescent="0.2">
      <c r="A640" s="105" t="s">
        <v>131</v>
      </c>
      <c r="B640" s="105" t="s">
        <v>153</v>
      </c>
      <c r="C640" s="106">
        <f t="shared" si="9"/>
        <v>3</v>
      </c>
      <c r="D640" s="107">
        <v>3</v>
      </c>
      <c r="E640" s="107">
        <v>20</v>
      </c>
      <c r="F640" s="107">
        <v>0</v>
      </c>
      <c r="G640" s="107">
        <v>0</v>
      </c>
      <c r="H640" s="107">
        <v>0</v>
      </c>
      <c r="I640" s="107">
        <v>0</v>
      </c>
      <c r="J640" s="107">
        <v>1</v>
      </c>
    </row>
    <row r="641" spans="1:10" ht="15" x14ac:dyDescent="0.2">
      <c r="A641" s="108" t="s">
        <v>131</v>
      </c>
      <c r="B641" s="108" t="s">
        <v>154</v>
      </c>
      <c r="C641" s="106">
        <f t="shared" si="9"/>
        <v>4</v>
      </c>
      <c r="D641" s="109">
        <v>0</v>
      </c>
      <c r="E641" s="109">
        <v>0</v>
      </c>
      <c r="F641" s="107">
        <v>0</v>
      </c>
      <c r="G641" s="107">
        <v>0</v>
      </c>
      <c r="H641" s="107">
        <v>0</v>
      </c>
      <c r="I641" s="107">
        <v>0</v>
      </c>
      <c r="J641" s="107">
        <v>0</v>
      </c>
    </row>
    <row r="642" spans="1:10" ht="15" x14ac:dyDescent="0.2">
      <c r="A642" s="105" t="s">
        <v>131</v>
      </c>
      <c r="B642" s="105" t="s">
        <v>155</v>
      </c>
      <c r="C642" s="106">
        <f t="shared" si="9"/>
        <v>5</v>
      </c>
      <c r="D642" s="107">
        <v>3</v>
      </c>
      <c r="E642" s="107">
        <v>20</v>
      </c>
      <c r="F642" s="107">
        <v>0</v>
      </c>
      <c r="G642" s="107">
        <v>0</v>
      </c>
      <c r="H642" s="107">
        <v>0</v>
      </c>
      <c r="I642" s="107">
        <v>0</v>
      </c>
      <c r="J642" s="107">
        <v>1</v>
      </c>
    </row>
    <row r="643" spans="1:10" ht="15" x14ac:dyDescent="0.2">
      <c r="A643" s="108" t="s">
        <v>131</v>
      </c>
      <c r="B643" s="108" t="s">
        <v>156</v>
      </c>
      <c r="C643" s="106">
        <f t="shared" si="9"/>
        <v>6</v>
      </c>
      <c r="D643" s="109">
        <v>0</v>
      </c>
      <c r="E643" s="109">
        <v>0</v>
      </c>
      <c r="F643" s="107">
        <v>0</v>
      </c>
      <c r="G643" s="107">
        <v>0</v>
      </c>
      <c r="H643" s="107">
        <v>0</v>
      </c>
      <c r="I643" s="107">
        <v>0</v>
      </c>
      <c r="J643" s="107">
        <v>0</v>
      </c>
    </row>
    <row r="644" spans="1:10" ht="15" x14ac:dyDescent="0.2">
      <c r="A644" s="105" t="s">
        <v>131</v>
      </c>
      <c r="B644" s="105" t="s">
        <v>157</v>
      </c>
      <c r="C644" s="106">
        <f t="shared" si="9"/>
        <v>7</v>
      </c>
      <c r="D644" s="107">
        <v>0</v>
      </c>
      <c r="E644" s="107">
        <v>0</v>
      </c>
      <c r="F644" s="107">
        <v>0</v>
      </c>
      <c r="G644" s="107">
        <v>0</v>
      </c>
      <c r="H644" s="107">
        <v>0</v>
      </c>
      <c r="I644" s="107">
        <v>0</v>
      </c>
      <c r="J644" s="107">
        <v>0</v>
      </c>
    </row>
    <row r="645" spans="1:10" ht="15" x14ac:dyDescent="0.2">
      <c r="A645" s="108" t="s">
        <v>131</v>
      </c>
      <c r="B645" s="108" t="s">
        <v>158</v>
      </c>
      <c r="C645" s="106">
        <f t="shared" si="9"/>
        <v>8</v>
      </c>
      <c r="D645" s="109">
        <v>0</v>
      </c>
      <c r="E645" s="109">
        <v>0</v>
      </c>
      <c r="F645" s="107">
        <v>0</v>
      </c>
      <c r="G645" s="107">
        <v>0</v>
      </c>
      <c r="H645" s="107">
        <v>0</v>
      </c>
      <c r="I645" s="107">
        <v>0</v>
      </c>
      <c r="J645" s="107">
        <v>0</v>
      </c>
    </row>
    <row r="646" spans="1:10" ht="15" x14ac:dyDescent="0.2">
      <c r="A646" s="105" t="s">
        <v>131</v>
      </c>
      <c r="B646" s="105" t="s">
        <v>159</v>
      </c>
      <c r="C646" s="106">
        <f t="shared" si="9"/>
        <v>9</v>
      </c>
      <c r="D646" s="107">
        <v>0</v>
      </c>
      <c r="E646" s="107">
        <v>0</v>
      </c>
      <c r="F646" s="107">
        <v>0</v>
      </c>
      <c r="G646" s="107">
        <v>0</v>
      </c>
      <c r="H646" s="107">
        <v>0</v>
      </c>
      <c r="I646" s="107">
        <v>0</v>
      </c>
      <c r="J646" s="107">
        <v>0</v>
      </c>
    </row>
    <row r="647" spans="1:10" ht="15" x14ac:dyDescent="0.2">
      <c r="A647" s="108" t="s">
        <v>131</v>
      </c>
      <c r="B647" s="108" t="s">
        <v>160</v>
      </c>
      <c r="C647" s="106">
        <f t="shared" si="9"/>
        <v>10</v>
      </c>
      <c r="D647" s="109">
        <v>0</v>
      </c>
      <c r="E647" s="109">
        <v>0</v>
      </c>
      <c r="F647" s="107">
        <v>0</v>
      </c>
      <c r="G647" s="107">
        <v>0</v>
      </c>
      <c r="H647" s="107">
        <v>0</v>
      </c>
      <c r="I647" s="107">
        <v>0</v>
      </c>
      <c r="J647" s="107">
        <v>0</v>
      </c>
    </row>
    <row r="648" spans="1:10" ht="15" x14ac:dyDescent="0.2">
      <c r="A648" s="105" t="s">
        <v>131</v>
      </c>
      <c r="B648" s="105" t="s">
        <v>161</v>
      </c>
      <c r="C648" s="106">
        <f t="shared" si="9"/>
        <v>11</v>
      </c>
      <c r="D648" s="107">
        <v>0</v>
      </c>
      <c r="E648" s="107">
        <v>0</v>
      </c>
      <c r="F648" s="107">
        <v>0</v>
      </c>
      <c r="G648" s="107">
        <v>0</v>
      </c>
      <c r="H648" s="107">
        <v>0</v>
      </c>
      <c r="I648" s="107">
        <v>0</v>
      </c>
      <c r="J648" s="107">
        <v>0</v>
      </c>
    </row>
    <row r="649" spans="1:10" ht="15" x14ac:dyDescent="0.2">
      <c r="A649" s="108" t="s">
        <v>131</v>
      </c>
      <c r="B649" s="108" t="s">
        <v>162</v>
      </c>
      <c r="C649" s="106">
        <f t="shared" si="9"/>
        <v>12</v>
      </c>
      <c r="D649" s="109">
        <v>0</v>
      </c>
      <c r="E649" s="109">
        <v>0</v>
      </c>
      <c r="F649" s="107">
        <v>0</v>
      </c>
      <c r="G649" s="107">
        <v>0</v>
      </c>
      <c r="H649" s="107">
        <v>0</v>
      </c>
      <c r="I649" s="107">
        <v>0</v>
      </c>
      <c r="J649" s="107">
        <v>0</v>
      </c>
    </row>
    <row r="650" spans="1:10" ht="15" x14ac:dyDescent="0.2">
      <c r="A650" s="108" t="s">
        <v>302</v>
      </c>
      <c r="B650" s="108"/>
      <c r="C650" s="106"/>
      <c r="D650" s="109"/>
      <c r="E650" s="109"/>
      <c r="F650" s="107"/>
      <c r="G650" s="107"/>
      <c r="H650" s="107"/>
      <c r="I650" s="107"/>
      <c r="J650" s="107"/>
    </row>
    <row r="651" spans="1:10" ht="15" x14ac:dyDescent="0.2">
      <c r="A651" s="108" t="s">
        <v>302</v>
      </c>
      <c r="B651" s="108"/>
      <c r="C651" s="106"/>
      <c r="D651" s="109"/>
      <c r="E651" s="109"/>
      <c r="F651" s="107"/>
      <c r="G651" s="107"/>
      <c r="H651" s="107"/>
      <c r="I651" s="107"/>
      <c r="J651" s="107"/>
    </row>
    <row r="652" spans="1:10" ht="15" x14ac:dyDescent="0.2">
      <c r="A652" s="108" t="s">
        <v>302</v>
      </c>
      <c r="B652" s="108"/>
      <c r="C652" s="106"/>
      <c r="D652" s="109"/>
      <c r="E652" s="109"/>
      <c r="F652" s="107"/>
      <c r="G652" s="107"/>
      <c r="H652" s="107"/>
      <c r="I652" s="107"/>
      <c r="J652" s="107"/>
    </row>
    <row r="653" spans="1:10" ht="15" x14ac:dyDescent="0.2">
      <c r="A653" s="108" t="s">
        <v>302</v>
      </c>
      <c r="B653" s="108"/>
      <c r="C653" s="106"/>
      <c r="D653" s="109"/>
      <c r="E653" s="109"/>
      <c r="F653" s="107"/>
      <c r="G653" s="107"/>
      <c r="H653" s="107"/>
      <c r="I653" s="107"/>
      <c r="J653" s="107"/>
    </row>
    <row r="654" spans="1:10" ht="15" x14ac:dyDescent="0.2">
      <c r="A654" s="108" t="s">
        <v>302</v>
      </c>
      <c r="B654" s="108"/>
      <c r="C654" s="106"/>
      <c r="D654" s="109"/>
      <c r="E654" s="109"/>
      <c r="F654" s="107"/>
      <c r="G654" s="107"/>
      <c r="H654" s="107"/>
      <c r="I654" s="107"/>
      <c r="J654" s="107"/>
    </row>
    <row r="655" spans="1:10" ht="15" x14ac:dyDescent="0.2">
      <c r="A655" s="108" t="s">
        <v>302</v>
      </c>
      <c r="B655" s="108"/>
      <c r="C655" s="106"/>
      <c r="D655" s="109"/>
      <c r="E655" s="109"/>
      <c r="F655" s="107"/>
      <c r="G655" s="107"/>
      <c r="H655" s="107"/>
      <c r="I655" s="107"/>
      <c r="J655" s="107"/>
    </row>
    <row r="656" spans="1:10" ht="15" x14ac:dyDescent="0.2">
      <c r="A656" s="108" t="s">
        <v>302</v>
      </c>
      <c r="B656" s="108"/>
      <c r="C656" s="106"/>
      <c r="D656" s="109"/>
      <c r="E656" s="109"/>
      <c r="F656" s="107"/>
      <c r="G656" s="107"/>
      <c r="H656" s="107"/>
      <c r="I656" s="107"/>
      <c r="J656" s="107"/>
    </row>
    <row r="657" spans="1:10" ht="15" x14ac:dyDescent="0.2">
      <c r="A657" s="108" t="s">
        <v>302</v>
      </c>
      <c r="B657" s="108"/>
      <c r="C657" s="106"/>
      <c r="D657" s="109"/>
      <c r="E657" s="109"/>
      <c r="F657" s="107"/>
      <c r="G657" s="107"/>
      <c r="H657" s="107"/>
      <c r="I657" s="107"/>
      <c r="J657" s="107"/>
    </row>
    <row r="658" spans="1:10" ht="15" x14ac:dyDescent="0.2">
      <c r="A658" s="108" t="s">
        <v>302</v>
      </c>
      <c r="B658" s="108"/>
      <c r="C658" s="106"/>
      <c r="D658" s="109"/>
      <c r="E658" s="109"/>
      <c r="F658" s="107"/>
      <c r="G658" s="107"/>
      <c r="H658" s="107"/>
      <c r="I658" s="107"/>
      <c r="J658" s="107"/>
    </row>
    <row r="659" spans="1:10" ht="15" x14ac:dyDescent="0.2">
      <c r="A659" s="108" t="s">
        <v>302</v>
      </c>
      <c r="B659" s="108"/>
      <c r="C659" s="106"/>
      <c r="D659" s="109"/>
      <c r="E659" s="109"/>
      <c r="F659" s="107"/>
      <c r="G659" s="107"/>
      <c r="H659" s="107"/>
      <c r="I659" s="107"/>
      <c r="J659" s="107"/>
    </row>
    <row r="660" spans="1:10" ht="15" x14ac:dyDescent="0.2">
      <c r="A660" s="108" t="s">
        <v>302</v>
      </c>
      <c r="B660" s="108"/>
      <c r="C660" s="106"/>
      <c r="D660" s="109"/>
      <c r="E660" s="109"/>
      <c r="F660" s="107"/>
      <c r="G660" s="107"/>
      <c r="H660" s="107"/>
      <c r="I660" s="107"/>
      <c r="J660" s="107"/>
    </row>
    <row r="661" spans="1:10" ht="15" x14ac:dyDescent="0.2">
      <c r="A661" s="108" t="s">
        <v>302</v>
      </c>
      <c r="B661" s="108"/>
      <c r="C661" s="106"/>
      <c r="D661" s="109"/>
      <c r="E661" s="109"/>
      <c r="F661" s="107"/>
      <c r="G661" s="107"/>
      <c r="H661" s="107"/>
      <c r="I661" s="107"/>
      <c r="J661" s="107"/>
    </row>
    <row r="662" spans="1:10" ht="15" x14ac:dyDescent="0.2">
      <c r="A662" s="105" t="s">
        <v>42</v>
      </c>
      <c r="B662" s="105" t="s">
        <v>151</v>
      </c>
      <c r="C662" s="106">
        <f t="shared" si="9"/>
        <v>1</v>
      </c>
      <c r="D662" s="107">
        <v>0</v>
      </c>
      <c r="E662" s="107">
        <v>0</v>
      </c>
      <c r="F662" s="107">
        <v>0</v>
      </c>
      <c r="G662" s="107">
        <v>0</v>
      </c>
      <c r="H662" s="107">
        <v>0</v>
      </c>
      <c r="I662" s="107">
        <v>0</v>
      </c>
      <c r="J662" s="107">
        <v>0</v>
      </c>
    </row>
    <row r="663" spans="1:10" ht="15" x14ac:dyDescent="0.2">
      <c r="A663" s="108" t="s">
        <v>42</v>
      </c>
      <c r="B663" s="108" t="s">
        <v>152</v>
      </c>
      <c r="C663" s="106">
        <f t="shared" si="9"/>
        <v>2</v>
      </c>
      <c r="D663" s="109">
        <v>5</v>
      </c>
      <c r="E663" s="109">
        <v>35</v>
      </c>
      <c r="F663" s="107">
        <v>0</v>
      </c>
      <c r="G663" s="107">
        <v>0</v>
      </c>
      <c r="H663" s="107">
        <v>0</v>
      </c>
      <c r="I663" s="107">
        <v>0</v>
      </c>
      <c r="J663" s="107">
        <v>1</v>
      </c>
    </row>
    <row r="664" spans="1:10" ht="15" x14ac:dyDescent="0.2">
      <c r="A664" s="105" t="s">
        <v>42</v>
      </c>
      <c r="B664" s="105" t="s">
        <v>153</v>
      </c>
      <c r="C664" s="106">
        <f t="shared" si="9"/>
        <v>3</v>
      </c>
      <c r="D664" s="107">
        <v>0</v>
      </c>
      <c r="E664" s="107">
        <v>0</v>
      </c>
      <c r="F664" s="107">
        <v>0</v>
      </c>
      <c r="G664" s="107">
        <v>0</v>
      </c>
      <c r="H664" s="107">
        <v>0</v>
      </c>
      <c r="I664" s="107">
        <v>0</v>
      </c>
      <c r="J664" s="107">
        <v>0</v>
      </c>
    </row>
    <row r="665" spans="1:10" ht="15" x14ac:dyDescent="0.2">
      <c r="A665" s="108" t="s">
        <v>42</v>
      </c>
      <c r="B665" s="108" t="s">
        <v>154</v>
      </c>
      <c r="C665" s="106">
        <f t="shared" si="9"/>
        <v>4</v>
      </c>
      <c r="D665" s="109">
        <v>0</v>
      </c>
      <c r="E665" s="109">
        <v>0</v>
      </c>
      <c r="F665" s="107">
        <v>0</v>
      </c>
      <c r="G665" s="107">
        <v>0</v>
      </c>
      <c r="H665" s="107">
        <v>0</v>
      </c>
      <c r="I665" s="107">
        <v>0</v>
      </c>
      <c r="J665" s="107">
        <v>0</v>
      </c>
    </row>
    <row r="666" spans="1:10" ht="15" x14ac:dyDescent="0.2">
      <c r="A666" s="105" t="s">
        <v>42</v>
      </c>
      <c r="B666" s="105" t="s">
        <v>155</v>
      </c>
      <c r="C666" s="106">
        <f t="shared" si="9"/>
        <v>5</v>
      </c>
      <c r="D666" s="107">
        <v>3</v>
      </c>
      <c r="E666" s="107">
        <v>21</v>
      </c>
      <c r="F666" s="107">
        <v>0</v>
      </c>
      <c r="G666" s="107">
        <v>0</v>
      </c>
      <c r="H666" s="107">
        <v>0</v>
      </c>
      <c r="I666" s="107">
        <v>0</v>
      </c>
      <c r="J666" s="107">
        <v>1</v>
      </c>
    </row>
    <row r="667" spans="1:10" ht="15" x14ac:dyDescent="0.2">
      <c r="A667" s="108" t="s">
        <v>42</v>
      </c>
      <c r="B667" s="108" t="s">
        <v>156</v>
      </c>
      <c r="C667" s="106">
        <f t="shared" si="9"/>
        <v>6</v>
      </c>
      <c r="D667" s="109">
        <v>0</v>
      </c>
      <c r="E667" s="109">
        <v>0</v>
      </c>
      <c r="F667" s="107">
        <v>0</v>
      </c>
      <c r="G667" s="107">
        <v>0</v>
      </c>
      <c r="H667" s="107">
        <v>0</v>
      </c>
      <c r="I667" s="107">
        <v>0</v>
      </c>
      <c r="J667" s="107">
        <v>0</v>
      </c>
    </row>
    <row r="668" spans="1:10" ht="15" x14ac:dyDescent="0.2">
      <c r="A668" s="105" t="s">
        <v>42</v>
      </c>
      <c r="B668" s="105" t="s">
        <v>157</v>
      </c>
      <c r="C668" s="106">
        <f t="shared" si="9"/>
        <v>7</v>
      </c>
      <c r="D668" s="107">
        <v>0</v>
      </c>
      <c r="E668" s="107">
        <v>0</v>
      </c>
      <c r="F668" s="107">
        <v>0</v>
      </c>
      <c r="G668" s="107">
        <v>0</v>
      </c>
      <c r="H668" s="107">
        <v>0</v>
      </c>
      <c r="I668" s="107">
        <v>0</v>
      </c>
      <c r="J668" s="107">
        <v>0</v>
      </c>
    </row>
    <row r="669" spans="1:10" ht="15" x14ac:dyDescent="0.2">
      <c r="A669" s="108" t="s">
        <v>42</v>
      </c>
      <c r="B669" s="108" t="s">
        <v>158</v>
      </c>
      <c r="C669" s="106">
        <f t="shared" si="9"/>
        <v>8</v>
      </c>
      <c r="D669" s="109">
        <v>0</v>
      </c>
      <c r="E669" s="109">
        <v>0</v>
      </c>
      <c r="F669" s="107">
        <v>0</v>
      </c>
      <c r="G669" s="107">
        <v>0</v>
      </c>
      <c r="H669" s="107">
        <v>0</v>
      </c>
      <c r="I669" s="107">
        <v>0</v>
      </c>
      <c r="J669" s="107">
        <v>0</v>
      </c>
    </row>
    <row r="670" spans="1:10" ht="15" x14ac:dyDescent="0.2">
      <c r="A670" s="105" t="s">
        <v>42</v>
      </c>
      <c r="B670" s="105" t="s">
        <v>159</v>
      </c>
      <c r="C670" s="106">
        <f t="shared" si="9"/>
        <v>9</v>
      </c>
      <c r="D670" s="107">
        <v>0</v>
      </c>
      <c r="E670" s="107">
        <v>0</v>
      </c>
      <c r="F670" s="107">
        <v>0</v>
      </c>
      <c r="G670" s="107">
        <v>0</v>
      </c>
      <c r="H670" s="107">
        <v>0</v>
      </c>
      <c r="I670" s="107">
        <v>0</v>
      </c>
      <c r="J670" s="107">
        <v>0</v>
      </c>
    </row>
    <row r="671" spans="1:10" ht="15" x14ac:dyDescent="0.2">
      <c r="A671" s="108" t="s">
        <v>42</v>
      </c>
      <c r="B671" s="108" t="s">
        <v>160</v>
      </c>
      <c r="C671" s="106">
        <f t="shared" si="9"/>
        <v>10</v>
      </c>
      <c r="D671" s="109">
        <v>0</v>
      </c>
      <c r="E671" s="109">
        <v>0</v>
      </c>
      <c r="F671" s="107">
        <v>0</v>
      </c>
      <c r="G671" s="107">
        <v>0</v>
      </c>
      <c r="H671" s="107">
        <v>0</v>
      </c>
      <c r="I671" s="107">
        <v>0</v>
      </c>
      <c r="J671" s="107">
        <v>0</v>
      </c>
    </row>
    <row r="672" spans="1:10" ht="15" x14ac:dyDescent="0.2">
      <c r="A672" s="105" t="s">
        <v>42</v>
      </c>
      <c r="B672" s="105" t="s">
        <v>161</v>
      </c>
      <c r="C672" s="106">
        <f t="shared" si="9"/>
        <v>11</v>
      </c>
      <c r="D672" s="107">
        <v>0</v>
      </c>
      <c r="E672" s="107">
        <v>0</v>
      </c>
      <c r="F672" s="107">
        <v>0</v>
      </c>
      <c r="G672" s="107">
        <v>0</v>
      </c>
      <c r="H672" s="107">
        <v>0</v>
      </c>
      <c r="I672" s="107">
        <v>0</v>
      </c>
      <c r="J672" s="107">
        <v>0</v>
      </c>
    </row>
    <row r="673" spans="1:10" ht="15" x14ac:dyDescent="0.2">
      <c r="A673" s="108" t="s">
        <v>42</v>
      </c>
      <c r="B673" s="108" t="s">
        <v>162</v>
      </c>
      <c r="C673" s="106">
        <f t="shared" si="9"/>
        <v>12</v>
      </c>
      <c r="D673" s="109">
        <v>0</v>
      </c>
      <c r="E673" s="109">
        <v>0</v>
      </c>
      <c r="F673" s="107">
        <v>0</v>
      </c>
      <c r="G673" s="107">
        <v>0</v>
      </c>
      <c r="H673" s="107">
        <v>0</v>
      </c>
      <c r="I673" s="107">
        <v>0</v>
      </c>
      <c r="J673" s="107">
        <v>0</v>
      </c>
    </row>
    <row r="674" spans="1:10" ht="15" x14ac:dyDescent="0.2">
      <c r="A674" s="105" t="s">
        <v>108</v>
      </c>
      <c r="B674" s="105" t="s">
        <v>151</v>
      </c>
      <c r="C674" s="106">
        <f t="shared" si="9"/>
        <v>1</v>
      </c>
      <c r="D674" s="107">
        <v>0</v>
      </c>
      <c r="E674" s="107">
        <v>0</v>
      </c>
      <c r="F674" s="107">
        <v>0</v>
      </c>
      <c r="G674" s="107">
        <v>0</v>
      </c>
      <c r="H674" s="107">
        <v>0</v>
      </c>
      <c r="I674" s="107">
        <v>0</v>
      </c>
      <c r="J674" s="107">
        <v>0</v>
      </c>
    </row>
    <row r="675" spans="1:10" ht="15" x14ac:dyDescent="0.2">
      <c r="A675" s="108" t="s">
        <v>108</v>
      </c>
      <c r="B675" s="108" t="s">
        <v>152</v>
      </c>
      <c r="C675" s="106">
        <f t="shared" si="9"/>
        <v>2</v>
      </c>
      <c r="D675" s="109">
        <v>0</v>
      </c>
      <c r="E675" s="109">
        <v>0</v>
      </c>
      <c r="F675" s="107">
        <v>0</v>
      </c>
      <c r="G675" s="107">
        <v>0</v>
      </c>
      <c r="H675" s="107">
        <v>0</v>
      </c>
      <c r="I675" s="107">
        <v>0</v>
      </c>
      <c r="J675" s="107">
        <v>0</v>
      </c>
    </row>
    <row r="676" spans="1:10" ht="15" x14ac:dyDescent="0.2">
      <c r="A676" s="105" t="s">
        <v>108</v>
      </c>
      <c r="B676" s="105" t="s">
        <v>153</v>
      </c>
      <c r="C676" s="106">
        <f t="shared" si="9"/>
        <v>3</v>
      </c>
      <c r="D676" s="107">
        <v>0</v>
      </c>
      <c r="E676" s="107">
        <v>0</v>
      </c>
      <c r="F676" s="107">
        <v>0</v>
      </c>
      <c r="G676" s="107">
        <v>0</v>
      </c>
      <c r="H676" s="107">
        <v>0</v>
      </c>
      <c r="I676" s="107">
        <v>0</v>
      </c>
      <c r="J676" s="107">
        <v>0</v>
      </c>
    </row>
    <row r="677" spans="1:10" ht="15" x14ac:dyDescent="0.2">
      <c r="A677" s="108" t="s">
        <v>108</v>
      </c>
      <c r="B677" s="108" t="s">
        <v>154</v>
      </c>
      <c r="C677" s="106">
        <f t="shared" si="9"/>
        <v>4</v>
      </c>
      <c r="D677" s="109">
        <v>0</v>
      </c>
      <c r="E677" s="109">
        <v>0</v>
      </c>
      <c r="F677" s="107">
        <v>0</v>
      </c>
      <c r="G677" s="107">
        <v>0</v>
      </c>
      <c r="H677" s="107">
        <v>0</v>
      </c>
      <c r="I677" s="107">
        <v>0</v>
      </c>
      <c r="J677" s="107">
        <v>0</v>
      </c>
    </row>
    <row r="678" spans="1:10" ht="15" x14ac:dyDescent="0.2">
      <c r="A678" s="105" t="s">
        <v>108</v>
      </c>
      <c r="B678" s="105" t="s">
        <v>155</v>
      </c>
      <c r="C678" s="106">
        <f t="shared" si="9"/>
        <v>5</v>
      </c>
      <c r="D678" s="107">
        <v>0</v>
      </c>
      <c r="E678" s="107">
        <v>0</v>
      </c>
      <c r="F678" s="107">
        <v>0</v>
      </c>
      <c r="G678" s="107">
        <v>0</v>
      </c>
      <c r="H678" s="107">
        <v>0</v>
      </c>
      <c r="I678" s="107">
        <v>0</v>
      </c>
      <c r="J678" s="107">
        <v>0</v>
      </c>
    </row>
    <row r="679" spans="1:10" ht="15" x14ac:dyDescent="0.2">
      <c r="A679" s="108" t="s">
        <v>108</v>
      </c>
      <c r="B679" s="108" t="s">
        <v>156</v>
      </c>
      <c r="C679" s="106">
        <f t="shared" si="9"/>
        <v>6</v>
      </c>
      <c r="D679" s="109">
        <v>0</v>
      </c>
      <c r="E679" s="109">
        <v>0</v>
      </c>
      <c r="F679" s="107">
        <v>0</v>
      </c>
      <c r="G679" s="107">
        <v>0</v>
      </c>
      <c r="H679" s="107">
        <v>0</v>
      </c>
      <c r="I679" s="107">
        <v>0</v>
      </c>
      <c r="J679" s="107">
        <v>0</v>
      </c>
    </row>
    <row r="680" spans="1:10" ht="15" x14ac:dyDescent="0.2">
      <c r="A680" s="105" t="s">
        <v>108</v>
      </c>
      <c r="B680" s="105" t="s">
        <v>157</v>
      </c>
      <c r="C680" s="106">
        <f t="shared" si="9"/>
        <v>7</v>
      </c>
      <c r="D680" s="107">
        <v>0</v>
      </c>
      <c r="E680" s="107">
        <v>0</v>
      </c>
      <c r="F680" s="107">
        <v>0</v>
      </c>
      <c r="G680" s="107">
        <v>0</v>
      </c>
      <c r="H680" s="107">
        <v>0</v>
      </c>
      <c r="I680" s="107">
        <v>0</v>
      </c>
      <c r="J680" s="107">
        <v>0</v>
      </c>
    </row>
    <row r="681" spans="1:10" ht="15" x14ac:dyDescent="0.2">
      <c r="A681" s="108" t="s">
        <v>108</v>
      </c>
      <c r="B681" s="108" t="s">
        <v>158</v>
      </c>
      <c r="C681" s="106">
        <f t="shared" si="9"/>
        <v>8</v>
      </c>
      <c r="D681" s="109">
        <v>0</v>
      </c>
      <c r="E681" s="109">
        <v>0</v>
      </c>
      <c r="F681" s="107">
        <v>0</v>
      </c>
      <c r="G681" s="107">
        <v>0</v>
      </c>
      <c r="H681" s="107">
        <v>0</v>
      </c>
      <c r="I681" s="107">
        <v>0</v>
      </c>
      <c r="J681" s="107">
        <v>0</v>
      </c>
    </row>
    <row r="682" spans="1:10" ht="15" x14ac:dyDescent="0.2">
      <c r="A682" s="105" t="s">
        <v>108</v>
      </c>
      <c r="B682" s="105" t="s">
        <v>159</v>
      </c>
      <c r="C682" s="106">
        <f t="shared" si="9"/>
        <v>9</v>
      </c>
      <c r="D682" s="107">
        <v>0</v>
      </c>
      <c r="E682" s="107">
        <v>0</v>
      </c>
      <c r="F682" s="107">
        <v>0</v>
      </c>
      <c r="G682" s="107">
        <v>0</v>
      </c>
      <c r="H682" s="107">
        <v>0</v>
      </c>
      <c r="I682" s="107">
        <v>0</v>
      </c>
      <c r="J682" s="107">
        <v>0</v>
      </c>
    </row>
    <row r="683" spans="1:10" ht="15" x14ac:dyDescent="0.2">
      <c r="A683" s="108" t="s">
        <v>108</v>
      </c>
      <c r="B683" s="108" t="s">
        <v>160</v>
      </c>
      <c r="C683" s="106">
        <f t="shared" si="9"/>
        <v>10</v>
      </c>
      <c r="D683" s="109">
        <v>0</v>
      </c>
      <c r="E683" s="109">
        <v>0</v>
      </c>
      <c r="F683" s="107">
        <v>0</v>
      </c>
      <c r="G683" s="107">
        <v>0</v>
      </c>
      <c r="H683" s="107">
        <v>0</v>
      </c>
      <c r="I683" s="107">
        <v>0</v>
      </c>
      <c r="J683" s="107">
        <v>0</v>
      </c>
    </row>
    <row r="684" spans="1:10" ht="15" x14ac:dyDescent="0.2">
      <c r="A684" s="105" t="s">
        <v>108</v>
      </c>
      <c r="B684" s="105" t="s">
        <v>161</v>
      </c>
      <c r="C684" s="106">
        <f t="shared" si="9"/>
        <v>11</v>
      </c>
      <c r="D684" s="107">
        <v>0</v>
      </c>
      <c r="E684" s="107">
        <v>0</v>
      </c>
      <c r="F684" s="107">
        <v>0</v>
      </c>
      <c r="G684" s="107">
        <v>0</v>
      </c>
      <c r="H684" s="107">
        <v>0</v>
      </c>
      <c r="I684" s="107">
        <v>0</v>
      </c>
      <c r="J684" s="107">
        <v>0</v>
      </c>
    </row>
    <row r="685" spans="1:10" ht="15" x14ac:dyDescent="0.2">
      <c r="A685" s="108" t="s">
        <v>108</v>
      </c>
      <c r="B685" s="108" t="s">
        <v>162</v>
      </c>
      <c r="C685" s="106">
        <f t="shared" si="9"/>
        <v>12</v>
      </c>
      <c r="D685" s="109">
        <v>0</v>
      </c>
      <c r="E685" s="109">
        <v>0</v>
      </c>
      <c r="F685" s="107">
        <v>0</v>
      </c>
      <c r="G685" s="107">
        <v>0</v>
      </c>
      <c r="H685" s="107">
        <v>0</v>
      </c>
      <c r="I685" s="107">
        <v>0</v>
      </c>
      <c r="J685" s="107">
        <v>0</v>
      </c>
    </row>
    <row r="686" spans="1:10" ht="15" x14ac:dyDescent="0.2">
      <c r="A686" s="105" t="s">
        <v>129</v>
      </c>
      <c r="B686" s="105" t="s">
        <v>151</v>
      </c>
      <c r="C686" s="106">
        <f t="shared" si="9"/>
        <v>1</v>
      </c>
      <c r="D686" s="107">
        <v>0</v>
      </c>
      <c r="E686" s="107">
        <v>0</v>
      </c>
      <c r="F686" s="107">
        <v>0</v>
      </c>
      <c r="G686" s="107">
        <v>0</v>
      </c>
      <c r="H686" s="107">
        <v>0</v>
      </c>
      <c r="I686" s="107">
        <v>0</v>
      </c>
      <c r="J686" s="107">
        <v>0</v>
      </c>
    </row>
    <row r="687" spans="1:10" ht="15" x14ac:dyDescent="0.2">
      <c r="A687" s="108" t="s">
        <v>129</v>
      </c>
      <c r="B687" s="108" t="s">
        <v>152</v>
      </c>
      <c r="C687" s="106">
        <f t="shared" si="9"/>
        <v>2</v>
      </c>
      <c r="D687" s="109">
        <v>0</v>
      </c>
      <c r="E687" s="109">
        <v>0</v>
      </c>
      <c r="F687" s="107">
        <v>0</v>
      </c>
      <c r="G687" s="107">
        <v>0</v>
      </c>
      <c r="H687" s="107">
        <v>0</v>
      </c>
      <c r="I687" s="107">
        <v>0</v>
      </c>
      <c r="J687" s="107">
        <v>0</v>
      </c>
    </row>
    <row r="688" spans="1:10" ht="15" x14ac:dyDescent="0.2">
      <c r="A688" s="105" t="s">
        <v>129</v>
      </c>
      <c r="B688" s="105" t="s">
        <v>153</v>
      </c>
      <c r="C688" s="106">
        <f t="shared" si="9"/>
        <v>3</v>
      </c>
      <c r="D688" s="107">
        <v>0</v>
      </c>
      <c r="E688" s="107">
        <v>0</v>
      </c>
      <c r="F688" s="107">
        <v>0</v>
      </c>
      <c r="G688" s="107">
        <v>0</v>
      </c>
      <c r="H688" s="107">
        <v>0</v>
      </c>
      <c r="I688" s="107">
        <v>0</v>
      </c>
      <c r="J688" s="107">
        <v>0</v>
      </c>
    </row>
    <row r="689" spans="1:10" ht="15" x14ac:dyDescent="0.2">
      <c r="A689" s="108" t="s">
        <v>129</v>
      </c>
      <c r="B689" s="108" t="s">
        <v>154</v>
      </c>
      <c r="C689" s="106">
        <f t="shared" si="9"/>
        <v>4</v>
      </c>
      <c r="D689" s="109">
        <v>0</v>
      </c>
      <c r="E689" s="109">
        <v>0</v>
      </c>
      <c r="F689" s="107">
        <v>0</v>
      </c>
      <c r="G689" s="107">
        <v>0</v>
      </c>
      <c r="H689" s="107">
        <v>0</v>
      </c>
      <c r="I689" s="107">
        <v>0</v>
      </c>
      <c r="J689" s="107">
        <v>0</v>
      </c>
    </row>
    <row r="690" spans="1:10" ht="15" x14ac:dyDescent="0.2">
      <c r="A690" s="105" t="s">
        <v>129</v>
      </c>
      <c r="B690" s="105" t="s">
        <v>155</v>
      </c>
      <c r="C690" s="106">
        <f t="shared" si="9"/>
        <v>5</v>
      </c>
      <c r="D690" s="107">
        <v>0</v>
      </c>
      <c r="E690" s="107">
        <v>0</v>
      </c>
      <c r="F690" s="107">
        <v>0</v>
      </c>
      <c r="G690" s="107">
        <v>0</v>
      </c>
      <c r="H690" s="107">
        <v>0</v>
      </c>
      <c r="I690" s="107">
        <v>0</v>
      </c>
      <c r="J690" s="107">
        <v>0</v>
      </c>
    </row>
    <row r="691" spans="1:10" ht="15" x14ac:dyDescent="0.2">
      <c r="A691" s="108" t="s">
        <v>129</v>
      </c>
      <c r="B691" s="108" t="s">
        <v>156</v>
      </c>
      <c r="C691" s="106">
        <f t="shared" si="9"/>
        <v>6</v>
      </c>
      <c r="D691" s="109">
        <v>0</v>
      </c>
      <c r="E691" s="109">
        <v>0</v>
      </c>
      <c r="F691" s="107">
        <v>0</v>
      </c>
      <c r="G691" s="107">
        <v>0</v>
      </c>
      <c r="H691" s="107">
        <v>0</v>
      </c>
      <c r="I691" s="107">
        <v>0</v>
      </c>
      <c r="J691" s="107">
        <v>0</v>
      </c>
    </row>
    <row r="692" spans="1:10" ht="15" x14ac:dyDescent="0.2">
      <c r="A692" s="105" t="s">
        <v>129</v>
      </c>
      <c r="B692" s="105" t="s">
        <v>157</v>
      </c>
      <c r="C692" s="106">
        <f t="shared" si="9"/>
        <v>7</v>
      </c>
      <c r="D692" s="107">
        <v>0</v>
      </c>
      <c r="E692" s="107">
        <v>0</v>
      </c>
      <c r="F692" s="107">
        <v>0</v>
      </c>
      <c r="G692" s="107">
        <v>0</v>
      </c>
      <c r="H692" s="107">
        <v>0</v>
      </c>
      <c r="I692" s="107">
        <v>0</v>
      </c>
      <c r="J692" s="107">
        <v>0</v>
      </c>
    </row>
    <row r="693" spans="1:10" ht="15" x14ac:dyDescent="0.2">
      <c r="A693" s="108" t="s">
        <v>129</v>
      </c>
      <c r="B693" s="108" t="s">
        <v>158</v>
      </c>
      <c r="C693" s="106">
        <f t="shared" si="9"/>
        <v>8</v>
      </c>
      <c r="D693" s="109">
        <v>0</v>
      </c>
      <c r="E693" s="109">
        <v>0</v>
      </c>
      <c r="F693" s="107">
        <v>0</v>
      </c>
      <c r="G693" s="107">
        <v>0</v>
      </c>
      <c r="H693" s="107">
        <v>0</v>
      </c>
      <c r="I693" s="107">
        <v>0</v>
      </c>
      <c r="J693" s="107">
        <v>0</v>
      </c>
    </row>
    <row r="694" spans="1:10" ht="15" x14ac:dyDescent="0.2">
      <c r="A694" s="105" t="s">
        <v>129</v>
      </c>
      <c r="B694" s="105" t="s">
        <v>159</v>
      </c>
      <c r="C694" s="106">
        <f t="shared" si="9"/>
        <v>9</v>
      </c>
      <c r="D694" s="107">
        <v>0</v>
      </c>
      <c r="E694" s="107">
        <v>0</v>
      </c>
      <c r="F694" s="107">
        <v>0</v>
      </c>
      <c r="G694" s="107">
        <v>0</v>
      </c>
      <c r="H694" s="107">
        <v>0</v>
      </c>
      <c r="I694" s="107">
        <v>0</v>
      </c>
      <c r="J694" s="107">
        <v>0</v>
      </c>
    </row>
    <row r="695" spans="1:10" ht="15" x14ac:dyDescent="0.2">
      <c r="A695" s="108" t="s">
        <v>129</v>
      </c>
      <c r="B695" s="108" t="s">
        <v>160</v>
      </c>
      <c r="C695" s="106">
        <f t="shared" si="9"/>
        <v>10</v>
      </c>
      <c r="D695" s="109">
        <v>0</v>
      </c>
      <c r="E695" s="109">
        <v>0</v>
      </c>
      <c r="F695" s="107">
        <v>0</v>
      </c>
      <c r="G695" s="107">
        <v>0</v>
      </c>
      <c r="H695" s="107">
        <v>0</v>
      </c>
      <c r="I695" s="107">
        <v>0</v>
      </c>
      <c r="J695" s="107">
        <v>0</v>
      </c>
    </row>
    <row r="696" spans="1:10" ht="15" x14ac:dyDescent="0.2">
      <c r="A696" s="105" t="s">
        <v>129</v>
      </c>
      <c r="B696" s="105" t="s">
        <v>161</v>
      </c>
      <c r="C696" s="106">
        <f t="shared" si="9"/>
        <v>11</v>
      </c>
      <c r="D696" s="107">
        <v>0</v>
      </c>
      <c r="E696" s="107">
        <v>0</v>
      </c>
      <c r="F696" s="107">
        <v>0</v>
      </c>
      <c r="G696" s="107">
        <v>0</v>
      </c>
      <c r="H696" s="107">
        <v>0</v>
      </c>
      <c r="I696" s="107">
        <v>0</v>
      </c>
      <c r="J696" s="107">
        <v>0</v>
      </c>
    </row>
    <row r="697" spans="1:10" ht="15" x14ac:dyDescent="0.2">
      <c r="A697" s="108" t="s">
        <v>129</v>
      </c>
      <c r="B697" s="108" t="s">
        <v>162</v>
      </c>
      <c r="C697" s="106">
        <f t="shared" si="9"/>
        <v>12</v>
      </c>
      <c r="D697" s="109">
        <v>0</v>
      </c>
      <c r="E697" s="109">
        <v>0</v>
      </c>
      <c r="F697" s="107">
        <v>0</v>
      </c>
      <c r="G697" s="107">
        <v>0</v>
      </c>
      <c r="H697" s="107">
        <v>0</v>
      </c>
      <c r="I697" s="107">
        <v>0</v>
      </c>
      <c r="J697" s="107">
        <v>0</v>
      </c>
    </row>
    <row r="698" spans="1:10" ht="15" x14ac:dyDescent="0.2">
      <c r="A698" s="105" t="s">
        <v>125</v>
      </c>
      <c r="B698" s="105" t="s">
        <v>151</v>
      </c>
      <c r="C698" s="106">
        <f t="shared" si="9"/>
        <v>1</v>
      </c>
      <c r="D698" s="107">
        <v>0</v>
      </c>
      <c r="E698" s="107">
        <v>0</v>
      </c>
      <c r="F698" s="107">
        <v>0</v>
      </c>
      <c r="G698" s="107">
        <v>0</v>
      </c>
      <c r="H698" s="107">
        <v>0</v>
      </c>
      <c r="I698" s="107">
        <v>0</v>
      </c>
      <c r="J698" s="107">
        <v>0</v>
      </c>
    </row>
    <row r="699" spans="1:10" ht="15" x14ac:dyDescent="0.2">
      <c r="A699" s="108" t="s">
        <v>125</v>
      </c>
      <c r="B699" s="108" t="s">
        <v>152</v>
      </c>
      <c r="C699" s="106">
        <f t="shared" si="9"/>
        <v>2</v>
      </c>
      <c r="D699" s="109">
        <v>0</v>
      </c>
      <c r="E699" s="109">
        <v>0</v>
      </c>
      <c r="F699" s="107">
        <v>0</v>
      </c>
      <c r="G699" s="107">
        <v>0</v>
      </c>
      <c r="H699" s="107">
        <v>0</v>
      </c>
      <c r="I699" s="107">
        <v>0</v>
      </c>
      <c r="J699" s="107">
        <v>0</v>
      </c>
    </row>
    <row r="700" spans="1:10" ht="15" x14ac:dyDescent="0.2">
      <c r="A700" s="105" t="s">
        <v>125</v>
      </c>
      <c r="B700" s="105" t="s">
        <v>153</v>
      </c>
      <c r="C700" s="106">
        <f t="shared" si="9"/>
        <v>3</v>
      </c>
      <c r="D700" s="107">
        <v>3</v>
      </c>
      <c r="E700" s="107">
        <v>27</v>
      </c>
      <c r="F700" s="107">
        <v>0</v>
      </c>
      <c r="G700" s="107">
        <v>0</v>
      </c>
      <c r="H700" s="107">
        <v>0</v>
      </c>
      <c r="I700" s="107">
        <v>0</v>
      </c>
      <c r="J700" s="107">
        <v>1</v>
      </c>
    </row>
    <row r="701" spans="1:10" ht="15" x14ac:dyDescent="0.2">
      <c r="A701" s="108" t="s">
        <v>125</v>
      </c>
      <c r="B701" s="108" t="s">
        <v>154</v>
      </c>
      <c r="C701" s="106">
        <f t="shared" si="9"/>
        <v>4</v>
      </c>
      <c r="D701" s="109">
        <v>0</v>
      </c>
      <c r="E701" s="109">
        <v>0</v>
      </c>
      <c r="F701" s="107">
        <v>0</v>
      </c>
      <c r="G701" s="107">
        <v>0</v>
      </c>
      <c r="H701" s="107">
        <v>0</v>
      </c>
      <c r="I701" s="107">
        <v>0</v>
      </c>
      <c r="J701" s="107">
        <v>0</v>
      </c>
    </row>
    <row r="702" spans="1:10" ht="15" x14ac:dyDescent="0.2">
      <c r="A702" s="105" t="s">
        <v>125</v>
      </c>
      <c r="B702" s="105" t="s">
        <v>155</v>
      </c>
      <c r="C702" s="106">
        <f t="shared" ref="C702:C709" si="10">_xlfn.IFS(B702="Janeiro",1,B702="Fevereiro",2,B702="Março",3,B702="Abril",4,B702="Maio",5,B702="Junho",6,B702="Julho",7,B702="Agosto",8,B702="Setembro",9,B702="Outubro",10,B702="Novembro",11,B702="Dezembro",12,TRUE,0)</f>
        <v>5</v>
      </c>
      <c r="D702" s="107">
        <v>0</v>
      </c>
      <c r="E702" s="107">
        <v>0</v>
      </c>
      <c r="F702" s="107">
        <v>0</v>
      </c>
      <c r="G702" s="107">
        <v>0</v>
      </c>
      <c r="H702" s="107">
        <v>0</v>
      </c>
      <c r="I702" s="107">
        <v>0</v>
      </c>
      <c r="J702" s="107">
        <v>0</v>
      </c>
    </row>
    <row r="703" spans="1:10" ht="15" x14ac:dyDescent="0.2">
      <c r="A703" s="108" t="s">
        <v>125</v>
      </c>
      <c r="B703" s="108" t="s">
        <v>156</v>
      </c>
      <c r="C703" s="106">
        <f t="shared" si="10"/>
        <v>6</v>
      </c>
      <c r="D703" s="109">
        <v>0</v>
      </c>
      <c r="E703" s="109">
        <v>0</v>
      </c>
      <c r="F703" s="107">
        <v>0</v>
      </c>
      <c r="G703" s="107">
        <v>0</v>
      </c>
      <c r="H703" s="107">
        <v>0</v>
      </c>
      <c r="I703" s="107">
        <v>0</v>
      </c>
      <c r="J703" s="107">
        <v>0</v>
      </c>
    </row>
    <row r="704" spans="1:10" ht="15" x14ac:dyDescent="0.2">
      <c r="A704" s="105" t="s">
        <v>125</v>
      </c>
      <c r="B704" s="105" t="s">
        <v>157</v>
      </c>
      <c r="C704" s="106">
        <f t="shared" si="10"/>
        <v>7</v>
      </c>
      <c r="D704" s="107">
        <v>4</v>
      </c>
      <c r="E704" s="107">
        <v>36</v>
      </c>
      <c r="F704" s="107">
        <v>0</v>
      </c>
      <c r="G704" s="107">
        <v>0</v>
      </c>
      <c r="H704" s="107">
        <v>0</v>
      </c>
      <c r="I704" s="107">
        <v>0</v>
      </c>
      <c r="J704" s="107">
        <v>1</v>
      </c>
    </row>
    <row r="705" spans="1:10" ht="15" x14ac:dyDescent="0.2">
      <c r="A705" s="108" t="s">
        <v>125</v>
      </c>
      <c r="B705" s="108" t="s">
        <v>158</v>
      </c>
      <c r="C705" s="106">
        <f t="shared" si="10"/>
        <v>8</v>
      </c>
      <c r="D705" s="109">
        <v>0</v>
      </c>
      <c r="E705" s="109">
        <v>0</v>
      </c>
      <c r="F705" s="107">
        <v>0</v>
      </c>
      <c r="G705" s="107">
        <v>0</v>
      </c>
      <c r="H705" s="107">
        <v>0</v>
      </c>
      <c r="I705" s="107">
        <v>0</v>
      </c>
      <c r="J705" s="107">
        <v>0</v>
      </c>
    </row>
    <row r="706" spans="1:10" ht="15" x14ac:dyDescent="0.2">
      <c r="A706" s="105" t="s">
        <v>125</v>
      </c>
      <c r="B706" s="105" t="s">
        <v>159</v>
      </c>
      <c r="C706" s="106">
        <f t="shared" si="10"/>
        <v>9</v>
      </c>
      <c r="D706" s="107">
        <v>0</v>
      </c>
      <c r="E706" s="107">
        <v>0</v>
      </c>
      <c r="F706" s="107">
        <v>0</v>
      </c>
      <c r="G706" s="107">
        <v>0</v>
      </c>
      <c r="H706" s="107">
        <v>0</v>
      </c>
      <c r="I706" s="107">
        <v>0</v>
      </c>
      <c r="J706" s="107">
        <v>0</v>
      </c>
    </row>
    <row r="707" spans="1:10" ht="15" x14ac:dyDescent="0.2">
      <c r="A707" s="108" t="s">
        <v>125</v>
      </c>
      <c r="B707" s="108" t="s">
        <v>160</v>
      </c>
      <c r="C707" s="106">
        <f t="shared" si="10"/>
        <v>10</v>
      </c>
      <c r="D707" s="109">
        <v>0</v>
      </c>
      <c r="E707" s="109">
        <v>0</v>
      </c>
      <c r="F707" s="107">
        <v>0</v>
      </c>
      <c r="G707" s="107">
        <v>0</v>
      </c>
      <c r="H707" s="107">
        <v>0</v>
      </c>
      <c r="I707" s="107">
        <v>0</v>
      </c>
      <c r="J707" s="107">
        <v>0</v>
      </c>
    </row>
    <row r="708" spans="1:10" ht="15" x14ac:dyDescent="0.2">
      <c r="A708" s="105" t="s">
        <v>125</v>
      </c>
      <c r="B708" s="105" t="s">
        <v>161</v>
      </c>
      <c r="C708" s="106">
        <f t="shared" si="10"/>
        <v>11</v>
      </c>
      <c r="D708" s="107">
        <v>0</v>
      </c>
      <c r="E708" s="107">
        <v>0</v>
      </c>
      <c r="F708" s="107">
        <v>0</v>
      </c>
      <c r="G708" s="107">
        <v>0</v>
      </c>
      <c r="H708" s="107">
        <v>0</v>
      </c>
      <c r="I708" s="107">
        <v>0</v>
      </c>
      <c r="J708" s="107">
        <v>0</v>
      </c>
    </row>
    <row r="709" spans="1:10" ht="15" x14ac:dyDescent="0.2">
      <c r="A709" s="108" t="s">
        <v>125</v>
      </c>
      <c r="B709" s="108" t="s">
        <v>162</v>
      </c>
      <c r="C709" s="106">
        <f t="shared" si="10"/>
        <v>12</v>
      </c>
      <c r="D709" s="109">
        <v>0</v>
      </c>
      <c r="E709" s="109">
        <v>0</v>
      </c>
      <c r="F709" s="107">
        <v>0</v>
      </c>
      <c r="G709" s="107">
        <v>0</v>
      </c>
      <c r="H709" s="107">
        <v>0</v>
      </c>
      <c r="I709" s="107">
        <v>0</v>
      </c>
      <c r="J70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164</v>
      </c>
      <c r="B1" s="39" t="s">
        <v>165</v>
      </c>
      <c r="C1" s="39" t="s">
        <v>166</v>
      </c>
      <c r="D1" s="39" t="s">
        <v>242</v>
      </c>
      <c r="E1" s="39" t="s">
        <v>271</v>
      </c>
    </row>
    <row r="2" spans="1:5" ht="15" x14ac:dyDescent="0.2">
      <c r="A2" s="63" t="s">
        <v>284</v>
      </c>
      <c r="B2" s="64" t="s">
        <v>155</v>
      </c>
      <c r="C2" s="65">
        <v>2020</v>
      </c>
      <c r="D2" s="65" t="s">
        <v>243</v>
      </c>
      <c r="E2" s="62" t="s">
        <v>285</v>
      </c>
    </row>
    <row r="3" spans="1:5" ht="15" x14ac:dyDescent="0.2">
      <c r="A3" s="63" t="s">
        <v>286</v>
      </c>
      <c r="B3" s="64" t="s">
        <v>155</v>
      </c>
      <c r="C3" s="65">
        <v>2020</v>
      </c>
      <c r="D3" s="65" t="s">
        <v>243</v>
      </c>
      <c r="E3" s="62" t="s">
        <v>285</v>
      </c>
    </row>
    <row r="4" spans="1:5" ht="15" x14ac:dyDescent="0.2">
      <c r="A4" s="63" t="s">
        <v>290</v>
      </c>
      <c r="B4" s="64" t="s">
        <v>159</v>
      </c>
      <c r="C4" s="65">
        <v>2020</v>
      </c>
      <c r="D4" s="65" t="s">
        <v>243</v>
      </c>
      <c r="E4" s="62" t="s">
        <v>285</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09"/>
  <sheetViews>
    <sheetView showGridLines="0" zoomScale="85" zoomScaleNormal="85" workbookViewId="0">
      <pane xSplit="1" ySplit="1" topLeftCell="M2" activePane="bottomRight" state="frozen"/>
      <selection pane="topRight" activeCell="B1" sqref="B1"/>
      <selection pane="bottomLeft" activeCell="A2" sqref="A2"/>
      <selection pane="bottomRight" activeCell="N2" sqref="N2"/>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165</v>
      </c>
      <c r="C1" s="37" t="s">
        <v>1</v>
      </c>
      <c r="D1" s="38" t="s">
        <v>167</v>
      </c>
      <c r="E1" s="37" t="s">
        <v>4</v>
      </c>
      <c r="F1" s="38" t="s">
        <v>168</v>
      </c>
      <c r="G1" s="56" t="s">
        <v>233</v>
      </c>
      <c r="H1" s="56" t="s">
        <v>239</v>
      </c>
      <c r="I1" s="39" t="s">
        <v>241</v>
      </c>
      <c r="J1" s="98" t="s">
        <v>253</v>
      </c>
      <c r="K1" s="58" t="s">
        <v>250</v>
      </c>
      <c r="L1" s="56" t="s">
        <v>251</v>
      </c>
      <c r="M1" s="56" t="s">
        <v>252</v>
      </c>
      <c r="N1" s="1" t="s">
        <v>186</v>
      </c>
      <c r="O1" s="1" t="s">
        <v>187</v>
      </c>
      <c r="P1" s="1" t="s">
        <v>188</v>
      </c>
      <c r="Q1" s="1" t="s">
        <v>189</v>
      </c>
      <c r="R1" s="56" t="s">
        <v>257</v>
      </c>
      <c r="S1" s="56" t="s">
        <v>272</v>
      </c>
    </row>
    <row r="2" spans="1:19" x14ac:dyDescent="0.2">
      <c r="A2" s="36" t="s">
        <v>83</v>
      </c>
      <c r="B2" s="6" t="s">
        <v>151</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2">
      <c r="A3" s="36" t="s">
        <v>83</v>
      </c>
      <c r="B3" s="6" t="s">
        <v>152</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2">
      <c r="A4" s="36" t="s">
        <v>83</v>
      </c>
      <c r="B4" s="6" t="s">
        <v>153</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2">
      <c r="A5" s="36" t="s">
        <v>83</v>
      </c>
      <c r="B5" s="6" t="s">
        <v>154</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2">
      <c r="A6" s="36" t="s">
        <v>83</v>
      </c>
      <c r="B6" s="6" t="s">
        <v>155</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2">
      <c r="A7" s="36" t="s">
        <v>83</v>
      </c>
      <c r="B7" s="6" t="s">
        <v>156</v>
      </c>
      <c r="C7" s="71">
        <v>16700</v>
      </c>
      <c r="D7" s="6">
        <f>(C7/12)*6</f>
        <v>8350</v>
      </c>
      <c r="E7" s="62">
        <v>2220</v>
      </c>
      <c r="F7" s="6">
        <f>SUM(E2:E7)</f>
        <v>9717</v>
      </c>
      <c r="G7" s="35" t="str">
        <f t="shared" si="2"/>
        <v>Farol Verde</v>
      </c>
      <c r="H7">
        <f t="shared" si="0"/>
        <v>0</v>
      </c>
      <c r="I7" s="6">
        <f t="shared" si="1"/>
        <v>6</v>
      </c>
      <c r="J7" s="99">
        <v>14</v>
      </c>
      <c r="K7" s="62">
        <v>1</v>
      </c>
      <c r="L7" s="6">
        <f t="shared" si="6"/>
        <v>7.0000000000000009</v>
      </c>
      <c r="M7" s="6">
        <f t="shared" si="7"/>
        <v>10</v>
      </c>
      <c r="N7" s="71">
        <v>2</v>
      </c>
      <c r="O7">
        <f t="shared" si="3"/>
        <v>1</v>
      </c>
      <c r="P7" s="71">
        <v>2</v>
      </c>
      <c r="Q7">
        <f t="shared" si="4"/>
        <v>0.5</v>
      </c>
      <c r="R7" s="71">
        <v>1</v>
      </c>
      <c r="S7" s="6">
        <f t="shared" si="5"/>
        <v>0.5</v>
      </c>
    </row>
    <row r="8" spans="1:19" x14ac:dyDescent="0.2">
      <c r="A8" s="36" t="s">
        <v>83</v>
      </c>
      <c r="B8" s="6" t="s">
        <v>157</v>
      </c>
      <c r="C8" s="71">
        <v>16700</v>
      </c>
      <c r="D8" s="6">
        <f>(C8/12)*7</f>
        <v>9741.6666666666679</v>
      </c>
      <c r="E8" s="62">
        <v>1800</v>
      </c>
      <c r="F8" s="6">
        <f>SUM(E2:E8)</f>
        <v>11517</v>
      </c>
      <c r="G8" s="35" t="str">
        <f t="shared" si="2"/>
        <v>Farol Verde</v>
      </c>
      <c r="H8">
        <f t="shared" si="0"/>
        <v>0</v>
      </c>
      <c r="I8" s="6">
        <f t="shared" si="1"/>
        <v>7</v>
      </c>
      <c r="J8" s="99">
        <v>14</v>
      </c>
      <c r="K8" s="62">
        <v>2</v>
      </c>
      <c r="L8" s="6">
        <f t="shared" si="6"/>
        <v>8.1666666666666679</v>
      </c>
      <c r="M8" s="6">
        <f t="shared" si="7"/>
        <v>12</v>
      </c>
      <c r="N8" s="71"/>
      <c r="O8" t="e">
        <f t="shared" si="3"/>
        <v>#DIV/0!</v>
      </c>
      <c r="P8" s="71"/>
      <c r="Q8" t="e">
        <f t="shared" si="4"/>
        <v>#DIV/0!</v>
      </c>
      <c r="R8" s="71"/>
      <c r="S8" s="6" t="e">
        <f t="shared" si="5"/>
        <v>#DIV/0!</v>
      </c>
    </row>
    <row r="9" spans="1:19" x14ac:dyDescent="0.2">
      <c r="A9" s="36" t="s">
        <v>83</v>
      </c>
      <c r="B9" s="6" t="s">
        <v>158</v>
      </c>
      <c r="C9" s="71">
        <v>16700</v>
      </c>
      <c r="D9" s="6">
        <f>(C9/12)*8</f>
        <v>11133.333333333334</v>
      </c>
      <c r="E9" s="62">
        <v>0</v>
      </c>
      <c r="F9" s="6">
        <f>SUM(E2:E9)</f>
        <v>11517</v>
      </c>
      <c r="G9" s="35" t="str">
        <f t="shared" si="2"/>
        <v>Farol Verde</v>
      </c>
      <c r="H9">
        <f t="shared" si="0"/>
        <v>0</v>
      </c>
      <c r="I9" s="6">
        <f t="shared" si="1"/>
        <v>8</v>
      </c>
      <c r="J9" s="99">
        <v>14</v>
      </c>
      <c r="K9" s="62"/>
      <c r="L9" s="6">
        <f t="shared" si="6"/>
        <v>9.3333333333333339</v>
      </c>
      <c r="M9" s="6">
        <f t="shared" si="7"/>
        <v>12</v>
      </c>
      <c r="N9" s="71"/>
      <c r="O9" t="e">
        <f t="shared" si="3"/>
        <v>#DIV/0!</v>
      </c>
      <c r="P9" s="71"/>
      <c r="Q9" t="e">
        <f t="shared" si="4"/>
        <v>#DIV/0!</v>
      </c>
      <c r="R9" s="71"/>
      <c r="S9" s="6" t="e">
        <f t="shared" si="5"/>
        <v>#DIV/0!</v>
      </c>
    </row>
    <row r="10" spans="1:19" x14ac:dyDescent="0.2">
      <c r="A10" s="36" t="s">
        <v>83</v>
      </c>
      <c r="B10" s="6" t="s">
        <v>159</v>
      </c>
      <c r="C10" s="71">
        <v>16700</v>
      </c>
      <c r="D10" s="6">
        <f>(C10/12)*9</f>
        <v>12525</v>
      </c>
      <c r="E10" s="62">
        <v>0</v>
      </c>
      <c r="F10" s="6">
        <f>SUM(E2:E10)</f>
        <v>11517</v>
      </c>
      <c r="G10" s="35" t="str">
        <f t="shared" si="2"/>
        <v>Farol Amarelo</v>
      </c>
      <c r="H10">
        <f t="shared" si="0"/>
        <v>1008</v>
      </c>
      <c r="I10" s="6">
        <f t="shared" si="1"/>
        <v>9</v>
      </c>
      <c r="J10" s="99">
        <v>14</v>
      </c>
      <c r="K10" s="62"/>
      <c r="L10" s="6">
        <f t="shared" si="6"/>
        <v>10.5</v>
      </c>
      <c r="M10" s="6">
        <f t="shared" si="7"/>
        <v>12</v>
      </c>
      <c r="N10" s="71"/>
      <c r="O10" t="e">
        <f t="shared" si="3"/>
        <v>#DIV/0!</v>
      </c>
      <c r="P10" s="71"/>
      <c r="Q10" t="e">
        <f t="shared" si="4"/>
        <v>#DIV/0!</v>
      </c>
      <c r="R10" s="71"/>
      <c r="S10" s="6" t="e">
        <f t="shared" si="5"/>
        <v>#DIV/0!</v>
      </c>
    </row>
    <row r="11" spans="1:19" x14ac:dyDescent="0.2">
      <c r="A11" s="36" t="s">
        <v>83</v>
      </c>
      <c r="B11" s="6" t="s">
        <v>160</v>
      </c>
      <c r="C11" s="71">
        <v>16700</v>
      </c>
      <c r="D11" s="6">
        <f>(C11/12)*10</f>
        <v>13916.666666666668</v>
      </c>
      <c r="E11" s="62">
        <v>0</v>
      </c>
      <c r="F11" s="6">
        <f>SUM(E2:E11)</f>
        <v>11517</v>
      </c>
      <c r="G11" s="35" t="str">
        <f t="shared" si="2"/>
        <v>Farol Vermelho</v>
      </c>
      <c r="H11">
        <f t="shared" si="0"/>
        <v>2399.6666666666679</v>
      </c>
      <c r="I11" s="6">
        <f t="shared" si="1"/>
        <v>10</v>
      </c>
      <c r="J11" s="99">
        <v>14</v>
      </c>
      <c r="K11" s="62"/>
      <c r="L11" s="6">
        <f t="shared" si="6"/>
        <v>11.666666666666666</v>
      </c>
      <c r="M11" s="6">
        <f t="shared" si="7"/>
        <v>12</v>
      </c>
      <c r="N11" s="71"/>
      <c r="O11" t="e">
        <f t="shared" si="3"/>
        <v>#DIV/0!</v>
      </c>
      <c r="P11" s="71"/>
      <c r="Q11" t="e">
        <f t="shared" si="4"/>
        <v>#DIV/0!</v>
      </c>
      <c r="R11" s="71"/>
      <c r="S11" s="6" t="e">
        <f t="shared" si="5"/>
        <v>#DIV/0!</v>
      </c>
    </row>
    <row r="12" spans="1:19" x14ac:dyDescent="0.2">
      <c r="A12" s="36" t="s">
        <v>83</v>
      </c>
      <c r="B12" s="6" t="s">
        <v>161</v>
      </c>
      <c r="C12" s="71">
        <v>16700</v>
      </c>
      <c r="D12" s="6">
        <f>(C12/12)*11</f>
        <v>15308.333333333334</v>
      </c>
      <c r="E12" s="62">
        <v>0</v>
      </c>
      <c r="F12" s="6">
        <f>SUM(E2:E12)</f>
        <v>11517</v>
      </c>
      <c r="G12" s="35" t="str">
        <f t="shared" si="2"/>
        <v>Farol Vermelho</v>
      </c>
      <c r="H12">
        <f t="shared" si="0"/>
        <v>3791.3333333333339</v>
      </c>
      <c r="I12" s="6">
        <f t="shared" si="1"/>
        <v>11</v>
      </c>
      <c r="J12" s="99">
        <v>14</v>
      </c>
      <c r="K12" s="62"/>
      <c r="L12" s="6">
        <f t="shared" si="6"/>
        <v>12.833333333333332</v>
      </c>
      <c r="M12" s="6">
        <f t="shared" si="7"/>
        <v>12</v>
      </c>
      <c r="N12" s="71"/>
      <c r="O12" t="e">
        <f t="shared" si="3"/>
        <v>#DIV/0!</v>
      </c>
      <c r="P12" s="71"/>
      <c r="Q12" t="e">
        <f t="shared" si="4"/>
        <v>#DIV/0!</v>
      </c>
      <c r="R12" s="71"/>
      <c r="S12" s="6" t="e">
        <f t="shared" si="5"/>
        <v>#DIV/0!</v>
      </c>
    </row>
    <row r="13" spans="1:19" x14ac:dyDescent="0.2">
      <c r="A13" s="36" t="s">
        <v>83</v>
      </c>
      <c r="B13" s="6" t="s">
        <v>162</v>
      </c>
      <c r="C13" s="71">
        <v>16700</v>
      </c>
      <c r="D13" s="6">
        <f>(C13/12)*12</f>
        <v>16700</v>
      </c>
      <c r="E13" s="62">
        <v>0</v>
      </c>
      <c r="F13" s="6">
        <f>SUM(E2:E13)</f>
        <v>11517</v>
      </c>
      <c r="G13" s="35" t="str">
        <f t="shared" si="2"/>
        <v>Farol Vermelho</v>
      </c>
      <c r="H13">
        <f t="shared" si="0"/>
        <v>5183</v>
      </c>
      <c r="I13" s="6">
        <f t="shared" si="1"/>
        <v>12</v>
      </c>
      <c r="J13" s="99">
        <v>14</v>
      </c>
      <c r="K13" s="62"/>
      <c r="L13" s="6">
        <f t="shared" si="6"/>
        <v>13.999999999999998</v>
      </c>
      <c r="M13" s="6">
        <f t="shared" si="7"/>
        <v>12</v>
      </c>
      <c r="N13" s="71"/>
      <c r="O13" t="e">
        <f t="shared" si="3"/>
        <v>#DIV/0!</v>
      </c>
      <c r="P13" s="71"/>
      <c r="Q13" t="e">
        <f t="shared" si="4"/>
        <v>#DIV/0!</v>
      </c>
      <c r="R13" s="71"/>
      <c r="S13" s="6" t="e">
        <f t="shared" si="5"/>
        <v>#DIV/0!</v>
      </c>
    </row>
    <row r="14" spans="1:19" x14ac:dyDescent="0.2">
      <c r="A14" s="36" t="s">
        <v>94</v>
      </c>
      <c r="B14" s="6" t="s">
        <v>151</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2">
      <c r="A15" s="36" t="s">
        <v>94</v>
      </c>
      <c r="B15" s="6" t="s">
        <v>152</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2">
      <c r="A16" s="36" t="s">
        <v>94</v>
      </c>
      <c r="B16" s="6" t="s">
        <v>153</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2">
      <c r="A17" s="36" t="s">
        <v>94</v>
      </c>
      <c r="B17" s="6" t="s">
        <v>154</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2">
      <c r="A18" s="36" t="s">
        <v>94</v>
      </c>
      <c r="B18" s="6" t="s">
        <v>155</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2">
      <c r="A19" s="36" t="s">
        <v>94</v>
      </c>
      <c r="B19" s="6" t="s">
        <v>156</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v>3</v>
      </c>
      <c r="O19">
        <f t="shared" si="3"/>
        <v>1</v>
      </c>
      <c r="P19" s="71">
        <v>3</v>
      </c>
      <c r="Q19">
        <f t="shared" si="4"/>
        <v>0.33333333333333331</v>
      </c>
      <c r="R19" s="71">
        <v>1</v>
      </c>
      <c r="S19" s="6">
        <f t="shared" si="5"/>
        <v>0.33333333333333331</v>
      </c>
    </row>
    <row r="20" spans="1:19" x14ac:dyDescent="0.2">
      <c r="A20" s="36" t="s">
        <v>94</v>
      </c>
      <c r="B20" s="6" t="s">
        <v>157</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2">
      <c r="A21" s="36" t="s">
        <v>94</v>
      </c>
      <c r="B21" s="6" t="s">
        <v>158</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2">
      <c r="A22" s="36" t="s">
        <v>94</v>
      </c>
      <c r="B22" s="6" t="s">
        <v>159</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2">
      <c r="A23" s="36" t="s">
        <v>94</v>
      </c>
      <c r="B23" s="6" t="s">
        <v>160</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2">
      <c r="A24" s="36" t="s">
        <v>94</v>
      </c>
      <c r="B24" s="6" t="s">
        <v>161</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2">
      <c r="A25" s="36" t="s">
        <v>94</v>
      </c>
      <c r="B25" s="6" t="s">
        <v>162</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2">
      <c r="A26" s="36" t="s">
        <v>55</v>
      </c>
      <c r="B26" s="6" t="s">
        <v>151</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2">
      <c r="A27" s="36" t="s">
        <v>55</v>
      </c>
      <c r="B27" s="6" t="s">
        <v>152</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2">
      <c r="A28" s="36" t="s">
        <v>55</v>
      </c>
      <c r="B28" s="6" t="s">
        <v>153</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2">
      <c r="A29" s="36" t="s">
        <v>55</v>
      </c>
      <c r="B29" s="6" t="s">
        <v>154</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2">
      <c r="A30" s="36" t="s">
        <v>55</v>
      </c>
      <c r="B30" s="6" t="s">
        <v>155</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2</v>
      </c>
      <c r="O30">
        <f t="shared" si="3"/>
        <v>0</v>
      </c>
      <c r="P30" s="71">
        <v>0</v>
      </c>
      <c r="Q30" t="e">
        <f t="shared" si="4"/>
        <v>#DIV/0!</v>
      </c>
      <c r="R30" s="71">
        <v>0</v>
      </c>
      <c r="S30" s="6">
        <f t="shared" si="5"/>
        <v>0</v>
      </c>
    </row>
    <row r="31" spans="1:19" x14ac:dyDescent="0.2">
      <c r="A31" s="36" t="s">
        <v>55</v>
      </c>
      <c r="B31" s="6" t="s">
        <v>156</v>
      </c>
      <c r="C31" s="71">
        <v>19817.25</v>
      </c>
      <c r="D31" s="6">
        <f>(C31/12)*6</f>
        <v>9908.625</v>
      </c>
      <c r="E31" s="62">
        <v>300</v>
      </c>
      <c r="F31" s="6">
        <f>SUM(E26:E31)</f>
        <v>6118.08</v>
      </c>
      <c r="G31" s="35" t="str">
        <f t="shared" si="2"/>
        <v>Farol Vermelho</v>
      </c>
      <c r="H31">
        <f t="shared" si="0"/>
        <v>3790.5450000000001</v>
      </c>
      <c r="I31" s="6">
        <f t="shared" si="1"/>
        <v>6</v>
      </c>
      <c r="J31" s="99">
        <v>9</v>
      </c>
      <c r="K31" s="62">
        <v>1</v>
      </c>
      <c r="L31" s="6">
        <f>$L26+L30</f>
        <v>4.5</v>
      </c>
      <c r="M31" s="6">
        <f t="shared" si="9"/>
        <v>5</v>
      </c>
      <c r="N31" s="71">
        <v>4</v>
      </c>
      <c r="O31">
        <f t="shared" si="3"/>
        <v>1</v>
      </c>
      <c r="P31" s="71">
        <v>4</v>
      </c>
      <c r="Q31">
        <f t="shared" si="4"/>
        <v>0.25</v>
      </c>
      <c r="R31" s="71">
        <v>1</v>
      </c>
      <c r="S31" s="6">
        <f t="shared" si="5"/>
        <v>0.25</v>
      </c>
    </row>
    <row r="32" spans="1:19" x14ac:dyDescent="0.2">
      <c r="A32" s="36" t="s">
        <v>55</v>
      </c>
      <c r="B32" s="6" t="s">
        <v>157</v>
      </c>
      <c r="C32" s="71">
        <v>19817.25</v>
      </c>
      <c r="D32" s="6">
        <f>(C32/12)*7</f>
        <v>11560.0625</v>
      </c>
      <c r="E32" s="62">
        <v>14140</v>
      </c>
      <c r="F32" s="6">
        <f>SUM(E26:E32)</f>
        <v>20258.080000000002</v>
      </c>
      <c r="G32" s="35" t="str">
        <f t="shared" si="2"/>
        <v>Farol Verde</v>
      </c>
      <c r="H32">
        <f t="shared" si="0"/>
        <v>0</v>
      </c>
      <c r="I32" s="6">
        <f t="shared" si="1"/>
        <v>7</v>
      </c>
      <c r="J32" s="99">
        <v>9</v>
      </c>
      <c r="K32" s="62">
        <v>5</v>
      </c>
      <c r="L32" s="6">
        <f>$L26+L31</f>
        <v>5.25</v>
      </c>
      <c r="M32" s="6">
        <f t="shared" si="9"/>
        <v>10</v>
      </c>
      <c r="N32" s="71"/>
      <c r="O32" t="e">
        <f t="shared" si="3"/>
        <v>#DIV/0!</v>
      </c>
      <c r="P32" s="71"/>
      <c r="Q32" t="e">
        <f t="shared" si="4"/>
        <v>#DIV/0!</v>
      </c>
      <c r="R32" s="71"/>
      <c r="S32" s="6" t="e">
        <f t="shared" si="5"/>
        <v>#DIV/0!</v>
      </c>
    </row>
    <row r="33" spans="1:19" x14ac:dyDescent="0.2">
      <c r="A33" s="36" t="s">
        <v>55</v>
      </c>
      <c r="B33" s="6" t="s">
        <v>158</v>
      </c>
      <c r="C33" s="71">
        <v>19817.25</v>
      </c>
      <c r="D33" s="6">
        <f>(C33/12)*8</f>
        <v>13211.5</v>
      </c>
      <c r="E33" s="62">
        <v>0</v>
      </c>
      <c r="F33" s="6">
        <f>SUM(E26:E33)</f>
        <v>20258.080000000002</v>
      </c>
      <c r="G33" s="35" t="str">
        <f t="shared" si="2"/>
        <v>Farol Verde</v>
      </c>
      <c r="H33">
        <f t="shared" si="0"/>
        <v>0</v>
      </c>
      <c r="I33" s="6">
        <f t="shared" si="1"/>
        <v>8</v>
      </c>
      <c r="J33" s="99">
        <v>9</v>
      </c>
      <c r="K33" s="62"/>
      <c r="L33" s="6">
        <f>L26+L32</f>
        <v>6</v>
      </c>
      <c r="M33" s="6">
        <f t="shared" si="9"/>
        <v>10</v>
      </c>
      <c r="N33" s="71"/>
      <c r="O33" t="e">
        <f t="shared" si="3"/>
        <v>#DIV/0!</v>
      </c>
      <c r="P33" s="71"/>
      <c r="Q33" t="e">
        <f t="shared" si="4"/>
        <v>#DIV/0!</v>
      </c>
      <c r="R33" s="71"/>
      <c r="S33" s="6" t="e">
        <f t="shared" si="5"/>
        <v>#DIV/0!</v>
      </c>
    </row>
    <row r="34" spans="1:19" x14ac:dyDescent="0.2">
      <c r="A34" s="36" t="s">
        <v>55</v>
      </c>
      <c r="B34" s="6" t="s">
        <v>159</v>
      </c>
      <c r="C34" s="71">
        <v>19817.25</v>
      </c>
      <c r="D34" s="6">
        <f>(C34/12)*9</f>
        <v>14862.9375</v>
      </c>
      <c r="E34" s="62">
        <v>0</v>
      </c>
      <c r="F34" s="6">
        <f>SUM(E26:E34)</f>
        <v>20258.080000000002</v>
      </c>
      <c r="G34" s="35" t="str">
        <f t="shared" si="2"/>
        <v>Farol Verde</v>
      </c>
      <c r="H34">
        <f t="shared" si="0"/>
        <v>0</v>
      </c>
      <c r="I34" s="6">
        <f t="shared" si="1"/>
        <v>9</v>
      </c>
      <c r="J34" s="99">
        <v>9</v>
      </c>
      <c r="K34" s="62"/>
      <c r="L34" s="6">
        <f>$L26+L33</f>
        <v>6.75</v>
      </c>
      <c r="M34" s="6">
        <f t="shared" si="9"/>
        <v>10</v>
      </c>
      <c r="N34" s="71"/>
      <c r="O34" t="e">
        <f t="shared" si="3"/>
        <v>#DIV/0!</v>
      </c>
      <c r="P34" s="71"/>
      <c r="Q34" t="e">
        <f t="shared" si="4"/>
        <v>#DIV/0!</v>
      </c>
      <c r="R34" s="71"/>
      <c r="S34" s="6" t="e">
        <f t="shared" si="5"/>
        <v>#DIV/0!</v>
      </c>
    </row>
    <row r="35" spans="1:19" x14ac:dyDescent="0.2">
      <c r="A35" s="36" t="s">
        <v>55</v>
      </c>
      <c r="B35" s="6" t="s">
        <v>160</v>
      </c>
      <c r="C35" s="71">
        <v>19817.25</v>
      </c>
      <c r="D35" s="6">
        <f>(C35/12)*10</f>
        <v>16514.375</v>
      </c>
      <c r="E35" s="62">
        <v>0</v>
      </c>
      <c r="F35" s="6">
        <f>SUM(E26:E35)</f>
        <v>20258.080000000002</v>
      </c>
      <c r="G35" s="35" t="str">
        <f t="shared" si="2"/>
        <v>Farol Verde</v>
      </c>
      <c r="H35">
        <f t="shared" si="0"/>
        <v>0</v>
      </c>
      <c r="I35" s="6">
        <f t="shared" si="1"/>
        <v>10</v>
      </c>
      <c r="J35" s="99">
        <v>9</v>
      </c>
      <c r="K35" s="62"/>
      <c r="L35" s="6">
        <f>$L26+L34</f>
        <v>7.5</v>
      </c>
      <c r="M35" s="6">
        <f t="shared" si="9"/>
        <v>10</v>
      </c>
      <c r="N35" s="71"/>
      <c r="O35" t="e">
        <f t="shared" si="3"/>
        <v>#DIV/0!</v>
      </c>
      <c r="P35" s="71"/>
      <c r="Q35" t="e">
        <f t="shared" si="4"/>
        <v>#DIV/0!</v>
      </c>
      <c r="R35" s="71"/>
      <c r="S35" s="6" t="e">
        <f t="shared" si="5"/>
        <v>#DIV/0!</v>
      </c>
    </row>
    <row r="36" spans="1:19" x14ac:dyDescent="0.2">
      <c r="A36" s="36" t="s">
        <v>55</v>
      </c>
      <c r="B36" s="6" t="s">
        <v>161</v>
      </c>
      <c r="C36" s="71">
        <v>19817.25</v>
      </c>
      <c r="D36" s="6">
        <f>(C36/12)*11</f>
        <v>18165.8125</v>
      </c>
      <c r="E36" s="62">
        <v>0</v>
      </c>
      <c r="F36" s="6">
        <f>SUM(E26:E36)</f>
        <v>20258.080000000002</v>
      </c>
      <c r="G36" s="35" t="str">
        <f t="shared" si="2"/>
        <v>Farol Verde</v>
      </c>
      <c r="H36">
        <f t="shared" si="0"/>
        <v>0</v>
      </c>
      <c r="I36" s="6">
        <f t="shared" si="1"/>
        <v>11</v>
      </c>
      <c r="J36" s="99">
        <v>9</v>
      </c>
      <c r="K36" s="62"/>
      <c r="L36" s="6">
        <f>L26+L35</f>
        <v>8.25</v>
      </c>
      <c r="M36" s="6">
        <f t="shared" si="9"/>
        <v>10</v>
      </c>
      <c r="N36" s="71"/>
      <c r="O36" t="e">
        <f t="shared" si="3"/>
        <v>#DIV/0!</v>
      </c>
      <c r="P36" s="71"/>
      <c r="Q36" t="e">
        <f t="shared" si="4"/>
        <v>#DIV/0!</v>
      </c>
      <c r="R36" s="71"/>
      <c r="S36" s="6" t="e">
        <f t="shared" si="5"/>
        <v>#DIV/0!</v>
      </c>
    </row>
    <row r="37" spans="1:19" x14ac:dyDescent="0.2">
      <c r="A37" s="36" t="s">
        <v>55</v>
      </c>
      <c r="B37" s="6" t="s">
        <v>162</v>
      </c>
      <c r="C37" s="71">
        <v>19817.25</v>
      </c>
      <c r="D37" s="6">
        <f>(C37/12)*12</f>
        <v>19817.25</v>
      </c>
      <c r="E37" s="62">
        <v>0</v>
      </c>
      <c r="F37" s="6">
        <f>SUM(E26:E37)</f>
        <v>20258.080000000002</v>
      </c>
      <c r="G37" s="35" t="str">
        <f t="shared" si="2"/>
        <v>Farol Verde</v>
      </c>
      <c r="H37">
        <f t="shared" si="0"/>
        <v>0</v>
      </c>
      <c r="I37" s="6">
        <f t="shared" si="1"/>
        <v>12</v>
      </c>
      <c r="J37" s="99">
        <v>9</v>
      </c>
      <c r="K37" s="62"/>
      <c r="L37" s="6">
        <f>$L26+L36</f>
        <v>9</v>
      </c>
      <c r="M37" s="6">
        <f t="shared" si="9"/>
        <v>10</v>
      </c>
      <c r="N37" s="71"/>
      <c r="O37" t="e">
        <f t="shared" si="3"/>
        <v>#DIV/0!</v>
      </c>
      <c r="P37" s="71"/>
      <c r="Q37" t="e">
        <f t="shared" si="4"/>
        <v>#DIV/0!</v>
      </c>
      <c r="R37" s="71"/>
      <c r="S37" s="6" t="e">
        <f t="shared" si="5"/>
        <v>#DIV/0!</v>
      </c>
    </row>
    <row r="38" spans="1:19" x14ac:dyDescent="0.2">
      <c r="A38" s="36" t="s">
        <v>142</v>
      </c>
      <c r="B38" s="6" t="s">
        <v>151</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2">
      <c r="A39" s="36" t="s">
        <v>142</v>
      </c>
      <c r="B39" s="6" t="s">
        <v>152</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2">
      <c r="A40" s="36" t="s">
        <v>142</v>
      </c>
      <c r="B40" s="6" t="s">
        <v>153</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2">
      <c r="A41" s="36" t="s">
        <v>142</v>
      </c>
      <c r="B41" s="6" t="s">
        <v>154</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2">
      <c r="A42" s="36" t="s">
        <v>142</v>
      </c>
      <c r="B42" s="6" t="s">
        <v>155</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2">
      <c r="A43" s="36" t="s">
        <v>142</v>
      </c>
      <c r="B43" s="6" t="s">
        <v>156</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2">
      <c r="A44" s="36" t="s">
        <v>142</v>
      </c>
      <c r="B44" s="6" t="s">
        <v>157</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2">
      <c r="A45" s="36" t="s">
        <v>142</v>
      </c>
      <c r="B45" s="6" t="s">
        <v>158</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2">
      <c r="A46" s="36" t="s">
        <v>142</v>
      </c>
      <c r="B46" s="6" t="s">
        <v>159</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2">
      <c r="A47" s="36" t="s">
        <v>142</v>
      </c>
      <c r="B47" s="6" t="s">
        <v>160</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2">
      <c r="A48" s="36" t="s">
        <v>142</v>
      </c>
      <c r="B48" s="6" t="s">
        <v>161</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2">
      <c r="A49" s="36" t="s">
        <v>142</v>
      </c>
      <c r="B49" s="6" t="s">
        <v>162</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2">
      <c r="A50" s="36" t="s">
        <v>65</v>
      </c>
      <c r="B50" s="6" t="s">
        <v>151</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2">
      <c r="A51" s="36" t="s">
        <v>65</v>
      </c>
      <c r="B51" s="6" t="s">
        <v>152</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2">
      <c r="A52" s="36" t="s">
        <v>65</v>
      </c>
      <c r="B52" s="6" t="s">
        <v>153</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2">
      <c r="A53" s="36" t="s">
        <v>65</v>
      </c>
      <c r="B53" s="6" t="s">
        <v>154</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2">
      <c r="A54" s="36" t="s">
        <v>65</v>
      </c>
      <c r="B54" s="6" t="s">
        <v>155</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2">
      <c r="A55" s="36" t="s">
        <v>65</v>
      </c>
      <c r="B55" s="6" t="s">
        <v>156</v>
      </c>
      <c r="C55" s="71">
        <v>12000</v>
      </c>
      <c r="D55" s="6">
        <f>(C55/12)*6</f>
        <v>6000</v>
      </c>
      <c r="E55" s="62">
        <v>6644</v>
      </c>
      <c r="F55" s="6">
        <f>SUM(E50:E55)</f>
        <v>11844</v>
      </c>
      <c r="G55" s="35" t="str">
        <f t="shared" si="2"/>
        <v>Farol Verde</v>
      </c>
      <c r="H55">
        <f t="shared" si="0"/>
        <v>0</v>
      </c>
      <c r="I55" s="6">
        <f t="shared" si="1"/>
        <v>6</v>
      </c>
      <c r="J55" s="99">
        <v>12</v>
      </c>
      <c r="K55" s="62">
        <v>4</v>
      </c>
      <c r="L55" s="6">
        <f>$L50+L54</f>
        <v>6</v>
      </c>
      <c r="M55" s="6">
        <f t="shared" si="11"/>
        <v>8</v>
      </c>
      <c r="N55" s="71">
        <v>16</v>
      </c>
      <c r="O55">
        <f t="shared" si="3"/>
        <v>0.25</v>
      </c>
      <c r="P55" s="71">
        <v>4</v>
      </c>
      <c r="Q55">
        <f t="shared" si="4"/>
        <v>0.25</v>
      </c>
      <c r="R55" s="71">
        <v>1</v>
      </c>
      <c r="S55" s="6">
        <f t="shared" si="5"/>
        <v>6.25E-2</v>
      </c>
    </row>
    <row r="56" spans="1:19" x14ac:dyDescent="0.2">
      <c r="A56" s="36" t="s">
        <v>65</v>
      </c>
      <c r="B56" s="6" t="s">
        <v>157</v>
      </c>
      <c r="C56" s="71">
        <v>12000</v>
      </c>
      <c r="D56" s="6">
        <f>(C56/12)*7</f>
        <v>7000</v>
      </c>
      <c r="E56" s="62">
        <v>3447.9</v>
      </c>
      <c r="F56" s="6">
        <f>SUM(E50:E56)</f>
        <v>15291.9</v>
      </c>
      <c r="G56" s="35" t="str">
        <f t="shared" si="2"/>
        <v>Farol Verde</v>
      </c>
      <c r="H56">
        <f t="shared" si="0"/>
        <v>0</v>
      </c>
      <c r="I56" s="6">
        <f t="shared" si="1"/>
        <v>7</v>
      </c>
      <c r="J56" s="99">
        <v>12</v>
      </c>
      <c r="K56" s="62">
        <v>2</v>
      </c>
      <c r="L56" s="6">
        <f>$L50+L55</f>
        <v>7</v>
      </c>
      <c r="M56" s="6">
        <f t="shared" si="11"/>
        <v>10</v>
      </c>
      <c r="N56" s="71"/>
      <c r="O56" t="e">
        <f t="shared" si="3"/>
        <v>#DIV/0!</v>
      </c>
      <c r="P56" s="71"/>
      <c r="Q56" t="e">
        <f t="shared" si="4"/>
        <v>#DIV/0!</v>
      </c>
      <c r="R56" s="71"/>
      <c r="S56" s="6" t="e">
        <f t="shared" si="5"/>
        <v>#DIV/0!</v>
      </c>
    </row>
    <row r="57" spans="1:19" x14ac:dyDescent="0.2">
      <c r="A57" s="36" t="s">
        <v>65</v>
      </c>
      <c r="B57" s="6" t="s">
        <v>158</v>
      </c>
      <c r="C57" s="71">
        <v>12000</v>
      </c>
      <c r="D57" s="6">
        <f>(C57/12)*8</f>
        <v>8000</v>
      </c>
      <c r="E57" s="62">
        <v>0</v>
      </c>
      <c r="F57" s="6">
        <f>SUM(E50:E57)</f>
        <v>15291.9</v>
      </c>
      <c r="G57" s="35" t="str">
        <f t="shared" si="2"/>
        <v>Farol Verde</v>
      </c>
      <c r="H57">
        <f t="shared" si="0"/>
        <v>0</v>
      </c>
      <c r="I57" s="6">
        <f t="shared" si="1"/>
        <v>8</v>
      </c>
      <c r="J57" s="99">
        <v>12</v>
      </c>
      <c r="K57" s="62"/>
      <c r="L57" s="6">
        <f>L50+L56</f>
        <v>8</v>
      </c>
      <c r="M57" s="6">
        <f t="shared" si="11"/>
        <v>10</v>
      </c>
      <c r="N57" s="71"/>
      <c r="O57" t="e">
        <f t="shared" si="3"/>
        <v>#DIV/0!</v>
      </c>
      <c r="P57" s="71"/>
      <c r="Q57" t="e">
        <f t="shared" si="4"/>
        <v>#DIV/0!</v>
      </c>
      <c r="R57" s="71"/>
      <c r="S57" s="6" t="e">
        <f t="shared" si="5"/>
        <v>#DIV/0!</v>
      </c>
    </row>
    <row r="58" spans="1:19" x14ac:dyDescent="0.2">
      <c r="A58" s="36" t="s">
        <v>65</v>
      </c>
      <c r="B58" s="6" t="s">
        <v>159</v>
      </c>
      <c r="C58" s="71">
        <v>12000</v>
      </c>
      <c r="D58" s="6">
        <f>(C58/12)*9</f>
        <v>9000</v>
      </c>
      <c r="E58" s="62">
        <v>0</v>
      </c>
      <c r="F58" s="6">
        <f>SUM(E50:E58)</f>
        <v>15291.9</v>
      </c>
      <c r="G58" s="35" t="str">
        <f t="shared" si="2"/>
        <v>Farol Verde</v>
      </c>
      <c r="H58">
        <f t="shared" si="0"/>
        <v>0</v>
      </c>
      <c r="I58" s="6">
        <f t="shared" si="1"/>
        <v>9</v>
      </c>
      <c r="J58" s="99">
        <v>12</v>
      </c>
      <c r="K58" s="62"/>
      <c r="L58" s="6">
        <f>$L50+L57</f>
        <v>9</v>
      </c>
      <c r="M58" s="6">
        <f t="shared" si="11"/>
        <v>10</v>
      </c>
      <c r="N58" s="71"/>
      <c r="O58" t="e">
        <f t="shared" si="3"/>
        <v>#DIV/0!</v>
      </c>
      <c r="P58" s="71"/>
      <c r="Q58" t="e">
        <f t="shared" si="4"/>
        <v>#DIV/0!</v>
      </c>
      <c r="R58" s="71"/>
      <c r="S58" s="6" t="e">
        <f t="shared" si="5"/>
        <v>#DIV/0!</v>
      </c>
    </row>
    <row r="59" spans="1:19" x14ac:dyDescent="0.2">
      <c r="A59" s="36" t="s">
        <v>65</v>
      </c>
      <c r="B59" s="6" t="s">
        <v>160</v>
      </c>
      <c r="C59" s="71">
        <v>12000</v>
      </c>
      <c r="D59" s="6">
        <f>(C59/12)*10</f>
        <v>10000</v>
      </c>
      <c r="E59" s="62">
        <v>0</v>
      </c>
      <c r="F59" s="6">
        <f>SUM(E50:E59)</f>
        <v>15291.9</v>
      </c>
      <c r="G59" s="35" t="str">
        <f t="shared" si="2"/>
        <v>Farol Verde</v>
      </c>
      <c r="H59">
        <f t="shared" si="0"/>
        <v>0</v>
      </c>
      <c r="I59" s="6">
        <f t="shared" si="1"/>
        <v>10</v>
      </c>
      <c r="J59" s="99">
        <v>12</v>
      </c>
      <c r="K59" s="62"/>
      <c r="L59" s="6">
        <f>$L50+L58</f>
        <v>10</v>
      </c>
      <c r="M59" s="6">
        <f t="shared" si="11"/>
        <v>10</v>
      </c>
      <c r="N59" s="71"/>
      <c r="O59" t="e">
        <f t="shared" si="3"/>
        <v>#DIV/0!</v>
      </c>
      <c r="P59" s="71"/>
      <c r="Q59" t="e">
        <f t="shared" si="4"/>
        <v>#DIV/0!</v>
      </c>
      <c r="R59" s="71"/>
      <c r="S59" s="6" t="e">
        <f t="shared" si="5"/>
        <v>#DIV/0!</v>
      </c>
    </row>
    <row r="60" spans="1:19" x14ac:dyDescent="0.2">
      <c r="A60" s="36" t="s">
        <v>65</v>
      </c>
      <c r="B60" s="6" t="s">
        <v>161</v>
      </c>
      <c r="C60" s="71">
        <v>12000</v>
      </c>
      <c r="D60" s="6">
        <f>(C60/12)*11</f>
        <v>11000</v>
      </c>
      <c r="E60" s="62">
        <v>0</v>
      </c>
      <c r="F60" s="6">
        <f>SUM(E50:E60)</f>
        <v>15291.9</v>
      </c>
      <c r="G60" s="35" t="str">
        <f t="shared" si="2"/>
        <v>Farol Verde</v>
      </c>
      <c r="H60">
        <f t="shared" si="0"/>
        <v>0</v>
      </c>
      <c r="I60" s="6">
        <f t="shared" si="1"/>
        <v>11</v>
      </c>
      <c r="J60" s="99">
        <v>12</v>
      </c>
      <c r="K60" s="62"/>
      <c r="L60" s="6">
        <f>L50+L59</f>
        <v>11</v>
      </c>
      <c r="M60" s="6">
        <f t="shared" si="11"/>
        <v>10</v>
      </c>
      <c r="N60" s="71"/>
      <c r="O60" t="e">
        <f t="shared" si="3"/>
        <v>#DIV/0!</v>
      </c>
      <c r="P60" s="71"/>
      <c r="Q60" t="e">
        <f t="shared" si="4"/>
        <v>#DIV/0!</v>
      </c>
      <c r="R60" s="71"/>
      <c r="S60" s="6" t="e">
        <f t="shared" si="5"/>
        <v>#DIV/0!</v>
      </c>
    </row>
    <row r="61" spans="1:19" x14ac:dyDescent="0.2">
      <c r="A61" s="36" t="s">
        <v>65</v>
      </c>
      <c r="B61" s="6" t="s">
        <v>162</v>
      </c>
      <c r="C61" s="71">
        <v>12000</v>
      </c>
      <c r="D61" s="6">
        <f>(C61/12)*12</f>
        <v>12000</v>
      </c>
      <c r="E61" s="62">
        <v>0</v>
      </c>
      <c r="F61" s="6">
        <f>SUM(E50:E61)</f>
        <v>15291.9</v>
      </c>
      <c r="G61" s="35" t="str">
        <f t="shared" si="2"/>
        <v>Farol Verde</v>
      </c>
      <c r="H61">
        <f t="shared" si="0"/>
        <v>0</v>
      </c>
      <c r="I61" s="6">
        <f t="shared" si="1"/>
        <v>12</v>
      </c>
      <c r="J61" s="99">
        <v>12</v>
      </c>
      <c r="K61" s="62"/>
      <c r="L61" s="6">
        <f>$L50+L60</f>
        <v>12</v>
      </c>
      <c r="M61" s="6">
        <f t="shared" si="11"/>
        <v>10</v>
      </c>
      <c r="N61" s="71"/>
      <c r="O61" t="e">
        <f t="shared" si="3"/>
        <v>#DIV/0!</v>
      </c>
      <c r="P61" s="71"/>
      <c r="Q61" t="e">
        <f t="shared" si="4"/>
        <v>#DIV/0!</v>
      </c>
      <c r="R61" s="71"/>
      <c r="S61" s="6" t="e">
        <f t="shared" si="5"/>
        <v>#DIV/0!</v>
      </c>
    </row>
    <row r="62" spans="1:19" x14ac:dyDescent="0.2">
      <c r="A62" s="36" t="s">
        <v>41</v>
      </c>
      <c r="B62" s="6" t="s">
        <v>151</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2">
      <c r="A63" s="36" t="s">
        <v>41</v>
      </c>
      <c r="B63" s="6" t="s">
        <v>152</v>
      </c>
      <c r="C63" s="71">
        <v>65000</v>
      </c>
      <c r="D63" s="6">
        <f>(C63/12)*2</f>
        <v>10833.333333333334</v>
      </c>
      <c r="E63" s="62">
        <v>10105</v>
      </c>
      <c r="F63" s="6">
        <f>SUM(E62:E63)</f>
        <v>19120</v>
      </c>
      <c r="G63" s="35" t="str">
        <f t="shared" si="2"/>
        <v>Farol Verde</v>
      </c>
      <c r="H63">
        <f t="shared" si="0"/>
        <v>0</v>
      </c>
      <c r="I63" s="6">
        <f t="shared" si="1"/>
        <v>2</v>
      </c>
      <c r="J63" s="99">
        <v>710</v>
      </c>
      <c r="K63" s="62">
        <v>323</v>
      </c>
      <c r="L63" s="6">
        <f>L62+L62</f>
        <v>118.33333333333333</v>
      </c>
      <c r="M63" s="6">
        <f>M62+K63</f>
        <v>728</v>
      </c>
      <c r="N63" s="71">
        <v>0</v>
      </c>
      <c r="O63" t="e">
        <f t="shared" si="3"/>
        <v>#DIV/0!</v>
      </c>
      <c r="P63" s="71">
        <v>0</v>
      </c>
      <c r="Q63" t="e">
        <f t="shared" si="4"/>
        <v>#DIV/0!</v>
      </c>
      <c r="R63" s="71">
        <v>0</v>
      </c>
      <c r="S63" s="6" t="e">
        <f t="shared" si="5"/>
        <v>#DIV/0!</v>
      </c>
    </row>
    <row r="64" spans="1:19" x14ac:dyDescent="0.2">
      <c r="A64" s="36" t="s">
        <v>41</v>
      </c>
      <c r="B64" s="6" t="s">
        <v>153</v>
      </c>
      <c r="C64" s="71">
        <v>65000</v>
      </c>
      <c r="D64" s="6">
        <f>(C64/12)*3</f>
        <v>16250</v>
      </c>
      <c r="E64" s="62">
        <v>1200</v>
      </c>
      <c r="F64" s="6">
        <f>SUM(E62:E64)</f>
        <v>20320</v>
      </c>
      <c r="G64" s="35" t="str">
        <f t="shared" si="2"/>
        <v>Farol Verde</v>
      </c>
      <c r="H64">
        <f t="shared" si="0"/>
        <v>0</v>
      </c>
      <c r="I64" s="6">
        <f t="shared" si="1"/>
        <v>3</v>
      </c>
      <c r="J64" s="99">
        <v>710</v>
      </c>
      <c r="K64" s="62">
        <v>1</v>
      </c>
      <c r="L64" s="6">
        <f>$L62+L63</f>
        <v>177.5</v>
      </c>
      <c r="M64" s="6">
        <f t="shared" ref="M64:M73" si="12">M63+K64</f>
        <v>729</v>
      </c>
      <c r="N64" s="71">
        <v>0</v>
      </c>
      <c r="O64" t="e">
        <f t="shared" si="3"/>
        <v>#DIV/0!</v>
      </c>
      <c r="P64" s="71">
        <v>0</v>
      </c>
      <c r="Q64" t="e">
        <f t="shared" si="4"/>
        <v>#DIV/0!</v>
      </c>
      <c r="R64" s="71">
        <v>0</v>
      </c>
      <c r="S64" s="6" t="e">
        <f t="shared" si="5"/>
        <v>#DIV/0!</v>
      </c>
    </row>
    <row r="65" spans="1:19" x14ac:dyDescent="0.2">
      <c r="A65" s="36" t="s">
        <v>41</v>
      </c>
      <c r="B65" s="6" t="s">
        <v>154</v>
      </c>
      <c r="C65" s="71">
        <v>65000</v>
      </c>
      <c r="D65" s="6">
        <f>(C65/12)*4</f>
        <v>21666.666666666668</v>
      </c>
      <c r="E65" s="62">
        <v>4240</v>
      </c>
      <c r="F65" s="6">
        <f>SUM(E62:E65)</f>
        <v>24560</v>
      </c>
      <c r="G65" s="35" t="str">
        <f t="shared" si="2"/>
        <v>Farol Verde</v>
      </c>
      <c r="H65">
        <f t="shared" si="0"/>
        <v>0</v>
      </c>
      <c r="I65" s="6">
        <f t="shared" si="1"/>
        <v>4</v>
      </c>
      <c r="J65" s="99">
        <v>710</v>
      </c>
      <c r="K65" s="62">
        <v>4</v>
      </c>
      <c r="L65" s="6">
        <f>$L62+L64</f>
        <v>236.66666666666666</v>
      </c>
      <c r="M65" s="6">
        <f t="shared" si="12"/>
        <v>733</v>
      </c>
      <c r="N65" s="71">
        <v>0</v>
      </c>
      <c r="O65" t="e">
        <f t="shared" si="3"/>
        <v>#DIV/0!</v>
      </c>
      <c r="P65" s="71">
        <v>0</v>
      </c>
      <c r="Q65" t="e">
        <f t="shared" si="4"/>
        <v>#DIV/0!</v>
      </c>
      <c r="R65" s="71">
        <v>0</v>
      </c>
      <c r="S65" s="6" t="e">
        <f t="shared" si="5"/>
        <v>#DIV/0!</v>
      </c>
    </row>
    <row r="66" spans="1:19" x14ac:dyDescent="0.2">
      <c r="A66" s="36" t="s">
        <v>41</v>
      </c>
      <c r="B66" s="6" t="s">
        <v>155</v>
      </c>
      <c r="C66" s="71">
        <v>65000</v>
      </c>
      <c r="D66" s="6">
        <f>(C66/12)*5</f>
        <v>27083.333333333336</v>
      </c>
      <c r="E66" s="62">
        <v>5390</v>
      </c>
      <c r="F66" s="6">
        <f>SUM(E62:E66)</f>
        <v>29950</v>
      </c>
      <c r="G66" s="35" t="str">
        <f t="shared" si="2"/>
        <v>Farol Verde</v>
      </c>
      <c r="H66">
        <f t="shared" ref="H66:H141" si="13">IF(D66-F66&lt;0,0,D66-F66)</f>
        <v>0</v>
      </c>
      <c r="I66" s="6">
        <f t="shared" ref="I66:I141" si="14">_xlfn.IFS(B66="Janeiro",1,B66="Fevereiro",2,B66="Março",3,B66="Abril",4,B66="Maio",5,B66="Junho",6,B66="Julho",7,B66="Agosto",8,B66="Setembro",9,B66="Outubro",10,B66="Novembro",11,B66="Dezembro",12,TRUE,0)</f>
        <v>5</v>
      </c>
      <c r="J66" s="99">
        <v>710</v>
      </c>
      <c r="K66" s="62">
        <v>11</v>
      </c>
      <c r="L66" s="6">
        <f>L62+L65</f>
        <v>295.83333333333331</v>
      </c>
      <c r="M66" s="6">
        <f t="shared" si="12"/>
        <v>744</v>
      </c>
      <c r="N66" s="71">
        <v>0</v>
      </c>
      <c r="O66" t="e">
        <f t="shared" si="3"/>
        <v>#DIV/0!</v>
      </c>
      <c r="P66" s="71">
        <v>0</v>
      </c>
      <c r="Q66" t="e">
        <f t="shared" si="4"/>
        <v>#DIV/0!</v>
      </c>
      <c r="R66" s="71">
        <v>0</v>
      </c>
      <c r="S66" s="6" t="e">
        <f t="shared" si="5"/>
        <v>#DIV/0!</v>
      </c>
    </row>
    <row r="67" spans="1:19" x14ac:dyDescent="0.2">
      <c r="A67" s="36" t="s">
        <v>41</v>
      </c>
      <c r="B67" s="6" t="s">
        <v>156</v>
      </c>
      <c r="C67" s="71">
        <v>65000</v>
      </c>
      <c r="D67" s="6">
        <f>(C67/12)*6</f>
        <v>32500</v>
      </c>
      <c r="E67" s="62">
        <v>4865</v>
      </c>
      <c r="F67" s="6">
        <f>SUM(E62:E67)</f>
        <v>34815</v>
      </c>
      <c r="G67" s="35" t="str">
        <f t="shared" ref="G67:G142" si="15">_xlfn.IFS(F67&gt;D67,"Farol Verde",F67&gt;=D67*0.85,"Farol Amarelo",F67&lt;D67*0.85,"Farol Vermelho","Verdadeiro",0)</f>
        <v>Farol Verde</v>
      </c>
      <c r="H67">
        <f t="shared" si="13"/>
        <v>0</v>
      </c>
      <c r="I67" s="6">
        <f t="shared" si="14"/>
        <v>6</v>
      </c>
      <c r="J67" s="99">
        <v>710</v>
      </c>
      <c r="K67" s="62">
        <v>11</v>
      </c>
      <c r="L67" s="6">
        <f>$L62+L66</f>
        <v>355</v>
      </c>
      <c r="M67" s="6">
        <f t="shared" si="12"/>
        <v>755</v>
      </c>
      <c r="N67" s="71"/>
      <c r="O67" t="e">
        <f t="shared" ref="O67:O142" si="16">P67/N67</f>
        <v>#DIV/0!</v>
      </c>
      <c r="P67" s="71"/>
      <c r="Q67" t="e">
        <f t="shared" ref="Q67:Q142" si="17">R67/P67</f>
        <v>#DIV/0!</v>
      </c>
      <c r="R67" s="71"/>
      <c r="S67" s="6" t="e">
        <f t="shared" ref="S67:S142" si="18">R67/N67</f>
        <v>#DIV/0!</v>
      </c>
    </row>
    <row r="68" spans="1:19" x14ac:dyDescent="0.2">
      <c r="A68" s="36" t="s">
        <v>41</v>
      </c>
      <c r="B68" s="6" t="s">
        <v>157</v>
      </c>
      <c r="C68" s="71">
        <v>65000</v>
      </c>
      <c r="D68" s="6">
        <f>(C68/12)*7</f>
        <v>37916.666666666672</v>
      </c>
      <c r="E68" s="62">
        <v>4111.3999999999996</v>
      </c>
      <c r="F68" s="6">
        <f>SUM(E62:E68)</f>
        <v>38926.400000000001</v>
      </c>
      <c r="G68" s="35" t="str">
        <f t="shared" si="15"/>
        <v>Farol Verde</v>
      </c>
      <c r="H68">
        <f t="shared" si="13"/>
        <v>0</v>
      </c>
      <c r="I68" s="6">
        <f t="shared" si="14"/>
        <v>7</v>
      </c>
      <c r="J68" s="99">
        <v>710</v>
      </c>
      <c r="K68" s="62">
        <v>10</v>
      </c>
      <c r="L68" s="6">
        <f>$L62+L67</f>
        <v>414.16666666666669</v>
      </c>
      <c r="M68" s="6">
        <f t="shared" si="12"/>
        <v>765</v>
      </c>
      <c r="N68" s="71"/>
      <c r="O68" t="e">
        <f t="shared" si="16"/>
        <v>#DIV/0!</v>
      </c>
      <c r="P68" s="71"/>
      <c r="Q68" t="e">
        <f t="shared" si="17"/>
        <v>#DIV/0!</v>
      </c>
      <c r="R68" s="71"/>
      <c r="S68" s="6" t="e">
        <f t="shared" si="18"/>
        <v>#DIV/0!</v>
      </c>
    </row>
    <row r="69" spans="1:19" x14ac:dyDescent="0.2">
      <c r="A69" s="36" t="s">
        <v>41</v>
      </c>
      <c r="B69" s="6" t="s">
        <v>158</v>
      </c>
      <c r="C69" s="71">
        <v>65000</v>
      </c>
      <c r="D69" s="6">
        <f>(C69/12)*8</f>
        <v>43333.333333333336</v>
      </c>
      <c r="E69" s="62">
        <v>0</v>
      </c>
      <c r="F69" s="6">
        <f>SUM(E62:E69)</f>
        <v>38926.400000000001</v>
      </c>
      <c r="G69" s="35" t="str">
        <f t="shared" si="15"/>
        <v>Farol Amarelo</v>
      </c>
      <c r="H69">
        <f t="shared" si="13"/>
        <v>4406.9333333333343</v>
      </c>
      <c r="I69" s="6">
        <f t="shared" si="14"/>
        <v>8</v>
      </c>
      <c r="J69" s="99">
        <v>710</v>
      </c>
      <c r="K69" s="62"/>
      <c r="L69" s="6">
        <f>L62+L68</f>
        <v>473.33333333333337</v>
      </c>
      <c r="M69" s="6">
        <f t="shared" si="12"/>
        <v>765</v>
      </c>
      <c r="N69" s="71"/>
      <c r="O69" t="e">
        <f t="shared" si="16"/>
        <v>#DIV/0!</v>
      </c>
      <c r="P69" s="71"/>
      <c r="Q69" t="e">
        <f t="shared" si="17"/>
        <v>#DIV/0!</v>
      </c>
      <c r="R69" s="71"/>
      <c r="S69" s="6" t="e">
        <f t="shared" si="18"/>
        <v>#DIV/0!</v>
      </c>
    </row>
    <row r="70" spans="1:19" x14ac:dyDescent="0.2">
      <c r="A70" s="36" t="s">
        <v>41</v>
      </c>
      <c r="B70" s="6" t="s">
        <v>159</v>
      </c>
      <c r="C70" s="71">
        <v>65000</v>
      </c>
      <c r="D70" s="6">
        <f>(C70/12)*9</f>
        <v>48750</v>
      </c>
      <c r="E70" s="62">
        <v>0</v>
      </c>
      <c r="F70" s="6">
        <f>SUM(E62:E70)</f>
        <v>38926.400000000001</v>
      </c>
      <c r="G70" s="35" t="str">
        <f t="shared" si="15"/>
        <v>Farol Vermelho</v>
      </c>
      <c r="H70">
        <f t="shared" si="13"/>
        <v>9823.5999999999985</v>
      </c>
      <c r="I70" s="6">
        <f t="shared" si="14"/>
        <v>9</v>
      </c>
      <c r="J70" s="99">
        <v>710</v>
      </c>
      <c r="K70" s="62"/>
      <c r="L70" s="6">
        <f>$L62+L69</f>
        <v>532.5</v>
      </c>
      <c r="M70" s="6">
        <f t="shared" si="12"/>
        <v>765</v>
      </c>
      <c r="N70" s="71"/>
      <c r="O70" t="e">
        <f t="shared" si="16"/>
        <v>#DIV/0!</v>
      </c>
      <c r="P70" s="71"/>
      <c r="Q70" t="e">
        <f t="shared" si="17"/>
        <v>#DIV/0!</v>
      </c>
      <c r="R70" s="71"/>
      <c r="S70" s="6" t="e">
        <f t="shared" si="18"/>
        <v>#DIV/0!</v>
      </c>
    </row>
    <row r="71" spans="1:19" x14ac:dyDescent="0.2">
      <c r="A71" s="36" t="s">
        <v>41</v>
      </c>
      <c r="B71" s="6" t="s">
        <v>160</v>
      </c>
      <c r="C71" s="71">
        <v>65000</v>
      </c>
      <c r="D71" s="6">
        <f>(C71/12)*10</f>
        <v>54166.666666666672</v>
      </c>
      <c r="E71" s="62">
        <v>0</v>
      </c>
      <c r="F71" s="6">
        <f>SUM(E62:E71)</f>
        <v>38926.400000000001</v>
      </c>
      <c r="G71" s="35" t="str">
        <f t="shared" si="15"/>
        <v>Farol Vermelho</v>
      </c>
      <c r="H71">
        <f t="shared" si="13"/>
        <v>15240.26666666667</v>
      </c>
      <c r="I71" s="6">
        <f t="shared" si="14"/>
        <v>10</v>
      </c>
      <c r="J71" s="99">
        <v>710</v>
      </c>
      <c r="K71" s="62"/>
      <c r="L71" s="6">
        <f>$L62+L70</f>
        <v>591.66666666666663</v>
      </c>
      <c r="M71" s="6">
        <f t="shared" si="12"/>
        <v>765</v>
      </c>
      <c r="N71" s="71"/>
      <c r="O71" t="e">
        <f t="shared" si="16"/>
        <v>#DIV/0!</v>
      </c>
      <c r="P71" s="71"/>
      <c r="Q71" t="e">
        <f t="shared" si="17"/>
        <v>#DIV/0!</v>
      </c>
      <c r="R71" s="71"/>
      <c r="S71" s="6" t="e">
        <f t="shared" si="18"/>
        <v>#DIV/0!</v>
      </c>
    </row>
    <row r="72" spans="1:19" x14ac:dyDescent="0.2">
      <c r="A72" s="36" t="s">
        <v>41</v>
      </c>
      <c r="B72" s="6" t="s">
        <v>161</v>
      </c>
      <c r="C72" s="71">
        <v>65000</v>
      </c>
      <c r="D72" s="6">
        <f>(C72/12)*11</f>
        <v>59583.333333333336</v>
      </c>
      <c r="E72" s="62">
        <v>0</v>
      </c>
      <c r="F72" s="6">
        <f>SUM(E62:E72)</f>
        <v>38926.400000000001</v>
      </c>
      <c r="G72" s="35" t="str">
        <f t="shared" si="15"/>
        <v>Farol Vermelho</v>
      </c>
      <c r="H72">
        <f t="shared" si="13"/>
        <v>20656.933333333334</v>
      </c>
      <c r="I72" s="6">
        <f t="shared" si="14"/>
        <v>11</v>
      </c>
      <c r="J72" s="99">
        <v>710</v>
      </c>
      <c r="K72" s="62"/>
      <c r="L72" s="6">
        <f>L62+L71</f>
        <v>650.83333333333326</v>
      </c>
      <c r="M72" s="6">
        <f t="shared" si="12"/>
        <v>765</v>
      </c>
      <c r="N72" s="71"/>
      <c r="O72" t="e">
        <f t="shared" si="16"/>
        <v>#DIV/0!</v>
      </c>
      <c r="P72" s="71"/>
      <c r="Q72" t="e">
        <f t="shared" si="17"/>
        <v>#DIV/0!</v>
      </c>
      <c r="R72" s="71"/>
      <c r="S72" s="6" t="e">
        <f t="shared" si="18"/>
        <v>#DIV/0!</v>
      </c>
    </row>
    <row r="73" spans="1:19" x14ac:dyDescent="0.2">
      <c r="A73" s="36" t="s">
        <v>41</v>
      </c>
      <c r="B73" s="6" t="s">
        <v>162</v>
      </c>
      <c r="C73" s="71">
        <v>65000</v>
      </c>
      <c r="D73" s="6">
        <f>(C73/12)*12</f>
        <v>65000</v>
      </c>
      <c r="E73" s="62">
        <v>0</v>
      </c>
      <c r="F73" s="6">
        <f>SUM(E62:E73)</f>
        <v>38926.400000000001</v>
      </c>
      <c r="G73" s="35" t="str">
        <f t="shared" si="15"/>
        <v>Farol Vermelho</v>
      </c>
      <c r="H73">
        <f t="shared" si="13"/>
        <v>26073.599999999999</v>
      </c>
      <c r="I73" s="6">
        <f t="shared" si="14"/>
        <v>12</v>
      </c>
      <c r="J73" s="99">
        <v>710</v>
      </c>
      <c r="K73" s="62"/>
      <c r="L73" s="6">
        <f>$L62+L72</f>
        <v>709.99999999999989</v>
      </c>
      <c r="M73" s="6">
        <f t="shared" si="12"/>
        <v>765</v>
      </c>
      <c r="N73" s="71"/>
      <c r="O73" t="e">
        <f t="shared" si="16"/>
        <v>#DIV/0!</v>
      </c>
      <c r="P73" s="71"/>
      <c r="Q73" t="e">
        <f t="shared" si="17"/>
        <v>#DIV/0!</v>
      </c>
      <c r="R73" s="71"/>
      <c r="S73" s="6" t="e">
        <f t="shared" si="18"/>
        <v>#DIV/0!</v>
      </c>
    </row>
    <row r="74" spans="1:19" x14ac:dyDescent="0.2">
      <c r="A74" s="36" t="s">
        <v>62</v>
      </c>
      <c r="B74" s="6" t="s">
        <v>151</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2">
      <c r="A75" s="36" t="s">
        <v>62</v>
      </c>
      <c r="B75" s="6" t="s">
        <v>152</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2">
      <c r="A76" s="36" t="s">
        <v>62</v>
      </c>
      <c r="B76" s="6" t="s">
        <v>153</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2">
      <c r="A77" s="36" t="s">
        <v>62</v>
      </c>
      <c r="B77" s="6" t="s">
        <v>154</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2">
      <c r="A78" s="36" t="s">
        <v>62</v>
      </c>
      <c r="B78" s="6" t="s">
        <v>155</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2">
      <c r="A79" s="36" t="s">
        <v>62</v>
      </c>
      <c r="B79" s="6" t="s">
        <v>156</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v>5</v>
      </c>
      <c r="O79">
        <f t="shared" si="16"/>
        <v>0</v>
      </c>
      <c r="P79" s="71">
        <v>0</v>
      </c>
      <c r="Q79" t="e">
        <f t="shared" si="17"/>
        <v>#DIV/0!</v>
      </c>
      <c r="R79" s="71">
        <v>0</v>
      </c>
      <c r="S79" s="6">
        <f t="shared" si="18"/>
        <v>0</v>
      </c>
    </row>
    <row r="80" spans="1:19" x14ac:dyDescent="0.2">
      <c r="A80" s="36" t="s">
        <v>62</v>
      </c>
      <c r="B80" s="6" t="s">
        <v>157</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2">
      <c r="A81" s="36" t="s">
        <v>62</v>
      </c>
      <c r="B81" s="6" t="s">
        <v>158</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2">
      <c r="A82" s="36" t="s">
        <v>62</v>
      </c>
      <c r="B82" s="6" t="s">
        <v>159</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2">
      <c r="A83" s="36" t="s">
        <v>62</v>
      </c>
      <c r="B83" s="6" t="s">
        <v>160</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2">
      <c r="A84" s="36" t="s">
        <v>62</v>
      </c>
      <c r="B84" s="6" t="s">
        <v>161</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2">
      <c r="A85" s="36" t="s">
        <v>62</v>
      </c>
      <c r="B85" s="6" t="s">
        <v>162</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2">
      <c r="A86" s="36" t="s">
        <v>114</v>
      </c>
      <c r="B86" s="6" t="s">
        <v>151</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2">
      <c r="A87" s="36" t="s">
        <v>114</v>
      </c>
      <c r="B87" s="6" t="s">
        <v>152</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2">
      <c r="A88" s="36" t="s">
        <v>114</v>
      </c>
      <c r="B88" s="6" t="s">
        <v>153</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2">
      <c r="A89" s="36" t="s">
        <v>114</v>
      </c>
      <c r="B89" s="6" t="s">
        <v>154</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2">
      <c r="A90" s="36" t="s">
        <v>114</v>
      </c>
      <c r="B90" s="6" t="s">
        <v>155</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2">
      <c r="A91" s="36" t="s">
        <v>114</v>
      </c>
      <c r="B91" s="6" t="s">
        <v>156</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v>99</v>
      </c>
      <c r="O91">
        <f t="shared" si="16"/>
        <v>0.20202020202020202</v>
      </c>
      <c r="P91" s="71">
        <v>20</v>
      </c>
      <c r="Q91">
        <f t="shared" si="17"/>
        <v>0.25</v>
      </c>
      <c r="R91" s="71">
        <v>5</v>
      </c>
      <c r="S91" s="6">
        <f t="shared" si="18"/>
        <v>5.0505050505050504E-2</v>
      </c>
    </row>
    <row r="92" spans="1:19" x14ac:dyDescent="0.2">
      <c r="A92" s="36" t="s">
        <v>114</v>
      </c>
      <c r="B92" s="6" t="s">
        <v>157</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2">
      <c r="A93" s="36" t="s">
        <v>114</v>
      </c>
      <c r="B93" s="6" t="s">
        <v>158</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2">
      <c r="A94" s="36" t="s">
        <v>114</v>
      </c>
      <c r="B94" s="6" t="s">
        <v>159</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2">
      <c r="A95" s="36" t="s">
        <v>114</v>
      </c>
      <c r="B95" s="6" t="s">
        <v>160</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2">
      <c r="A96" s="36" t="s">
        <v>114</v>
      </c>
      <c r="B96" s="6" t="s">
        <v>161</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2">
      <c r="A97" s="36" t="s">
        <v>114</v>
      </c>
      <c r="B97" s="6" t="s">
        <v>162</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2">
      <c r="A98" s="36" t="s">
        <v>47</v>
      </c>
      <c r="B98" s="6" t="s">
        <v>151</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2">
      <c r="A99" s="36" t="s">
        <v>47</v>
      </c>
      <c r="B99" s="6" t="s">
        <v>152</v>
      </c>
      <c r="C99" s="71">
        <v>27305.1</v>
      </c>
      <c r="D99" s="6">
        <f>(C99/12)*2</f>
        <v>4550.8499999999995</v>
      </c>
      <c r="E99" s="62">
        <v>3493</v>
      </c>
      <c r="F99" s="6">
        <f>SUM(E98:E99)</f>
        <v>6373</v>
      </c>
      <c r="G99" s="35" t="str">
        <f t="shared" si="15"/>
        <v>Farol Verde</v>
      </c>
      <c r="H99">
        <f t="shared" si="13"/>
        <v>0</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2">
      <c r="A100" s="36" t="s">
        <v>47</v>
      </c>
      <c r="B100" s="6" t="s">
        <v>153</v>
      </c>
      <c r="C100" s="71">
        <v>27305.1</v>
      </c>
      <c r="D100" s="6">
        <f>(C100/12)*3</f>
        <v>6826.2749999999996</v>
      </c>
      <c r="E100" s="62">
        <v>240</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2">
      <c r="A101" s="36" t="s">
        <v>47</v>
      </c>
      <c r="B101" s="6" t="s">
        <v>154</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2">
      <c r="A102" s="36" t="s">
        <v>47</v>
      </c>
      <c r="B102" s="6" t="s">
        <v>155</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2">
      <c r="A103" s="36" t="s">
        <v>47</v>
      </c>
      <c r="B103" s="6" t="s">
        <v>156</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2">
      <c r="A104" s="36" t="s">
        <v>47</v>
      </c>
      <c r="B104" s="6" t="s">
        <v>157</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2">
      <c r="A105" s="36" t="s">
        <v>47</v>
      </c>
      <c r="B105" s="6" t="s">
        <v>158</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2">
      <c r="A106" s="36" t="s">
        <v>47</v>
      </c>
      <c r="B106" s="6" t="s">
        <v>159</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2">
      <c r="A107" s="36" t="s">
        <v>47</v>
      </c>
      <c r="B107" s="6" t="s">
        <v>160</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2">
      <c r="A108" s="36" t="s">
        <v>47</v>
      </c>
      <c r="B108" s="6" t="s">
        <v>161</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2">
      <c r="A109" s="36" t="s">
        <v>47</v>
      </c>
      <c r="B109" s="6" t="s">
        <v>162</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2">
      <c r="A110" s="36" t="s">
        <v>303</v>
      </c>
      <c r="B110" s="6" t="s">
        <v>151</v>
      </c>
      <c r="C110" s="71">
        <v>0</v>
      </c>
      <c r="D110" s="6">
        <f t="shared" ref="D110:D121" si="22">(C110/12)*12</f>
        <v>0</v>
      </c>
      <c r="E110" s="71">
        <v>0</v>
      </c>
      <c r="F110" s="6">
        <f>E110</f>
        <v>0</v>
      </c>
      <c r="G110" s="35" t="str">
        <f t="shared" ref="G110:G121" si="23">_xlfn.IFS(F110&gt;D110,"Farol Verde",F110&gt;=D110*0.85,"Farol Amarelo",F110&lt;D110*0.85,"Farol Vermelho","Verdadeiro",0)</f>
        <v>Farol Amarelo</v>
      </c>
      <c r="H110">
        <f t="shared" ref="H110:H121" si="24">IF(D110-F110&lt;0,0,D110-F110)</f>
        <v>0</v>
      </c>
      <c r="I110" s="6">
        <f t="shared" ref="I110:I121" si="25">_xlfn.IFS(B110="Janeiro",1,B110="Fevereiro",2,B110="Março",3,B110="Abril",4,B110="Maio",5,B110="Junho",6,B110="Julho",7,B110="Agosto",8,B110="Setembro",9,B110="Outubro",10,B110="Novembro",11,B110="Dezembro",12,TRUE,0)</f>
        <v>1</v>
      </c>
      <c r="J110" s="99">
        <v>0</v>
      </c>
      <c r="K110" s="99">
        <v>0</v>
      </c>
      <c r="L110" s="6">
        <f>J110/12</f>
        <v>0</v>
      </c>
      <c r="M110" s="6">
        <f>K110</f>
        <v>0</v>
      </c>
      <c r="N110" s="71">
        <v>0</v>
      </c>
      <c r="O110" t="e">
        <f t="shared" si="16"/>
        <v>#DIV/0!</v>
      </c>
      <c r="P110" s="71">
        <v>0</v>
      </c>
      <c r="Q110" t="e">
        <f t="shared" si="17"/>
        <v>#DIV/0!</v>
      </c>
      <c r="R110" s="71">
        <v>0</v>
      </c>
      <c r="S110" s="6" t="e">
        <f t="shared" si="18"/>
        <v>#DIV/0!</v>
      </c>
    </row>
    <row r="111" spans="1:19" x14ac:dyDescent="0.2">
      <c r="A111" s="36" t="s">
        <v>303</v>
      </c>
      <c r="B111" s="6" t="s">
        <v>152</v>
      </c>
      <c r="C111" s="71">
        <v>0</v>
      </c>
      <c r="D111" s="6">
        <f t="shared" si="22"/>
        <v>0</v>
      </c>
      <c r="E111" s="71">
        <v>0</v>
      </c>
      <c r="F111" s="6">
        <f>SUM(E110:E111)</f>
        <v>0</v>
      </c>
      <c r="G111" s="35" t="str">
        <f t="shared" si="23"/>
        <v>Farol Amarelo</v>
      </c>
      <c r="H111">
        <f t="shared" si="24"/>
        <v>0</v>
      </c>
      <c r="I111" s="6">
        <f t="shared" si="25"/>
        <v>2</v>
      </c>
      <c r="J111" s="99">
        <v>0</v>
      </c>
      <c r="K111" s="99">
        <v>0</v>
      </c>
      <c r="L111" s="6">
        <f>L110+L110</f>
        <v>0</v>
      </c>
      <c r="M111" s="6">
        <f>M110+K111</f>
        <v>0</v>
      </c>
      <c r="N111" s="71">
        <v>0</v>
      </c>
      <c r="O111" t="e">
        <f t="shared" si="16"/>
        <v>#DIV/0!</v>
      </c>
      <c r="P111" s="71">
        <v>0</v>
      </c>
      <c r="Q111" t="e">
        <f t="shared" si="17"/>
        <v>#DIV/0!</v>
      </c>
      <c r="R111" s="71">
        <v>0</v>
      </c>
      <c r="S111" s="6" t="e">
        <f t="shared" si="18"/>
        <v>#DIV/0!</v>
      </c>
    </row>
    <row r="112" spans="1:19" x14ac:dyDescent="0.2">
      <c r="A112" s="36" t="s">
        <v>303</v>
      </c>
      <c r="B112" s="6" t="s">
        <v>153</v>
      </c>
      <c r="C112" s="71">
        <v>0</v>
      </c>
      <c r="D112" s="6">
        <f t="shared" si="22"/>
        <v>0</v>
      </c>
      <c r="E112" s="71">
        <v>0</v>
      </c>
      <c r="F112" s="6">
        <f>SUM(E110:E112)</f>
        <v>0</v>
      </c>
      <c r="G112" s="35" t="str">
        <f t="shared" si="23"/>
        <v>Farol Amarelo</v>
      </c>
      <c r="H112">
        <f t="shared" si="24"/>
        <v>0</v>
      </c>
      <c r="I112" s="6">
        <f t="shared" si="25"/>
        <v>3</v>
      </c>
      <c r="J112" s="99">
        <v>0</v>
      </c>
      <c r="K112" s="99">
        <v>0</v>
      </c>
      <c r="L112" s="6">
        <f>$L110+L111</f>
        <v>0</v>
      </c>
      <c r="M112" s="6">
        <f t="shared" ref="M112:M121" si="26">M111+K112</f>
        <v>0</v>
      </c>
      <c r="N112" s="71">
        <v>0</v>
      </c>
      <c r="O112" t="e">
        <f t="shared" si="16"/>
        <v>#DIV/0!</v>
      </c>
      <c r="P112" s="71">
        <v>0</v>
      </c>
      <c r="Q112" t="e">
        <f t="shared" si="17"/>
        <v>#DIV/0!</v>
      </c>
      <c r="R112" s="71">
        <v>0</v>
      </c>
      <c r="S112" s="6" t="e">
        <f t="shared" si="18"/>
        <v>#DIV/0!</v>
      </c>
    </row>
    <row r="113" spans="1:19" x14ac:dyDescent="0.2">
      <c r="A113" s="36" t="s">
        <v>303</v>
      </c>
      <c r="B113" s="6" t="s">
        <v>154</v>
      </c>
      <c r="C113" s="71">
        <v>0</v>
      </c>
      <c r="D113" s="6">
        <f t="shared" si="22"/>
        <v>0</v>
      </c>
      <c r="E113" s="71">
        <v>0</v>
      </c>
      <c r="F113" s="6">
        <f>SUM(E110:E113)</f>
        <v>0</v>
      </c>
      <c r="G113" s="35" t="str">
        <f t="shared" si="23"/>
        <v>Farol Amarelo</v>
      </c>
      <c r="H113">
        <f t="shared" si="24"/>
        <v>0</v>
      </c>
      <c r="I113" s="6">
        <f t="shared" si="25"/>
        <v>4</v>
      </c>
      <c r="J113" s="99">
        <v>0</v>
      </c>
      <c r="K113" s="99">
        <v>0</v>
      </c>
      <c r="L113" s="6">
        <f>$L110+L112</f>
        <v>0</v>
      </c>
      <c r="M113" s="6">
        <f t="shared" si="26"/>
        <v>0</v>
      </c>
      <c r="N113" s="71">
        <v>0</v>
      </c>
      <c r="O113" t="e">
        <f t="shared" si="16"/>
        <v>#DIV/0!</v>
      </c>
      <c r="P113" s="71">
        <v>0</v>
      </c>
      <c r="Q113" t="e">
        <f t="shared" si="17"/>
        <v>#DIV/0!</v>
      </c>
      <c r="R113" s="71">
        <v>0</v>
      </c>
      <c r="S113" s="6" t="e">
        <f t="shared" si="18"/>
        <v>#DIV/0!</v>
      </c>
    </row>
    <row r="114" spans="1:19" x14ac:dyDescent="0.2">
      <c r="A114" s="36" t="s">
        <v>303</v>
      </c>
      <c r="B114" s="6" t="s">
        <v>155</v>
      </c>
      <c r="C114" s="71">
        <v>0</v>
      </c>
      <c r="D114" s="6">
        <f t="shared" si="22"/>
        <v>0</v>
      </c>
      <c r="E114" s="71">
        <v>0</v>
      </c>
      <c r="F114" s="6">
        <f>SUM(E110:E114)</f>
        <v>0</v>
      </c>
      <c r="G114" s="35" t="str">
        <f t="shared" si="23"/>
        <v>Farol Amarelo</v>
      </c>
      <c r="H114">
        <f t="shared" si="24"/>
        <v>0</v>
      </c>
      <c r="I114" s="6">
        <f t="shared" si="25"/>
        <v>5</v>
      </c>
      <c r="J114" s="99">
        <v>0</v>
      </c>
      <c r="K114" s="99">
        <v>0</v>
      </c>
      <c r="L114" s="6">
        <f>L110+L113</f>
        <v>0</v>
      </c>
      <c r="M114" s="6">
        <f t="shared" si="26"/>
        <v>0</v>
      </c>
      <c r="N114" s="71">
        <v>0</v>
      </c>
      <c r="O114" t="e">
        <f t="shared" si="16"/>
        <v>#DIV/0!</v>
      </c>
      <c r="P114" s="71">
        <v>0</v>
      </c>
      <c r="Q114" t="e">
        <f t="shared" si="17"/>
        <v>#DIV/0!</v>
      </c>
      <c r="R114" s="71">
        <v>0</v>
      </c>
      <c r="S114" s="6" t="e">
        <f t="shared" si="18"/>
        <v>#DIV/0!</v>
      </c>
    </row>
    <row r="115" spans="1:19" x14ac:dyDescent="0.2">
      <c r="A115" s="36" t="s">
        <v>303</v>
      </c>
      <c r="B115" s="6" t="s">
        <v>156</v>
      </c>
      <c r="C115" s="71">
        <v>0</v>
      </c>
      <c r="D115" s="6">
        <f t="shared" si="22"/>
        <v>0</v>
      </c>
      <c r="E115" s="71">
        <v>0</v>
      </c>
      <c r="F115" s="6">
        <f>SUM(E110:E115)</f>
        <v>0</v>
      </c>
      <c r="G115" s="35" t="str">
        <f t="shared" si="23"/>
        <v>Farol Amarelo</v>
      </c>
      <c r="H115">
        <f t="shared" si="24"/>
        <v>0</v>
      </c>
      <c r="I115" s="6">
        <f t="shared" si="25"/>
        <v>6</v>
      </c>
      <c r="J115" s="99">
        <v>0</v>
      </c>
      <c r="K115" s="99">
        <v>0</v>
      </c>
      <c r="L115" s="6">
        <f>$L110+L114</f>
        <v>0</v>
      </c>
      <c r="M115" s="6">
        <f t="shared" si="26"/>
        <v>0</v>
      </c>
      <c r="N115" s="71">
        <v>0</v>
      </c>
      <c r="O115" t="e">
        <f t="shared" si="16"/>
        <v>#DIV/0!</v>
      </c>
      <c r="P115" s="71">
        <v>0</v>
      </c>
      <c r="Q115" t="e">
        <f t="shared" si="17"/>
        <v>#DIV/0!</v>
      </c>
      <c r="R115" s="71">
        <v>0</v>
      </c>
      <c r="S115" s="6" t="e">
        <f t="shared" si="18"/>
        <v>#DIV/0!</v>
      </c>
    </row>
    <row r="116" spans="1:19" x14ac:dyDescent="0.2">
      <c r="A116" s="36" t="s">
        <v>303</v>
      </c>
      <c r="B116" s="6" t="s">
        <v>157</v>
      </c>
      <c r="C116" s="71">
        <v>0</v>
      </c>
      <c r="D116" s="6">
        <f t="shared" si="22"/>
        <v>0</v>
      </c>
      <c r="E116" s="71">
        <v>0</v>
      </c>
      <c r="F116" s="6">
        <f>SUM(E110:E116)</f>
        <v>0</v>
      </c>
      <c r="G116" s="35" t="str">
        <f t="shared" si="23"/>
        <v>Farol Amarelo</v>
      </c>
      <c r="H116">
        <f t="shared" si="24"/>
        <v>0</v>
      </c>
      <c r="I116" s="6">
        <f t="shared" si="25"/>
        <v>7</v>
      </c>
      <c r="J116" s="99">
        <v>0</v>
      </c>
      <c r="K116" s="62"/>
      <c r="L116" s="6">
        <f>$L110+L115</f>
        <v>0</v>
      </c>
      <c r="M116" s="6">
        <f t="shared" si="26"/>
        <v>0</v>
      </c>
      <c r="N116" s="71"/>
      <c r="O116" t="e">
        <f t="shared" si="16"/>
        <v>#DIV/0!</v>
      </c>
      <c r="P116" s="71"/>
      <c r="Q116" t="e">
        <f t="shared" si="17"/>
        <v>#DIV/0!</v>
      </c>
      <c r="R116" s="71"/>
      <c r="S116" s="6" t="e">
        <f t="shared" si="18"/>
        <v>#DIV/0!</v>
      </c>
    </row>
    <row r="117" spans="1:19" x14ac:dyDescent="0.2">
      <c r="A117" s="36" t="s">
        <v>303</v>
      </c>
      <c r="B117" s="6" t="s">
        <v>158</v>
      </c>
      <c r="C117" s="71">
        <v>0</v>
      </c>
      <c r="D117" s="6">
        <f t="shared" si="22"/>
        <v>0</v>
      </c>
      <c r="E117" s="71">
        <v>0</v>
      </c>
      <c r="F117" s="6">
        <f>SUM(E110:E117)</f>
        <v>0</v>
      </c>
      <c r="G117" s="35" t="str">
        <f t="shared" si="23"/>
        <v>Farol Amarelo</v>
      </c>
      <c r="H117">
        <f t="shared" si="24"/>
        <v>0</v>
      </c>
      <c r="I117" s="6">
        <f t="shared" si="25"/>
        <v>8</v>
      </c>
      <c r="J117" s="99">
        <v>0</v>
      </c>
      <c r="K117" s="62"/>
      <c r="L117" s="6">
        <f>L110+L116</f>
        <v>0</v>
      </c>
      <c r="M117" s="6">
        <f t="shared" si="26"/>
        <v>0</v>
      </c>
      <c r="N117" s="71"/>
      <c r="O117" t="e">
        <f t="shared" si="16"/>
        <v>#DIV/0!</v>
      </c>
      <c r="P117" s="71"/>
      <c r="Q117" t="e">
        <f t="shared" si="17"/>
        <v>#DIV/0!</v>
      </c>
      <c r="R117" s="71"/>
      <c r="S117" s="6" t="e">
        <f t="shared" si="18"/>
        <v>#DIV/0!</v>
      </c>
    </row>
    <row r="118" spans="1:19" x14ac:dyDescent="0.2">
      <c r="A118" s="36" t="s">
        <v>303</v>
      </c>
      <c r="B118" s="6" t="s">
        <v>159</v>
      </c>
      <c r="C118" s="71">
        <v>0</v>
      </c>
      <c r="D118" s="6">
        <f t="shared" si="22"/>
        <v>0</v>
      </c>
      <c r="E118" s="71">
        <v>0</v>
      </c>
      <c r="F118" s="6">
        <f>SUM(E110:E118)</f>
        <v>0</v>
      </c>
      <c r="G118" s="35" t="str">
        <f t="shared" si="23"/>
        <v>Farol Amarelo</v>
      </c>
      <c r="H118">
        <f t="shared" si="24"/>
        <v>0</v>
      </c>
      <c r="I118" s="6">
        <f t="shared" si="25"/>
        <v>9</v>
      </c>
      <c r="J118" s="99">
        <v>0</v>
      </c>
      <c r="K118" s="62"/>
      <c r="L118" s="6">
        <f>$L110+L117</f>
        <v>0</v>
      </c>
      <c r="M118" s="6">
        <f t="shared" si="26"/>
        <v>0</v>
      </c>
      <c r="N118" s="71"/>
      <c r="O118" t="e">
        <f t="shared" si="16"/>
        <v>#DIV/0!</v>
      </c>
      <c r="P118" s="71"/>
      <c r="Q118" t="e">
        <f t="shared" si="17"/>
        <v>#DIV/0!</v>
      </c>
      <c r="R118" s="71"/>
      <c r="S118" s="6" t="e">
        <f t="shared" si="18"/>
        <v>#DIV/0!</v>
      </c>
    </row>
    <row r="119" spans="1:19" x14ac:dyDescent="0.2">
      <c r="A119" s="36" t="s">
        <v>303</v>
      </c>
      <c r="B119" s="6" t="s">
        <v>160</v>
      </c>
      <c r="C119" s="71">
        <v>0</v>
      </c>
      <c r="D119" s="6">
        <f t="shared" si="22"/>
        <v>0</v>
      </c>
      <c r="E119" s="71">
        <v>0</v>
      </c>
      <c r="F119" s="6">
        <f>SUM(E110:E119)</f>
        <v>0</v>
      </c>
      <c r="G119" s="35" t="str">
        <f t="shared" si="23"/>
        <v>Farol Amarelo</v>
      </c>
      <c r="H119">
        <f t="shared" si="24"/>
        <v>0</v>
      </c>
      <c r="I119" s="6">
        <f t="shared" si="25"/>
        <v>10</v>
      </c>
      <c r="J119" s="99">
        <v>0</v>
      </c>
      <c r="K119" s="62"/>
      <c r="L119" s="6">
        <f>$L110+L118</f>
        <v>0</v>
      </c>
      <c r="M119" s="6">
        <f t="shared" si="26"/>
        <v>0</v>
      </c>
      <c r="N119" s="71"/>
      <c r="O119" t="e">
        <f t="shared" si="16"/>
        <v>#DIV/0!</v>
      </c>
      <c r="P119" s="71"/>
      <c r="Q119" t="e">
        <f t="shared" si="17"/>
        <v>#DIV/0!</v>
      </c>
      <c r="R119" s="71"/>
      <c r="S119" s="6" t="e">
        <f t="shared" si="18"/>
        <v>#DIV/0!</v>
      </c>
    </row>
    <row r="120" spans="1:19" x14ac:dyDescent="0.2">
      <c r="A120" s="36" t="s">
        <v>303</v>
      </c>
      <c r="B120" s="6" t="s">
        <v>161</v>
      </c>
      <c r="C120" s="71">
        <v>0</v>
      </c>
      <c r="D120" s="6">
        <f t="shared" si="22"/>
        <v>0</v>
      </c>
      <c r="E120" s="71">
        <v>0</v>
      </c>
      <c r="F120" s="6">
        <f>SUM(E110:E120)</f>
        <v>0</v>
      </c>
      <c r="G120" s="35" t="str">
        <f t="shared" si="23"/>
        <v>Farol Amarelo</v>
      </c>
      <c r="H120">
        <f t="shared" si="24"/>
        <v>0</v>
      </c>
      <c r="I120" s="6">
        <f t="shared" si="25"/>
        <v>11</v>
      </c>
      <c r="J120" s="99">
        <v>0</v>
      </c>
      <c r="K120" s="62"/>
      <c r="L120" s="6">
        <f>L110+L119</f>
        <v>0</v>
      </c>
      <c r="M120" s="6">
        <f t="shared" si="26"/>
        <v>0</v>
      </c>
      <c r="N120" s="71"/>
      <c r="O120" t="e">
        <f t="shared" si="16"/>
        <v>#DIV/0!</v>
      </c>
      <c r="P120" s="71"/>
      <c r="Q120" t="e">
        <f t="shared" si="17"/>
        <v>#DIV/0!</v>
      </c>
      <c r="R120" s="71"/>
      <c r="S120" s="6" t="e">
        <f t="shared" si="18"/>
        <v>#DIV/0!</v>
      </c>
    </row>
    <row r="121" spans="1:19" x14ac:dyDescent="0.2">
      <c r="A121" s="36" t="s">
        <v>303</v>
      </c>
      <c r="B121" s="6" t="s">
        <v>162</v>
      </c>
      <c r="C121" s="71">
        <v>0</v>
      </c>
      <c r="D121" s="6">
        <f t="shared" si="22"/>
        <v>0</v>
      </c>
      <c r="E121" s="71">
        <v>0</v>
      </c>
      <c r="F121" s="6">
        <f>SUM(E110:E121)</f>
        <v>0</v>
      </c>
      <c r="G121" s="35" t="str">
        <f t="shared" si="23"/>
        <v>Farol Amarelo</v>
      </c>
      <c r="H121">
        <f t="shared" si="24"/>
        <v>0</v>
      </c>
      <c r="I121" s="6">
        <f t="shared" si="25"/>
        <v>12</v>
      </c>
      <c r="J121" s="99">
        <v>0</v>
      </c>
      <c r="K121" s="62"/>
      <c r="L121" s="6">
        <f>$L110+L120</f>
        <v>0</v>
      </c>
      <c r="M121" s="6">
        <f t="shared" si="26"/>
        <v>0</v>
      </c>
      <c r="N121" s="71"/>
      <c r="O121" t="e">
        <f t="shared" si="16"/>
        <v>#DIV/0!</v>
      </c>
      <c r="P121" s="71"/>
      <c r="Q121" t="e">
        <f t="shared" si="17"/>
        <v>#DIV/0!</v>
      </c>
      <c r="R121" s="71"/>
      <c r="S121" s="6" t="e">
        <f t="shared" si="18"/>
        <v>#DIV/0!</v>
      </c>
    </row>
    <row r="122" spans="1:19" x14ac:dyDescent="0.2">
      <c r="A122" s="36" t="s">
        <v>89</v>
      </c>
      <c r="B122" s="6" t="s">
        <v>151</v>
      </c>
      <c r="C122" s="71">
        <v>26800</v>
      </c>
      <c r="D122" s="6">
        <f>(C122/12)*1</f>
        <v>2233.3333333333335</v>
      </c>
      <c r="E122" s="62">
        <v>1040</v>
      </c>
      <c r="F122" s="6">
        <f>E122</f>
        <v>1040</v>
      </c>
      <c r="G122" s="35" t="str">
        <f t="shared" si="15"/>
        <v>Farol Vermelho</v>
      </c>
      <c r="H122">
        <f t="shared" si="13"/>
        <v>1193.3333333333335</v>
      </c>
      <c r="I122" s="6">
        <f t="shared" si="14"/>
        <v>1</v>
      </c>
      <c r="J122" s="99">
        <v>8</v>
      </c>
      <c r="K122" s="62">
        <v>1</v>
      </c>
      <c r="L122" s="6">
        <f>J122/12</f>
        <v>0.66666666666666663</v>
      </c>
      <c r="M122" s="6">
        <f>K122</f>
        <v>1</v>
      </c>
      <c r="N122" s="71">
        <v>0</v>
      </c>
      <c r="O122" t="e">
        <f t="shared" si="16"/>
        <v>#DIV/0!</v>
      </c>
      <c r="P122" s="71">
        <v>0</v>
      </c>
      <c r="Q122" t="e">
        <f t="shared" si="17"/>
        <v>#DIV/0!</v>
      </c>
      <c r="R122" s="71">
        <v>0</v>
      </c>
      <c r="S122" s="6" t="e">
        <f t="shared" si="18"/>
        <v>#DIV/0!</v>
      </c>
    </row>
    <row r="123" spans="1:19" x14ac:dyDescent="0.2">
      <c r="A123" s="36" t="s">
        <v>89</v>
      </c>
      <c r="B123" s="6" t="s">
        <v>152</v>
      </c>
      <c r="C123" s="71">
        <v>26800</v>
      </c>
      <c r="D123" s="6">
        <f>(C123/12)*2</f>
        <v>4466.666666666667</v>
      </c>
      <c r="E123" s="62">
        <v>0</v>
      </c>
      <c r="F123" s="6">
        <f>SUM(E122:E123)</f>
        <v>1040</v>
      </c>
      <c r="G123" s="35" t="str">
        <f t="shared" si="15"/>
        <v>Farol Vermelho</v>
      </c>
      <c r="H123">
        <f t="shared" si="13"/>
        <v>3426.666666666667</v>
      </c>
      <c r="I123" s="6">
        <f t="shared" si="14"/>
        <v>2</v>
      </c>
      <c r="J123" s="99">
        <v>8</v>
      </c>
      <c r="K123" s="62">
        <v>0</v>
      </c>
      <c r="L123" s="6">
        <f>L122+L122</f>
        <v>1.3333333333333333</v>
      </c>
      <c r="M123" s="6">
        <f>M122+K123</f>
        <v>1</v>
      </c>
      <c r="N123" s="71">
        <v>0</v>
      </c>
      <c r="O123" t="e">
        <f t="shared" si="16"/>
        <v>#DIV/0!</v>
      </c>
      <c r="P123" s="71">
        <v>0</v>
      </c>
      <c r="Q123" t="e">
        <f t="shared" si="17"/>
        <v>#DIV/0!</v>
      </c>
      <c r="R123" s="71">
        <v>0</v>
      </c>
      <c r="S123" s="6" t="e">
        <f t="shared" si="18"/>
        <v>#DIV/0!</v>
      </c>
    </row>
    <row r="124" spans="1:19" x14ac:dyDescent="0.2">
      <c r="A124" s="36" t="s">
        <v>89</v>
      </c>
      <c r="B124" s="6" t="s">
        <v>153</v>
      </c>
      <c r="C124" s="71">
        <v>26800</v>
      </c>
      <c r="D124" s="6">
        <f>(C124/12)*3</f>
        <v>6700</v>
      </c>
      <c r="E124" s="62">
        <v>0</v>
      </c>
      <c r="F124" s="6">
        <f>SUM(E122:E124)</f>
        <v>1040</v>
      </c>
      <c r="G124" s="35" t="str">
        <f t="shared" si="15"/>
        <v>Farol Vermelho</v>
      </c>
      <c r="H124">
        <f t="shared" si="13"/>
        <v>5660</v>
      </c>
      <c r="I124" s="6">
        <f t="shared" si="14"/>
        <v>3</v>
      </c>
      <c r="J124" s="99">
        <v>8</v>
      </c>
      <c r="K124" s="62">
        <v>0</v>
      </c>
      <c r="L124" s="6">
        <f>$L122+L123</f>
        <v>2</v>
      </c>
      <c r="M124" s="6">
        <f t="shared" ref="M124:M133" si="27">M123+K124</f>
        <v>1</v>
      </c>
      <c r="N124" s="71">
        <v>0</v>
      </c>
      <c r="O124" t="e">
        <f t="shared" si="16"/>
        <v>#DIV/0!</v>
      </c>
      <c r="P124" s="71">
        <v>0</v>
      </c>
      <c r="Q124" t="e">
        <f t="shared" si="17"/>
        <v>#DIV/0!</v>
      </c>
      <c r="R124" s="71">
        <v>0</v>
      </c>
      <c r="S124" s="6" t="e">
        <f t="shared" si="18"/>
        <v>#DIV/0!</v>
      </c>
    </row>
    <row r="125" spans="1:19" x14ac:dyDescent="0.2">
      <c r="A125" s="36" t="s">
        <v>89</v>
      </c>
      <c r="B125" s="6" t="s">
        <v>154</v>
      </c>
      <c r="C125" s="71">
        <v>26800</v>
      </c>
      <c r="D125" s="6">
        <f>(C125/12)*4</f>
        <v>8933.3333333333339</v>
      </c>
      <c r="E125" s="62">
        <v>0</v>
      </c>
      <c r="F125" s="6">
        <f>SUM(E122:E125)</f>
        <v>1040</v>
      </c>
      <c r="G125" s="35" t="str">
        <f t="shared" si="15"/>
        <v>Farol Vermelho</v>
      </c>
      <c r="H125">
        <f t="shared" si="13"/>
        <v>7893.3333333333339</v>
      </c>
      <c r="I125" s="6">
        <f t="shared" si="14"/>
        <v>4</v>
      </c>
      <c r="J125" s="99">
        <v>8</v>
      </c>
      <c r="K125" s="62">
        <v>0</v>
      </c>
      <c r="L125" s="6">
        <f>$L122+L124</f>
        <v>2.6666666666666665</v>
      </c>
      <c r="M125" s="6">
        <f t="shared" si="27"/>
        <v>1</v>
      </c>
      <c r="N125" s="71">
        <v>0</v>
      </c>
      <c r="O125" t="e">
        <f t="shared" si="16"/>
        <v>#DIV/0!</v>
      </c>
      <c r="P125" s="71">
        <v>0</v>
      </c>
      <c r="Q125" t="e">
        <f t="shared" si="17"/>
        <v>#DIV/0!</v>
      </c>
      <c r="R125" s="71">
        <v>0</v>
      </c>
      <c r="S125" s="6" t="e">
        <f t="shared" si="18"/>
        <v>#DIV/0!</v>
      </c>
    </row>
    <row r="126" spans="1:19" x14ac:dyDescent="0.2">
      <c r="A126" s="36" t="s">
        <v>89</v>
      </c>
      <c r="B126" s="6" t="s">
        <v>155</v>
      </c>
      <c r="C126" s="71">
        <v>26800</v>
      </c>
      <c r="D126" s="6">
        <f>(C126/12)*5</f>
        <v>11166.666666666668</v>
      </c>
      <c r="E126" s="62">
        <v>4100</v>
      </c>
      <c r="F126" s="6">
        <f>SUM(E122:E126)</f>
        <v>5140</v>
      </c>
      <c r="G126" s="35" t="str">
        <f t="shared" si="15"/>
        <v>Farol Vermelho</v>
      </c>
      <c r="H126">
        <f t="shared" si="13"/>
        <v>6026.6666666666679</v>
      </c>
      <c r="I126" s="6">
        <f t="shared" si="14"/>
        <v>5</v>
      </c>
      <c r="J126" s="99">
        <v>8</v>
      </c>
      <c r="K126" s="62">
        <v>2</v>
      </c>
      <c r="L126" s="6">
        <f>L122+L125</f>
        <v>3.333333333333333</v>
      </c>
      <c r="M126" s="6">
        <f t="shared" si="27"/>
        <v>3</v>
      </c>
      <c r="N126" s="71">
        <v>11</v>
      </c>
      <c r="O126">
        <f t="shared" si="16"/>
        <v>0.81818181818181823</v>
      </c>
      <c r="P126" s="71">
        <v>9</v>
      </c>
      <c r="Q126">
        <f t="shared" si="17"/>
        <v>0</v>
      </c>
      <c r="R126" s="71">
        <v>0</v>
      </c>
      <c r="S126" s="6">
        <f t="shared" si="18"/>
        <v>0</v>
      </c>
    </row>
    <row r="127" spans="1:19" x14ac:dyDescent="0.2">
      <c r="A127" s="36" t="s">
        <v>89</v>
      </c>
      <c r="B127" s="6" t="s">
        <v>156</v>
      </c>
      <c r="C127" s="71">
        <v>26800</v>
      </c>
      <c r="D127" s="6">
        <f>(C127/12)*6</f>
        <v>13400</v>
      </c>
      <c r="E127" s="62">
        <v>0</v>
      </c>
      <c r="F127" s="6">
        <f>SUM(E122:E127)</f>
        <v>5140</v>
      </c>
      <c r="G127" s="35" t="str">
        <f t="shared" si="15"/>
        <v>Farol Vermelho</v>
      </c>
      <c r="H127">
        <f t="shared" si="13"/>
        <v>8260</v>
      </c>
      <c r="I127" s="6">
        <f t="shared" si="14"/>
        <v>6</v>
      </c>
      <c r="J127" s="99">
        <v>8</v>
      </c>
      <c r="K127" s="62">
        <v>0</v>
      </c>
      <c r="L127" s="6">
        <f>$L122+L126</f>
        <v>3.9999999999999996</v>
      </c>
      <c r="M127" s="6">
        <f t="shared" si="27"/>
        <v>3</v>
      </c>
      <c r="N127" s="71">
        <v>7</v>
      </c>
      <c r="O127">
        <f t="shared" si="16"/>
        <v>1</v>
      </c>
      <c r="P127" s="71">
        <v>7</v>
      </c>
      <c r="Q127">
        <f t="shared" si="17"/>
        <v>0.14285714285714285</v>
      </c>
      <c r="R127" s="71">
        <v>1</v>
      </c>
      <c r="S127" s="6">
        <f t="shared" si="18"/>
        <v>0.14285714285714285</v>
      </c>
    </row>
    <row r="128" spans="1:19" x14ac:dyDescent="0.2">
      <c r="A128" s="36" t="s">
        <v>89</v>
      </c>
      <c r="B128" s="6" t="s">
        <v>157</v>
      </c>
      <c r="C128" s="71">
        <v>26800</v>
      </c>
      <c r="D128" s="6">
        <f>(C128/12)*7</f>
        <v>15633.333333333334</v>
      </c>
      <c r="E128" s="62">
        <v>9500</v>
      </c>
      <c r="F128" s="6">
        <f>SUM(E122:E128)</f>
        <v>14640</v>
      </c>
      <c r="G128" s="35" t="str">
        <f t="shared" si="15"/>
        <v>Farol Amarelo</v>
      </c>
      <c r="H128">
        <f t="shared" si="13"/>
        <v>993.33333333333394</v>
      </c>
      <c r="I128" s="6">
        <f t="shared" si="14"/>
        <v>7</v>
      </c>
      <c r="J128" s="99">
        <v>8</v>
      </c>
      <c r="K128" s="62">
        <v>1</v>
      </c>
      <c r="L128" s="6">
        <f>$L122+L127</f>
        <v>4.6666666666666661</v>
      </c>
      <c r="M128" s="6">
        <f t="shared" si="27"/>
        <v>4</v>
      </c>
      <c r="N128" s="71"/>
      <c r="O128" t="e">
        <f t="shared" si="16"/>
        <v>#DIV/0!</v>
      </c>
      <c r="P128" s="71"/>
      <c r="Q128" t="e">
        <f t="shared" si="17"/>
        <v>#DIV/0!</v>
      </c>
      <c r="R128" s="71"/>
      <c r="S128" s="6" t="e">
        <f t="shared" si="18"/>
        <v>#DIV/0!</v>
      </c>
    </row>
    <row r="129" spans="1:19" x14ac:dyDescent="0.2">
      <c r="A129" s="36" t="s">
        <v>89</v>
      </c>
      <c r="B129" s="6" t="s">
        <v>158</v>
      </c>
      <c r="C129" s="71">
        <v>26800</v>
      </c>
      <c r="D129" s="6">
        <f>(C129/12)*8</f>
        <v>17866.666666666668</v>
      </c>
      <c r="E129" s="62">
        <v>0</v>
      </c>
      <c r="F129" s="6">
        <f>SUM(E122:E129)</f>
        <v>14640</v>
      </c>
      <c r="G129" s="35" t="str">
        <f t="shared" si="15"/>
        <v>Farol Vermelho</v>
      </c>
      <c r="H129">
        <f t="shared" si="13"/>
        <v>3226.6666666666679</v>
      </c>
      <c r="I129" s="6">
        <f t="shared" si="14"/>
        <v>8</v>
      </c>
      <c r="J129" s="99">
        <v>8</v>
      </c>
      <c r="K129" s="62"/>
      <c r="L129" s="6">
        <f>L122+L128</f>
        <v>5.333333333333333</v>
      </c>
      <c r="M129" s="6">
        <f t="shared" si="27"/>
        <v>4</v>
      </c>
      <c r="N129" s="71"/>
      <c r="O129" t="e">
        <f t="shared" si="16"/>
        <v>#DIV/0!</v>
      </c>
      <c r="P129" s="71"/>
      <c r="Q129" t="e">
        <f t="shared" si="17"/>
        <v>#DIV/0!</v>
      </c>
      <c r="R129" s="71"/>
      <c r="S129" s="6" t="e">
        <f t="shared" si="18"/>
        <v>#DIV/0!</v>
      </c>
    </row>
    <row r="130" spans="1:19" x14ac:dyDescent="0.2">
      <c r="A130" s="36" t="s">
        <v>89</v>
      </c>
      <c r="B130" s="6" t="s">
        <v>159</v>
      </c>
      <c r="C130" s="71">
        <v>26800</v>
      </c>
      <c r="D130" s="6">
        <f>(C130/12)*9</f>
        <v>20100</v>
      </c>
      <c r="E130" s="62">
        <v>0</v>
      </c>
      <c r="F130" s="6">
        <f>SUM(E122:E130)</f>
        <v>14640</v>
      </c>
      <c r="G130" s="35" t="str">
        <f t="shared" si="15"/>
        <v>Farol Vermelho</v>
      </c>
      <c r="H130">
        <f t="shared" si="13"/>
        <v>5460</v>
      </c>
      <c r="I130" s="6">
        <f t="shared" si="14"/>
        <v>9</v>
      </c>
      <c r="J130" s="99">
        <v>8</v>
      </c>
      <c r="K130" s="62"/>
      <c r="L130" s="6">
        <f>$L122+L129</f>
        <v>6</v>
      </c>
      <c r="M130" s="6">
        <f t="shared" si="27"/>
        <v>4</v>
      </c>
      <c r="N130" s="71"/>
      <c r="O130" t="e">
        <f t="shared" si="16"/>
        <v>#DIV/0!</v>
      </c>
      <c r="P130" s="71"/>
      <c r="Q130" t="e">
        <f t="shared" si="17"/>
        <v>#DIV/0!</v>
      </c>
      <c r="R130" s="71"/>
      <c r="S130" s="6" t="e">
        <f t="shared" si="18"/>
        <v>#DIV/0!</v>
      </c>
    </row>
    <row r="131" spans="1:19" x14ac:dyDescent="0.2">
      <c r="A131" s="36" t="s">
        <v>89</v>
      </c>
      <c r="B131" s="6" t="s">
        <v>160</v>
      </c>
      <c r="C131" s="71">
        <v>26800</v>
      </c>
      <c r="D131" s="6">
        <f>(C131/12)*10</f>
        <v>22333.333333333336</v>
      </c>
      <c r="E131" s="62">
        <v>0</v>
      </c>
      <c r="F131" s="6">
        <f>SUM(E122:E131)</f>
        <v>14640</v>
      </c>
      <c r="G131" s="35" t="str">
        <f t="shared" si="15"/>
        <v>Farol Vermelho</v>
      </c>
      <c r="H131">
        <f t="shared" si="13"/>
        <v>7693.3333333333358</v>
      </c>
      <c r="I131" s="6">
        <f t="shared" si="14"/>
        <v>10</v>
      </c>
      <c r="J131" s="99">
        <v>8</v>
      </c>
      <c r="K131" s="62"/>
      <c r="L131" s="6">
        <f>$L122+L130</f>
        <v>6.666666666666667</v>
      </c>
      <c r="M131" s="6">
        <f t="shared" si="27"/>
        <v>4</v>
      </c>
      <c r="N131" s="71"/>
      <c r="O131" t="e">
        <f t="shared" si="16"/>
        <v>#DIV/0!</v>
      </c>
      <c r="P131" s="71"/>
      <c r="Q131" t="e">
        <f t="shared" si="17"/>
        <v>#DIV/0!</v>
      </c>
      <c r="R131" s="71"/>
      <c r="S131" s="6" t="e">
        <f t="shared" si="18"/>
        <v>#DIV/0!</v>
      </c>
    </row>
    <row r="132" spans="1:19" x14ac:dyDescent="0.2">
      <c r="A132" s="36" t="s">
        <v>89</v>
      </c>
      <c r="B132" s="6" t="s">
        <v>161</v>
      </c>
      <c r="C132" s="71">
        <v>26800</v>
      </c>
      <c r="D132" s="6">
        <f>(C132/12)*11</f>
        <v>24566.666666666668</v>
      </c>
      <c r="E132" s="62">
        <v>0</v>
      </c>
      <c r="F132" s="6">
        <f>SUM(E122:E132)</f>
        <v>14640</v>
      </c>
      <c r="G132" s="35" t="str">
        <f t="shared" si="15"/>
        <v>Farol Vermelho</v>
      </c>
      <c r="H132">
        <f t="shared" si="13"/>
        <v>9926.6666666666679</v>
      </c>
      <c r="I132" s="6">
        <f t="shared" si="14"/>
        <v>11</v>
      </c>
      <c r="J132" s="99">
        <v>8</v>
      </c>
      <c r="K132" s="62"/>
      <c r="L132" s="6">
        <f>L122+L131</f>
        <v>7.3333333333333339</v>
      </c>
      <c r="M132" s="6">
        <f t="shared" si="27"/>
        <v>4</v>
      </c>
      <c r="N132" s="71"/>
      <c r="O132" t="e">
        <f t="shared" si="16"/>
        <v>#DIV/0!</v>
      </c>
      <c r="P132" s="71"/>
      <c r="Q132" t="e">
        <f t="shared" si="17"/>
        <v>#DIV/0!</v>
      </c>
      <c r="R132" s="71"/>
      <c r="S132" s="6" t="e">
        <f t="shared" si="18"/>
        <v>#DIV/0!</v>
      </c>
    </row>
    <row r="133" spans="1:19" x14ac:dyDescent="0.2">
      <c r="A133" s="36" t="s">
        <v>89</v>
      </c>
      <c r="B133" s="6" t="s">
        <v>162</v>
      </c>
      <c r="C133" s="71">
        <v>26800</v>
      </c>
      <c r="D133" s="6">
        <f>(C133/12)*12</f>
        <v>26800</v>
      </c>
      <c r="E133" s="62">
        <v>0</v>
      </c>
      <c r="F133" s="6">
        <f>SUM(E122:E133)</f>
        <v>14640</v>
      </c>
      <c r="G133" s="35" t="str">
        <f t="shared" si="15"/>
        <v>Farol Vermelho</v>
      </c>
      <c r="H133">
        <f t="shared" si="13"/>
        <v>12160</v>
      </c>
      <c r="I133" s="6">
        <f t="shared" si="14"/>
        <v>12</v>
      </c>
      <c r="J133" s="99">
        <v>8</v>
      </c>
      <c r="K133" s="62"/>
      <c r="L133" s="6">
        <f>$L122+L132</f>
        <v>8</v>
      </c>
      <c r="M133" s="6">
        <f t="shared" si="27"/>
        <v>4</v>
      </c>
      <c r="N133" s="71"/>
      <c r="O133" t="e">
        <f t="shared" si="16"/>
        <v>#DIV/0!</v>
      </c>
      <c r="P133" s="71"/>
      <c r="Q133" t="e">
        <f t="shared" si="17"/>
        <v>#DIV/0!</v>
      </c>
      <c r="R133" s="71"/>
      <c r="S133" s="6" t="e">
        <f t="shared" si="18"/>
        <v>#DIV/0!</v>
      </c>
    </row>
    <row r="134" spans="1:19" x14ac:dyDescent="0.2">
      <c r="A134" s="36" t="s">
        <v>113</v>
      </c>
      <c r="B134" s="6" t="s">
        <v>151</v>
      </c>
      <c r="C134" s="71">
        <v>1500</v>
      </c>
      <c r="D134" s="6">
        <f>(C134/12)*1</f>
        <v>125</v>
      </c>
      <c r="E134" s="62">
        <v>0</v>
      </c>
      <c r="F134" s="6">
        <f>E134</f>
        <v>0</v>
      </c>
      <c r="G134" s="35" t="str">
        <f t="shared" si="15"/>
        <v>Farol Vermelho</v>
      </c>
      <c r="H134">
        <f t="shared" si="13"/>
        <v>125</v>
      </c>
      <c r="I134" s="6">
        <f t="shared" si="14"/>
        <v>1</v>
      </c>
      <c r="J134" s="99">
        <v>1</v>
      </c>
      <c r="K134" s="62">
        <v>0</v>
      </c>
      <c r="L134" s="6">
        <f>J134/12</f>
        <v>8.3333333333333329E-2</v>
      </c>
      <c r="M134" s="6">
        <f>K134</f>
        <v>0</v>
      </c>
      <c r="N134" s="71">
        <v>0</v>
      </c>
      <c r="O134" t="e">
        <f t="shared" si="16"/>
        <v>#DIV/0!</v>
      </c>
      <c r="P134" s="71">
        <v>0</v>
      </c>
      <c r="Q134" t="e">
        <f t="shared" si="17"/>
        <v>#DIV/0!</v>
      </c>
      <c r="R134" s="71">
        <v>0</v>
      </c>
      <c r="S134" s="6" t="e">
        <f t="shared" si="18"/>
        <v>#DIV/0!</v>
      </c>
    </row>
    <row r="135" spans="1:19" x14ac:dyDescent="0.2">
      <c r="A135" s="36" t="s">
        <v>113</v>
      </c>
      <c r="B135" s="6" t="s">
        <v>152</v>
      </c>
      <c r="C135" s="71">
        <v>1500</v>
      </c>
      <c r="D135" s="6">
        <f>(C135/12)*2</f>
        <v>250</v>
      </c>
      <c r="E135" s="62">
        <v>0</v>
      </c>
      <c r="F135" s="6">
        <f>SUM(E134:E135)</f>
        <v>0</v>
      </c>
      <c r="G135" s="35" t="str">
        <f t="shared" si="15"/>
        <v>Farol Vermelho</v>
      </c>
      <c r="H135">
        <f t="shared" si="13"/>
        <v>250</v>
      </c>
      <c r="I135" s="6">
        <f t="shared" si="14"/>
        <v>2</v>
      </c>
      <c r="J135" s="99">
        <v>1</v>
      </c>
      <c r="K135" s="62">
        <v>0</v>
      </c>
      <c r="L135" s="6">
        <f>L134+L134</f>
        <v>0.16666666666666666</v>
      </c>
      <c r="M135" s="6">
        <f>M134+K135</f>
        <v>0</v>
      </c>
      <c r="N135" s="71">
        <v>0</v>
      </c>
      <c r="O135" t="e">
        <f t="shared" si="16"/>
        <v>#DIV/0!</v>
      </c>
      <c r="P135" s="71">
        <v>0</v>
      </c>
      <c r="Q135" t="e">
        <f t="shared" si="17"/>
        <v>#DIV/0!</v>
      </c>
      <c r="R135" s="71">
        <v>0</v>
      </c>
      <c r="S135" s="6" t="e">
        <f t="shared" si="18"/>
        <v>#DIV/0!</v>
      </c>
    </row>
    <row r="136" spans="1:19" x14ac:dyDescent="0.2">
      <c r="A136" s="36" t="s">
        <v>113</v>
      </c>
      <c r="B136" s="6" t="s">
        <v>153</v>
      </c>
      <c r="C136" s="71">
        <v>1500</v>
      </c>
      <c r="D136" s="6">
        <f>(C136/12)*3</f>
        <v>375</v>
      </c>
      <c r="E136" s="62">
        <v>0</v>
      </c>
      <c r="F136" s="6">
        <f>SUM(E134:E136)</f>
        <v>0</v>
      </c>
      <c r="G136" s="35" t="str">
        <f t="shared" si="15"/>
        <v>Farol Vermelho</v>
      </c>
      <c r="H136">
        <f t="shared" si="13"/>
        <v>375</v>
      </c>
      <c r="I136" s="6">
        <f t="shared" si="14"/>
        <v>3</v>
      </c>
      <c r="J136" s="99">
        <v>1</v>
      </c>
      <c r="K136" s="62">
        <v>0</v>
      </c>
      <c r="L136" s="6">
        <f>$L134+L135</f>
        <v>0.25</v>
      </c>
      <c r="M136" s="6">
        <f t="shared" ref="M136:M145" si="28">M135+K136</f>
        <v>0</v>
      </c>
      <c r="N136" s="71">
        <v>0</v>
      </c>
      <c r="O136" t="e">
        <f t="shared" si="16"/>
        <v>#DIV/0!</v>
      </c>
      <c r="P136" s="71">
        <v>0</v>
      </c>
      <c r="Q136" t="e">
        <f t="shared" si="17"/>
        <v>#DIV/0!</v>
      </c>
      <c r="R136" s="71">
        <v>0</v>
      </c>
      <c r="S136" s="6" t="e">
        <f t="shared" si="18"/>
        <v>#DIV/0!</v>
      </c>
    </row>
    <row r="137" spans="1:19" x14ac:dyDescent="0.2">
      <c r="A137" s="36" t="s">
        <v>113</v>
      </c>
      <c r="B137" s="6" t="s">
        <v>154</v>
      </c>
      <c r="C137" s="71">
        <v>1500</v>
      </c>
      <c r="D137" s="6">
        <f>(C137/12)*4</f>
        <v>500</v>
      </c>
      <c r="E137" s="62">
        <v>0</v>
      </c>
      <c r="F137" s="6">
        <f>SUM(E134:E137)</f>
        <v>0</v>
      </c>
      <c r="G137" s="35" t="str">
        <f t="shared" si="15"/>
        <v>Farol Vermelho</v>
      </c>
      <c r="H137">
        <f t="shared" si="13"/>
        <v>500</v>
      </c>
      <c r="I137" s="6">
        <f t="shared" si="14"/>
        <v>4</v>
      </c>
      <c r="J137" s="99">
        <v>1</v>
      </c>
      <c r="K137" s="62">
        <v>0</v>
      </c>
      <c r="L137" s="6">
        <f>$L134+L136</f>
        <v>0.33333333333333331</v>
      </c>
      <c r="M137" s="6">
        <f t="shared" si="28"/>
        <v>0</v>
      </c>
      <c r="N137" s="71">
        <v>0</v>
      </c>
      <c r="O137" t="e">
        <f t="shared" si="16"/>
        <v>#DIV/0!</v>
      </c>
      <c r="P137" s="71">
        <v>0</v>
      </c>
      <c r="Q137" t="e">
        <f t="shared" si="17"/>
        <v>#DIV/0!</v>
      </c>
      <c r="R137" s="71">
        <v>0</v>
      </c>
      <c r="S137" s="6" t="e">
        <f t="shared" si="18"/>
        <v>#DIV/0!</v>
      </c>
    </row>
    <row r="138" spans="1:19" x14ac:dyDescent="0.2">
      <c r="A138" s="36" t="s">
        <v>113</v>
      </c>
      <c r="B138" s="6" t="s">
        <v>155</v>
      </c>
      <c r="C138" s="71">
        <v>1500</v>
      </c>
      <c r="D138" s="6">
        <f>(C138/12)*5</f>
        <v>625</v>
      </c>
      <c r="E138" s="62">
        <v>0</v>
      </c>
      <c r="F138" s="6">
        <f>SUM(E134:E138)</f>
        <v>0</v>
      </c>
      <c r="G138" s="35" t="str">
        <f t="shared" si="15"/>
        <v>Farol Vermelho</v>
      </c>
      <c r="H138">
        <f t="shared" si="13"/>
        <v>625</v>
      </c>
      <c r="I138" s="6">
        <f t="shared" si="14"/>
        <v>5</v>
      </c>
      <c r="J138" s="99">
        <v>1</v>
      </c>
      <c r="K138" s="62">
        <v>0</v>
      </c>
      <c r="L138" s="6">
        <f>L134+L137</f>
        <v>0.41666666666666663</v>
      </c>
      <c r="M138" s="6">
        <f t="shared" si="28"/>
        <v>0</v>
      </c>
      <c r="N138" s="71">
        <v>0</v>
      </c>
      <c r="O138" t="e">
        <f t="shared" si="16"/>
        <v>#DIV/0!</v>
      </c>
      <c r="P138" s="71">
        <v>0</v>
      </c>
      <c r="Q138" t="e">
        <f t="shared" si="17"/>
        <v>#DIV/0!</v>
      </c>
      <c r="R138" s="71">
        <v>0</v>
      </c>
      <c r="S138" s="6" t="e">
        <f t="shared" si="18"/>
        <v>#DIV/0!</v>
      </c>
    </row>
    <row r="139" spans="1:19" x14ac:dyDescent="0.2">
      <c r="A139" s="36" t="s">
        <v>113</v>
      </c>
      <c r="B139" s="6" t="s">
        <v>156</v>
      </c>
      <c r="C139" s="71">
        <v>1500</v>
      </c>
      <c r="D139" s="6">
        <f>(C139/12)*6</f>
        <v>750</v>
      </c>
      <c r="E139" s="62">
        <v>0</v>
      </c>
      <c r="F139" s="6">
        <f>SUM(E134:E139)</f>
        <v>0</v>
      </c>
      <c r="G139" s="35" t="str">
        <f t="shared" si="15"/>
        <v>Farol Vermelho</v>
      </c>
      <c r="H139">
        <f t="shared" si="13"/>
        <v>750</v>
      </c>
      <c r="I139" s="6">
        <f t="shared" si="14"/>
        <v>6</v>
      </c>
      <c r="J139" s="99">
        <v>1</v>
      </c>
      <c r="K139" s="62">
        <v>0</v>
      </c>
      <c r="L139" s="6">
        <f>$L134+L138</f>
        <v>0.49999999999999994</v>
      </c>
      <c r="M139" s="6">
        <f t="shared" si="28"/>
        <v>0</v>
      </c>
      <c r="N139" s="71">
        <v>0</v>
      </c>
      <c r="O139" t="e">
        <f t="shared" si="16"/>
        <v>#DIV/0!</v>
      </c>
      <c r="P139" s="71">
        <v>0</v>
      </c>
      <c r="Q139" t="e">
        <f t="shared" si="17"/>
        <v>#DIV/0!</v>
      </c>
      <c r="R139" s="71">
        <v>0</v>
      </c>
      <c r="S139" s="6" t="e">
        <f t="shared" si="18"/>
        <v>#DIV/0!</v>
      </c>
    </row>
    <row r="140" spans="1:19" x14ac:dyDescent="0.2">
      <c r="A140" s="36" t="s">
        <v>113</v>
      </c>
      <c r="B140" s="6" t="s">
        <v>157</v>
      </c>
      <c r="C140" s="71">
        <v>1500</v>
      </c>
      <c r="D140" s="6">
        <f>(C140/12)*7</f>
        <v>875</v>
      </c>
      <c r="E140" s="62">
        <v>0</v>
      </c>
      <c r="F140" s="6">
        <f>SUM(E134:E140)</f>
        <v>0</v>
      </c>
      <c r="G140" s="35" t="str">
        <f t="shared" si="15"/>
        <v>Farol Vermelho</v>
      </c>
      <c r="H140">
        <f t="shared" si="13"/>
        <v>875</v>
      </c>
      <c r="I140" s="6">
        <f t="shared" si="14"/>
        <v>7</v>
      </c>
      <c r="J140" s="99">
        <v>1</v>
      </c>
      <c r="K140" s="62">
        <v>0</v>
      </c>
      <c r="L140" s="6">
        <f>$L134+L139</f>
        <v>0.58333333333333326</v>
      </c>
      <c r="M140" s="6">
        <f t="shared" si="28"/>
        <v>0</v>
      </c>
      <c r="N140" s="71"/>
      <c r="O140" t="e">
        <f t="shared" si="16"/>
        <v>#DIV/0!</v>
      </c>
      <c r="P140" s="71"/>
      <c r="Q140" t="e">
        <f t="shared" si="17"/>
        <v>#DIV/0!</v>
      </c>
      <c r="R140" s="71"/>
      <c r="S140" s="6" t="e">
        <f t="shared" si="18"/>
        <v>#DIV/0!</v>
      </c>
    </row>
    <row r="141" spans="1:19" x14ac:dyDescent="0.2">
      <c r="A141" s="36" t="s">
        <v>113</v>
      </c>
      <c r="B141" s="6" t="s">
        <v>158</v>
      </c>
      <c r="C141" s="71">
        <v>1500</v>
      </c>
      <c r="D141" s="6">
        <f>(C141/12)*8</f>
        <v>1000</v>
      </c>
      <c r="E141" s="62">
        <v>0</v>
      </c>
      <c r="F141" s="6">
        <f>SUM(E134:E141)</f>
        <v>0</v>
      </c>
      <c r="G141" s="35" t="str">
        <f t="shared" si="15"/>
        <v>Farol Vermelho</v>
      </c>
      <c r="H141">
        <f t="shared" si="13"/>
        <v>1000</v>
      </c>
      <c r="I141" s="6">
        <f t="shared" si="14"/>
        <v>8</v>
      </c>
      <c r="J141" s="99">
        <v>1</v>
      </c>
      <c r="K141" s="62"/>
      <c r="L141" s="6">
        <f>L134+L140</f>
        <v>0.66666666666666663</v>
      </c>
      <c r="M141" s="6">
        <f t="shared" si="28"/>
        <v>0</v>
      </c>
      <c r="N141" s="71"/>
      <c r="O141" t="e">
        <f t="shared" si="16"/>
        <v>#DIV/0!</v>
      </c>
      <c r="P141" s="71"/>
      <c r="Q141" t="e">
        <f t="shared" si="17"/>
        <v>#DIV/0!</v>
      </c>
      <c r="R141" s="71"/>
      <c r="S141" s="6" t="e">
        <f t="shared" si="18"/>
        <v>#DIV/0!</v>
      </c>
    </row>
    <row r="142" spans="1:19" x14ac:dyDescent="0.2">
      <c r="A142" s="36" t="s">
        <v>113</v>
      </c>
      <c r="B142" s="6" t="s">
        <v>159</v>
      </c>
      <c r="C142" s="71">
        <v>1500</v>
      </c>
      <c r="D142" s="6">
        <f>(C142/12)*9</f>
        <v>1125</v>
      </c>
      <c r="E142" s="62">
        <v>0</v>
      </c>
      <c r="F142" s="6">
        <f>SUM(E134:E142)</f>
        <v>0</v>
      </c>
      <c r="G142" s="35" t="str">
        <f t="shared" si="15"/>
        <v>Farol Vermelho</v>
      </c>
      <c r="H142">
        <f t="shared" ref="H142:H205" si="29">IF(D142-F142&lt;0,0,D142-F142)</f>
        <v>1125</v>
      </c>
      <c r="I142" s="6">
        <f t="shared" ref="I142:I205" si="30">_xlfn.IFS(B142="Janeiro",1,B142="Fevereiro",2,B142="Março",3,B142="Abril",4,B142="Maio",5,B142="Junho",6,B142="Julho",7,B142="Agosto",8,B142="Setembro",9,B142="Outubro",10,B142="Novembro",11,B142="Dezembro",12,TRUE,0)</f>
        <v>9</v>
      </c>
      <c r="J142" s="99">
        <v>1</v>
      </c>
      <c r="K142" s="62"/>
      <c r="L142" s="6">
        <f>$L134+L141</f>
        <v>0.75</v>
      </c>
      <c r="M142" s="6">
        <f t="shared" si="28"/>
        <v>0</v>
      </c>
      <c r="N142" s="71"/>
      <c r="O142" t="e">
        <f t="shared" si="16"/>
        <v>#DIV/0!</v>
      </c>
      <c r="P142" s="71"/>
      <c r="Q142" t="e">
        <f t="shared" si="17"/>
        <v>#DIV/0!</v>
      </c>
      <c r="R142" s="71"/>
      <c r="S142" s="6" t="e">
        <f t="shared" si="18"/>
        <v>#DIV/0!</v>
      </c>
    </row>
    <row r="143" spans="1:19" x14ac:dyDescent="0.2">
      <c r="A143" s="36" t="s">
        <v>113</v>
      </c>
      <c r="B143" s="6" t="s">
        <v>160</v>
      </c>
      <c r="C143" s="71">
        <v>1500</v>
      </c>
      <c r="D143" s="6">
        <f>(C143/12)*10</f>
        <v>1250</v>
      </c>
      <c r="E143" s="62">
        <v>0</v>
      </c>
      <c r="F143" s="6">
        <f>SUM(E134:E143)</f>
        <v>0</v>
      </c>
      <c r="G143" s="35" t="str">
        <f t="shared" ref="G143:G206" si="31">_xlfn.IFS(F143&gt;D143,"Farol Verde",F143&gt;=D143*0.85,"Farol Amarelo",F143&lt;D143*0.85,"Farol Vermelho","Verdadeiro",0)</f>
        <v>Farol Vermelho</v>
      </c>
      <c r="H143">
        <f t="shared" si="29"/>
        <v>1250</v>
      </c>
      <c r="I143" s="6">
        <f t="shared" si="30"/>
        <v>10</v>
      </c>
      <c r="J143" s="99">
        <v>1</v>
      </c>
      <c r="K143" s="62"/>
      <c r="L143" s="6">
        <f>$L134+L142</f>
        <v>0.83333333333333337</v>
      </c>
      <c r="M143" s="6">
        <f t="shared" si="28"/>
        <v>0</v>
      </c>
      <c r="N143" s="71"/>
      <c r="O143" t="e">
        <f t="shared" ref="O143:O206" si="32">P143/N143</f>
        <v>#DIV/0!</v>
      </c>
      <c r="P143" s="71"/>
      <c r="Q143" t="e">
        <f t="shared" ref="Q143:Q206" si="33">R143/P143</f>
        <v>#DIV/0!</v>
      </c>
      <c r="R143" s="71"/>
      <c r="S143" s="6" t="e">
        <f t="shared" ref="S143:S206" si="34">R143/N143</f>
        <v>#DIV/0!</v>
      </c>
    </row>
    <row r="144" spans="1:19" x14ac:dyDescent="0.2">
      <c r="A144" s="36" t="s">
        <v>113</v>
      </c>
      <c r="B144" s="6" t="s">
        <v>161</v>
      </c>
      <c r="C144" s="71">
        <v>1500</v>
      </c>
      <c r="D144" s="6">
        <f>(C144/12)*11</f>
        <v>1375</v>
      </c>
      <c r="E144" s="62">
        <v>0</v>
      </c>
      <c r="F144" s="6">
        <f>SUM(E134:E144)</f>
        <v>0</v>
      </c>
      <c r="G144" s="35" t="str">
        <f t="shared" si="31"/>
        <v>Farol Vermelho</v>
      </c>
      <c r="H144">
        <f t="shared" si="29"/>
        <v>1375</v>
      </c>
      <c r="I144" s="6">
        <f t="shared" si="30"/>
        <v>11</v>
      </c>
      <c r="J144" s="99">
        <v>1</v>
      </c>
      <c r="K144" s="62"/>
      <c r="L144" s="6">
        <f>L134+L143</f>
        <v>0.91666666666666674</v>
      </c>
      <c r="M144" s="6">
        <f t="shared" si="28"/>
        <v>0</v>
      </c>
      <c r="N144" s="71"/>
      <c r="O144" t="e">
        <f t="shared" si="32"/>
        <v>#DIV/0!</v>
      </c>
      <c r="P144" s="71"/>
      <c r="Q144" t="e">
        <f t="shared" si="33"/>
        <v>#DIV/0!</v>
      </c>
      <c r="R144" s="71"/>
      <c r="S144" s="6" t="e">
        <f t="shared" si="34"/>
        <v>#DIV/0!</v>
      </c>
    </row>
    <row r="145" spans="1:19" x14ac:dyDescent="0.2">
      <c r="A145" s="36" t="s">
        <v>113</v>
      </c>
      <c r="B145" s="6" t="s">
        <v>162</v>
      </c>
      <c r="C145" s="71">
        <v>1500</v>
      </c>
      <c r="D145" s="6">
        <f>(C145/12)*12</f>
        <v>1500</v>
      </c>
      <c r="E145" s="62">
        <v>0</v>
      </c>
      <c r="F145" s="6">
        <f>SUM(E134:E145)</f>
        <v>0</v>
      </c>
      <c r="G145" s="35" t="str">
        <f t="shared" si="31"/>
        <v>Farol Vermelho</v>
      </c>
      <c r="H145">
        <f t="shared" si="29"/>
        <v>1500</v>
      </c>
      <c r="I145" s="6">
        <f t="shared" si="30"/>
        <v>12</v>
      </c>
      <c r="J145" s="99">
        <v>1</v>
      </c>
      <c r="K145" s="62"/>
      <c r="L145" s="6">
        <f>$L134+L144</f>
        <v>1</v>
      </c>
      <c r="M145" s="6">
        <f t="shared" si="28"/>
        <v>0</v>
      </c>
      <c r="N145" s="71"/>
      <c r="O145" t="e">
        <f t="shared" si="32"/>
        <v>#DIV/0!</v>
      </c>
      <c r="P145" s="71"/>
      <c r="Q145" t="e">
        <f t="shared" si="33"/>
        <v>#DIV/0!</v>
      </c>
      <c r="R145" s="71"/>
      <c r="S145" s="6" t="e">
        <f t="shared" si="34"/>
        <v>#DIV/0!</v>
      </c>
    </row>
    <row r="146" spans="1:19" x14ac:dyDescent="0.2">
      <c r="A146" s="36" t="s">
        <v>117</v>
      </c>
      <c r="B146" s="6" t="s">
        <v>151</v>
      </c>
      <c r="C146" s="71">
        <v>37047.75</v>
      </c>
      <c r="D146" s="6">
        <f>(C146/12)*1</f>
        <v>3087.3125</v>
      </c>
      <c r="E146" s="62">
        <v>100</v>
      </c>
      <c r="F146" s="6">
        <f>E146</f>
        <v>100</v>
      </c>
      <c r="G146" s="35" t="str">
        <f t="shared" si="31"/>
        <v>Farol Vermelho</v>
      </c>
      <c r="H146">
        <f t="shared" si="29"/>
        <v>2987.3125</v>
      </c>
      <c r="I146" s="6">
        <f t="shared" si="30"/>
        <v>1</v>
      </c>
      <c r="J146" s="99">
        <v>27</v>
      </c>
      <c r="K146" s="62">
        <v>0</v>
      </c>
      <c r="L146" s="6">
        <f>J146/12</f>
        <v>2.25</v>
      </c>
      <c r="M146" s="6">
        <f>K146</f>
        <v>0</v>
      </c>
      <c r="N146" s="71">
        <v>0</v>
      </c>
      <c r="O146" t="e">
        <f t="shared" si="32"/>
        <v>#DIV/0!</v>
      </c>
      <c r="P146" s="71">
        <v>0</v>
      </c>
      <c r="Q146" t="e">
        <f t="shared" si="33"/>
        <v>#DIV/0!</v>
      </c>
      <c r="R146" s="71">
        <v>0</v>
      </c>
      <c r="S146" s="6" t="e">
        <f t="shared" si="34"/>
        <v>#DIV/0!</v>
      </c>
    </row>
    <row r="147" spans="1:19" x14ac:dyDescent="0.2">
      <c r="A147" s="36" t="s">
        <v>117</v>
      </c>
      <c r="B147" s="6" t="s">
        <v>152</v>
      </c>
      <c r="C147" s="71">
        <v>37047.75</v>
      </c>
      <c r="D147" s="6">
        <f>(C147/12)*2</f>
        <v>6174.625</v>
      </c>
      <c r="E147" s="62">
        <v>1425.88</v>
      </c>
      <c r="F147" s="6">
        <f>SUM(E146:E147)</f>
        <v>1525.88</v>
      </c>
      <c r="G147" s="35" t="str">
        <f t="shared" si="31"/>
        <v>Farol Vermelho</v>
      </c>
      <c r="H147">
        <f t="shared" si="29"/>
        <v>4648.7449999999999</v>
      </c>
      <c r="I147" s="6">
        <f t="shared" si="30"/>
        <v>2</v>
      </c>
      <c r="J147" s="99">
        <v>27</v>
      </c>
      <c r="K147" s="62">
        <v>1</v>
      </c>
      <c r="L147" s="6">
        <f>L146+L146</f>
        <v>4.5</v>
      </c>
      <c r="M147" s="6">
        <f>M146+K147</f>
        <v>1</v>
      </c>
      <c r="N147" s="71">
        <v>0</v>
      </c>
      <c r="O147" t="e">
        <f t="shared" si="32"/>
        <v>#DIV/0!</v>
      </c>
      <c r="P147" s="71">
        <v>0</v>
      </c>
      <c r="Q147" t="e">
        <f t="shared" si="33"/>
        <v>#DIV/0!</v>
      </c>
      <c r="R147" s="71">
        <v>0</v>
      </c>
      <c r="S147" s="6" t="e">
        <f t="shared" si="34"/>
        <v>#DIV/0!</v>
      </c>
    </row>
    <row r="148" spans="1:19" x14ac:dyDescent="0.2">
      <c r="A148" s="36" t="s">
        <v>117</v>
      </c>
      <c r="B148" s="6" t="s">
        <v>153</v>
      </c>
      <c r="C148" s="71">
        <v>37047.75</v>
      </c>
      <c r="D148" s="6">
        <f>(C148/12)*3</f>
        <v>9261.9375</v>
      </c>
      <c r="E148" s="62">
        <v>113</v>
      </c>
      <c r="F148" s="6">
        <f>SUM(E146:E148)</f>
        <v>1638.88</v>
      </c>
      <c r="G148" s="35" t="str">
        <f t="shared" si="31"/>
        <v>Farol Vermelho</v>
      </c>
      <c r="H148">
        <f t="shared" si="29"/>
        <v>7623.0574999999999</v>
      </c>
      <c r="I148" s="6">
        <f t="shared" si="30"/>
        <v>3</v>
      </c>
      <c r="J148" s="99">
        <v>27</v>
      </c>
      <c r="K148" s="62">
        <v>2</v>
      </c>
      <c r="L148" s="6">
        <f>$L146+L147</f>
        <v>6.75</v>
      </c>
      <c r="M148" s="6">
        <f t="shared" ref="M148:M157" si="35">M147+K148</f>
        <v>3</v>
      </c>
      <c r="N148" s="71">
        <v>0</v>
      </c>
      <c r="O148" t="e">
        <f t="shared" si="32"/>
        <v>#DIV/0!</v>
      </c>
      <c r="P148" s="71">
        <v>0</v>
      </c>
      <c r="Q148" t="e">
        <f t="shared" si="33"/>
        <v>#DIV/0!</v>
      </c>
      <c r="R148" s="71">
        <v>0</v>
      </c>
      <c r="S148" s="6" t="e">
        <f t="shared" si="34"/>
        <v>#DIV/0!</v>
      </c>
    </row>
    <row r="149" spans="1:19" x14ac:dyDescent="0.2">
      <c r="A149" s="36" t="s">
        <v>117</v>
      </c>
      <c r="B149" s="6" t="s">
        <v>154</v>
      </c>
      <c r="C149" s="71">
        <v>37047.75</v>
      </c>
      <c r="D149" s="6">
        <f>(C149/12)*4</f>
        <v>12349.25</v>
      </c>
      <c r="E149" s="62">
        <v>1445</v>
      </c>
      <c r="F149" s="6">
        <f>SUM(E146:E149)</f>
        <v>3083.88</v>
      </c>
      <c r="G149" s="35" t="str">
        <f t="shared" si="31"/>
        <v>Farol Vermelho</v>
      </c>
      <c r="H149">
        <f t="shared" si="29"/>
        <v>9265.369999999999</v>
      </c>
      <c r="I149" s="6">
        <f t="shared" si="30"/>
        <v>4</v>
      </c>
      <c r="J149" s="99">
        <v>27</v>
      </c>
      <c r="K149" s="62">
        <v>1</v>
      </c>
      <c r="L149" s="6">
        <f>$L146+L148</f>
        <v>9</v>
      </c>
      <c r="M149" s="6">
        <f t="shared" si="35"/>
        <v>4</v>
      </c>
      <c r="N149" s="71">
        <v>0</v>
      </c>
      <c r="O149" t="e">
        <f t="shared" si="32"/>
        <v>#DIV/0!</v>
      </c>
      <c r="P149" s="71">
        <v>0</v>
      </c>
      <c r="Q149" t="e">
        <f t="shared" si="33"/>
        <v>#DIV/0!</v>
      </c>
      <c r="R149" s="71">
        <v>0</v>
      </c>
      <c r="S149" s="6" t="e">
        <f t="shared" si="34"/>
        <v>#DIV/0!</v>
      </c>
    </row>
    <row r="150" spans="1:19" x14ac:dyDescent="0.2">
      <c r="A150" s="36" t="s">
        <v>117</v>
      </c>
      <c r="B150" s="6" t="s">
        <v>155</v>
      </c>
      <c r="C150" s="71">
        <v>37047.75</v>
      </c>
      <c r="D150" s="6">
        <f>(C150/12)*5</f>
        <v>15436.5625</v>
      </c>
      <c r="E150" s="62">
        <v>1884</v>
      </c>
      <c r="F150" s="6">
        <f>SUM(E146:E150)</f>
        <v>4967.88</v>
      </c>
      <c r="G150" s="35" t="str">
        <f t="shared" si="31"/>
        <v>Farol Vermelho</v>
      </c>
      <c r="H150">
        <f t="shared" si="29"/>
        <v>10468.682499999999</v>
      </c>
      <c r="I150" s="6">
        <f t="shared" si="30"/>
        <v>5</v>
      </c>
      <c r="J150" s="99">
        <v>27</v>
      </c>
      <c r="K150" s="62">
        <v>2</v>
      </c>
      <c r="L150" s="6">
        <f>L146+L149</f>
        <v>11.25</v>
      </c>
      <c r="M150" s="6">
        <f t="shared" si="35"/>
        <v>6</v>
      </c>
      <c r="N150" s="71">
        <v>11</v>
      </c>
      <c r="O150">
        <f t="shared" si="32"/>
        <v>0.54545454545454541</v>
      </c>
      <c r="P150" s="71">
        <v>6</v>
      </c>
      <c r="Q150">
        <f t="shared" si="33"/>
        <v>0.5</v>
      </c>
      <c r="R150" s="71">
        <v>3</v>
      </c>
      <c r="S150" s="6">
        <f t="shared" si="34"/>
        <v>0.27272727272727271</v>
      </c>
    </row>
    <row r="151" spans="1:19" x14ac:dyDescent="0.2">
      <c r="A151" s="36" t="s">
        <v>117</v>
      </c>
      <c r="B151" s="6" t="s">
        <v>156</v>
      </c>
      <c r="C151" s="71">
        <v>37047.75</v>
      </c>
      <c r="D151" s="6">
        <f>(C151/12)*6</f>
        <v>18523.875</v>
      </c>
      <c r="E151" s="62">
        <v>4630</v>
      </c>
      <c r="F151" s="6">
        <f>SUM(E146:E151)</f>
        <v>9597.880000000001</v>
      </c>
      <c r="G151" s="35" t="str">
        <f t="shared" si="31"/>
        <v>Farol Vermelho</v>
      </c>
      <c r="H151">
        <f t="shared" si="29"/>
        <v>8925.994999999999</v>
      </c>
      <c r="I151" s="6">
        <f t="shared" si="30"/>
        <v>6</v>
      </c>
      <c r="J151" s="99">
        <v>27</v>
      </c>
      <c r="K151" s="62">
        <v>5</v>
      </c>
      <c r="L151" s="6">
        <f>$L146+L150</f>
        <v>13.5</v>
      </c>
      <c r="M151" s="6">
        <f t="shared" si="35"/>
        <v>11</v>
      </c>
      <c r="N151" s="71">
        <v>17</v>
      </c>
      <c r="O151">
        <f t="shared" si="32"/>
        <v>0.94117647058823528</v>
      </c>
      <c r="P151" s="71">
        <v>16</v>
      </c>
      <c r="Q151">
        <f t="shared" si="33"/>
        <v>0.1875</v>
      </c>
      <c r="R151" s="71">
        <v>3</v>
      </c>
      <c r="S151" s="6">
        <f t="shared" si="34"/>
        <v>0.17647058823529413</v>
      </c>
    </row>
    <row r="152" spans="1:19" x14ac:dyDescent="0.2">
      <c r="A152" s="36" t="s">
        <v>117</v>
      </c>
      <c r="B152" s="6" t="s">
        <v>157</v>
      </c>
      <c r="C152" s="71">
        <v>37047.75</v>
      </c>
      <c r="D152" s="6">
        <f>(C152/12)*7</f>
        <v>21611.1875</v>
      </c>
      <c r="E152" s="62">
        <v>0</v>
      </c>
      <c r="F152" s="6">
        <f>SUM(E146:E152)</f>
        <v>9597.880000000001</v>
      </c>
      <c r="G152" s="35" t="str">
        <f t="shared" si="31"/>
        <v>Farol Vermelho</v>
      </c>
      <c r="H152">
        <f t="shared" si="29"/>
        <v>12013.307499999999</v>
      </c>
      <c r="I152" s="6">
        <f t="shared" si="30"/>
        <v>7</v>
      </c>
      <c r="J152" s="99">
        <v>27</v>
      </c>
      <c r="K152" s="62">
        <v>4</v>
      </c>
      <c r="L152" s="6">
        <f>$L146+L151</f>
        <v>15.75</v>
      </c>
      <c r="M152" s="6">
        <f t="shared" si="35"/>
        <v>15</v>
      </c>
      <c r="N152" s="71"/>
      <c r="O152" t="e">
        <f t="shared" si="32"/>
        <v>#DIV/0!</v>
      </c>
      <c r="P152" s="71"/>
      <c r="Q152" t="e">
        <f t="shared" si="33"/>
        <v>#DIV/0!</v>
      </c>
      <c r="R152" s="71"/>
      <c r="S152" s="6" t="e">
        <f t="shared" si="34"/>
        <v>#DIV/0!</v>
      </c>
    </row>
    <row r="153" spans="1:19" x14ac:dyDescent="0.2">
      <c r="A153" s="36" t="s">
        <v>117</v>
      </c>
      <c r="B153" s="6" t="s">
        <v>158</v>
      </c>
      <c r="C153" s="71">
        <v>37047.75</v>
      </c>
      <c r="D153" s="6">
        <f>(C153/12)*8</f>
        <v>24698.5</v>
      </c>
      <c r="E153" s="62">
        <v>0</v>
      </c>
      <c r="F153" s="6">
        <f>SUM(E146:E153)</f>
        <v>9597.880000000001</v>
      </c>
      <c r="G153" s="35" t="str">
        <f t="shared" si="31"/>
        <v>Farol Vermelho</v>
      </c>
      <c r="H153">
        <f t="shared" si="29"/>
        <v>15100.619999999999</v>
      </c>
      <c r="I153" s="6">
        <f t="shared" si="30"/>
        <v>8</v>
      </c>
      <c r="J153" s="99">
        <v>27</v>
      </c>
      <c r="K153" s="62"/>
      <c r="L153" s="6">
        <f>L146+L152</f>
        <v>18</v>
      </c>
      <c r="M153" s="6">
        <f t="shared" si="35"/>
        <v>15</v>
      </c>
      <c r="N153" s="71"/>
      <c r="O153" t="e">
        <f t="shared" si="32"/>
        <v>#DIV/0!</v>
      </c>
      <c r="P153" s="71"/>
      <c r="Q153" t="e">
        <f t="shared" si="33"/>
        <v>#DIV/0!</v>
      </c>
      <c r="R153" s="71"/>
      <c r="S153" s="6" t="e">
        <f t="shared" si="34"/>
        <v>#DIV/0!</v>
      </c>
    </row>
    <row r="154" spans="1:19" x14ac:dyDescent="0.2">
      <c r="A154" s="36" t="s">
        <v>117</v>
      </c>
      <c r="B154" s="6" t="s">
        <v>159</v>
      </c>
      <c r="C154" s="71">
        <v>37047.75</v>
      </c>
      <c r="D154" s="6">
        <f>(C154/12)*9</f>
        <v>27785.8125</v>
      </c>
      <c r="E154" s="62">
        <v>0</v>
      </c>
      <c r="F154" s="6">
        <f>SUM(E146:E154)</f>
        <v>9597.880000000001</v>
      </c>
      <c r="G154" s="35" t="str">
        <f t="shared" si="31"/>
        <v>Farol Vermelho</v>
      </c>
      <c r="H154">
        <f t="shared" si="29"/>
        <v>18187.932499999999</v>
      </c>
      <c r="I154" s="6">
        <f t="shared" si="30"/>
        <v>9</v>
      </c>
      <c r="J154" s="99">
        <v>27</v>
      </c>
      <c r="K154" s="62"/>
      <c r="L154" s="6">
        <f>$L146+L153</f>
        <v>20.25</v>
      </c>
      <c r="M154" s="6">
        <f t="shared" si="35"/>
        <v>15</v>
      </c>
      <c r="N154" s="71"/>
      <c r="O154" t="e">
        <f t="shared" si="32"/>
        <v>#DIV/0!</v>
      </c>
      <c r="P154" s="71"/>
      <c r="Q154" t="e">
        <f t="shared" si="33"/>
        <v>#DIV/0!</v>
      </c>
      <c r="R154" s="71"/>
      <c r="S154" s="6" t="e">
        <f t="shared" si="34"/>
        <v>#DIV/0!</v>
      </c>
    </row>
    <row r="155" spans="1:19" x14ac:dyDescent="0.2">
      <c r="A155" s="36" t="s">
        <v>117</v>
      </c>
      <c r="B155" s="6" t="s">
        <v>160</v>
      </c>
      <c r="C155" s="71">
        <v>37047.75</v>
      </c>
      <c r="D155" s="6">
        <f>(C155/12)*10</f>
        <v>30873.125</v>
      </c>
      <c r="E155" s="62">
        <v>0</v>
      </c>
      <c r="F155" s="6">
        <f>SUM(E146:E155)</f>
        <v>9597.880000000001</v>
      </c>
      <c r="G155" s="35" t="str">
        <f t="shared" si="31"/>
        <v>Farol Vermelho</v>
      </c>
      <c r="H155">
        <f t="shared" si="29"/>
        <v>21275.244999999999</v>
      </c>
      <c r="I155" s="6">
        <f t="shared" si="30"/>
        <v>10</v>
      </c>
      <c r="J155" s="99">
        <v>27</v>
      </c>
      <c r="K155" s="62"/>
      <c r="L155" s="6">
        <f>$L146+L154</f>
        <v>22.5</v>
      </c>
      <c r="M155" s="6">
        <f t="shared" si="35"/>
        <v>15</v>
      </c>
      <c r="N155" s="71"/>
      <c r="O155" t="e">
        <f t="shared" si="32"/>
        <v>#DIV/0!</v>
      </c>
      <c r="P155" s="71"/>
      <c r="Q155" t="e">
        <f t="shared" si="33"/>
        <v>#DIV/0!</v>
      </c>
      <c r="R155" s="71"/>
      <c r="S155" s="6" t="e">
        <f t="shared" si="34"/>
        <v>#DIV/0!</v>
      </c>
    </row>
    <row r="156" spans="1:19" x14ac:dyDescent="0.2">
      <c r="A156" s="36" t="s">
        <v>117</v>
      </c>
      <c r="B156" s="6" t="s">
        <v>161</v>
      </c>
      <c r="C156" s="71">
        <v>37047.75</v>
      </c>
      <c r="D156" s="6">
        <f>(C156/12)*11</f>
        <v>33960.4375</v>
      </c>
      <c r="E156" s="62">
        <v>0</v>
      </c>
      <c r="F156" s="6">
        <f>SUM(E146:E156)</f>
        <v>9597.880000000001</v>
      </c>
      <c r="G156" s="35" t="str">
        <f t="shared" si="31"/>
        <v>Farol Vermelho</v>
      </c>
      <c r="H156">
        <f t="shared" si="29"/>
        <v>24362.557499999999</v>
      </c>
      <c r="I156" s="6">
        <f t="shared" si="30"/>
        <v>11</v>
      </c>
      <c r="J156" s="99">
        <v>27</v>
      </c>
      <c r="K156" s="62"/>
      <c r="L156" s="6">
        <f>L146+L155</f>
        <v>24.75</v>
      </c>
      <c r="M156" s="6">
        <f t="shared" si="35"/>
        <v>15</v>
      </c>
      <c r="N156" s="71"/>
      <c r="O156" t="e">
        <f t="shared" si="32"/>
        <v>#DIV/0!</v>
      </c>
      <c r="P156" s="71"/>
      <c r="Q156" t="e">
        <f t="shared" si="33"/>
        <v>#DIV/0!</v>
      </c>
      <c r="R156" s="71"/>
      <c r="S156" s="6" t="e">
        <f t="shared" si="34"/>
        <v>#DIV/0!</v>
      </c>
    </row>
    <row r="157" spans="1:19" x14ac:dyDescent="0.2">
      <c r="A157" s="36" t="s">
        <v>117</v>
      </c>
      <c r="B157" s="6" t="s">
        <v>162</v>
      </c>
      <c r="C157" s="71">
        <v>37047.75</v>
      </c>
      <c r="D157" s="6">
        <f>(C157/12)*12</f>
        <v>37047.75</v>
      </c>
      <c r="E157" s="62">
        <v>0</v>
      </c>
      <c r="F157" s="6">
        <f>SUM(E146:E157)</f>
        <v>9597.880000000001</v>
      </c>
      <c r="G157" s="35" t="str">
        <f t="shared" si="31"/>
        <v>Farol Vermelho</v>
      </c>
      <c r="H157">
        <f t="shared" si="29"/>
        <v>27449.87</v>
      </c>
      <c r="I157" s="6">
        <f t="shared" si="30"/>
        <v>12</v>
      </c>
      <c r="J157" s="99">
        <v>27</v>
      </c>
      <c r="K157" s="62"/>
      <c r="L157" s="6">
        <f>$L146+L156</f>
        <v>27</v>
      </c>
      <c r="M157" s="6">
        <f t="shared" si="35"/>
        <v>15</v>
      </c>
      <c r="N157" s="71"/>
      <c r="O157" t="e">
        <f t="shared" si="32"/>
        <v>#DIV/0!</v>
      </c>
      <c r="P157" s="71"/>
      <c r="Q157" t="e">
        <f t="shared" si="33"/>
        <v>#DIV/0!</v>
      </c>
      <c r="R157" s="71"/>
      <c r="S157" s="6" t="e">
        <f t="shared" si="34"/>
        <v>#DIV/0!</v>
      </c>
    </row>
    <row r="158" spans="1:19" x14ac:dyDescent="0.2">
      <c r="A158" s="36" t="s">
        <v>99</v>
      </c>
      <c r="B158" s="6" t="s">
        <v>151</v>
      </c>
      <c r="C158" s="71">
        <v>7200</v>
      </c>
      <c r="D158" s="6">
        <f>(C158/12)*1</f>
        <v>600</v>
      </c>
      <c r="E158" s="62">
        <v>60</v>
      </c>
      <c r="F158" s="6">
        <f>E158</f>
        <v>60</v>
      </c>
      <c r="G158" s="35" t="str">
        <f t="shared" si="31"/>
        <v>Farol Vermelho</v>
      </c>
      <c r="H158">
        <f t="shared" si="29"/>
        <v>540</v>
      </c>
      <c r="I158" s="6">
        <f t="shared" si="30"/>
        <v>1</v>
      </c>
      <c r="J158" s="99">
        <v>20</v>
      </c>
      <c r="K158" s="62">
        <v>1</v>
      </c>
      <c r="L158" s="6">
        <f>J158/12</f>
        <v>1.6666666666666667</v>
      </c>
      <c r="M158" s="6">
        <f>K158</f>
        <v>1</v>
      </c>
      <c r="N158" s="71">
        <v>0</v>
      </c>
      <c r="O158" t="e">
        <f t="shared" si="32"/>
        <v>#DIV/0!</v>
      </c>
      <c r="P158" s="71">
        <v>0</v>
      </c>
      <c r="Q158" t="e">
        <f t="shared" si="33"/>
        <v>#DIV/0!</v>
      </c>
      <c r="R158" s="71">
        <v>0</v>
      </c>
      <c r="S158" s="6" t="e">
        <f t="shared" si="34"/>
        <v>#DIV/0!</v>
      </c>
    </row>
    <row r="159" spans="1:19" x14ac:dyDescent="0.2">
      <c r="A159" s="36" t="s">
        <v>99</v>
      </c>
      <c r="B159" s="6" t="s">
        <v>152</v>
      </c>
      <c r="C159" s="71">
        <v>7200</v>
      </c>
      <c r="D159" s="6">
        <f>(C159/12)*2</f>
        <v>1200</v>
      </c>
      <c r="E159" s="62">
        <v>0</v>
      </c>
      <c r="F159" s="6">
        <f>SUM(E158:E159)</f>
        <v>60</v>
      </c>
      <c r="G159" s="35" t="str">
        <f t="shared" si="31"/>
        <v>Farol Vermelho</v>
      </c>
      <c r="H159">
        <f t="shared" si="29"/>
        <v>1140</v>
      </c>
      <c r="I159" s="6">
        <f t="shared" si="30"/>
        <v>2</v>
      </c>
      <c r="J159" s="99">
        <v>20</v>
      </c>
      <c r="K159" s="62">
        <v>0</v>
      </c>
      <c r="L159" s="6">
        <f>L158+L158</f>
        <v>3.3333333333333335</v>
      </c>
      <c r="M159" s="6">
        <f>M158+K159</f>
        <v>1</v>
      </c>
      <c r="N159" s="71">
        <v>0</v>
      </c>
      <c r="O159" t="e">
        <f t="shared" si="32"/>
        <v>#DIV/0!</v>
      </c>
      <c r="P159" s="71">
        <v>0</v>
      </c>
      <c r="Q159" t="e">
        <f t="shared" si="33"/>
        <v>#DIV/0!</v>
      </c>
      <c r="R159" s="71">
        <v>0</v>
      </c>
      <c r="S159" s="6" t="e">
        <f t="shared" si="34"/>
        <v>#DIV/0!</v>
      </c>
    </row>
    <row r="160" spans="1:19" x14ac:dyDescent="0.2">
      <c r="A160" s="36" t="s">
        <v>99</v>
      </c>
      <c r="B160" s="6" t="s">
        <v>153</v>
      </c>
      <c r="C160" s="71">
        <v>7200</v>
      </c>
      <c r="D160" s="6">
        <f>(C160/12)*3</f>
        <v>1800</v>
      </c>
      <c r="E160" s="62">
        <v>0</v>
      </c>
      <c r="F160" s="6">
        <f>SUM(E158:E160)</f>
        <v>60</v>
      </c>
      <c r="G160" s="35" t="str">
        <f t="shared" si="31"/>
        <v>Farol Vermelho</v>
      </c>
      <c r="H160">
        <f t="shared" si="29"/>
        <v>1740</v>
      </c>
      <c r="I160" s="6">
        <f t="shared" si="30"/>
        <v>3</v>
      </c>
      <c r="J160" s="99">
        <v>20</v>
      </c>
      <c r="K160" s="62">
        <v>0</v>
      </c>
      <c r="L160" s="6">
        <f>$L158+L159</f>
        <v>5</v>
      </c>
      <c r="M160" s="6">
        <f t="shared" ref="M160:M169" si="36">M159+K160</f>
        <v>1</v>
      </c>
      <c r="N160" s="71">
        <v>0</v>
      </c>
      <c r="O160" t="e">
        <f t="shared" si="32"/>
        <v>#DIV/0!</v>
      </c>
      <c r="P160" s="71">
        <v>0</v>
      </c>
      <c r="Q160" t="e">
        <f t="shared" si="33"/>
        <v>#DIV/0!</v>
      </c>
      <c r="R160" s="71">
        <v>0</v>
      </c>
      <c r="S160" s="6" t="e">
        <f t="shared" si="34"/>
        <v>#DIV/0!</v>
      </c>
    </row>
    <row r="161" spans="1:19" x14ac:dyDescent="0.2">
      <c r="A161" s="36" t="s">
        <v>99</v>
      </c>
      <c r="B161" s="6" t="s">
        <v>154</v>
      </c>
      <c r="C161" s="71">
        <v>7200</v>
      </c>
      <c r="D161" s="6">
        <f>(C161/12)*4</f>
        <v>2400</v>
      </c>
      <c r="E161" s="62">
        <v>245</v>
      </c>
      <c r="F161" s="6">
        <f>SUM(E158:E161)</f>
        <v>305</v>
      </c>
      <c r="G161" s="35" t="str">
        <f t="shared" si="31"/>
        <v>Farol Vermelho</v>
      </c>
      <c r="H161">
        <f t="shared" si="29"/>
        <v>2095</v>
      </c>
      <c r="I161" s="6">
        <f t="shared" si="30"/>
        <v>4</v>
      </c>
      <c r="J161" s="99">
        <v>20</v>
      </c>
      <c r="K161" s="62">
        <v>4</v>
      </c>
      <c r="L161" s="6">
        <f>$L158+L160</f>
        <v>6.666666666666667</v>
      </c>
      <c r="M161" s="6">
        <f t="shared" si="36"/>
        <v>5</v>
      </c>
      <c r="N161" s="71">
        <v>0</v>
      </c>
      <c r="O161" t="e">
        <f t="shared" si="32"/>
        <v>#DIV/0!</v>
      </c>
      <c r="P161" s="71">
        <v>0</v>
      </c>
      <c r="Q161" t="e">
        <f t="shared" si="33"/>
        <v>#DIV/0!</v>
      </c>
      <c r="R161" s="71">
        <v>0</v>
      </c>
      <c r="S161" s="6" t="e">
        <f t="shared" si="34"/>
        <v>#DIV/0!</v>
      </c>
    </row>
    <row r="162" spans="1:19" x14ac:dyDescent="0.2">
      <c r="A162" s="36" t="s">
        <v>99</v>
      </c>
      <c r="B162" s="6" t="s">
        <v>155</v>
      </c>
      <c r="C162" s="71">
        <v>7200</v>
      </c>
      <c r="D162" s="6">
        <f>(C162/12)*5</f>
        <v>3000</v>
      </c>
      <c r="E162" s="62">
        <v>577.5</v>
      </c>
      <c r="F162" s="6">
        <f>SUM(E158:E162)</f>
        <v>882.5</v>
      </c>
      <c r="G162" s="35" t="str">
        <f t="shared" si="31"/>
        <v>Farol Vermelho</v>
      </c>
      <c r="H162">
        <f t="shared" si="29"/>
        <v>2117.5</v>
      </c>
      <c r="I162" s="6">
        <f t="shared" si="30"/>
        <v>5</v>
      </c>
      <c r="J162" s="99">
        <v>20</v>
      </c>
      <c r="K162" s="62">
        <v>4</v>
      </c>
      <c r="L162" s="6">
        <f>L158+L161</f>
        <v>8.3333333333333339</v>
      </c>
      <c r="M162" s="6">
        <f t="shared" si="36"/>
        <v>9</v>
      </c>
      <c r="N162" s="71">
        <v>0</v>
      </c>
      <c r="O162" t="e">
        <f t="shared" si="32"/>
        <v>#DIV/0!</v>
      </c>
      <c r="P162" s="71">
        <v>0</v>
      </c>
      <c r="Q162" t="e">
        <f t="shared" si="33"/>
        <v>#DIV/0!</v>
      </c>
      <c r="R162" s="71">
        <v>0</v>
      </c>
      <c r="S162" s="6" t="e">
        <f t="shared" si="34"/>
        <v>#DIV/0!</v>
      </c>
    </row>
    <row r="163" spans="1:19" x14ac:dyDescent="0.2">
      <c r="A163" s="36" t="s">
        <v>99</v>
      </c>
      <c r="B163" s="6" t="s">
        <v>156</v>
      </c>
      <c r="C163" s="71">
        <v>7200</v>
      </c>
      <c r="D163" s="6">
        <f>(C163/12)*6</f>
        <v>3600</v>
      </c>
      <c r="E163" s="62">
        <v>350</v>
      </c>
      <c r="F163" s="6">
        <f>SUM(E158:E163)</f>
        <v>1232.5</v>
      </c>
      <c r="G163" s="35" t="str">
        <f t="shared" si="31"/>
        <v>Farol Vermelho</v>
      </c>
      <c r="H163">
        <f t="shared" si="29"/>
        <v>2367.5</v>
      </c>
      <c r="I163" s="6">
        <f t="shared" si="30"/>
        <v>6</v>
      </c>
      <c r="J163" s="99">
        <v>20</v>
      </c>
      <c r="K163" s="62">
        <v>2</v>
      </c>
      <c r="L163" s="6">
        <f>$L158+L162</f>
        <v>10</v>
      </c>
      <c r="M163" s="6">
        <f t="shared" si="36"/>
        <v>11</v>
      </c>
      <c r="N163" s="71">
        <v>8</v>
      </c>
      <c r="O163">
        <f t="shared" si="32"/>
        <v>0.25</v>
      </c>
      <c r="P163" s="71">
        <v>2</v>
      </c>
      <c r="Q163">
        <f t="shared" si="33"/>
        <v>0.5</v>
      </c>
      <c r="R163" s="71">
        <v>1</v>
      </c>
      <c r="S163" s="6">
        <f t="shared" si="34"/>
        <v>0.125</v>
      </c>
    </row>
    <row r="164" spans="1:19" x14ac:dyDescent="0.2">
      <c r="A164" s="36" t="s">
        <v>99</v>
      </c>
      <c r="B164" s="6" t="s">
        <v>157</v>
      </c>
      <c r="C164" s="71">
        <v>7200</v>
      </c>
      <c r="D164" s="6">
        <f>(C164/12)*7</f>
        <v>4200</v>
      </c>
      <c r="E164" s="62">
        <v>1400</v>
      </c>
      <c r="F164" s="6">
        <f>SUM(E158:E164)</f>
        <v>2632.5</v>
      </c>
      <c r="G164" s="35" t="str">
        <f t="shared" si="31"/>
        <v>Farol Vermelho</v>
      </c>
      <c r="H164">
        <f t="shared" si="29"/>
        <v>1567.5</v>
      </c>
      <c r="I164" s="6">
        <f t="shared" si="30"/>
        <v>7</v>
      </c>
      <c r="J164" s="99">
        <v>20</v>
      </c>
      <c r="K164" s="62">
        <v>3</v>
      </c>
      <c r="L164" s="6">
        <f>$L158+L163</f>
        <v>11.666666666666666</v>
      </c>
      <c r="M164" s="6">
        <f t="shared" si="36"/>
        <v>14</v>
      </c>
      <c r="N164" s="71"/>
      <c r="O164" t="e">
        <f t="shared" si="32"/>
        <v>#DIV/0!</v>
      </c>
      <c r="P164" s="71"/>
      <c r="Q164" t="e">
        <f t="shared" si="33"/>
        <v>#DIV/0!</v>
      </c>
      <c r="R164" s="71"/>
      <c r="S164" s="6" t="e">
        <f t="shared" si="34"/>
        <v>#DIV/0!</v>
      </c>
    </row>
    <row r="165" spans="1:19" x14ac:dyDescent="0.2">
      <c r="A165" s="36" t="s">
        <v>99</v>
      </c>
      <c r="B165" s="6" t="s">
        <v>158</v>
      </c>
      <c r="C165" s="71">
        <v>7200</v>
      </c>
      <c r="D165" s="6">
        <f>(C165/12)*8</f>
        <v>4800</v>
      </c>
      <c r="E165" s="62">
        <v>0</v>
      </c>
      <c r="F165" s="6">
        <f>SUM(E158:E165)</f>
        <v>2632.5</v>
      </c>
      <c r="G165" s="35" t="str">
        <f t="shared" si="31"/>
        <v>Farol Vermelho</v>
      </c>
      <c r="H165">
        <f t="shared" si="29"/>
        <v>2167.5</v>
      </c>
      <c r="I165" s="6">
        <f t="shared" si="30"/>
        <v>8</v>
      </c>
      <c r="J165" s="99">
        <v>20</v>
      </c>
      <c r="K165" s="62"/>
      <c r="L165" s="6">
        <f>L158+L164</f>
        <v>13.333333333333332</v>
      </c>
      <c r="M165" s="6">
        <f t="shared" si="36"/>
        <v>14</v>
      </c>
      <c r="N165" s="71"/>
      <c r="O165" t="e">
        <f t="shared" si="32"/>
        <v>#DIV/0!</v>
      </c>
      <c r="P165" s="71"/>
      <c r="Q165" t="e">
        <f t="shared" si="33"/>
        <v>#DIV/0!</v>
      </c>
      <c r="R165" s="71"/>
      <c r="S165" s="6" t="e">
        <f t="shared" si="34"/>
        <v>#DIV/0!</v>
      </c>
    </row>
    <row r="166" spans="1:19" x14ac:dyDescent="0.2">
      <c r="A166" s="36" t="s">
        <v>99</v>
      </c>
      <c r="B166" s="6" t="s">
        <v>159</v>
      </c>
      <c r="C166" s="71">
        <v>7200</v>
      </c>
      <c r="D166" s="6">
        <f>(C166/12)*9</f>
        <v>5400</v>
      </c>
      <c r="E166" s="62">
        <v>0</v>
      </c>
      <c r="F166" s="6">
        <f>SUM(E158:E166)</f>
        <v>2632.5</v>
      </c>
      <c r="G166" s="35" t="str">
        <f t="shared" si="31"/>
        <v>Farol Vermelho</v>
      </c>
      <c r="H166">
        <f t="shared" si="29"/>
        <v>2767.5</v>
      </c>
      <c r="I166" s="6">
        <f t="shared" si="30"/>
        <v>9</v>
      </c>
      <c r="J166" s="99">
        <v>20</v>
      </c>
      <c r="K166" s="62"/>
      <c r="L166" s="6">
        <f>$L158+L165</f>
        <v>14.999999999999998</v>
      </c>
      <c r="M166" s="6">
        <f t="shared" si="36"/>
        <v>14</v>
      </c>
      <c r="N166" s="71"/>
      <c r="O166" t="e">
        <f t="shared" si="32"/>
        <v>#DIV/0!</v>
      </c>
      <c r="P166" s="71"/>
      <c r="Q166" t="e">
        <f t="shared" si="33"/>
        <v>#DIV/0!</v>
      </c>
      <c r="R166" s="71"/>
      <c r="S166" s="6" t="e">
        <f t="shared" si="34"/>
        <v>#DIV/0!</v>
      </c>
    </row>
    <row r="167" spans="1:19" x14ac:dyDescent="0.2">
      <c r="A167" s="36" t="s">
        <v>99</v>
      </c>
      <c r="B167" s="6" t="s">
        <v>160</v>
      </c>
      <c r="C167" s="71">
        <v>7200</v>
      </c>
      <c r="D167" s="6">
        <f>(C167/12)*10</f>
        <v>6000</v>
      </c>
      <c r="E167" s="62">
        <v>0</v>
      </c>
      <c r="F167" s="6">
        <f>SUM(E158:E167)</f>
        <v>2632.5</v>
      </c>
      <c r="G167" s="35" t="str">
        <f t="shared" si="31"/>
        <v>Farol Vermelho</v>
      </c>
      <c r="H167">
        <f t="shared" si="29"/>
        <v>3367.5</v>
      </c>
      <c r="I167" s="6">
        <f t="shared" si="30"/>
        <v>10</v>
      </c>
      <c r="J167" s="99">
        <v>20</v>
      </c>
      <c r="K167" s="62"/>
      <c r="L167" s="6">
        <f>$L158+L166</f>
        <v>16.666666666666664</v>
      </c>
      <c r="M167" s="6">
        <f t="shared" si="36"/>
        <v>14</v>
      </c>
      <c r="N167" s="71"/>
      <c r="O167" t="e">
        <f t="shared" si="32"/>
        <v>#DIV/0!</v>
      </c>
      <c r="P167" s="71"/>
      <c r="Q167" t="e">
        <f t="shared" si="33"/>
        <v>#DIV/0!</v>
      </c>
      <c r="R167" s="71"/>
      <c r="S167" s="6" t="e">
        <f t="shared" si="34"/>
        <v>#DIV/0!</v>
      </c>
    </row>
    <row r="168" spans="1:19" x14ac:dyDescent="0.2">
      <c r="A168" s="36" t="s">
        <v>99</v>
      </c>
      <c r="B168" s="6" t="s">
        <v>161</v>
      </c>
      <c r="C168" s="71">
        <v>7200</v>
      </c>
      <c r="D168" s="6">
        <f>(C168/12)*11</f>
        <v>6600</v>
      </c>
      <c r="E168" s="62">
        <v>0</v>
      </c>
      <c r="F168" s="6">
        <f>SUM(E158:E168)</f>
        <v>2632.5</v>
      </c>
      <c r="G168" s="35" t="str">
        <f t="shared" si="31"/>
        <v>Farol Vermelho</v>
      </c>
      <c r="H168">
        <f t="shared" si="29"/>
        <v>3967.5</v>
      </c>
      <c r="I168" s="6">
        <f t="shared" si="30"/>
        <v>11</v>
      </c>
      <c r="J168" s="99">
        <v>20</v>
      </c>
      <c r="K168" s="62"/>
      <c r="L168" s="6">
        <f>L158+L167</f>
        <v>18.333333333333332</v>
      </c>
      <c r="M168" s="6">
        <f t="shared" si="36"/>
        <v>14</v>
      </c>
      <c r="N168" s="71"/>
      <c r="O168" t="e">
        <f t="shared" si="32"/>
        <v>#DIV/0!</v>
      </c>
      <c r="P168" s="71"/>
      <c r="Q168" t="e">
        <f t="shared" si="33"/>
        <v>#DIV/0!</v>
      </c>
      <c r="R168" s="71"/>
      <c r="S168" s="6" t="e">
        <f t="shared" si="34"/>
        <v>#DIV/0!</v>
      </c>
    </row>
    <row r="169" spans="1:19" x14ac:dyDescent="0.2">
      <c r="A169" s="36" t="s">
        <v>99</v>
      </c>
      <c r="B169" s="6" t="s">
        <v>162</v>
      </c>
      <c r="C169" s="71">
        <v>7200</v>
      </c>
      <c r="D169" s="6">
        <f>(C169/12)*12</f>
        <v>7200</v>
      </c>
      <c r="E169" s="62">
        <v>0</v>
      </c>
      <c r="F169" s="6">
        <f>SUM(E158:E169)</f>
        <v>2632.5</v>
      </c>
      <c r="G169" s="35" t="str">
        <f t="shared" si="31"/>
        <v>Farol Vermelho</v>
      </c>
      <c r="H169">
        <f t="shared" si="29"/>
        <v>4567.5</v>
      </c>
      <c r="I169" s="6">
        <f t="shared" si="30"/>
        <v>12</v>
      </c>
      <c r="J169" s="99">
        <v>20</v>
      </c>
      <c r="K169" s="62"/>
      <c r="L169" s="6">
        <f>$L158+L168</f>
        <v>20</v>
      </c>
      <c r="M169" s="6">
        <f t="shared" si="36"/>
        <v>14</v>
      </c>
      <c r="N169" s="71"/>
      <c r="O169" t="e">
        <f t="shared" si="32"/>
        <v>#DIV/0!</v>
      </c>
      <c r="P169" s="71"/>
      <c r="Q169" t="e">
        <f t="shared" si="33"/>
        <v>#DIV/0!</v>
      </c>
      <c r="R169" s="71"/>
      <c r="S169" s="6" t="e">
        <f t="shared" si="34"/>
        <v>#DIV/0!</v>
      </c>
    </row>
    <row r="170" spans="1:19" x14ac:dyDescent="0.2">
      <c r="A170" s="36" t="s">
        <v>123</v>
      </c>
      <c r="B170" s="6" t="s">
        <v>151</v>
      </c>
      <c r="C170" s="71">
        <v>34200</v>
      </c>
      <c r="D170" s="6">
        <f>(C170/12)*1</f>
        <v>2850</v>
      </c>
      <c r="E170" s="62">
        <v>1400</v>
      </c>
      <c r="F170" s="6">
        <f>E170</f>
        <v>1400</v>
      </c>
      <c r="G170" s="35" t="str">
        <f t="shared" si="31"/>
        <v>Farol Vermelho</v>
      </c>
      <c r="H170">
        <f t="shared" si="29"/>
        <v>1450</v>
      </c>
      <c r="I170" s="6">
        <f t="shared" si="30"/>
        <v>1</v>
      </c>
      <c r="J170" s="99">
        <v>2</v>
      </c>
      <c r="K170" s="62">
        <v>1</v>
      </c>
      <c r="L170" s="6">
        <f>J170/12</f>
        <v>0.16666666666666666</v>
      </c>
      <c r="M170" s="6">
        <f>K170</f>
        <v>1</v>
      </c>
      <c r="N170" s="71">
        <v>0</v>
      </c>
      <c r="O170" t="e">
        <f t="shared" si="32"/>
        <v>#DIV/0!</v>
      </c>
      <c r="P170" s="71">
        <v>0</v>
      </c>
      <c r="Q170" t="e">
        <f t="shared" si="33"/>
        <v>#DIV/0!</v>
      </c>
      <c r="R170" s="71">
        <v>0</v>
      </c>
      <c r="S170" s="6" t="e">
        <f t="shared" si="34"/>
        <v>#DIV/0!</v>
      </c>
    </row>
    <row r="171" spans="1:19" x14ac:dyDescent="0.2">
      <c r="A171" s="36" t="s">
        <v>123</v>
      </c>
      <c r="B171" s="6" t="s">
        <v>152</v>
      </c>
      <c r="C171" s="71">
        <v>34200</v>
      </c>
      <c r="D171" s="6">
        <f>(C171/12)*2</f>
        <v>5700</v>
      </c>
      <c r="E171" s="62">
        <v>0</v>
      </c>
      <c r="F171" s="6">
        <f>SUM(E170:E171)</f>
        <v>1400</v>
      </c>
      <c r="G171" s="35" t="str">
        <f t="shared" si="31"/>
        <v>Farol Vermelho</v>
      </c>
      <c r="H171">
        <f t="shared" si="29"/>
        <v>4300</v>
      </c>
      <c r="I171" s="6">
        <f t="shared" si="30"/>
        <v>2</v>
      </c>
      <c r="J171" s="99">
        <v>2</v>
      </c>
      <c r="K171" s="62">
        <v>0</v>
      </c>
      <c r="L171" s="6">
        <f>L170+L170</f>
        <v>0.33333333333333331</v>
      </c>
      <c r="M171" s="6">
        <f>M170+K171</f>
        <v>1</v>
      </c>
      <c r="N171" s="71">
        <v>0</v>
      </c>
      <c r="O171" t="e">
        <f t="shared" si="32"/>
        <v>#DIV/0!</v>
      </c>
      <c r="P171" s="71">
        <v>0</v>
      </c>
      <c r="Q171" t="e">
        <f t="shared" si="33"/>
        <v>#DIV/0!</v>
      </c>
      <c r="R171" s="71">
        <v>0</v>
      </c>
      <c r="S171" s="6" t="e">
        <f t="shared" si="34"/>
        <v>#DIV/0!</v>
      </c>
    </row>
    <row r="172" spans="1:19" x14ac:dyDescent="0.2">
      <c r="A172" s="36" t="s">
        <v>123</v>
      </c>
      <c r="B172" s="6" t="s">
        <v>153</v>
      </c>
      <c r="C172" s="71">
        <v>34200</v>
      </c>
      <c r="D172" s="6">
        <f>(C172/12)*3</f>
        <v>8550</v>
      </c>
      <c r="E172" s="62">
        <v>0</v>
      </c>
      <c r="F172" s="6">
        <f>SUM(E170:E172)</f>
        <v>1400</v>
      </c>
      <c r="G172" s="35" t="str">
        <f t="shared" si="31"/>
        <v>Farol Vermelho</v>
      </c>
      <c r="H172">
        <f t="shared" si="29"/>
        <v>7150</v>
      </c>
      <c r="I172" s="6">
        <f t="shared" si="30"/>
        <v>3</v>
      </c>
      <c r="J172" s="99">
        <v>2</v>
      </c>
      <c r="K172" s="62">
        <v>0</v>
      </c>
      <c r="L172" s="6">
        <f>$L170+L171</f>
        <v>0.5</v>
      </c>
      <c r="M172" s="6">
        <f t="shared" ref="M172:M181" si="37">M171+K172</f>
        <v>1</v>
      </c>
      <c r="N172" s="71">
        <v>0</v>
      </c>
      <c r="O172" t="e">
        <f t="shared" si="32"/>
        <v>#DIV/0!</v>
      </c>
      <c r="P172" s="71">
        <v>0</v>
      </c>
      <c r="Q172" t="e">
        <f t="shared" si="33"/>
        <v>#DIV/0!</v>
      </c>
      <c r="R172" s="71">
        <v>0</v>
      </c>
      <c r="S172" s="6" t="e">
        <f t="shared" si="34"/>
        <v>#DIV/0!</v>
      </c>
    </row>
    <row r="173" spans="1:19" x14ac:dyDescent="0.2">
      <c r="A173" s="36" t="s">
        <v>123</v>
      </c>
      <c r="B173" s="6" t="s">
        <v>154</v>
      </c>
      <c r="C173" s="71">
        <v>34200</v>
      </c>
      <c r="D173" s="6">
        <f>(C173/12)*4</f>
        <v>11400</v>
      </c>
      <c r="E173" s="62">
        <v>0</v>
      </c>
      <c r="F173" s="6">
        <f>SUM(E170:E173)</f>
        <v>1400</v>
      </c>
      <c r="G173" s="35" t="str">
        <f t="shared" si="31"/>
        <v>Farol Vermelho</v>
      </c>
      <c r="H173">
        <f t="shared" si="29"/>
        <v>10000</v>
      </c>
      <c r="I173" s="6">
        <f t="shared" si="30"/>
        <v>4</v>
      </c>
      <c r="J173" s="99">
        <v>2</v>
      </c>
      <c r="K173" s="62">
        <v>0</v>
      </c>
      <c r="L173" s="6">
        <f>$L170+L172</f>
        <v>0.66666666666666663</v>
      </c>
      <c r="M173" s="6">
        <f t="shared" si="37"/>
        <v>1</v>
      </c>
      <c r="N173" s="71">
        <v>0</v>
      </c>
      <c r="O173" t="e">
        <f t="shared" si="32"/>
        <v>#DIV/0!</v>
      </c>
      <c r="P173" s="71">
        <v>0</v>
      </c>
      <c r="Q173" t="e">
        <f t="shared" si="33"/>
        <v>#DIV/0!</v>
      </c>
      <c r="R173" s="71">
        <v>0</v>
      </c>
      <c r="S173" s="6" t="e">
        <f t="shared" si="34"/>
        <v>#DIV/0!</v>
      </c>
    </row>
    <row r="174" spans="1:19" x14ac:dyDescent="0.2">
      <c r="A174" s="36" t="s">
        <v>123</v>
      </c>
      <c r="B174" s="6" t="s">
        <v>155</v>
      </c>
      <c r="C174" s="71">
        <v>34200</v>
      </c>
      <c r="D174" s="6">
        <f>(C174/12)*5</f>
        <v>14250</v>
      </c>
      <c r="E174" s="62">
        <v>0</v>
      </c>
      <c r="F174" s="6">
        <f>SUM(E170:E174)</f>
        <v>1400</v>
      </c>
      <c r="G174" s="35" t="str">
        <f t="shared" si="31"/>
        <v>Farol Vermelho</v>
      </c>
      <c r="H174">
        <f t="shared" si="29"/>
        <v>12850</v>
      </c>
      <c r="I174" s="6">
        <f t="shared" si="30"/>
        <v>5</v>
      </c>
      <c r="J174" s="99">
        <v>2</v>
      </c>
      <c r="K174" s="62">
        <v>0</v>
      </c>
      <c r="L174" s="6">
        <f>L170+L173</f>
        <v>0.83333333333333326</v>
      </c>
      <c r="M174" s="6">
        <f t="shared" si="37"/>
        <v>1</v>
      </c>
      <c r="N174" s="71">
        <v>1</v>
      </c>
      <c r="O174">
        <f t="shared" si="32"/>
        <v>0</v>
      </c>
      <c r="P174" s="71">
        <v>0</v>
      </c>
      <c r="Q174" t="e">
        <f t="shared" si="33"/>
        <v>#DIV/0!</v>
      </c>
      <c r="R174" s="71">
        <v>0</v>
      </c>
      <c r="S174" s="6">
        <f t="shared" si="34"/>
        <v>0</v>
      </c>
    </row>
    <row r="175" spans="1:19" x14ac:dyDescent="0.2">
      <c r="A175" s="36" t="s">
        <v>123</v>
      </c>
      <c r="B175" s="6" t="s">
        <v>156</v>
      </c>
      <c r="C175" s="71">
        <v>34200</v>
      </c>
      <c r="D175" s="6">
        <f>(C175/12)*6</f>
        <v>17100</v>
      </c>
      <c r="E175" s="62">
        <v>0</v>
      </c>
      <c r="F175" s="6">
        <f>SUM(E170:E175)</f>
        <v>1400</v>
      </c>
      <c r="G175" s="35" t="str">
        <f t="shared" si="31"/>
        <v>Farol Vermelho</v>
      </c>
      <c r="H175">
        <f t="shared" si="29"/>
        <v>15700</v>
      </c>
      <c r="I175" s="6">
        <f t="shared" si="30"/>
        <v>6</v>
      </c>
      <c r="J175" s="99">
        <v>2</v>
      </c>
      <c r="K175" s="62">
        <v>0</v>
      </c>
      <c r="L175" s="6">
        <f>$L170+L174</f>
        <v>0.99999999999999989</v>
      </c>
      <c r="M175" s="6">
        <f t="shared" si="37"/>
        <v>1</v>
      </c>
      <c r="N175" s="71"/>
      <c r="O175" t="e">
        <f t="shared" si="32"/>
        <v>#DIV/0!</v>
      </c>
      <c r="P175" s="71"/>
      <c r="Q175" t="e">
        <f t="shared" si="33"/>
        <v>#DIV/0!</v>
      </c>
      <c r="R175" s="71"/>
      <c r="S175" s="6" t="e">
        <f t="shared" si="34"/>
        <v>#DIV/0!</v>
      </c>
    </row>
    <row r="176" spans="1:19" x14ac:dyDescent="0.2">
      <c r="A176" s="36" t="s">
        <v>123</v>
      </c>
      <c r="B176" s="6" t="s">
        <v>157</v>
      </c>
      <c r="C176" s="71">
        <v>34200</v>
      </c>
      <c r="D176" s="6">
        <f>(C176/12)*7</f>
        <v>19950</v>
      </c>
      <c r="E176" s="62">
        <v>10500</v>
      </c>
      <c r="F176" s="6">
        <f>SUM(E170:E176)</f>
        <v>11900</v>
      </c>
      <c r="G176" s="35" t="str">
        <f t="shared" si="31"/>
        <v>Farol Vermelho</v>
      </c>
      <c r="H176">
        <f t="shared" si="29"/>
        <v>8050</v>
      </c>
      <c r="I176" s="6">
        <f t="shared" si="30"/>
        <v>7</v>
      </c>
      <c r="J176" s="99">
        <v>2</v>
      </c>
      <c r="K176" s="62">
        <v>1</v>
      </c>
      <c r="L176" s="6">
        <f>$L170+L175</f>
        <v>1.1666666666666665</v>
      </c>
      <c r="M176" s="6">
        <f t="shared" si="37"/>
        <v>2</v>
      </c>
      <c r="N176" s="71"/>
      <c r="O176" t="e">
        <f t="shared" si="32"/>
        <v>#DIV/0!</v>
      </c>
      <c r="P176" s="71"/>
      <c r="Q176" t="e">
        <f t="shared" si="33"/>
        <v>#DIV/0!</v>
      </c>
      <c r="R176" s="71"/>
      <c r="S176" s="6" t="e">
        <f t="shared" si="34"/>
        <v>#DIV/0!</v>
      </c>
    </row>
    <row r="177" spans="1:19" x14ac:dyDescent="0.2">
      <c r="A177" s="36" t="s">
        <v>123</v>
      </c>
      <c r="B177" s="6" t="s">
        <v>158</v>
      </c>
      <c r="C177" s="71">
        <v>34200</v>
      </c>
      <c r="D177" s="6">
        <f>(C177/12)*8</f>
        <v>22800</v>
      </c>
      <c r="E177" s="62">
        <v>0</v>
      </c>
      <c r="F177" s="6">
        <f>SUM(E170:E177)</f>
        <v>11900</v>
      </c>
      <c r="G177" s="35" t="str">
        <f t="shared" si="31"/>
        <v>Farol Vermelho</v>
      </c>
      <c r="H177">
        <f t="shared" si="29"/>
        <v>10900</v>
      </c>
      <c r="I177" s="6">
        <f t="shared" si="30"/>
        <v>8</v>
      </c>
      <c r="J177" s="99">
        <v>2</v>
      </c>
      <c r="K177" s="62"/>
      <c r="L177" s="6">
        <f>L170+L176</f>
        <v>1.3333333333333333</v>
      </c>
      <c r="M177" s="6">
        <f t="shared" si="37"/>
        <v>2</v>
      </c>
      <c r="N177" s="71"/>
      <c r="O177" t="e">
        <f t="shared" si="32"/>
        <v>#DIV/0!</v>
      </c>
      <c r="P177" s="71"/>
      <c r="Q177" t="e">
        <f t="shared" si="33"/>
        <v>#DIV/0!</v>
      </c>
      <c r="R177" s="71"/>
      <c r="S177" s="6" t="e">
        <f t="shared" si="34"/>
        <v>#DIV/0!</v>
      </c>
    </row>
    <row r="178" spans="1:19" x14ac:dyDescent="0.2">
      <c r="A178" s="36" t="s">
        <v>123</v>
      </c>
      <c r="B178" s="6" t="s">
        <v>159</v>
      </c>
      <c r="C178" s="71">
        <v>34200</v>
      </c>
      <c r="D178" s="6">
        <f>(C178/12)*9</f>
        <v>25650</v>
      </c>
      <c r="E178" s="62">
        <v>0</v>
      </c>
      <c r="F178" s="6">
        <f>SUM(E170:E178)</f>
        <v>11900</v>
      </c>
      <c r="G178" s="35" t="str">
        <f t="shared" si="31"/>
        <v>Farol Vermelho</v>
      </c>
      <c r="H178">
        <f t="shared" si="29"/>
        <v>13750</v>
      </c>
      <c r="I178" s="6">
        <f t="shared" si="30"/>
        <v>9</v>
      </c>
      <c r="J178" s="99">
        <v>2</v>
      </c>
      <c r="K178" s="62"/>
      <c r="L178" s="6">
        <f>$L170+L177</f>
        <v>1.5</v>
      </c>
      <c r="M178" s="6">
        <f t="shared" si="37"/>
        <v>2</v>
      </c>
      <c r="N178" s="71"/>
      <c r="O178" t="e">
        <f t="shared" si="32"/>
        <v>#DIV/0!</v>
      </c>
      <c r="P178" s="71"/>
      <c r="Q178" t="e">
        <f t="shared" si="33"/>
        <v>#DIV/0!</v>
      </c>
      <c r="R178" s="71"/>
      <c r="S178" s="6" t="e">
        <f t="shared" si="34"/>
        <v>#DIV/0!</v>
      </c>
    </row>
    <row r="179" spans="1:19" x14ac:dyDescent="0.2">
      <c r="A179" s="36" t="s">
        <v>123</v>
      </c>
      <c r="B179" s="6" t="s">
        <v>160</v>
      </c>
      <c r="C179" s="71">
        <v>34200</v>
      </c>
      <c r="D179" s="6">
        <f>(C179/12)*10</f>
        <v>28500</v>
      </c>
      <c r="E179" s="62">
        <v>0</v>
      </c>
      <c r="F179" s="6">
        <f>SUM(E170:E179)</f>
        <v>11900</v>
      </c>
      <c r="G179" s="35" t="str">
        <f t="shared" si="31"/>
        <v>Farol Vermelho</v>
      </c>
      <c r="H179">
        <f t="shared" si="29"/>
        <v>16600</v>
      </c>
      <c r="I179" s="6">
        <f t="shared" si="30"/>
        <v>10</v>
      </c>
      <c r="J179" s="99">
        <v>2</v>
      </c>
      <c r="K179" s="62"/>
      <c r="L179" s="6">
        <f>$L170+L178</f>
        <v>1.6666666666666667</v>
      </c>
      <c r="M179" s="6">
        <f t="shared" si="37"/>
        <v>2</v>
      </c>
      <c r="N179" s="71"/>
      <c r="O179" t="e">
        <f t="shared" si="32"/>
        <v>#DIV/0!</v>
      </c>
      <c r="P179" s="71"/>
      <c r="Q179" t="e">
        <f t="shared" si="33"/>
        <v>#DIV/0!</v>
      </c>
      <c r="R179" s="71"/>
      <c r="S179" s="6" t="e">
        <f t="shared" si="34"/>
        <v>#DIV/0!</v>
      </c>
    </row>
    <row r="180" spans="1:19" x14ac:dyDescent="0.2">
      <c r="A180" s="36" t="s">
        <v>123</v>
      </c>
      <c r="B180" s="6" t="s">
        <v>161</v>
      </c>
      <c r="C180" s="71">
        <v>34200</v>
      </c>
      <c r="D180" s="6">
        <f>(C180/12)*11</f>
        <v>31350</v>
      </c>
      <c r="E180" s="62">
        <v>0</v>
      </c>
      <c r="F180" s="6">
        <f>SUM(E170:E180)</f>
        <v>11900</v>
      </c>
      <c r="G180" s="35" t="str">
        <f t="shared" si="31"/>
        <v>Farol Vermelho</v>
      </c>
      <c r="H180">
        <f t="shared" si="29"/>
        <v>19450</v>
      </c>
      <c r="I180" s="6">
        <f t="shared" si="30"/>
        <v>11</v>
      </c>
      <c r="J180" s="99">
        <v>2</v>
      </c>
      <c r="K180" s="62"/>
      <c r="L180" s="6">
        <f>L170+L179</f>
        <v>1.8333333333333335</v>
      </c>
      <c r="M180" s="6">
        <f t="shared" si="37"/>
        <v>2</v>
      </c>
      <c r="N180" s="71"/>
      <c r="O180" t="e">
        <f t="shared" si="32"/>
        <v>#DIV/0!</v>
      </c>
      <c r="P180" s="71"/>
      <c r="Q180" t="e">
        <f t="shared" si="33"/>
        <v>#DIV/0!</v>
      </c>
      <c r="R180" s="71"/>
      <c r="S180" s="6" t="e">
        <f t="shared" si="34"/>
        <v>#DIV/0!</v>
      </c>
    </row>
    <row r="181" spans="1:19" x14ac:dyDescent="0.2">
      <c r="A181" s="36" t="s">
        <v>123</v>
      </c>
      <c r="B181" s="6" t="s">
        <v>162</v>
      </c>
      <c r="C181" s="71">
        <v>34200</v>
      </c>
      <c r="D181" s="6">
        <f>(C181/12)*12</f>
        <v>34200</v>
      </c>
      <c r="E181" s="62">
        <v>0</v>
      </c>
      <c r="F181" s="6">
        <f>SUM(E170:E181)</f>
        <v>11900</v>
      </c>
      <c r="G181" s="35" t="str">
        <f t="shared" si="31"/>
        <v>Farol Vermelho</v>
      </c>
      <c r="H181">
        <f t="shared" si="29"/>
        <v>22300</v>
      </c>
      <c r="I181" s="6">
        <f t="shared" si="30"/>
        <v>12</v>
      </c>
      <c r="J181" s="99">
        <v>2</v>
      </c>
      <c r="K181" s="62"/>
      <c r="L181" s="6">
        <f>$L170+L180</f>
        <v>2</v>
      </c>
      <c r="M181" s="6">
        <f t="shared" si="37"/>
        <v>2</v>
      </c>
      <c r="N181" s="71"/>
      <c r="O181" t="e">
        <f t="shared" si="32"/>
        <v>#DIV/0!</v>
      </c>
      <c r="P181" s="71"/>
      <c r="Q181" t="e">
        <f t="shared" si="33"/>
        <v>#DIV/0!</v>
      </c>
      <c r="R181" s="71"/>
      <c r="S181" s="6" t="e">
        <f t="shared" si="34"/>
        <v>#DIV/0!</v>
      </c>
    </row>
    <row r="182" spans="1:19" x14ac:dyDescent="0.2">
      <c r="A182" s="36" t="s">
        <v>92</v>
      </c>
      <c r="B182" s="6" t="s">
        <v>151</v>
      </c>
      <c r="C182" s="71">
        <v>85000</v>
      </c>
      <c r="D182" s="6">
        <f>(C182/12)*1</f>
        <v>7083.333333333333</v>
      </c>
      <c r="E182" s="62">
        <v>0</v>
      </c>
      <c r="F182" s="6">
        <f>E182</f>
        <v>0</v>
      </c>
      <c r="G182" s="35" t="str">
        <f t="shared" si="31"/>
        <v>Farol Vermelho</v>
      </c>
      <c r="H182">
        <f t="shared" si="29"/>
        <v>7083.333333333333</v>
      </c>
      <c r="I182" s="6">
        <f t="shared" si="30"/>
        <v>1</v>
      </c>
      <c r="J182" s="99">
        <v>25</v>
      </c>
      <c r="K182" s="62">
        <v>0</v>
      </c>
      <c r="L182" s="6">
        <f>J182/12</f>
        <v>2.0833333333333335</v>
      </c>
      <c r="M182" s="6">
        <f>K182</f>
        <v>0</v>
      </c>
      <c r="N182" s="71">
        <v>0</v>
      </c>
      <c r="O182" t="e">
        <f t="shared" si="32"/>
        <v>#DIV/0!</v>
      </c>
      <c r="P182" s="71">
        <v>0</v>
      </c>
      <c r="Q182" t="e">
        <f t="shared" si="33"/>
        <v>#DIV/0!</v>
      </c>
      <c r="R182" s="71">
        <v>0</v>
      </c>
      <c r="S182" s="6" t="e">
        <f t="shared" si="34"/>
        <v>#DIV/0!</v>
      </c>
    </row>
    <row r="183" spans="1:19" x14ac:dyDescent="0.2">
      <c r="A183" s="36" t="s">
        <v>92</v>
      </c>
      <c r="B183" s="6" t="s">
        <v>152</v>
      </c>
      <c r="C183" s="71">
        <v>85000</v>
      </c>
      <c r="D183" s="6">
        <f>(C183/12)*2</f>
        <v>14166.666666666666</v>
      </c>
      <c r="E183" s="62">
        <v>0</v>
      </c>
      <c r="F183" s="6">
        <f>SUM(E182:E183)</f>
        <v>0</v>
      </c>
      <c r="G183" s="35" t="str">
        <f t="shared" si="31"/>
        <v>Farol Vermelho</v>
      </c>
      <c r="H183">
        <f t="shared" si="29"/>
        <v>14166.666666666666</v>
      </c>
      <c r="I183" s="6">
        <f t="shared" si="30"/>
        <v>2</v>
      </c>
      <c r="J183" s="99">
        <v>25</v>
      </c>
      <c r="K183" s="62">
        <v>0</v>
      </c>
      <c r="L183" s="6">
        <f>L182+L182</f>
        <v>4.166666666666667</v>
      </c>
      <c r="M183" s="6">
        <f>M182+K183</f>
        <v>0</v>
      </c>
      <c r="N183" s="71">
        <v>0</v>
      </c>
      <c r="O183" t="e">
        <f t="shared" si="32"/>
        <v>#DIV/0!</v>
      </c>
      <c r="P183" s="71">
        <v>0</v>
      </c>
      <c r="Q183" t="e">
        <f t="shared" si="33"/>
        <v>#DIV/0!</v>
      </c>
      <c r="R183" s="71">
        <v>0</v>
      </c>
      <c r="S183" s="6" t="e">
        <f t="shared" si="34"/>
        <v>#DIV/0!</v>
      </c>
    </row>
    <row r="184" spans="1:19" x14ac:dyDescent="0.2">
      <c r="A184" s="36" t="s">
        <v>92</v>
      </c>
      <c r="B184" s="6" t="s">
        <v>153</v>
      </c>
      <c r="C184" s="71">
        <v>85000</v>
      </c>
      <c r="D184" s="6">
        <f>(C184/12)*3</f>
        <v>21250</v>
      </c>
      <c r="E184" s="62">
        <v>4275</v>
      </c>
      <c r="F184" s="6">
        <f>SUM(E182:E184)</f>
        <v>4275</v>
      </c>
      <c r="G184" s="35" t="str">
        <f t="shared" si="31"/>
        <v>Farol Vermelho</v>
      </c>
      <c r="H184">
        <f t="shared" si="29"/>
        <v>16975</v>
      </c>
      <c r="I184" s="6">
        <f t="shared" si="30"/>
        <v>3</v>
      </c>
      <c r="J184" s="99">
        <v>25</v>
      </c>
      <c r="K184" s="62">
        <v>2</v>
      </c>
      <c r="L184" s="6">
        <f>$L182+L183</f>
        <v>6.25</v>
      </c>
      <c r="M184" s="6">
        <f t="shared" ref="M184:M193" si="38">M183+K184</f>
        <v>2</v>
      </c>
      <c r="N184" s="71">
        <v>0</v>
      </c>
      <c r="O184" t="e">
        <f t="shared" si="32"/>
        <v>#DIV/0!</v>
      </c>
      <c r="P184" s="71">
        <v>0</v>
      </c>
      <c r="Q184" t="e">
        <f t="shared" si="33"/>
        <v>#DIV/0!</v>
      </c>
      <c r="R184" s="71">
        <v>0</v>
      </c>
      <c r="S184" s="6" t="e">
        <f t="shared" si="34"/>
        <v>#DIV/0!</v>
      </c>
    </row>
    <row r="185" spans="1:19" x14ac:dyDescent="0.2">
      <c r="A185" s="36" t="s">
        <v>92</v>
      </c>
      <c r="B185" s="6" t="s">
        <v>154</v>
      </c>
      <c r="C185" s="71">
        <v>85000</v>
      </c>
      <c r="D185" s="6">
        <f>(C185/12)*4</f>
        <v>28333.333333333332</v>
      </c>
      <c r="E185" s="62">
        <v>0</v>
      </c>
      <c r="F185" s="6">
        <f>SUM(E182:E185)</f>
        <v>4275</v>
      </c>
      <c r="G185" s="35" t="str">
        <f t="shared" si="31"/>
        <v>Farol Vermelho</v>
      </c>
      <c r="H185">
        <f t="shared" si="29"/>
        <v>24058.333333333332</v>
      </c>
      <c r="I185" s="6">
        <f t="shared" si="30"/>
        <v>4</v>
      </c>
      <c r="J185" s="99">
        <v>25</v>
      </c>
      <c r="K185" s="62">
        <v>0</v>
      </c>
      <c r="L185" s="6">
        <f>$L182+L184</f>
        <v>8.3333333333333339</v>
      </c>
      <c r="M185" s="6">
        <f t="shared" si="38"/>
        <v>2</v>
      </c>
      <c r="N185" s="71">
        <v>0</v>
      </c>
      <c r="O185" t="e">
        <f t="shared" si="32"/>
        <v>#DIV/0!</v>
      </c>
      <c r="P185" s="71">
        <v>0</v>
      </c>
      <c r="Q185" t="e">
        <f t="shared" si="33"/>
        <v>#DIV/0!</v>
      </c>
      <c r="R185" s="71">
        <v>0</v>
      </c>
      <c r="S185" s="6" t="e">
        <f t="shared" si="34"/>
        <v>#DIV/0!</v>
      </c>
    </row>
    <row r="186" spans="1:19" x14ac:dyDescent="0.2">
      <c r="A186" s="36" t="s">
        <v>92</v>
      </c>
      <c r="B186" s="6" t="s">
        <v>155</v>
      </c>
      <c r="C186" s="71">
        <v>85000</v>
      </c>
      <c r="D186" s="6">
        <f>(C186/12)*5</f>
        <v>35416.666666666664</v>
      </c>
      <c r="E186" s="62">
        <v>6600</v>
      </c>
      <c r="F186" s="6">
        <f>SUM(E182:E186)</f>
        <v>10875</v>
      </c>
      <c r="G186" s="35" t="str">
        <f t="shared" si="31"/>
        <v>Farol Vermelho</v>
      </c>
      <c r="H186">
        <f t="shared" si="29"/>
        <v>24541.666666666664</v>
      </c>
      <c r="I186" s="6">
        <f t="shared" si="30"/>
        <v>5</v>
      </c>
      <c r="J186" s="99">
        <v>25</v>
      </c>
      <c r="K186" s="62">
        <v>2</v>
      </c>
      <c r="L186" s="6">
        <f>L182+L185</f>
        <v>10.416666666666668</v>
      </c>
      <c r="M186" s="6">
        <f t="shared" si="38"/>
        <v>4</v>
      </c>
      <c r="N186" s="71">
        <v>0</v>
      </c>
      <c r="O186" t="e">
        <f t="shared" si="32"/>
        <v>#DIV/0!</v>
      </c>
      <c r="P186" s="71">
        <v>0</v>
      </c>
      <c r="Q186" t="e">
        <f t="shared" si="33"/>
        <v>#DIV/0!</v>
      </c>
      <c r="R186" s="71">
        <v>0</v>
      </c>
      <c r="S186" s="6" t="e">
        <f t="shared" si="34"/>
        <v>#DIV/0!</v>
      </c>
    </row>
    <row r="187" spans="1:19" x14ac:dyDescent="0.2">
      <c r="A187" s="36" t="s">
        <v>92</v>
      </c>
      <c r="B187" s="6" t="s">
        <v>156</v>
      </c>
      <c r="C187" s="71">
        <v>85000</v>
      </c>
      <c r="D187" s="6">
        <f>(C187/12)*6</f>
        <v>42500</v>
      </c>
      <c r="E187" s="62">
        <v>0</v>
      </c>
      <c r="F187" s="6">
        <f>SUM(E182:E187)</f>
        <v>10875</v>
      </c>
      <c r="G187" s="35" t="str">
        <f t="shared" si="31"/>
        <v>Farol Vermelho</v>
      </c>
      <c r="H187">
        <f t="shared" si="29"/>
        <v>31625</v>
      </c>
      <c r="I187" s="6">
        <f t="shared" si="30"/>
        <v>6</v>
      </c>
      <c r="J187" s="99">
        <v>25</v>
      </c>
      <c r="K187" s="62">
        <v>0</v>
      </c>
      <c r="L187" s="6">
        <f>$L182+L186</f>
        <v>12.500000000000002</v>
      </c>
      <c r="M187" s="6">
        <f t="shared" si="38"/>
        <v>4</v>
      </c>
      <c r="N187" s="71">
        <v>10</v>
      </c>
      <c r="O187">
        <f t="shared" si="32"/>
        <v>0.5</v>
      </c>
      <c r="P187" s="71">
        <v>5</v>
      </c>
      <c r="Q187">
        <f t="shared" si="33"/>
        <v>0</v>
      </c>
      <c r="R187" s="71">
        <v>0</v>
      </c>
      <c r="S187" s="6">
        <f t="shared" si="34"/>
        <v>0</v>
      </c>
    </row>
    <row r="188" spans="1:19" x14ac:dyDescent="0.2">
      <c r="A188" s="36" t="s">
        <v>92</v>
      </c>
      <c r="B188" s="6" t="s">
        <v>157</v>
      </c>
      <c r="C188" s="71">
        <v>85000</v>
      </c>
      <c r="D188" s="6">
        <f>(C188/12)*7</f>
        <v>49583.333333333328</v>
      </c>
      <c r="E188" s="62">
        <v>2750</v>
      </c>
      <c r="F188" s="6">
        <f>SUM(E182:E188)</f>
        <v>13625</v>
      </c>
      <c r="G188" s="35" t="str">
        <f t="shared" si="31"/>
        <v>Farol Vermelho</v>
      </c>
      <c r="H188">
        <f t="shared" si="29"/>
        <v>35958.333333333328</v>
      </c>
      <c r="I188" s="6">
        <f t="shared" si="30"/>
        <v>7</v>
      </c>
      <c r="J188" s="99">
        <v>25</v>
      </c>
      <c r="K188" s="62">
        <v>1</v>
      </c>
      <c r="L188" s="6">
        <f>$L182+L187</f>
        <v>14.583333333333336</v>
      </c>
      <c r="M188" s="6">
        <f t="shared" si="38"/>
        <v>5</v>
      </c>
      <c r="N188" s="71"/>
      <c r="O188" t="e">
        <f t="shared" si="32"/>
        <v>#DIV/0!</v>
      </c>
      <c r="P188" s="71"/>
      <c r="Q188" t="e">
        <f t="shared" si="33"/>
        <v>#DIV/0!</v>
      </c>
      <c r="R188" s="71"/>
      <c r="S188" s="6" t="e">
        <f t="shared" si="34"/>
        <v>#DIV/0!</v>
      </c>
    </row>
    <row r="189" spans="1:19" x14ac:dyDescent="0.2">
      <c r="A189" s="36" t="s">
        <v>92</v>
      </c>
      <c r="B189" s="6" t="s">
        <v>158</v>
      </c>
      <c r="C189" s="71">
        <v>85000</v>
      </c>
      <c r="D189" s="6">
        <f>(C189/12)*8</f>
        <v>56666.666666666664</v>
      </c>
      <c r="E189" s="62">
        <v>0</v>
      </c>
      <c r="F189" s="6">
        <f>SUM(E182:E189)</f>
        <v>13625</v>
      </c>
      <c r="G189" s="35" t="str">
        <f t="shared" si="31"/>
        <v>Farol Vermelho</v>
      </c>
      <c r="H189">
        <f t="shared" si="29"/>
        <v>43041.666666666664</v>
      </c>
      <c r="I189" s="6">
        <f t="shared" si="30"/>
        <v>8</v>
      </c>
      <c r="J189" s="99">
        <v>25</v>
      </c>
      <c r="K189" s="62"/>
      <c r="L189" s="6">
        <f>L182+L188</f>
        <v>16.666666666666668</v>
      </c>
      <c r="M189" s="6">
        <f t="shared" si="38"/>
        <v>5</v>
      </c>
      <c r="N189" s="71"/>
      <c r="O189" t="e">
        <f t="shared" si="32"/>
        <v>#DIV/0!</v>
      </c>
      <c r="P189" s="71"/>
      <c r="Q189" t="e">
        <f t="shared" si="33"/>
        <v>#DIV/0!</v>
      </c>
      <c r="R189" s="71"/>
      <c r="S189" s="6" t="e">
        <f t="shared" si="34"/>
        <v>#DIV/0!</v>
      </c>
    </row>
    <row r="190" spans="1:19" x14ac:dyDescent="0.2">
      <c r="A190" s="36" t="s">
        <v>92</v>
      </c>
      <c r="B190" s="6" t="s">
        <v>159</v>
      </c>
      <c r="C190" s="71">
        <v>85000</v>
      </c>
      <c r="D190" s="6">
        <f>(C190/12)*9</f>
        <v>63750</v>
      </c>
      <c r="E190" s="62">
        <v>0</v>
      </c>
      <c r="F190" s="6">
        <f>SUM(E182:E190)</f>
        <v>13625</v>
      </c>
      <c r="G190" s="35" t="str">
        <f t="shared" si="31"/>
        <v>Farol Vermelho</v>
      </c>
      <c r="H190">
        <f t="shared" si="29"/>
        <v>50125</v>
      </c>
      <c r="I190" s="6">
        <f t="shared" si="30"/>
        <v>9</v>
      </c>
      <c r="J190" s="99">
        <v>25</v>
      </c>
      <c r="K190" s="62"/>
      <c r="L190" s="6">
        <f>$L182+L189</f>
        <v>18.75</v>
      </c>
      <c r="M190" s="6">
        <f t="shared" si="38"/>
        <v>5</v>
      </c>
      <c r="N190" s="71"/>
      <c r="O190" t="e">
        <f t="shared" si="32"/>
        <v>#DIV/0!</v>
      </c>
      <c r="P190" s="71"/>
      <c r="Q190" t="e">
        <f t="shared" si="33"/>
        <v>#DIV/0!</v>
      </c>
      <c r="R190" s="71"/>
      <c r="S190" s="6" t="e">
        <f t="shared" si="34"/>
        <v>#DIV/0!</v>
      </c>
    </row>
    <row r="191" spans="1:19" x14ac:dyDescent="0.2">
      <c r="A191" s="36" t="s">
        <v>92</v>
      </c>
      <c r="B191" s="6" t="s">
        <v>160</v>
      </c>
      <c r="C191" s="71">
        <v>85000</v>
      </c>
      <c r="D191" s="6">
        <f>(C191/12)*10</f>
        <v>70833.333333333328</v>
      </c>
      <c r="E191" s="62">
        <v>0</v>
      </c>
      <c r="F191" s="6">
        <f>SUM(E182:E191)</f>
        <v>13625</v>
      </c>
      <c r="G191" s="35" t="str">
        <f t="shared" si="31"/>
        <v>Farol Vermelho</v>
      </c>
      <c r="H191">
        <f t="shared" si="29"/>
        <v>57208.333333333328</v>
      </c>
      <c r="I191" s="6">
        <f t="shared" si="30"/>
        <v>10</v>
      </c>
      <c r="J191" s="99">
        <v>25</v>
      </c>
      <c r="K191" s="62"/>
      <c r="L191" s="6">
        <f>$L182+L190</f>
        <v>20.833333333333332</v>
      </c>
      <c r="M191" s="6">
        <f t="shared" si="38"/>
        <v>5</v>
      </c>
      <c r="N191" s="71"/>
      <c r="O191" t="e">
        <f t="shared" si="32"/>
        <v>#DIV/0!</v>
      </c>
      <c r="P191" s="71"/>
      <c r="Q191" t="e">
        <f t="shared" si="33"/>
        <v>#DIV/0!</v>
      </c>
      <c r="R191" s="71"/>
      <c r="S191" s="6" t="e">
        <f t="shared" si="34"/>
        <v>#DIV/0!</v>
      </c>
    </row>
    <row r="192" spans="1:19" x14ac:dyDescent="0.2">
      <c r="A192" s="36" t="s">
        <v>92</v>
      </c>
      <c r="B192" s="6" t="s">
        <v>161</v>
      </c>
      <c r="C192" s="71">
        <v>85000</v>
      </c>
      <c r="D192" s="6">
        <f>(C192/12)*11</f>
        <v>77916.666666666657</v>
      </c>
      <c r="E192" s="62">
        <v>0</v>
      </c>
      <c r="F192" s="6">
        <f>SUM(E182:E192)</f>
        <v>13625</v>
      </c>
      <c r="G192" s="35" t="str">
        <f t="shared" si="31"/>
        <v>Farol Vermelho</v>
      </c>
      <c r="H192">
        <f t="shared" si="29"/>
        <v>64291.666666666657</v>
      </c>
      <c r="I192" s="6">
        <f t="shared" si="30"/>
        <v>11</v>
      </c>
      <c r="J192" s="99">
        <v>25</v>
      </c>
      <c r="K192" s="62"/>
      <c r="L192" s="6">
        <f>L182+L191</f>
        <v>22.916666666666664</v>
      </c>
      <c r="M192" s="6">
        <f t="shared" si="38"/>
        <v>5</v>
      </c>
      <c r="N192" s="71"/>
      <c r="O192" t="e">
        <f t="shared" si="32"/>
        <v>#DIV/0!</v>
      </c>
      <c r="P192" s="71"/>
      <c r="Q192" t="e">
        <f t="shared" si="33"/>
        <v>#DIV/0!</v>
      </c>
      <c r="R192" s="71"/>
      <c r="S192" s="6" t="e">
        <f t="shared" si="34"/>
        <v>#DIV/0!</v>
      </c>
    </row>
    <row r="193" spans="1:19" x14ac:dyDescent="0.2">
      <c r="A193" s="36" t="s">
        <v>92</v>
      </c>
      <c r="B193" s="6" t="s">
        <v>162</v>
      </c>
      <c r="C193" s="71">
        <v>85000</v>
      </c>
      <c r="D193" s="6">
        <f>(C193/12)*12</f>
        <v>85000</v>
      </c>
      <c r="E193" s="62">
        <v>0</v>
      </c>
      <c r="F193" s="6">
        <f>SUM(E182:E193)</f>
        <v>13625</v>
      </c>
      <c r="G193" s="35" t="str">
        <f t="shared" si="31"/>
        <v>Farol Vermelho</v>
      </c>
      <c r="H193">
        <f t="shared" si="29"/>
        <v>71375</v>
      </c>
      <c r="I193" s="6">
        <f t="shared" si="30"/>
        <v>12</v>
      </c>
      <c r="J193" s="99">
        <v>25</v>
      </c>
      <c r="K193" s="62"/>
      <c r="L193" s="6">
        <f>$L182+L192</f>
        <v>24.999999999999996</v>
      </c>
      <c r="M193" s="6">
        <f t="shared" si="38"/>
        <v>5</v>
      </c>
      <c r="N193" s="71"/>
      <c r="O193" t="e">
        <f t="shared" si="32"/>
        <v>#DIV/0!</v>
      </c>
      <c r="P193" s="71"/>
      <c r="Q193" t="e">
        <f t="shared" si="33"/>
        <v>#DIV/0!</v>
      </c>
      <c r="R193" s="71"/>
      <c r="S193" s="6" t="e">
        <f t="shared" si="34"/>
        <v>#DIV/0!</v>
      </c>
    </row>
    <row r="194" spans="1:19" x14ac:dyDescent="0.2">
      <c r="A194" s="36" t="s">
        <v>37</v>
      </c>
      <c r="B194" s="6" t="s">
        <v>151</v>
      </c>
      <c r="C194" s="71">
        <v>6600</v>
      </c>
      <c r="D194" s="6">
        <f>(C194/12)*1</f>
        <v>550</v>
      </c>
      <c r="E194" s="62">
        <v>0</v>
      </c>
      <c r="F194" s="6">
        <f>E194</f>
        <v>0</v>
      </c>
      <c r="G194" s="35" t="str">
        <f t="shared" si="31"/>
        <v>Farol Vermelho</v>
      </c>
      <c r="H194">
        <f t="shared" si="29"/>
        <v>550</v>
      </c>
      <c r="I194" s="6">
        <f t="shared" si="30"/>
        <v>1</v>
      </c>
      <c r="J194" s="100">
        <v>6</v>
      </c>
      <c r="K194" s="62">
        <v>0</v>
      </c>
      <c r="L194" s="6">
        <f>J194/12</f>
        <v>0.5</v>
      </c>
      <c r="M194" s="6">
        <f>K194</f>
        <v>0</v>
      </c>
      <c r="N194" s="71">
        <v>0</v>
      </c>
      <c r="O194" t="e">
        <f t="shared" si="32"/>
        <v>#DIV/0!</v>
      </c>
      <c r="P194" s="71">
        <v>0</v>
      </c>
      <c r="Q194" t="e">
        <f t="shared" si="33"/>
        <v>#DIV/0!</v>
      </c>
      <c r="R194" s="71">
        <v>0</v>
      </c>
      <c r="S194" s="6" t="e">
        <f t="shared" si="34"/>
        <v>#DIV/0!</v>
      </c>
    </row>
    <row r="195" spans="1:19" x14ac:dyDescent="0.2">
      <c r="A195" s="36" t="s">
        <v>37</v>
      </c>
      <c r="B195" s="6" t="s">
        <v>152</v>
      </c>
      <c r="C195" s="71">
        <v>6600</v>
      </c>
      <c r="D195" s="6">
        <f>(C195/12)*2</f>
        <v>1100</v>
      </c>
      <c r="E195" s="62">
        <v>0</v>
      </c>
      <c r="F195" s="6">
        <f>SUM(E194:E195)</f>
        <v>0</v>
      </c>
      <c r="G195" s="35" t="str">
        <f t="shared" si="31"/>
        <v>Farol Vermelho</v>
      </c>
      <c r="H195">
        <f t="shared" si="29"/>
        <v>1100</v>
      </c>
      <c r="I195" s="6">
        <f t="shared" si="30"/>
        <v>2</v>
      </c>
      <c r="J195" s="100">
        <v>6</v>
      </c>
      <c r="K195" s="62">
        <v>0</v>
      </c>
      <c r="L195" s="6">
        <f>L194+L194</f>
        <v>1</v>
      </c>
      <c r="M195" s="6">
        <f>M194+K195</f>
        <v>0</v>
      </c>
      <c r="N195" s="71">
        <v>0</v>
      </c>
      <c r="O195" t="e">
        <f t="shared" si="32"/>
        <v>#DIV/0!</v>
      </c>
      <c r="P195" s="71">
        <v>0</v>
      </c>
      <c r="Q195" t="e">
        <f t="shared" si="33"/>
        <v>#DIV/0!</v>
      </c>
      <c r="R195" s="71">
        <v>0</v>
      </c>
      <c r="S195" s="6" t="e">
        <f t="shared" si="34"/>
        <v>#DIV/0!</v>
      </c>
    </row>
    <row r="196" spans="1:19" x14ac:dyDescent="0.2">
      <c r="A196" s="36" t="s">
        <v>37</v>
      </c>
      <c r="B196" s="6" t="s">
        <v>153</v>
      </c>
      <c r="C196" s="71">
        <v>6600</v>
      </c>
      <c r="D196" s="6">
        <f>(C196/12)*3</f>
        <v>1650</v>
      </c>
      <c r="E196" s="62">
        <v>1800</v>
      </c>
      <c r="F196" s="6">
        <f>SUM(E194:E196)</f>
        <v>1800</v>
      </c>
      <c r="G196" s="35" t="str">
        <f t="shared" si="31"/>
        <v>Farol Verde</v>
      </c>
      <c r="H196">
        <f t="shared" si="29"/>
        <v>0</v>
      </c>
      <c r="I196" s="6">
        <f t="shared" si="30"/>
        <v>3</v>
      </c>
      <c r="J196" s="100">
        <v>6</v>
      </c>
      <c r="K196" s="62">
        <v>2</v>
      </c>
      <c r="L196" s="6">
        <f>$L194+L195</f>
        <v>1.5</v>
      </c>
      <c r="M196" s="6">
        <f t="shared" ref="M196:M205" si="39">M195+K196</f>
        <v>2</v>
      </c>
      <c r="N196" s="71">
        <v>0</v>
      </c>
      <c r="O196" t="e">
        <f t="shared" si="32"/>
        <v>#DIV/0!</v>
      </c>
      <c r="P196" s="71">
        <v>0</v>
      </c>
      <c r="Q196" t="e">
        <f t="shared" si="33"/>
        <v>#DIV/0!</v>
      </c>
      <c r="R196" s="71">
        <v>0</v>
      </c>
      <c r="S196" s="6" t="e">
        <f t="shared" si="34"/>
        <v>#DIV/0!</v>
      </c>
    </row>
    <row r="197" spans="1:19" x14ac:dyDescent="0.2">
      <c r="A197" s="36" t="s">
        <v>37</v>
      </c>
      <c r="B197" s="6" t="s">
        <v>154</v>
      </c>
      <c r="C197" s="71">
        <v>6600</v>
      </c>
      <c r="D197" s="6">
        <f>(C197/12)*4</f>
        <v>2200</v>
      </c>
      <c r="E197" s="62">
        <v>0</v>
      </c>
      <c r="F197" s="6">
        <f>SUM(E194:E197)</f>
        <v>1800</v>
      </c>
      <c r="G197" s="35" t="str">
        <f t="shared" si="31"/>
        <v>Farol Vermelho</v>
      </c>
      <c r="H197">
        <f t="shared" si="29"/>
        <v>400</v>
      </c>
      <c r="I197" s="6">
        <f t="shared" si="30"/>
        <v>4</v>
      </c>
      <c r="J197" s="100">
        <v>6</v>
      </c>
      <c r="K197" s="62">
        <v>0</v>
      </c>
      <c r="L197" s="6">
        <f>$L194+L196</f>
        <v>2</v>
      </c>
      <c r="M197" s="6">
        <f t="shared" si="39"/>
        <v>2</v>
      </c>
      <c r="N197" s="71">
        <v>0</v>
      </c>
      <c r="O197" t="e">
        <f t="shared" si="32"/>
        <v>#DIV/0!</v>
      </c>
      <c r="P197" s="71">
        <v>0</v>
      </c>
      <c r="Q197" t="e">
        <f t="shared" si="33"/>
        <v>#DIV/0!</v>
      </c>
      <c r="R197" s="71">
        <v>0</v>
      </c>
      <c r="S197" s="6" t="e">
        <f t="shared" si="34"/>
        <v>#DIV/0!</v>
      </c>
    </row>
    <row r="198" spans="1:19" x14ac:dyDescent="0.2">
      <c r="A198" s="36" t="s">
        <v>37</v>
      </c>
      <c r="B198" s="6" t="s">
        <v>155</v>
      </c>
      <c r="C198" s="71">
        <v>6600</v>
      </c>
      <c r="D198" s="6">
        <f>(C198/12)*5</f>
        <v>2750</v>
      </c>
      <c r="E198" s="62">
        <v>0</v>
      </c>
      <c r="F198" s="6">
        <f>SUM(E194:E198)</f>
        <v>1800</v>
      </c>
      <c r="G198" s="35" t="str">
        <f t="shared" si="31"/>
        <v>Farol Vermelho</v>
      </c>
      <c r="H198">
        <f t="shared" si="29"/>
        <v>950</v>
      </c>
      <c r="I198" s="6">
        <f t="shared" si="30"/>
        <v>5</v>
      </c>
      <c r="J198" s="100">
        <v>6</v>
      </c>
      <c r="K198" s="62">
        <v>0</v>
      </c>
      <c r="L198" s="6">
        <f>L194+L197</f>
        <v>2.5</v>
      </c>
      <c r="M198" s="6">
        <f t="shared" si="39"/>
        <v>2</v>
      </c>
      <c r="N198" s="71">
        <v>6</v>
      </c>
      <c r="O198">
        <f t="shared" si="32"/>
        <v>1</v>
      </c>
      <c r="P198" s="71">
        <v>6</v>
      </c>
      <c r="Q198">
        <f t="shared" si="33"/>
        <v>0</v>
      </c>
      <c r="R198" s="71">
        <v>0</v>
      </c>
      <c r="S198" s="6">
        <f t="shared" si="34"/>
        <v>0</v>
      </c>
    </row>
    <row r="199" spans="1:19" x14ac:dyDescent="0.2">
      <c r="A199" s="36" t="s">
        <v>37</v>
      </c>
      <c r="B199" s="6" t="s">
        <v>156</v>
      </c>
      <c r="C199" s="71">
        <v>6600</v>
      </c>
      <c r="D199" s="6">
        <f>(C199/12)*6</f>
        <v>3300</v>
      </c>
      <c r="E199" s="62">
        <v>1180</v>
      </c>
      <c r="F199" s="6">
        <f>SUM(E194:E199)</f>
        <v>2980</v>
      </c>
      <c r="G199" s="35" t="str">
        <f t="shared" si="31"/>
        <v>Farol Amarelo</v>
      </c>
      <c r="H199">
        <f t="shared" si="29"/>
        <v>320</v>
      </c>
      <c r="I199" s="6">
        <f t="shared" si="30"/>
        <v>6</v>
      </c>
      <c r="J199" s="100">
        <v>6</v>
      </c>
      <c r="K199" s="62">
        <v>1</v>
      </c>
      <c r="L199" s="6">
        <f>$L194+L198</f>
        <v>3</v>
      </c>
      <c r="M199" s="6">
        <f t="shared" si="39"/>
        <v>3</v>
      </c>
      <c r="N199" s="71">
        <v>3</v>
      </c>
      <c r="O199">
        <f t="shared" si="32"/>
        <v>0.66666666666666663</v>
      </c>
      <c r="P199" s="71">
        <v>2</v>
      </c>
      <c r="Q199">
        <f t="shared" si="33"/>
        <v>0.5</v>
      </c>
      <c r="R199" s="71">
        <v>1</v>
      </c>
      <c r="S199" s="6">
        <f t="shared" si="34"/>
        <v>0.33333333333333331</v>
      </c>
    </row>
    <row r="200" spans="1:19" x14ac:dyDescent="0.2">
      <c r="A200" s="36" t="s">
        <v>37</v>
      </c>
      <c r="B200" s="6" t="s">
        <v>157</v>
      </c>
      <c r="C200" s="71">
        <v>6600</v>
      </c>
      <c r="D200" s="6">
        <f>(C200/12)*7</f>
        <v>3850</v>
      </c>
      <c r="E200" s="62">
        <v>6960</v>
      </c>
      <c r="F200" s="6">
        <f>SUM(E194:E200)</f>
        <v>9940</v>
      </c>
      <c r="G200" s="35" t="str">
        <f t="shared" si="31"/>
        <v>Farol Verde</v>
      </c>
      <c r="H200">
        <f t="shared" si="29"/>
        <v>0</v>
      </c>
      <c r="I200" s="6">
        <f t="shared" si="30"/>
        <v>7</v>
      </c>
      <c r="J200" s="100">
        <v>6</v>
      </c>
      <c r="K200" s="62">
        <v>1</v>
      </c>
      <c r="L200" s="6">
        <f>$L194+L199</f>
        <v>3.5</v>
      </c>
      <c r="M200" s="6">
        <f t="shared" si="39"/>
        <v>4</v>
      </c>
      <c r="N200" s="71"/>
      <c r="O200" t="e">
        <f t="shared" si="32"/>
        <v>#DIV/0!</v>
      </c>
      <c r="P200" s="71"/>
      <c r="Q200" t="e">
        <f t="shared" si="33"/>
        <v>#DIV/0!</v>
      </c>
      <c r="R200" s="71"/>
      <c r="S200" s="6" t="e">
        <f t="shared" si="34"/>
        <v>#DIV/0!</v>
      </c>
    </row>
    <row r="201" spans="1:19" x14ac:dyDescent="0.2">
      <c r="A201" s="36" t="s">
        <v>37</v>
      </c>
      <c r="B201" s="6" t="s">
        <v>158</v>
      </c>
      <c r="C201" s="71">
        <v>6600</v>
      </c>
      <c r="D201" s="6">
        <f>(C201/12)*8</f>
        <v>4400</v>
      </c>
      <c r="E201" s="62">
        <v>0</v>
      </c>
      <c r="F201" s="6">
        <f>SUM(E194:E201)</f>
        <v>9940</v>
      </c>
      <c r="G201" s="35" t="str">
        <f t="shared" si="31"/>
        <v>Farol Verde</v>
      </c>
      <c r="H201">
        <f t="shared" si="29"/>
        <v>0</v>
      </c>
      <c r="I201" s="6">
        <f t="shared" si="30"/>
        <v>8</v>
      </c>
      <c r="J201" s="100">
        <v>6</v>
      </c>
      <c r="K201" s="62"/>
      <c r="L201" s="6">
        <f>L194+L200</f>
        <v>4</v>
      </c>
      <c r="M201" s="6">
        <f t="shared" si="39"/>
        <v>4</v>
      </c>
      <c r="N201" s="71"/>
      <c r="O201" t="e">
        <f t="shared" si="32"/>
        <v>#DIV/0!</v>
      </c>
      <c r="P201" s="71"/>
      <c r="Q201" t="e">
        <f t="shared" si="33"/>
        <v>#DIV/0!</v>
      </c>
      <c r="R201" s="71"/>
      <c r="S201" s="6" t="e">
        <f t="shared" si="34"/>
        <v>#DIV/0!</v>
      </c>
    </row>
    <row r="202" spans="1:19" x14ac:dyDescent="0.2">
      <c r="A202" s="36" t="s">
        <v>37</v>
      </c>
      <c r="B202" s="6" t="s">
        <v>159</v>
      </c>
      <c r="C202" s="71">
        <v>6600</v>
      </c>
      <c r="D202" s="6">
        <f>(C202/12)*9</f>
        <v>4950</v>
      </c>
      <c r="E202" s="62">
        <v>0</v>
      </c>
      <c r="F202" s="6">
        <f>SUM(E194:E202)</f>
        <v>9940</v>
      </c>
      <c r="G202" s="35" t="str">
        <f t="shared" si="31"/>
        <v>Farol Verde</v>
      </c>
      <c r="H202">
        <f t="shared" si="29"/>
        <v>0</v>
      </c>
      <c r="I202" s="6">
        <f t="shared" si="30"/>
        <v>9</v>
      </c>
      <c r="J202" s="100">
        <v>6</v>
      </c>
      <c r="K202" s="62"/>
      <c r="L202" s="6">
        <f>$L194+L201</f>
        <v>4.5</v>
      </c>
      <c r="M202" s="6">
        <f t="shared" si="39"/>
        <v>4</v>
      </c>
      <c r="N202" s="71"/>
      <c r="O202" t="e">
        <f t="shared" si="32"/>
        <v>#DIV/0!</v>
      </c>
      <c r="P202" s="71"/>
      <c r="Q202" t="e">
        <f t="shared" si="33"/>
        <v>#DIV/0!</v>
      </c>
      <c r="R202" s="71"/>
      <c r="S202" s="6" t="e">
        <f t="shared" si="34"/>
        <v>#DIV/0!</v>
      </c>
    </row>
    <row r="203" spans="1:19" x14ac:dyDescent="0.2">
      <c r="A203" s="36" t="s">
        <v>37</v>
      </c>
      <c r="B203" s="6" t="s">
        <v>160</v>
      </c>
      <c r="C203" s="71">
        <v>6600</v>
      </c>
      <c r="D203" s="6">
        <f>(C203/12)*10</f>
        <v>5500</v>
      </c>
      <c r="E203" s="62">
        <v>0</v>
      </c>
      <c r="F203" s="6">
        <f>SUM(E194:E203)</f>
        <v>9940</v>
      </c>
      <c r="G203" s="35" t="str">
        <f t="shared" si="31"/>
        <v>Farol Verde</v>
      </c>
      <c r="H203">
        <f t="shared" si="29"/>
        <v>0</v>
      </c>
      <c r="I203" s="6">
        <f t="shared" si="30"/>
        <v>10</v>
      </c>
      <c r="J203" s="100">
        <v>6</v>
      </c>
      <c r="K203" s="62"/>
      <c r="L203" s="6">
        <f>$L194+L202</f>
        <v>5</v>
      </c>
      <c r="M203" s="6">
        <f t="shared" si="39"/>
        <v>4</v>
      </c>
      <c r="N203" s="71"/>
      <c r="O203" t="e">
        <f t="shared" si="32"/>
        <v>#DIV/0!</v>
      </c>
      <c r="P203" s="71"/>
      <c r="Q203" t="e">
        <f t="shared" si="33"/>
        <v>#DIV/0!</v>
      </c>
      <c r="R203" s="71"/>
      <c r="S203" s="6" t="e">
        <f t="shared" si="34"/>
        <v>#DIV/0!</v>
      </c>
    </row>
    <row r="204" spans="1:19" x14ac:dyDescent="0.2">
      <c r="A204" s="36" t="s">
        <v>37</v>
      </c>
      <c r="B204" s="6" t="s">
        <v>161</v>
      </c>
      <c r="C204" s="71">
        <v>6600</v>
      </c>
      <c r="D204" s="6">
        <f>(C204/12)*11</f>
        <v>6050</v>
      </c>
      <c r="E204" s="62">
        <v>0</v>
      </c>
      <c r="F204" s="6">
        <f>SUM(E194:E204)</f>
        <v>9940</v>
      </c>
      <c r="G204" s="35" t="str">
        <f t="shared" si="31"/>
        <v>Farol Verde</v>
      </c>
      <c r="H204">
        <f t="shared" si="29"/>
        <v>0</v>
      </c>
      <c r="I204" s="6">
        <f t="shared" si="30"/>
        <v>11</v>
      </c>
      <c r="J204" s="100">
        <v>6</v>
      </c>
      <c r="K204" s="62"/>
      <c r="L204" s="6">
        <f>L194+L203</f>
        <v>5.5</v>
      </c>
      <c r="M204" s="6">
        <f t="shared" si="39"/>
        <v>4</v>
      </c>
      <c r="N204" s="71"/>
      <c r="O204" t="e">
        <f t="shared" si="32"/>
        <v>#DIV/0!</v>
      </c>
      <c r="P204" s="71"/>
      <c r="Q204" t="e">
        <f t="shared" si="33"/>
        <v>#DIV/0!</v>
      </c>
      <c r="R204" s="71"/>
      <c r="S204" s="6" t="e">
        <f t="shared" si="34"/>
        <v>#DIV/0!</v>
      </c>
    </row>
    <row r="205" spans="1:19" x14ac:dyDescent="0.2">
      <c r="A205" s="36" t="s">
        <v>37</v>
      </c>
      <c r="B205" s="6" t="s">
        <v>162</v>
      </c>
      <c r="C205" s="71">
        <v>6600</v>
      </c>
      <c r="D205" s="6">
        <f>(C205/12)*12</f>
        <v>6600</v>
      </c>
      <c r="E205" s="62">
        <v>0</v>
      </c>
      <c r="F205" s="6">
        <f>SUM(E194:E205)</f>
        <v>9940</v>
      </c>
      <c r="G205" s="35" t="str">
        <f t="shared" si="31"/>
        <v>Farol Verde</v>
      </c>
      <c r="H205">
        <f t="shared" si="29"/>
        <v>0</v>
      </c>
      <c r="I205" s="6">
        <f t="shared" si="30"/>
        <v>12</v>
      </c>
      <c r="J205" s="100">
        <v>6</v>
      </c>
      <c r="K205" s="62"/>
      <c r="L205" s="6">
        <f>$L194+L204</f>
        <v>6</v>
      </c>
      <c r="M205" s="6">
        <f t="shared" si="39"/>
        <v>4</v>
      </c>
      <c r="N205" s="71"/>
      <c r="O205" t="e">
        <f t="shared" si="32"/>
        <v>#DIV/0!</v>
      </c>
      <c r="P205" s="71"/>
      <c r="Q205" t="e">
        <f t="shared" si="33"/>
        <v>#DIV/0!</v>
      </c>
      <c r="R205" s="71"/>
      <c r="S205" s="6" t="e">
        <f t="shared" si="34"/>
        <v>#DIV/0!</v>
      </c>
    </row>
    <row r="206" spans="1:19" x14ac:dyDescent="0.2">
      <c r="A206" s="36" t="s">
        <v>91</v>
      </c>
      <c r="B206" s="6" t="s">
        <v>151</v>
      </c>
      <c r="C206" s="71">
        <v>25000</v>
      </c>
      <c r="D206" s="6">
        <f>(C206/12)*1</f>
        <v>2083.3333333333335</v>
      </c>
      <c r="E206" s="62">
        <v>4057</v>
      </c>
      <c r="F206" s="6">
        <f>E206</f>
        <v>4057</v>
      </c>
      <c r="G206" s="35" t="str">
        <f t="shared" si="31"/>
        <v>Farol Verde</v>
      </c>
      <c r="H206">
        <f t="shared" ref="H206:H281" si="40">IF(D206-F206&lt;0,0,D206-F206)</f>
        <v>0</v>
      </c>
      <c r="I206" s="6">
        <f t="shared" ref="I206:I281" si="41">_xlfn.IFS(B206="Janeiro",1,B206="Fevereiro",2,B206="Março",3,B206="Abril",4,B206="Maio",5,B206="Junho",6,B206="Julho",7,B206="Agosto",8,B206="Setembro",9,B206="Outubro",10,B206="Novembro",11,B206="Dezembro",12,TRUE,0)</f>
        <v>1</v>
      </c>
      <c r="J206" s="100">
        <v>14</v>
      </c>
      <c r="K206" s="62">
        <v>4</v>
      </c>
      <c r="L206" s="6">
        <f>J206/12</f>
        <v>1.1666666666666667</v>
      </c>
      <c r="M206" s="6">
        <f>K206</f>
        <v>4</v>
      </c>
      <c r="N206" s="71">
        <v>0</v>
      </c>
      <c r="O206" t="e">
        <f t="shared" si="32"/>
        <v>#DIV/0!</v>
      </c>
      <c r="P206" s="71">
        <v>0</v>
      </c>
      <c r="Q206" t="e">
        <f t="shared" si="33"/>
        <v>#DIV/0!</v>
      </c>
      <c r="R206" s="71">
        <v>0</v>
      </c>
      <c r="S206" s="6" t="e">
        <f t="shared" si="34"/>
        <v>#DIV/0!</v>
      </c>
    </row>
    <row r="207" spans="1:19" x14ac:dyDescent="0.2">
      <c r="A207" s="36" t="s">
        <v>91</v>
      </c>
      <c r="B207" s="6" t="s">
        <v>152</v>
      </c>
      <c r="C207" s="71">
        <v>25000</v>
      </c>
      <c r="D207" s="6">
        <f>(C207/12)*2</f>
        <v>4166.666666666667</v>
      </c>
      <c r="E207" s="62">
        <v>0</v>
      </c>
      <c r="F207" s="6">
        <f>SUM(E206:E207)</f>
        <v>4057</v>
      </c>
      <c r="G207" s="35" t="str">
        <f t="shared" ref="G207:G282" si="42">_xlfn.IFS(F207&gt;D207,"Farol Verde",F207&gt;=D207*0.85,"Farol Amarelo",F207&lt;D207*0.85,"Farol Vermelho","Verdadeiro",0)</f>
        <v>Farol Amarelo</v>
      </c>
      <c r="H207">
        <f t="shared" si="40"/>
        <v>109.66666666666697</v>
      </c>
      <c r="I207" s="6">
        <f t="shared" si="41"/>
        <v>2</v>
      </c>
      <c r="J207" s="100">
        <v>14</v>
      </c>
      <c r="K207" s="62">
        <v>0</v>
      </c>
      <c r="L207" s="6">
        <f>L206+L206</f>
        <v>2.3333333333333335</v>
      </c>
      <c r="M207" s="6">
        <f>M206+K207</f>
        <v>4</v>
      </c>
      <c r="N207" s="71">
        <v>0</v>
      </c>
      <c r="O207" t="e">
        <f t="shared" ref="O207:O282" si="43">P207/N207</f>
        <v>#DIV/0!</v>
      </c>
      <c r="P207" s="71">
        <v>0</v>
      </c>
      <c r="Q207" t="e">
        <f t="shared" ref="Q207:Q281" si="44">R207/P207</f>
        <v>#DIV/0!</v>
      </c>
      <c r="R207" s="71">
        <v>0</v>
      </c>
      <c r="S207" s="6" t="e">
        <f t="shared" ref="S207:S282" si="45">R207/N207</f>
        <v>#DIV/0!</v>
      </c>
    </row>
    <row r="208" spans="1:19" x14ac:dyDescent="0.2">
      <c r="A208" s="36" t="s">
        <v>91</v>
      </c>
      <c r="B208" s="6" t="s">
        <v>153</v>
      </c>
      <c r="C208" s="71">
        <v>25000</v>
      </c>
      <c r="D208" s="6">
        <f>(C208/12)*3</f>
        <v>6250</v>
      </c>
      <c r="E208" s="62">
        <v>1750</v>
      </c>
      <c r="F208" s="6">
        <f>SUM(E206:E208)</f>
        <v>5807</v>
      </c>
      <c r="G208" s="35" t="str">
        <f t="shared" si="42"/>
        <v>Farol Amarelo</v>
      </c>
      <c r="H208">
        <f t="shared" si="40"/>
        <v>443</v>
      </c>
      <c r="I208" s="6">
        <f t="shared" si="41"/>
        <v>3</v>
      </c>
      <c r="J208" s="100">
        <v>14</v>
      </c>
      <c r="K208" s="62">
        <v>1</v>
      </c>
      <c r="L208" s="6">
        <f>$L206+L207</f>
        <v>3.5</v>
      </c>
      <c r="M208" s="6">
        <f t="shared" ref="M208:M217" si="46">M207+K208</f>
        <v>5</v>
      </c>
      <c r="N208" s="71">
        <v>0</v>
      </c>
      <c r="O208" t="e">
        <f t="shared" si="43"/>
        <v>#DIV/0!</v>
      </c>
      <c r="P208" s="71">
        <v>0</v>
      </c>
      <c r="Q208" t="e">
        <f t="shared" si="44"/>
        <v>#DIV/0!</v>
      </c>
      <c r="R208" s="71">
        <v>0</v>
      </c>
      <c r="S208" s="6" t="e">
        <f t="shared" si="45"/>
        <v>#DIV/0!</v>
      </c>
    </row>
    <row r="209" spans="1:19" x14ac:dyDescent="0.2">
      <c r="A209" s="36" t="s">
        <v>91</v>
      </c>
      <c r="B209" s="6" t="s">
        <v>154</v>
      </c>
      <c r="C209" s="71">
        <v>25000</v>
      </c>
      <c r="D209" s="6">
        <f>(C209/12)*4</f>
        <v>8333.3333333333339</v>
      </c>
      <c r="E209" s="62">
        <v>0</v>
      </c>
      <c r="F209" s="6">
        <f>SUM(E206:E209)</f>
        <v>5807</v>
      </c>
      <c r="G209" s="35" t="str">
        <f t="shared" si="42"/>
        <v>Farol Vermelho</v>
      </c>
      <c r="H209">
        <f t="shared" si="40"/>
        <v>2526.3333333333339</v>
      </c>
      <c r="I209" s="6">
        <f t="shared" si="41"/>
        <v>4</v>
      </c>
      <c r="J209" s="100">
        <v>14</v>
      </c>
      <c r="K209" s="62">
        <v>0</v>
      </c>
      <c r="L209" s="6">
        <f>$L206+L208</f>
        <v>4.666666666666667</v>
      </c>
      <c r="M209" s="6">
        <f t="shared" si="46"/>
        <v>5</v>
      </c>
      <c r="N209" s="71">
        <v>0</v>
      </c>
      <c r="O209" t="e">
        <f t="shared" si="43"/>
        <v>#DIV/0!</v>
      </c>
      <c r="P209" s="71">
        <v>0</v>
      </c>
      <c r="Q209" t="e">
        <f t="shared" si="44"/>
        <v>#DIV/0!</v>
      </c>
      <c r="R209" s="71">
        <v>0</v>
      </c>
      <c r="S209" s="6" t="e">
        <f t="shared" si="45"/>
        <v>#DIV/0!</v>
      </c>
    </row>
    <row r="210" spans="1:19" x14ac:dyDescent="0.2">
      <c r="A210" s="36" t="s">
        <v>91</v>
      </c>
      <c r="B210" s="6" t="s">
        <v>155</v>
      </c>
      <c r="C210" s="71">
        <v>25000</v>
      </c>
      <c r="D210" s="6">
        <f>(C210/12)*5</f>
        <v>10416.666666666668</v>
      </c>
      <c r="E210" s="62">
        <v>2000</v>
      </c>
      <c r="F210" s="6">
        <f>SUM(E206:E210)</f>
        <v>7807</v>
      </c>
      <c r="G210" s="35" t="str">
        <f t="shared" si="42"/>
        <v>Farol Vermelho</v>
      </c>
      <c r="H210">
        <f t="shared" si="40"/>
        <v>2609.6666666666679</v>
      </c>
      <c r="I210" s="6">
        <f t="shared" si="41"/>
        <v>5</v>
      </c>
      <c r="J210" s="100">
        <v>14</v>
      </c>
      <c r="K210" s="62">
        <v>1</v>
      </c>
      <c r="L210" s="6">
        <f>L206+L209</f>
        <v>5.8333333333333339</v>
      </c>
      <c r="M210" s="6">
        <f t="shared" si="46"/>
        <v>6</v>
      </c>
      <c r="N210" s="71">
        <v>0</v>
      </c>
      <c r="O210" t="e">
        <f t="shared" si="43"/>
        <v>#DIV/0!</v>
      </c>
      <c r="P210" s="71">
        <v>0</v>
      </c>
      <c r="Q210" t="e">
        <f t="shared" si="44"/>
        <v>#DIV/0!</v>
      </c>
      <c r="R210" s="71">
        <v>0</v>
      </c>
      <c r="S210" s="6" t="e">
        <f t="shared" si="45"/>
        <v>#DIV/0!</v>
      </c>
    </row>
    <row r="211" spans="1:19" x14ac:dyDescent="0.2">
      <c r="A211" s="36" t="s">
        <v>91</v>
      </c>
      <c r="B211" s="6" t="s">
        <v>156</v>
      </c>
      <c r="C211" s="71">
        <v>25000</v>
      </c>
      <c r="D211" s="6">
        <f>(C211/12)*6</f>
        <v>12500</v>
      </c>
      <c r="E211" s="62">
        <v>5145</v>
      </c>
      <c r="F211" s="6">
        <f>SUM(E206:E211)</f>
        <v>12952</v>
      </c>
      <c r="G211" s="35" t="str">
        <f t="shared" si="42"/>
        <v>Farol Verde</v>
      </c>
      <c r="H211">
        <f t="shared" si="40"/>
        <v>0</v>
      </c>
      <c r="I211" s="6">
        <f t="shared" si="41"/>
        <v>6</v>
      </c>
      <c r="J211" s="100">
        <v>14</v>
      </c>
      <c r="K211" s="62">
        <v>5</v>
      </c>
      <c r="L211" s="6">
        <f>$L206+L210</f>
        <v>7.0000000000000009</v>
      </c>
      <c r="M211" s="6">
        <f t="shared" si="46"/>
        <v>11</v>
      </c>
      <c r="N211" s="71">
        <v>12</v>
      </c>
      <c r="O211">
        <f t="shared" si="43"/>
        <v>0.75</v>
      </c>
      <c r="P211" s="71">
        <v>9</v>
      </c>
      <c r="Q211">
        <f t="shared" si="44"/>
        <v>0.55555555555555558</v>
      </c>
      <c r="R211" s="71">
        <v>5</v>
      </c>
      <c r="S211" s="6">
        <f t="shared" si="45"/>
        <v>0.41666666666666669</v>
      </c>
    </row>
    <row r="212" spans="1:19" x14ac:dyDescent="0.2">
      <c r="A212" s="36" t="s">
        <v>91</v>
      </c>
      <c r="B212" s="6" t="s">
        <v>157</v>
      </c>
      <c r="C212" s="71">
        <v>25000</v>
      </c>
      <c r="D212" s="6">
        <f>(C212/12)*7</f>
        <v>14583.333333333334</v>
      </c>
      <c r="E212" s="62">
        <v>5119.8</v>
      </c>
      <c r="F212" s="6">
        <f>SUM(E206:E212)</f>
        <v>18071.8</v>
      </c>
      <c r="G212" s="35" t="str">
        <f t="shared" si="42"/>
        <v>Farol Verde</v>
      </c>
      <c r="H212">
        <f t="shared" si="40"/>
        <v>0</v>
      </c>
      <c r="I212" s="6">
        <f t="shared" si="41"/>
        <v>7</v>
      </c>
      <c r="J212" s="100">
        <v>14</v>
      </c>
      <c r="K212" s="62">
        <v>3</v>
      </c>
      <c r="L212" s="6">
        <f>$L206+L211</f>
        <v>8.1666666666666679</v>
      </c>
      <c r="M212" s="6">
        <f t="shared" si="46"/>
        <v>14</v>
      </c>
      <c r="N212" s="71"/>
      <c r="O212" t="e">
        <f t="shared" si="43"/>
        <v>#DIV/0!</v>
      </c>
      <c r="P212" s="71"/>
      <c r="Q212" t="e">
        <f t="shared" si="44"/>
        <v>#DIV/0!</v>
      </c>
      <c r="R212" s="71"/>
      <c r="S212" s="6" t="e">
        <f t="shared" si="45"/>
        <v>#DIV/0!</v>
      </c>
    </row>
    <row r="213" spans="1:19" x14ac:dyDescent="0.2">
      <c r="A213" s="36" t="s">
        <v>91</v>
      </c>
      <c r="B213" s="6" t="s">
        <v>158</v>
      </c>
      <c r="C213" s="71">
        <v>25000</v>
      </c>
      <c r="D213" s="6">
        <f>(C213/12)*8</f>
        <v>16666.666666666668</v>
      </c>
      <c r="E213" s="62">
        <v>0</v>
      </c>
      <c r="F213" s="6">
        <f>SUM(E206:E213)</f>
        <v>18071.8</v>
      </c>
      <c r="G213" s="35" t="str">
        <f t="shared" si="42"/>
        <v>Farol Verde</v>
      </c>
      <c r="H213">
        <f t="shared" si="40"/>
        <v>0</v>
      </c>
      <c r="I213" s="6">
        <f t="shared" si="41"/>
        <v>8</v>
      </c>
      <c r="J213" s="100">
        <v>14</v>
      </c>
      <c r="K213" s="62"/>
      <c r="L213" s="6">
        <f>L206+L212</f>
        <v>9.3333333333333339</v>
      </c>
      <c r="M213" s="6">
        <f t="shared" si="46"/>
        <v>14</v>
      </c>
      <c r="N213" s="71"/>
      <c r="O213" t="e">
        <f t="shared" si="43"/>
        <v>#DIV/0!</v>
      </c>
      <c r="P213" s="71"/>
      <c r="Q213" t="e">
        <f t="shared" si="44"/>
        <v>#DIV/0!</v>
      </c>
      <c r="R213" s="71"/>
      <c r="S213" s="6" t="e">
        <f t="shared" si="45"/>
        <v>#DIV/0!</v>
      </c>
    </row>
    <row r="214" spans="1:19" x14ac:dyDescent="0.2">
      <c r="A214" s="36" t="s">
        <v>91</v>
      </c>
      <c r="B214" s="6" t="s">
        <v>159</v>
      </c>
      <c r="C214" s="71">
        <v>25000</v>
      </c>
      <c r="D214" s="6">
        <f>(C214/12)*9</f>
        <v>18750</v>
      </c>
      <c r="E214" s="62">
        <v>0</v>
      </c>
      <c r="F214" s="6">
        <f>SUM(E206:E214)</f>
        <v>18071.8</v>
      </c>
      <c r="G214" s="35" t="str">
        <f t="shared" si="42"/>
        <v>Farol Amarelo</v>
      </c>
      <c r="H214">
        <f t="shared" si="40"/>
        <v>678.20000000000073</v>
      </c>
      <c r="I214" s="6">
        <f t="shared" si="41"/>
        <v>9</v>
      </c>
      <c r="J214" s="100">
        <v>14</v>
      </c>
      <c r="K214" s="62"/>
      <c r="L214" s="6">
        <f>$L206+L213</f>
        <v>10.5</v>
      </c>
      <c r="M214" s="6">
        <f t="shared" si="46"/>
        <v>14</v>
      </c>
      <c r="N214" s="71"/>
      <c r="O214" t="e">
        <f t="shared" si="43"/>
        <v>#DIV/0!</v>
      </c>
      <c r="P214" s="71"/>
      <c r="Q214" t="e">
        <f t="shared" si="44"/>
        <v>#DIV/0!</v>
      </c>
      <c r="R214" s="71"/>
      <c r="S214" s="6" t="e">
        <f t="shared" si="45"/>
        <v>#DIV/0!</v>
      </c>
    </row>
    <row r="215" spans="1:19" x14ac:dyDescent="0.2">
      <c r="A215" s="36" t="s">
        <v>91</v>
      </c>
      <c r="B215" s="6" t="s">
        <v>160</v>
      </c>
      <c r="C215" s="71">
        <v>25000</v>
      </c>
      <c r="D215" s="6">
        <f>(C215/12)*10</f>
        <v>20833.333333333336</v>
      </c>
      <c r="E215" s="62">
        <v>0</v>
      </c>
      <c r="F215" s="6">
        <f>SUM(E206:E215)</f>
        <v>18071.8</v>
      </c>
      <c r="G215" s="35" t="str">
        <f t="shared" si="42"/>
        <v>Farol Amarelo</v>
      </c>
      <c r="H215">
        <f t="shared" si="40"/>
        <v>2761.5333333333365</v>
      </c>
      <c r="I215" s="6">
        <f t="shared" si="41"/>
        <v>10</v>
      </c>
      <c r="J215" s="100">
        <v>14</v>
      </c>
      <c r="K215" s="62"/>
      <c r="L215" s="6">
        <f>$L206+L214</f>
        <v>11.666666666666666</v>
      </c>
      <c r="M215" s="6">
        <f t="shared" si="46"/>
        <v>14</v>
      </c>
      <c r="N215" s="71"/>
      <c r="O215" t="e">
        <f t="shared" si="43"/>
        <v>#DIV/0!</v>
      </c>
      <c r="P215" s="71"/>
      <c r="Q215" t="e">
        <f t="shared" si="44"/>
        <v>#DIV/0!</v>
      </c>
      <c r="R215" s="71"/>
      <c r="S215" s="6" t="e">
        <f t="shared" si="45"/>
        <v>#DIV/0!</v>
      </c>
    </row>
    <row r="216" spans="1:19" x14ac:dyDescent="0.2">
      <c r="A216" s="36" t="s">
        <v>91</v>
      </c>
      <c r="B216" s="6" t="s">
        <v>161</v>
      </c>
      <c r="C216" s="71">
        <v>25000</v>
      </c>
      <c r="D216" s="6">
        <f>(C216/12)*11</f>
        <v>22916.666666666668</v>
      </c>
      <c r="E216" s="62">
        <v>0</v>
      </c>
      <c r="F216" s="6">
        <f>SUM(E206:E216)</f>
        <v>18071.8</v>
      </c>
      <c r="G216" s="35" t="str">
        <f t="shared" si="42"/>
        <v>Farol Vermelho</v>
      </c>
      <c r="H216">
        <f t="shared" si="40"/>
        <v>4844.8666666666686</v>
      </c>
      <c r="I216" s="6">
        <f t="shared" si="41"/>
        <v>11</v>
      </c>
      <c r="J216" s="100">
        <v>14</v>
      </c>
      <c r="K216" s="62"/>
      <c r="L216" s="6">
        <f>L206+L215</f>
        <v>12.833333333333332</v>
      </c>
      <c r="M216" s="6">
        <f t="shared" si="46"/>
        <v>14</v>
      </c>
      <c r="N216" s="71"/>
      <c r="O216" t="e">
        <f t="shared" si="43"/>
        <v>#DIV/0!</v>
      </c>
      <c r="P216" s="71"/>
      <c r="Q216" t="e">
        <f t="shared" si="44"/>
        <v>#DIV/0!</v>
      </c>
      <c r="R216" s="71"/>
      <c r="S216" s="6" t="e">
        <f t="shared" si="45"/>
        <v>#DIV/0!</v>
      </c>
    </row>
    <row r="217" spans="1:19" x14ac:dyDescent="0.2">
      <c r="A217" s="36" t="s">
        <v>91</v>
      </c>
      <c r="B217" s="6" t="s">
        <v>162</v>
      </c>
      <c r="C217" s="71">
        <v>25000</v>
      </c>
      <c r="D217" s="6">
        <f>(C217/12)*12</f>
        <v>25000</v>
      </c>
      <c r="E217" s="62">
        <v>0</v>
      </c>
      <c r="F217" s="6">
        <f>SUM(E206:E217)</f>
        <v>18071.8</v>
      </c>
      <c r="G217" s="35" t="str">
        <f t="shared" si="42"/>
        <v>Farol Vermelho</v>
      </c>
      <c r="H217">
        <f t="shared" si="40"/>
        <v>6928.2000000000007</v>
      </c>
      <c r="I217" s="6">
        <f t="shared" si="41"/>
        <v>12</v>
      </c>
      <c r="J217" s="100">
        <v>14</v>
      </c>
      <c r="K217" s="62"/>
      <c r="L217" s="6">
        <f>$L206+L216</f>
        <v>13.999999999999998</v>
      </c>
      <c r="M217" s="6">
        <f t="shared" si="46"/>
        <v>14</v>
      </c>
      <c r="N217" s="71"/>
      <c r="O217" t="e">
        <f t="shared" si="43"/>
        <v>#DIV/0!</v>
      </c>
      <c r="P217" s="71"/>
      <c r="Q217" t="e">
        <f t="shared" si="44"/>
        <v>#DIV/0!</v>
      </c>
      <c r="R217" s="71"/>
      <c r="S217" s="6" t="e">
        <f t="shared" si="45"/>
        <v>#DIV/0!</v>
      </c>
    </row>
    <row r="218" spans="1:19" x14ac:dyDescent="0.2">
      <c r="A218" s="36" t="s">
        <v>126</v>
      </c>
      <c r="B218" s="6" t="s">
        <v>151</v>
      </c>
      <c r="C218" s="71">
        <v>120000</v>
      </c>
      <c r="D218" s="6">
        <f>(C218/12)*1</f>
        <v>10000</v>
      </c>
      <c r="E218" s="62">
        <v>11050</v>
      </c>
      <c r="F218" s="6">
        <f>E218</f>
        <v>11050</v>
      </c>
      <c r="G218" s="35" t="str">
        <f t="shared" si="42"/>
        <v>Farol Verde</v>
      </c>
      <c r="H218">
        <f t="shared" si="40"/>
        <v>0</v>
      </c>
      <c r="I218" s="6">
        <f t="shared" si="41"/>
        <v>1</v>
      </c>
      <c r="J218" s="100">
        <v>18</v>
      </c>
      <c r="K218" s="62">
        <v>2</v>
      </c>
      <c r="L218" s="6">
        <f>J218/12</f>
        <v>1.5</v>
      </c>
      <c r="M218" s="6">
        <f>K218</f>
        <v>2</v>
      </c>
      <c r="N218" s="71">
        <v>0</v>
      </c>
      <c r="O218" t="e">
        <f t="shared" si="43"/>
        <v>#DIV/0!</v>
      </c>
      <c r="P218" s="71">
        <v>0</v>
      </c>
      <c r="Q218" t="e">
        <f t="shared" si="44"/>
        <v>#DIV/0!</v>
      </c>
      <c r="R218" s="71">
        <v>0</v>
      </c>
      <c r="S218" s="6" t="e">
        <f t="shared" si="45"/>
        <v>#DIV/0!</v>
      </c>
    </row>
    <row r="219" spans="1:19" x14ac:dyDescent="0.2">
      <c r="A219" s="36" t="s">
        <v>126</v>
      </c>
      <c r="B219" s="6" t="s">
        <v>152</v>
      </c>
      <c r="C219" s="71">
        <v>120000</v>
      </c>
      <c r="D219" s="6">
        <f>(C219/12)*2</f>
        <v>20000</v>
      </c>
      <c r="E219" s="62">
        <v>7500</v>
      </c>
      <c r="F219" s="6">
        <f>SUM(E218:E219)</f>
        <v>18550</v>
      </c>
      <c r="G219" s="35" t="str">
        <f t="shared" si="42"/>
        <v>Farol Amarelo</v>
      </c>
      <c r="H219">
        <f t="shared" si="40"/>
        <v>1450</v>
      </c>
      <c r="I219" s="6">
        <f t="shared" si="41"/>
        <v>2</v>
      </c>
      <c r="J219" s="100">
        <v>18</v>
      </c>
      <c r="K219" s="62">
        <v>2</v>
      </c>
      <c r="L219" s="6">
        <f>L218+L218</f>
        <v>3</v>
      </c>
      <c r="M219" s="6">
        <f>M218+K219</f>
        <v>4</v>
      </c>
      <c r="N219" s="71">
        <v>0</v>
      </c>
      <c r="O219" t="e">
        <f t="shared" si="43"/>
        <v>#DIV/0!</v>
      </c>
      <c r="P219" s="71">
        <v>0</v>
      </c>
      <c r="Q219" t="e">
        <f t="shared" si="44"/>
        <v>#DIV/0!</v>
      </c>
      <c r="R219" s="71">
        <v>0</v>
      </c>
      <c r="S219" s="6" t="e">
        <f t="shared" si="45"/>
        <v>#DIV/0!</v>
      </c>
    </row>
    <row r="220" spans="1:19" x14ac:dyDescent="0.2">
      <c r="A220" s="36" t="s">
        <v>126</v>
      </c>
      <c r="B220" s="6" t="s">
        <v>153</v>
      </c>
      <c r="C220" s="71">
        <v>120000</v>
      </c>
      <c r="D220" s="6">
        <f>(C220/12)*3</f>
        <v>30000</v>
      </c>
      <c r="E220" s="62">
        <v>18100</v>
      </c>
      <c r="F220" s="6">
        <f>SUM(E218:E220)</f>
        <v>36650</v>
      </c>
      <c r="G220" s="35" t="str">
        <f t="shared" si="42"/>
        <v>Farol Verde</v>
      </c>
      <c r="H220">
        <f t="shared" si="40"/>
        <v>0</v>
      </c>
      <c r="I220" s="6">
        <f t="shared" si="41"/>
        <v>3</v>
      </c>
      <c r="J220" s="100">
        <v>18</v>
      </c>
      <c r="K220" s="62">
        <v>3</v>
      </c>
      <c r="L220" s="6">
        <f>$L218+L219</f>
        <v>4.5</v>
      </c>
      <c r="M220" s="6">
        <f t="shared" ref="M220:M229" si="47">M219+K220</f>
        <v>7</v>
      </c>
      <c r="N220" s="71">
        <v>0</v>
      </c>
      <c r="O220" t="e">
        <f t="shared" si="43"/>
        <v>#DIV/0!</v>
      </c>
      <c r="P220" s="71">
        <v>0</v>
      </c>
      <c r="Q220" t="e">
        <f t="shared" si="44"/>
        <v>#DIV/0!</v>
      </c>
      <c r="R220" s="71">
        <v>0</v>
      </c>
      <c r="S220" s="6" t="e">
        <f t="shared" si="45"/>
        <v>#DIV/0!</v>
      </c>
    </row>
    <row r="221" spans="1:19" x14ac:dyDescent="0.2">
      <c r="A221" s="36" t="s">
        <v>126</v>
      </c>
      <c r="B221" s="6" t="s">
        <v>154</v>
      </c>
      <c r="C221" s="71">
        <v>120000</v>
      </c>
      <c r="D221" s="6">
        <f>(C221/12)*4</f>
        <v>40000</v>
      </c>
      <c r="E221" s="62">
        <v>0</v>
      </c>
      <c r="F221" s="6">
        <f>SUM(E218:E221)</f>
        <v>36650</v>
      </c>
      <c r="G221" s="35" t="str">
        <f t="shared" si="42"/>
        <v>Farol Amarelo</v>
      </c>
      <c r="H221">
        <f t="shared" si="40"/>
        <v>3350</v>
      </c>
      <c r="I221" s="6">
        <f t="shared" si="41"/>
        <v>4</v>
      </c>
      <c r="J221" s="100">
        <v>18</v>
      </c>
      <c r="K221" s="62">
        <v>0</v>
      </c>
      <c r="L221" s="6">
        <f>$L218+L220</f>
        <v>6</v>
      </c>
      <c r="M221" s="6">
        <f t="shared" si="47"/>
        <v>7</v>
      </c>
      <c r="N221" s="71">
        <v>0</v>
      </c>
      <c r="O221" t="e">
        <f t="shared" si="43"/>
        <v>#DIV/0!</v>
      </c>
      <c r="P221" s="71">
        <v>0</v>
      </c>
      <c r="Q221" t="e">
        <f t="shared" si="44"/>
        <v>#DIV/0!</v>
      </c>
      <c r="R221" s="71">
        <v>0</v>
      </c>
      <c r="S221" s="6" t="e">
        <f t="shared" si="45"/>
        <v>#DIV/0!</v>
      </c>
    </row>
    <row r="222" spans="1:19" x14ac:dyDescent="0.2">
      <c r="A222" s="36" t="s">
        <v>126</v>
      </c>
      <c r="B222" s="6" t="s">
        <v>155</v>
      </c>
      <c r="C222" s="71">
        <v>120000</v>
      </c>
      <c r="D222" s="6">
        <f>(C222/12)*5</f>
        <v>50000</v>
      </c>
      <c r="E222" s="62">
        <v>14760</v>
      </c>
      <c r="F222" s="6">
        <f>SUM(E218:E222)</f>
        <v>51410</v>
      </c>
      <c r="G222" s="35" t="str">
        <f t="shared" si="42"/>
        <v>Farol Verde</v>
      </c>
      <c r="H222">
        <f t="shared" si="40"/>
        <v>0</v>
      </c>
      <c r="I222" s="6">
        <f t="shared" si="41"/>
        <v>5</v>
      </c>
      <c r="J222" s="100">
        <v>18</v>
      </c>
      <c r="K222" s="62">
        <v>1</v>
      </c>
      <c r="L222" s="6">
        <f>L218+L221</f>
        <v>7.5</v>
      </c>
      <c r="M222" s="6">
        <f t="shared" si="47"/>
        <v>8</v>
      </c>
      <c r="N222" s="71">
        <v>4</v>
      </c>
      <c r="O222">
        <f t="shared" si="43"/>
        <v>1</v>
      </c>
      <c r="P222" s="71">
        <v>4</v>
      </c>
      <c r="Q222">
        <f t="shared" si="44"/>
        <v>0</v>
      </c>
      <c r="R222" s="71">
        <v>0</v>
      </c>
      <c r="S222" s="6">
        <f t="shared" si="45"/>
        <v>0</v>
      </c>
    </row>
    <row r="223" spans="1:19" x14ac:dyDescent="0.2">
      <c r="A223" s="36" t="s">
        <v>126</v>
      </c>
      <c r="B223" s="6" t="s">
        <v>156</v>
      </c>
      <c r="C223" s="71">
        <v>120000</v>
      </c>
      <c r="D223" s="6">
        <f>(C223/12)*6</f>
        <v>60000</v>
      </c>
      <c r="E223" s="62">
        <v>20710</v>
      </c>
      <c r="F223" s="6">
        <f>SUM(E218:E223)</f>
        <v>72120</v>
      </c>
      <c r="G223" s="35" t="str">
        <f t="shared" si="42"/>
        <v>Farol Verde</v>
      </c>
      <c r="H223">
        <f t="shared" si="40"/>
        <v>0</v>
      </c>
      <c r="I223" s="6">
        <f t="shared" si="41"/>
        <v>6</v>
      </c>
      <c r="J223" s="100">
        <v>18</v>
      </c>
      <c r="K223" s="62">
        <v>2</v>
      </c>
      <c r="L223" s="6">
        <f>$L218+L222</f>
        <v>9</v>
      </c>
      <c r="M223" s="6">
        <f t="shared" si="47"/>
        <v>10</v>
      </c>
      <c r="N223" s="71">
        <v>14</v>
      </c>
      <c r="O223">
        <f t="shared" si="43"/>
        <v>0.7142857142857143</v>
      </c>
      <c r="P223" s="71">
        <v>10</v>
      </c>
      <c r="Q223">
        <f t="shared" si="44"/>
        <v>0.2</v>
      </c>
      <c r="R223" s="71">
        <v>2</v>
      </c>
      <c r="S223" s="6">
        <f t="shared" si="45"/>
        <v>0.14285714285714285</v>
      </c>
    </row>
    <row r="224" spans="1:19" x14ac:dyDescent="0.2">
      <c r="A224" s="36" t="s">
        <v>126</v>
      </c>
      <c r="B224" s="6" t="s">
        <v>157</v>
      </c>
      <c r="C224" s="71">
        <v>120000</v>
      </c>
      <c r="D224" s="6">
        <f>(C224/12)*7</f>
        <v>70000</v>
      </c>
      <c r="E224" s="62">
        <v>1350</v>
      </c>
      <c r="F224" s="6">
        <f>SUM(E218:E224)</f>
        <v>73470</v>
      </c>
      <c r="G224" s="35" t="str">
        <f t="shared" si="42"/>
        <v>Farol Verde</v>
      </c>
      <c r="H224">
        <f t="shared" si="40"/>
        <v>0</v>
      </c>
      <c r="I224" s="6">
        <f t="shared" si="41"/>
        <v>7</v>
      </c>
      <c r="J224" s="100">
        <v>18</v>
      </c>
      <c r="K224" s="62">
        <v>1</v>
      </c>
      <c r="L224" s="6">
        <f>$L218+L223</f>
        <v>10.5</v>
      </c>
      <c r="M224" s="6">
        <f t="shared" si="47"/>
        <v>11</v>
      </c>
      <c r="N224" s="71"/>
      <c r="O224" t="e">
        <f t="shared" si="43"/>
        <v>#DIV/0!</v>
      </c>
      <c r="P224" s="71"/>
      <c r="Q224" t="e">
        <f t="shared" si="44"/>
        <v>#DIV/0!</v>
      </c>
      <c r="R224" s="71"/>
      <c r="S224" s="6" t="e">
        <f t="shared" si="45"/>
        <v>#DIV/0!</v>
      </c>
    </row>
    <row r="225" spans="1:19" x14ac:dyDescent="0.2">
      <c r="A225" s="36" t="s">
        <v>126</v>
      </c>
      <c r="B225" s="6" t="s">
        <v>158</v>
      </c>
      <c r="C225" s="71">
        <v>120000</v>
      </c>
      <c r="D225" s="6">
        <f>(C225/12)*8</f>
        <v>80000</v>
      </c>
      <c r="E225" s="62">
        <v>0</v>
      </c>
      <c r="F225" s="6">
        <f>SUM(E218:E225)</f>
        <v>73470</v>
      </c>
      <c r="G225" s="35" t="str">
        <f t="shared" si="42"/>
        <v>Farol Amarelo</v>
      </c>
      <c r="H225">
        <f t="shared" si="40"/>
        <v>6530</v>
      </c>
      <c r="I225" s="6">
        <f t="shared" si="41"/>
        <v>8</v>
      </c>
      <c r="J225" s="100">
        <v>18</v>
      </c>
      <c r="K225" s="62"/>
      <c r="L225" s="6">
        <f>L218+L224</f>
        <v>12</v>
      </c>
      <c r="M225" s="6">
        <f t="shared" si="47"/>
        <v>11</v>
      </c>
      <c r="N225" s="71"/>
      <c r="O225" t="e">
        <f t="shared" si="43"/>
        <v>#DIV/0!</v>
      </c>
      <c r="P225" s="71"/>
      <c r="Q225" t="e">
        <f t="shared" si="44"/>
        <v>#DIV/0!</v>
      </c>
      <c r="R225" s="71"/>
      <c r="S225" s="6" t="e">
        <f t="shared" si="45"/>
        <v>#DIV/0!</v>
      </c>
    </row>
    <row r="226" spans="1:19" x14ac:dyDescent="0.2">
      <c r="A226" s="36" t="s">
        <v>126</v>
      </c>
      <c r="B226" s="6" t="s">
        <v>159</v>
      </c>
      <c r="C226" s="71">
        <v>120000</v>
      </c>
      <c r="D226" s="6">
        <f>(C226/12)*9</f>
        <v>90000</v>
      </c>
      <c r="E226" s="62">
        <v>0</v>
      </c>
      <c r="F226" s="6">
        <f>SUM(E218:E226)</f>
        <v>73470</v>
      </c>
      <c r="G226" s="35" t="str">
        <f t="shared" si="42"/>
        <v>Farol Vermelho</v>
      </c>
      <c r="H226">
        <f t="shared" si="40"/>
        <v>16530</v>
      </c>
      <c r="I226" s="6">
        <f t="shared" si="41"/>
        <v>9</v>
      </c>
      <c r="J226" s="100">
        <v>18</v>
      </c>
      <c r="K226" s="62"/>
      <c r="L226" s="6">
        <f>$L218+L225</f>
        <v>13.5</v>
      </c>
      <c r="M226" s="6">
        <f t="shared" si="47"/>
        <v>11</v>
      </c>
      <c r="N226" s="71"/>
      <c r="O226" t="e">
        <f t="shared" si="43"/>
        <v>#DIV/0!</v>
      </c>
      <c r="P226" s="71"/>
      <c r="Q226" t="e">
        <f t="shared" si="44"/>
        <v>#DIV/0!</v>
      </c>
      <c r="R226" s="71"/>
      <c r="S226" s="6" t="e">
        <f t="shared" si="45"/>
        <v>#DIV/0!</v>
      </c>
    </row>
    <row r="227" spans="1:19" x14ac:dyDescent="0.2">
      <c r="A227" s="36" t="s">
        <v>126</v>
      </c>
      <c r="B227" s="6" t="s">
        <v>160</v>
      </c>
      <c r="C227" s="71">
        <v>120000</v>
      </c>
      <c r="D227" s="6">
        <f>(C227/12)*10</f>
        <v>100000</v>
      </c>
      <c r="E227" s="62">
        <v>0</v>
      </c>
      <c r="F227" s="6">
        <f>SUM(E218:E227)</f>
        <v>73470</v>
      </c>
      <c r="G227" s="35" t="str">
        <f t="shared" si="42"/>
        <v>Farol Vermelho</v>
      </c>
      <c r="H227">
        <f t="shared" si="40"/>
        <v>26530</v>
      </c>
      <c r="I227" s="6">
        <f t="shared" si="41"/>
        <v>10</v>
      </c>
      <c r="J227" s="100">
        <v>18</v>
      </c>
      <c r="K227" s="62"/>
      <c r="L227" s="6">
        <f>$L218+L226</f>
        <v>15</v>
      </c>
      <c r="M227" s="6">
        <f t="shared" si="47"/>
        <v>11</v>
      </c>
      <c r="N227" s="71"/>
      <c r="O227" t="e">
        <f t="shared" si="43"/>
        <v>#DIV/0!</v>
      </c>
      <c r="P227" s="71"/>
      <c r="Q227" t="e">
        <f t="shared" si="44"/>
        <v>#DIV/0!</v>
      </c>
      <c r="R227" s="71"/>
      <c r="S227" s="6" t="e">
        <f t="shared" si="45"/>
        <v>#DIV/0!</v>
      </c>
    </row>
    <row r="228" spans="1:19" x14ac:dyDescent="0.2">
      <c r="A228" s="36" t="s">
        <v>126</v>
      </c>
      <c r="B228" s="6" t="s">
        <v>161</v>
      </c>
      <c r="C228" s="71">
        <v>120000</v>
      </c>
      <c r="D228" s="6">
        <f>(C228/12)*11</f>
        <v>110000</v>
      </c>
      <c r="E228" s="62">
        <v>0</v>
      </c>
      <c r="F228" s="6">
        <f>SUM(E218:E228)</f>
        <v>73470</v>
      </c>
      <c r="G228" s="35" t="str">
        <f t="shared" si="42"/>
        <v>Farol Vermelho</v>
      </c>
      <c r="H228">
        <f t="shared" si="40"/>
        <v>36530</v>
      </c>
      <c r="I228" s="6">
        <f t="shared" si="41"/>
        <v>11</v>
      </c>
      <c r="J228" s="100">
        <v>18</v>
      </c>
      <c r="K228" s="62"/>
      <c r="L228" s="6">
        <f>L218+L227</f>
        <v>16.5</v>
      </c>
      <c r="M228" s="6">
        <f t="shared" si="47"/>
        <v>11</v>
      </c>
      <c r="N228" s="71"/>
      <c r="O228" t="e">
        <f t="shared" si="43"/>
        <v>#DIV/0!</v>
      </c>
      <c r="P228" s="71"/>
      <c r="Q228" t="e">
        <f t="shared" si="44"/>
        <v>#DIV/0!</v>
      </c>
      <c r="R228" s="71"/>
      <c r="S228" s="6" t="e">
        <f t="shared" si="45"/>
        <v>#DIV/0!</v>
      </c>
    </row>
    <row r="229" spans="1:19" x14ac:dyDescent="0.2">
      <c r="A229" s="36" t="s">
        <v>126</v>
      </c>
      <c r="B229" s="6" t="s">
        <v>162</v>
      </c>
      <c r="C229" s="71">
        <v>120000</v>
      </c>
      <c r="D229" s="6">
        <f>(C229/12)*12</f>
        <v>120000</v>
      </c>
      <c r="E229" s="62">
        <v>0</v>
      </c>
      <c r="F229" s="6">
        <f>SUM(E218:E229)</f>
        <v>73470</v>
      </c>
      <c r="G229" s="35" t="str">
        <f t="shared" si="42"/>
        <v>Farol Vermelho</v>
      </c>
      <c r="H229">
        <f t="shared" si="40"/>
        <v>46530</v>
      </c>
      <c r="I229" s="6">
        <f t="shared" si="41"/>
        <v>12</v>
      </c>
      <c r="J229" s="100">
        <v>18</v>
      </c>
      <c r="K229" s="62"/>
      <c r="L229" s="6">
        <f>$L218+L228</f>
        <v>18</v>
      </c>
      <c r="M229" s="6">
        <f t="shared" si="47"/>
        <v>11</v>
      </c>
      <c r="N229" s="71"/>
      <c r="O229" t="e">
        <f t="shared" si="43"/>
        <v>#DIV/0!</v>
      </c>
      <c r="P229" s="71"/>
      <c r="Q229" t="e">
        <f t="shared" si="44"/>
        <v>#DIV/0!</v>
      </c>
      <c r="R229" s="71"/>
      <c r="S229" s="6" t="e">
        <f t="shared" si="45"/>
        <v>#DIV/0!</v>
      </c>
    </row>
    <row r="230" spans="1:19" x14ac:dyDescent="0.2">
      <c r="A230" s="36" t="s">
        <v>73</v>
      </c>
      <c r="B230" s="6" t="s">
        <v>151</v>
      </c>
      <c r="C230" s="71">
        <v>10800</v>
      </c>
      <c r="D230" s="6">
        <f>(C230/12)*1</f>
        <v>900</v>
      </c>
      <c r="E230" s="62">
        <v>0</v>
      </c>
      <c r="F230" s="6">
        <f>E230</f>
        <v>0</v>
      </c>
      <c r="G230" s="35" t="str">
        <f t="shared" si="42"/>
        <v>Farol Vermelho</v>
      </c>
      <c r="H230">
        <f t="shared" si="40"/>
        <v>900</v>
      </c>
      <c r="I230" s="6">
        <f t="shared" si="41"/>
        <v>1</v>
      </c>
      <c r="J230" s="100">
        <v>4</v>
      </c>
      <c r="K230" s="62">
        <v>0</v>
      </c>
      <c r="L230" s="6">
        <f>J230/12</f>
        <v>0.33333333333333331</v>
      </c>
      <c r="M230" s="6">
        <f>K230</f>
        <v>0</v>
      </c>
      <c r="N230" s="71">
        <v>0</v>
      </c>
      <c r="O230" t="e">
        <f t="shared" si="43"/>
        <v>#DIV/0!</v>
      </c>
      <c r="P230" s="71">
        <v>0</v>
      </c>
      <c r="Q230" t="e">
        <f t="shared" si="44"/>
        <v>#DIV/0!</v>
      </c>
      <c r="R230" s="71">
        <v>0</v>
      </c>
      <c r="S230" s="6" t="e">
        <f t="shared" si="45"/>
        <v>#DIV/0!</v>
      </c>
    </row>
    <row r="231" spans="1:19" x14ac:dyDescent="0.2">
      <c r="A231" s="36" t="s">
        <v>73</v>
      </c>
      <c r="B231" s="6" t="s">
        <v>152</v>
      </c>
      <c r="C231" s="71">
        <v>10800</v>
      </c>
      <c r="D231" s="6">
        <f>(C231/12)*2</f>
        <v>1800</v>
      </c>
      <c r="E231" s="62">
        <v>0</v>
      </c>
      <c r="F231" s="6">
        <f>SUM(E230:E231)</f>
        <v>0</v>
      </c>
      <c r="G231" s="35" t="str">
        <f t="shared" si="42"/>
        <v>Farol Vermelho</v>
      </c>
      <c r="H231">
        <f t="shared" si="40"/>
        <v>1800</v>
      </c>
      <c r="I231" s="6">
        <f t="shared" si="41"/>
        <v>2</v>
      </c>
      <c r="J231" s="100">
        <v>4</v>
      </c>
      <c r="K231" s="62">
        <v>0</v>
      </c>
      <c r="L231" s="6">
        <f>L230+L230</f>
        <v>0.66666666666666663</v>
      </c>
      <c r="M231" s="6">
        <f>M230+K231</f>
        <v>0</v>
      </c>
      <c r="N231" s="71">
        <v>0</v>
      </c>
      <c r="O231" t="e">
        <f t="shared" si="43"/>
        <v>#DIV/0!</v>
      </c>
      <c r="P231" s="71">
        <v>0</v>
      </c>
      <c r="Q231" t="e">
        <f t="shared" si="44"/>
        <v>#DIV/0!</v>
      </c>
      <c r="R231" s="71">
        <v>0</v>
      </c>
      <c r="S231" s="6" t="e">
        <f t="shared" si="45"/>
        <v>#DIV/0!</v>
      </c>
    </row>
    <row r="232" spans="1:19" x14ac:dyDescent="0.2">
      <c r="A232" s="36" t="s">
        <v>73</v>
      </c>
      <c r="B232" s="6" t="s">
        <v>153</v>
      </c>
      <c r="C232" s="71">
        <v>10800</v>
      </c>
      <c r="D232" s="6">
        <f>(C232/12)*3</f>
        <v>2700</v>
      </c>
      <c r="E232" s="62">
        <v>0</v>
      </c>
      <c r="F232" s="6">
        <f>SUM(E230:E232)</f>
        <v>0</v>
      </c>
      <c r="G232" s="35" t="str">
        <f t="shared" si="42"/>
        <v>Farol Vermelho</v>
      </c>
      <c r="H232">
        <f t="shared" si="40"/>
        <v>2700</v>
      </c>
      <c r="I232" s="6">
        <f t="shared" si="41"/>
        <v>3</v>
      </c>
      <c r="J232" s="100">
        <v>4</v>
      </c>
      <c r="K232" s="62">
        <v>0</v>
      </c>
      <c r="L232" s="6">
        <f>$L230+L231</f>
        <v>1</v>
      </c>
      <c r="M232" s="6">
        <f t="shared" ref="M232:M241" si="48">M231+K232</f>
        <v>0</v>
      </c>
      <c r="N232" s="71">
        <v>0</v>
      </c>
      <c r="O232" t="e">
        <f t="shared" si="43"/>
        <v>#DIV/0!</v>
      </c>
      <c r="P232" s="71">
        <v>0</v>
      </c>
      <c r="Q232" t="e">
        <f t="shared" si="44"/>
        <v>#DIV/0!</v>
      </c>
      <c r="R232" s="71">
        <v>0</v>
      </c>
      <c r="S232" s="6" t="e">
        <f t="shared" si="45"/>
        <v>#DIV/0!</v>
      </c>
    </row>
    <row r="233" spans="1:19" x14ac:dyDescent="0.2">
      <c r="A233" s="36" t="s">
        <v>73</v>
      </c>
      <c r="B233" s="6" t="s">
        <v>154</v>
      </c>
      <c r="C233" s="71">
        <v>10800</v>
      </c>
      <c r="D233" s="6">
        <f>(C233/12)*4</f>
        <v>3600</v>
      </c>
      <c r="E233" s="62">
        <v>0</v>
      </c>
      <c r="F233" s="6">
        <f>SUM(E230:E233)</f>
        <v>0</v>
      </c>
      <c r="G233" s="35" t="str">
        <f t="shared" si="42"/>
        <v>Farol Vermelho</v>
      </c>
      <c r="H233">
        <f t="shared" si="40"/>
        <v>3600</v>
      </c>
      <c r="I233" s="6">
        <f t="shared" si="41"/>
        <v>4</v>
      </c>
      <c r="J233" s="100">
        <v>4</v>
      </c>
      <c r="K233" s="62">
        <v>0</v>
      </c>
      <c r="L233" s="6">
        <f>$L230+L232</f>
        <v>1.3333333333333333</v>
      </c>
      <c r="M233" s="6">
        <f t="shared" si="48"/>
        <v>0</v>
      </c>
      <c r="N233" s="71">
        <v>0</v>
      </c>
      <c r="O233" t="e">
        <f t="shared" si="43"/>
        <v>#DIV/0!</v>
      </c>
      <c r="P233" s="71">
        <v>0</v>
      </c>
      <c r="Q233" t="e">
        <f t="shared" si="44"/>
        <v>#DIV/0!</v>
      </c>
      <c r="R233" s="71">
        <v>0</v>
      </c>
      <c r="S233" s="6" t="e">
        <f t="shared" si="45"/>
        <v>#DIV/0!</v>
      </c>
    </row>
    <row r="234" spans="1:19" x14ac:dyDescent="0.2">
      <c r="A234" s="36" t="s">
        <v>73</v>
      </c>
      <c r="B234" s="6" t="s">
        <v>155</v>
      </c>
      <c r="C234" s="71">
        <v>10800</v>
      </c>
      <c r="D234" s="6">
        <f>(C234/12)*5</f>
        <v>4500</v>
      </c>
      <c r="E234" s="62">
        <v>0</v>
      </c>
      <c r="F234" s="6">
        <f>SUM(E230:E234)</f>
        <v>0</v>
      </c>
      <c r="G234" s="35" t="str">
        <f t="shared" si="42"/>
        <v>Farol Vermelho</v>
      </c>
      <c r="H234">
        <f t="shared" si="40"/>
        <v>4500</v>
      </c>
      <c r="I234" s="6">
        <f t="shared" si="41"/>
        <v>5</v>
      </c>
      <c r="J234" s="100">
        <v>4</v>
      </c>
      <c r="K234" s="62">
        <v>0</v>
      </c>
      <c r="L234" s="6">
        <f>L230+L233</f>
        <v>1.6666666666666665</v>
      </c>
      <c r="M234" s="6">
        <f t="shared" si="48"/>
        <v>0</v>
      </c>
      <c r="N234" s="71">
        <v>0</v>
      </c>
      <c r="O234" t="e">
        <f t="shared" si="43"/>
        <v>#DIV/0!</v>
      </c>
      <c r="P234" s="71">
        <v>0</v>
      </c>
      <c r="Q234" t="e">
        <f t="shared" si="44"/>
        <v>#DIV/0!</v>
      </c>
      <c r="R234" s="71">
        <v>0</v>
      </c>
      <c r="S234" s="6" t="e">
        <f t="shared" si="45"/>
        <v>#DIV/0!</v>
      </c>
    </row>
    <row r="235" spans="1:19" x14ac:dyDescent="0.2">
      <c r="A235" s="36" t="s">
        <v>73</v>
      </c>
      <c r="B235" s="6" t="s">
        <v>156</v>
      </c>
      <c r="C235" s="71">
        <v>10800</v>
      </c>
      <c r="D235" s="6">
        <f>(C235/12)*6</f>
        <v>5400</v>
      </c>
      <c r="E235" s="62">
        <v>0</v>
      </c>
      <c r="F235" s="6">
        <f>SUM(E230:E235)</f>
        <v>0</v>
      </c>
      <c r="G235" s="35" t="str">
        <f t="shared" si="42"/>
        <v>Farol Vermelho</v>
      </c>
      <c r="H235">
        <f t="shared" si="40"/>
        <v>5400</v>
      </c>
      <c r="I235" s="6">
        <f t="shared" si="41"/>
        <v>6</v>
      </c>
      <c r="J235" s="100">
        <v>4</v>
      </c>
      <c r="K235" s="62">
        <v>0</v>
      </c>
      <c r="L235" s="6">
        <f>$L230+L234</f>
        <v>1.9999999999999998</v>
      </c>
      <c r="M235" s="6">
        <f t="shared" si="48"/>
        <v>0</v>
      </c>
      <c r="N235" s="71">
        <v>3</v>
      </c>
      <c r="O235">
        <f t="shared" si="43"/>
        <v>0.33333333333333331</v>
      </c>
      <c r="P235" s="71">
        <v>1</v>
      </c>
      <c r="Q235">
        <f t="shared" si="44"/>
        <v>0</v>
      </c>
      <c r="R235" s="71">
        <v>0</v>
      </c>
      <c r="S235" s="6">
        <f t="shared" si="45"/>
        <v>0</v>
      </c>
    </row>
    <row r="236" spans="1:19" x14ac:dyDescent="0.2">
      <c r="A236" s="36" t="s">
        <v>73</v>
      </c>
      <c r="B236" s="6" t="s">
        <v>157</v>
      </c>
      <c r="C236" s="71">
        <v>10800</v>
      </c>
      <c r="D236" s="6">
        <f>(C236/12)*7</f>
        <v>6300</v>
      </c>
      <c r="E236" s="62">
        <v>810</v>
      </c>
      <c r="F236" s="6">
        <f>SUM(E230:E236)</f>
        <v>810</v>
      </c>
      <c r="G236" s="35" t="str">
        <f t="shared" si="42"/>
        <v>Farol Vermelho</v>
      </c>
      <c r="H236">
        <f t="shared" si="40"/>
        <v>5490</v>
      </c>
      <c r="I236" s="6">
        <f t="shared" si="41"/>
        <v>7</v>
      </c>
      <c r="J236" s="100">
        <v>4</v>
      </c>
      <c r="K236" s="62">
        <v>1</v>
      </c>
      <c r="L236" s="6">
        <f>$L230+L235</f>
        <v>2.333333333333333</v>
      </c>
      <c r="M236" s="6">
        <f t="shared" si="48"/>
        <v>1</v>
      </c>
      <c r="N236" s="71"/>
      <c r="O236" t="e">
        <f t="shared" si="43"/>
        <v>#DIV/0!</v>
      </c>
      <c r="P236" s="71"/>
      <c r="Q236" t="e">
        <f t="shared" si="44"/>
        <v>#DIV/0!</v>
      </c>
      <c r="R236" s="71"/>
      <c r="S236" s="6" t="e">
        <f t="shared" si="45"/>
        <v>#DIV/0!</v>
      </c>
    </row>
    <row r="237" spans="1:19" x14ac:dyDescent="0.2">
      <c r="A237" s="36" t="s">
        <v>73</v>
      </c>
      <c r="B237" s="6" t="s">
        <v>158</v>
      </c>
      <c r="C237" s="71">
        <v>10800</v>
      </c>
      <c r="D237" s="6">
        <f>(C237/12)*8</f>
        <v>7200</v>
      </c>
      <c r="E237" s="62">
        <v>0</v>
      </c>
      <c r="F237" s="6">
        <f>SUM(E230:E237)</f>
        <v>810</v>
      </c>
      <c r="G237" s="35" t="str">
        <f t="shared" si="42"/>
        <v>Farol Vermelho</v>
      </c>
      <c r="H237">
        <f t="shared" si="40"/>
        <v>6390</v>
      </c>
      <c r="I237" s="6">
        <f t="shared" si="41"/>
        <v>8</v>
      </c>
      <c r="J237" s="100">
        <v>4</v>
      </c>
      <c r="K237" s="62"/>
      <c r="L237" s="6">
        <f>L230+L236</f>
        <v>2.6666666666666665</v>
      </c>
      <c r="M237" s="6">
        <f t="shared" si="48"/>
        <v>1</v>
      </c>
      <c r="N237" s="71"/>
      <c r="O237" t="e">
        <f t="shared" si="43"/>
        <v>#DIV/0!</v>
      </c>
      <c r="P237" s="71"/>
      <c r="Q237" t="e">
        <f t="shared" si="44"/>
        <v>#DIV/0!</v>
      </c>
      <c r="R237" s="71"/>
      <c r="S237" s="6" t="e">
        <f t="shared" si="45"/>
        <v>#DIV/0!</v>
      </c>
    </row>
    <row r="238" spans="1:19" x14ac:dyDescent="0.2">
      <c r="A238" s="36" t="s">
        <v>73</v>
      </c>
      <c r="B238" s="6" t="s">
        <v>159</v>
      </c>
      <c r="C238" s="71">
        <v>10800</v>
      </c>
      <c r="D238" s="6">
        <f>(C238/12)*9</f>
        <v>8100</v>
      </c>
      <c r="E238" s="62">
        <v>0</v>
      </c>
      <c r="F238" s="6">
        <f>SUM(E230:E238)</f>
        <v>810</v>
      </c>
      <c r="G238" s="35" t="str">
        <f t="shared" si="42"/>
        <v>Farol Vermelho</v>
      </c>
      <c r="H238">
        <f t="shared" si="40"/>
        <v>7290</v>
      </c>
      <c r="I238" s="6">
        <f t="shared" si="41"/>
        <v>9</v>
      </c>
      <c r="J238" s="100">
        <v>4</v>
      </c>
      <c r="K238" s="62"/>
      <c r="L238" s="6">
        <f>$L230+L237</f>
        <v>3</v>
      </c>
      <c r="M238" s="6">
        <f t="shared" si="48"/>
        <v>1</v>
      </c>
      <c r="N238" s="71"/>
      <c r="O238" t="e">
        <f t="shared" si="43"/>
        <v>#DIV/0!</v>
      </c>
      <c r="P238" s="71"/>
      <c r="Q238" t="e">
        <f t="shared" si="44"/>
        <v>#DIV/0!</v>
      </c>
      <c r="R238" s="71"/>
      <c r="S238" s="6" t="e">
        <f t="shared" si="45"/>
        <v>#DIV/0!</v>
      </c>
    </row>
    <row r="239" spans="1:19" x14ac:dyDescent="0.2">
      <c r="A239" s="36" t="s">
        <v>73</v>
      </c>
      <c r="B239" s="6" t="s">
        <v>160</v>
      </c>
      <c r="C239" s="71">
        <v>10800</v>
      </c>
      <c r="D239" s="6">
        <f>(C239/12)*10</f>
        <v>9000</v>
      </c>
      <c r="E239" s="62">
        <v>0</v>
      </c>
      <c r="F239" s="6">
        <f>SUM(E230:E239)</f>
        <v>810</v>
      </c>
      <c r="G239" s="35" t="str">
        <f t="shared" si="42"/>
        <v>Farol Vermelho</v>
      </c>
      <c r="H239">
        <f t="shared" si="40"/>
        <v>8190</v>
      </c>
      <c r="I239" s="6">
        <f t="shared" si="41"/>
        <v>10</v>
      </c>
      <c r="J239" s="100">
        <v>4</v>
      </c>
      <c r="K239" s="62"/>
      <c r="L239" s="6">
        <f>$L230+L238</f>
        <v>3.3333333333333335</v>
      </c>
      <c r="M239" s="6">
        <f t="shared" si="48"/>
        <v>1</v>
      </c>
      <c r="N239" s="71"/>
      <c r="O239" t="e">
        <f t="shared" si="43"/>
        <v>#DIV/0!</v>
      </c>
      <c r="P239" s="71"/>
      <c r="Q239" t="e">
        <f t="shared" si="44"/>
        <v>#DIV/0!</v>
      </c>
      <c r="R239" s="71"/>
      <c r="S239" s="6" t="e">
        <f t="shared" si="45"/>
        <v>#DIV/0!</v>
      </c>
    </row>
    <row r="240" spans="1:19" x14ac:dyDescent="0.2">
      <c r="A240" s="36" t="s">
        <v>73</v>
      </c>
      <c r="B240" s="6" t="s">
        <v>161</v>
      </c>
      <c r="C240" s="71">
        <v>10800</v>
      </c>
      <c r="D240" s="6">
        <f>(C240/12)*11</f>
        <v>9900</v>
      </c>
      <c r="E240" s="62">
        <v>0</v>
      </c>
      <c r="F240" s="6">
        <f>SUM(E230:E240)</f>
        <v>810</v>
      </c>
      <c r="G240" s="35" t="str">
        <f t="shared" si="42"/>
        <v>Farol Vermelho</v>
      </c>
      <c r="H240">
        <f t="shared" si="40"/>
        <v>9090</v>
      </c>
      <c r="I240" s="6">
        <f t="shared" si="41"/>
        <v>11</v>
      </c>
      <c r="J240" s="100">
        <v>4</v>
      </c>
      <c r="K240" s="62"/>
      <c r="L240" s="6">
        <f>L230+L239</f>
        <v>3.666666666666667</v>
      </c>
      <c r="M240" s="6">
        <f t="shared" si="48"/>
        <v>1</v>
      </c>
      <c r="N240" s="71"/>
      <c r="O240" t="e">
        <f t="shared" si="43"/>
        <v>#DIV/0!</v>
      </c>
      <c r="P240" s="71"/>
      <c r="Q240" t="e">
        <f t="shared" si="44"/>
        <v>#DIV/0!</v>
      </c>
      <c r="R240" s="71"/>
      <c r="S240" s="6" t="e">
        <f t="shared" si="45"/>
        <v>#DIV/0!</v>
      </c>
    </row>
    <row r="241" spans="1:19" x14ac:dyDescent="0.2">
      <c r="A241" s="36" t="s">
        <v>73</v>
      </c>
      <c r="B241" s="6" t="s">
        <v>162</v>
      </c>
      <c r="C241" s="71">
        <v>10800</v>
      </c>
      <c r="D241" s="6">
        <f>(C241/12)*12</f>
        <v>10800</v>
      </c>
      <c r="E241" s="62">
        <v>0</v>
      </c>
      <c r="F241" s="6">
        <f>SUM(E230:E241)</f>
        <v>810</v>
      </c>
      <c r="G241" s="35" t="str">
        <f t="shared" si="42"/>
        <v>Farol Vermelho</v>
      </c>
      <c r="H241">
        <f t="shared" si="40"/>
        <v>9990</v>
      </c>
      <c r="I241" s="6">
        <f t="shared" si="41"/>
        <v>12</v>
      </c>
      <c r="J241" s="100">
        <v>4</v>
      </c>
      <c r="K241" s="62"/>
      <c r="L241" s="6">
        <f>$L230+L240</f>
        <v>4</v>
      </c>
      <c r="M241" s="6">
        <f t="shared" si="48"/>
        <v>1</v>
      </c>
      <c r="N241" s="71"/>
      <c r="O241" t="e">
        <f t="shared" si="43"/>
        <v>#DIV/0!</v>
      </c>
      <c r="P241" s="71"/>
      <c r="Q241" t="e">
        <f t="shared" si="44"/>
        <v>#DIV/0!</v>
      </c>
      <c r="R241" s="71"/>
      <c r="S241" s="6" t="e">
        <f t="shared" si="45"/>
        <v>#DIV/0!</v>
      </c>
    </row>
    <row r="242" spans="1:19" x14ac:dyDescent="0.2">
      <c r="A242" s="36" t="s">
        <v>56</v>
      </c>
      <c r="B242" s="6" t="s">
        <v>151</v>
      </c>
      <c r="C242" s="71">
        <v>28211.11</v>
      </c>
      <c r="D242" s="6">
        <f>(C242/12)*1</f>
        <v>2350.9258333333332</v>
      </c>
      <c r="E242" s="62">
        <v>0</v>
      </c>
      <c r="F242" s="6">
        <f>E242</f>
        <v>0</v>
      </c>
      <c r="G242" s="35" t="str">
        <f t="shared" si="42"/>
        <v>Farol Vermelho</v>
      </c>
      <c r="H242">
        <f t="shared" si="40"/>
        <v>2350.9258333333332</v>
      </c>
      <c r="I242" s="6">
        <f t="shared" si="41"/>
        <v>1</v>
      </c>
      <c r="J242" s="100">
        <v>4</v>
      </c>
      <c r="K242" s="62">
        <v>0</v>
      </c>
      <c r="L242" s="6">
        <f>J242/12</f>
        <v>0.33333333333333331</v>
      </c>
      <c r="M242" s="6">
        <f>K242</f>
        <v>0</v>
      </c>
      <c r="N242" s="71">
        <v>0</v>
      </c>
      <c r="O242" t="e">
        <f t="shared" si="43"/>
        <v>#DIV/0!</v>
      </c>
      <c r="P242" s="71">
        <v>0</v>
      </c>
      <c r="Q242" t="e">
        <f t="shared" si="44"/>
        <v>#DIV/0!</v>
      </c>
      <c r="R242" s="71">
        <v>0</v>
      </c>
      <c r="S242" s="6" t="e">
        <f t="shared" si="45"/>
        <v>#DIV/0!</v>
      </c>
    </row>
    <row r="243" spans="1:19" x14ac:dyDescent="0.2">
      <c r="A243" s="36" t="s">
        <v>56</v>
      </c>
      <c r="B243" s="6" t="s">
        <v>152</v>
      </c>
      <c r="C243" s="71">
        <v>28211.11</v>
      </c>
      <c r="D243" s="6">
        <f>(C243/12)*2</f>
        <v>4701.8516666666665</v>
      </c>
      <c r="E243" s="62">
        <v>2700</v>
      </c>
      <c r="F243" s="6">
        <f>SUM(E242:E243)</f>
        <v>2700</v>
      </c>
      <c r="G243" s="35" t="str">
        <f t="shared" si="42"/>
        <v>Farol Vermelho</v>
      </c>
      <c r="H243">
        <f t="shared" si="40"/>
        <v>2001.8516666666665</v>
      </c>
      <c r="I243" s="6">
        <f t="shared" si="41"/>
        <v>2</v>
      </c>
      <c r="J243" s="100">
        <v>4</v>
      </c>
      <c r="K243" s="62">
        <v>1</v>
      </c>
      <c r="L243" s="6">
        <f>L242+L242</f>
        <v>0.66666666666666663</v>
      </c>
      <c r="M243" s="6">
        <f>M242+K243</f>
        <v>1</v>
      </c>
      <c r="N243" s="71">
        <v>0</v>
      </c>
      <c r="O243" t="e">
        <f t="shared" si="43"/>
        <v>#DIV/0!</v>
      </c>
      <c r="P243" s="71">
        <v>0</v>
      </c>
      <c r="Q243" t="e">
        <f t="shared" si="44"/>
        <v>#DIV/0!</v>
      </c>
      <c r="R243" s="71">
        <v>0</v>
      </c>
      <c r="S243" s="6" t="e">
        <f t="shared" si="45"/>
        <v>#DIV/0!</v>
      </c>
    </row>
    <row r="244" spans="1:19" x14ac:dyDescent="0.2">
      <c r="A244" s="36" t="s">
        <v>56</v>
      </c>
      <c r="B244" s="6" t="s">
        <v>153</v>
      </c>
      <c r="C244" s="71">
        <v>28211.11</v>
      </c>
      <c r="D244" s="6">
        <f>(C244/12)*3</f>
        <v>7052.7775000000001</v>
      </c>
      <c r="E244" s="62">
        <v>0</v>
      </c>
      <c r="F244" s="6">
        <f>SUM(E242:E244)</f>
        <v>2700</v>
      </c>
      <c r="G244" s="35" t="str">
        <f t="shared" si="42"/>
        <v>Farol Vermelho</v>
      </c>
      <c r="H244">
        <f t="shared" si="40"/>
        <v>4352.7775000000001</v>
      </c>
      <c r="I244" s="6">
        <f t="shared" si="41"/>
        <v>3</v>
      </c>
      <c r="J244" s="100">
        <v>4</v>
      </c>
      <c r="K244" s="62">
        <v>0</v>
      </c>
      <c r="L244" s="6">
        <f>$L242+L243</f>
        <v>1</v>
      </c>
      <c r="M244" s="6">
        <f t="shared" ref="M244:M253" si="49">M243+K244</f>
        <v>1</v>
      </c>
      <c r="N244" s="71">
        <v>0</v>
      </c>
      <c r="O244" t="e">
        <f t="shared" si="43"/>
        <v>#DIV/0!</v>
      </c>
      <c r="P244" s="71">
        <v>0</v>
      </c>
      <c r="Q244" t="e">
        <f t="shared" si="44"/>
        <v>#DIV/0!</v>
      </c>
      <c r="R244" s="71">
        <v>0</v>
      </c>
      <c r="S244" s="6" t="e">
        <f t="shared" si="45"/>
        <v>#DIV/0!</v>
      </c>
    </row>
    <row r="245" spans="1:19" x14ac:dyDescent="0.2">
      <c r="A245" s="36" t="s">
        <v>56</v>
      </c>
      <c r="B245" s="6" t="s">
        <v>154</v>
      </c>
      <c r="C245" s="71">
        <v>28211.11</v>
      </c>
      <c r="D245" s="6">
        <f>(C245/12)*4</f>
        <v>9403.7033333333329</v>
      </c>
      <c r="E245" s="62">
        <v>0</v>
      </c>
      <c r="F245" s="6">
        <f>SUM(E242:E245)</f>
        <v>2700</v>
      </c>
      <c r="G245" s="35" t="str">
        <f t="shared" si="42"/>
        <v>Farol Vermelho</v>
      </c>
      <c r="H245">
        <f t="shared" si="40"/>
        <v>6703.7033333333329</v>
      </c>
      <c r="I245" s="6">
        <f t="shared" si="41"/>
        <v>4</v>
      </c>
      <c r="J245" s="100">
        <v>4</v>
      </c>
      <c r="K245" s="62">
        <v>0</v>
      </c>
      <c r="L245" s="6">
        <f>$L242+L244</f>
        <v>1.3333333333333333</v>
      </c>
      <c r="M245" s="6">
        <f t="shared" si="49"/>
        <v>1</v>
      </c>
      <c r="N245" s="71">
        <v>0</v>
      </c>
      <c r="O245" t="e">
        <f t="shared" si="43"/>
        <v>#DIV/0!</v>
      </c>
      <c r="P245" s="71">
        <v>0</v>
      </c>
      <c r="Q245" t="e">
        <f t="shared" si="44"/>
        <v>#DIV/0!</v>
      </c>
      <c r="R245" s="71">
        <v>0</v>
      </c>
      <c r="S245" s="6" t="e">
        <f t="shared" si="45"/>
        <v>#DIV/0!</v>
      </c>
    </row>
    <row r="246" spans="1:19" x14ac:dyDescent="0.2">
      <c r="A246" s="36" t="s">
        <v>56</v>
      </c>
      <c r="B246" s="6" t="s">
        <v>155</v>
      </c>
      <c r="C246" s="71">
        <v>28211.11</v>
      </c>
      <c r="D246" s="6">
        <f>(C246/12)*5</f>
        <v>11754.629166666666</v>
      </c>
      <c r="E246" s="62">
        <v>0</v>
      </c>
      <c r="F246" s="6">
        <f>SUM(E242:E246)</f>
        <v>2700</v>
      </c>
      <c r="G246" s="35" t="str">
        <f t="shared" si="42"/>
        <v>Farol Vermelho</v>
      </c>
      <c r="H246">
        <f t="shared" si="40"/>
        <v>9054.6291666666657</v>
      </c>
      <c r="I246" s="6">
        <f t="shared" si="41"/>
        <v>5</v>
      </c>
      <c r="J246" s="100">
        <v>4</v>
      </c>
      <c r="K246" s="62">
        <v>0</v>
      </c>
      <c r="L246" s="6">
        <f>L242+L245</f>
        <v>1.6666666666666665</v>
      </c>
      <c r="M246" s="6">
        <f t="shared" si="49"/>
        <v>1</v>
      </c>
      <c r="N246" s="71">
        <v>0</v>
      </c>
      <c r="O246" t="e">
        <f t="shared" si="43"/>
        <v>#DIV/0!</v>
      </c>
      <c r="P246" s="71">
        <v>0</v>
      </c>
      <c r="Q246" t="e">
        <f t="shared" si="44"/>
        <v>#DIV/0!</v>
      </c>
      <c r="R246" s="71">
        <v>0</v>
      </c>
      <c r="S246" s="6" t="e">
        <f t="shared" si="45"/>
        <v>#DIV/0!</v>
      </c>
    </row>
    <row r="247" spans="1:19" x14ac:dyDescent="0.2">
      <c r="A247" s="36" t="s">
        <v>56</v>
      </c>
      <c r="B247" s="6" t="s">
        <v>156</v>
      </c>
      <c r="C247" s="71">
        <v>28211.11</v>
      </c>
      <c r="D247" s="6">
        <f>(C247/12)*6</f>
        <v>14105.555</v>
      </c>
      <c r="E247" s="62">
        <v>0</v>
      </c>
      <c r="F247" s="6">
        <f>SUM(E242:E247)</f>
        <v>2700</v>
      </c>
      <c r="G247" s="35" t="str">
        <f t="shared" si="42"/>
        <v>Farol Vermelho</v>
      </c>
      <c r="H247">
        <f t="shared" si="40"/>
        <v>11405.555</v>
      </c>
      <c r="I247" s="6">
        <f t="shared" si="41"/>
        <v>6</v>
      </c>
      <c r="J247" s="100">
        <v>4</v>
      </c>
      <c r="K247" s="62">
        <v>0</v>
      </c>
      <c r="L247" s="6">
        <f>$L242+L246</f>
        <v>1.9999999999999998</v>
      </c>
      <c r="M247" s="6">
        <f t="shared" si="49"/>
        <v>1</v>
      </c>
      <c r="N247" s="71"/>
      <c r="O247" t="e">
        <f t="shared" si="43"/>
        <v>#DIV/0!</v>
      </c>
      <c r="P247" s="71"/>
      <c r="Q247" t="e">
        <f t="shared" si="44"/>
        <v>#DIV/0!</v>
      </c>
      <c r="R247" s="71"/>
      <c r="S247" s="6" t="e">
        <f t="shared" si="45"/>
        <v>#DIV/0!</v>
      </c>
    </row>
    <row r="248" spans="1:19" x14ac:dyDescent="0.2">
      <c r="A248" s="36" t="s">
        <v>56</v>
      </c>
      <c r="B248" s="6" t="s">
        <v>157</v>
      </c>
      <c r="C248" s="71">
        <v>28211.11</v>
      </c>
      <c r="D248" s="6">
        <f>(C248/12)*7</f>
        <v>16456.480833333331</v>
      </c>
      <c r="E248" s="62">
        <v>0</v>
      </c>
      <c r="F248" s="6">
        <f>SUM(E242:E248)</f>
        <v>2700</v>
      </c>
      <c r="G248" s="35" t="str">
        <f t="shared" si="42"/>
        <v>Farol Vermelho</v>
      </c>
      <c r="H248">
        <f t="shared" si="40"/>
        <v>13756.480833333331</v>
      </c>
      <c r="I248" s="6">
        <f t="shared" si="41"/>
        <v>7</v>
      </c>
      <c r="J248" s="100">
        <v>4</v>
      </c>
      <c r="K248" s="62">
        <v>0</v>
      </c>
      <c r="L248" s="6">
        <f>$L242+L247</f>
        <v>2.333333333333333</v>
      </c>
      <c r="M248" s="6">
        <f t="shared" si="49"/>
        <v>1</v>
      </c>
      <c r="N248" s="71"/>
      <c r="O248" t="e">
        <f t="shared" si="43"/>
        <v>#DIV/0!</v>
      </c>
      <c r="P248" s="71"/>
      <c r="Q248" t="e">
        <f t="shared" si="44"/>
        <v>#DIV/0!</v>
      </c>
      <c r="R248" s="71"/>
      <c r="S248" s="6" t="e">
        <f t="shared" si="45"/>
        <v>#DIV/0!</v>
      </c>
    </row>
    <row r="249" spans="1:19" x14ac:dyDescent="0.2">
      <c r="A249" s="36" t="s">
        <v>56</v>
      </c>
      <c r="B249" s="6" t="s">
        <v>158</v>
      </c>
      <c r="C249" s="71">
        <v>28211.11</v>
      </c>
      <c r="D249" s="6">
        <f>(C249/12)*8</f>
        <v>18807.406666666666</v>
      </c>
      <c r="E249" s="62">
        <v>0</v>
      </c>
      <c r="F249" s="6">
        <f>SUM(E242:E249)</f>
        <v>2700</v>
      </c>
      <c r="G249" s="35" t="str">
        <f t="shared" si="42"/>
        <v>Farol Vermelho</v>
      </c>
      <c r="H249">
        <f t="shared" si="40"/>
        <v>16107.406666666666</v>
      </c>
      <c r="I249" s="6">
        <f t="shared" si="41"/>
        <v>8</v>
      </c>
      <c r="J249" s="100">
        <v>4</v>
      </c>
      <c r="K249" s="62"/>
      <c r="L249" s="6">
        <f>L242+L248</f>
        <v>2.6666666666666665</v>
      </c>
      <c r="M249" s="6">
        <f t="shared" si="49"/>
        <v>1</v>
      </c>
      <c r="N249" s="71"/>
      <c r="O249" t="e">
        <f t="shared" si="43"/>
        <v>#DIV/0!</v>
      </c>
      <c r="P249" s="71"/>
      <c r="Q249" t="e">
        <f t="shared" si="44"/>
        <v>#DIV/0!</v>
      </c>
      <c r="R249" s="71"/>
      <c r="S249" s="6" t="e">
        <f t="shared" si="45"/>
        <v>#DIV/0!</v>
      </c>
    </row>
    <row r="250" spans="1:19" x14ac:dyDescent="0.2">
      <c r="A250" s="36" t="s">
        <v>56</v>
      </c>
      <c r="B250" s="6" t="s">
        <v>159</v>
      </c>
      <c r="C250" s="71">
        <v>28211.11</v>
      </c>
      <c r="D250" s="6">
        <f>(C250/12)*9</f>
        <v>21158.3325</v>
      </c>
      <c r="E250" s="62">
        <v>0</v>
      </c>
      <c r="F250" s="6">
        <f>SUM(E242:E250)</f>
        <v>2700</v>
      </c>
      <c r="G250" s="35" t="str">
        <f t="shared" si="42"/>
        <v>Farol Vermelho</v>
      </c>
      <c r="H250">
        <f t="shared" si="40"/>
        <v>18458.3325</v>
      </c>
      <c r="I250" s="6">
        <f t="shared" si="41"/>
        <v>9</v>
      </c>
      <c r="J250" s="100">
        <v>4</v>
      </c>
      <c r="K250" s="62"/>
      <c r="L250" s="6">
        <f>$L242+L249</f>
        <v>3</v>
      </c>
      <c r="M250" s="6">
        <f t="shared" si="49"/>
        <v>1</v>
      </c>
      <c r="N250" s="71"/>
      <c r="O250" t="e">
        <f t="shared" si="43"/>
        <v>#DIV/0!</v>
      </c>
      <c r="P250" s="71"/>
      <c r="Q250" t="e">
        <f t="shared" si="44"/>
        <v>#DIV/0!</v>
      </c>
      <c r="R250" s="71"/>
      <c r="S250" s="6" t="e">
        <f t="shared" si="45"/>
        <v>#DIV/0!</v>
      </c>
    </row>
    <row r="251" spans="1:19" x14ac:dyDescent="0.2">
      <c r="A251" s="36" t="s">
        <v>56</v>
      </c>
      <c r="B251" s="6" t="s">
        <v>160</v>
      </c>
      <c r="C251" s="71">
        <v>28211.11</v>
      </c>
      <c r="D251" s="6">
        <f>(C251/12)*10</f>
        <v>23509.258333333331</v>
      </c>
      <c r="E251" s="62">
        <v>0</v>
      </c>
      <c r="F251" s="6">
        <f>SUM(E242:E251)</f>
        <v>2700</v>
      </c>
      <c r="G251" s="35" t="str">
        <f t="shared" si="42"/>
        <v>Farol Vermelho</v>
      </c>
      <c r="H251">
        <f t="shared" si="40"/>
        <v>20809.258333333331</v>
      </c>
      <c r="I251" s="6">
        <f t="shared" si="41"/>
        <v>10</v>
      </c>
      <c r="J251" s="100">
        <v>4</v>
      </c>
      <c r="K251" s="62"/>
      <c r="L251" s="6">
        <f>$L242+L250</f>
        <v>3.3333333333333335</v>
      </c>
      <c r="M251" s="6">
        <f t="shared" si="49"/>
        <v>1</v>
      </c>
      <c r="N251" s="71"/>
      <c r="O251" t="e">
        <f t="shared" si="43"/>
        <v>#DIV/0!</v>
      </c>
      <c r="P251" s="71"/>
      <c r="Q251" t="e">
        <f t="shared" si="44"/>
        <v>#DIV/0!</v>
      </c>
      <c r="R251" s="71"/>
      <c r="S251" s="6" t="e">
        <f t="shared" si="45"/>
        <v>#DIV/0!</v>
      </c>
    </row>
    <row r="252" spans="1:19" x14ac:dyDescent="0.2">
      <c r="A252" s="36" t="s">
        <v>56</v>
      </c>
      <c r="B252" s="6" t="s">
        <v>161</v>
      </c>
      <c r="C252" s="71">
        <v>28211.11</v>
      </c>
      <c r="D252" s="6">
        <f>(C252/12)*11</f>
        <v>25860.184166666666</v>
      </c>
      <c r="E252" s="62">
        <v>0</v>
      </c>
      <c r="F252" s="6">
        <f>SUM(E242:E252)</f>
        <v>2700</v>
      </c>
      <c r="G252" s="35" t="str">
        <f t="shared" si="42"/>
        <v>Farol Vermelho</v>
      </c>
      <c r="H252">
        <f t="shared" si="40"/>
        <v>23160.184166666666</v>
      </c>
      <c r="I252" s="6">
        <f t="shared" si="41"/>
        <v>11</v>
      </c>
      <c r="J252" s="100">
        <v>4</v>
      </c>
      <c r="K252" s="62"/>
      <c r="L252" s="6">
        <f>L242+L251</f>
        <v>3.666666666666667</v>
      </c>
      <c r="M252" s="6">
        <f t="shared" si="49"/>
        <v>1</v>
      </c>
      <c r="N252" s="71"/>
      <c r="O252" t="e">
        <f t="shared" si="43"/>
        <v>#DIV/0!</v>
      </c>
      <c r="P252" s="71"/>
      <c r="Q252" t="e">
        <f t="shared" si="44"/>
        <v>#DIV/0!</v>
      </c>
      <c r="R252" s="71"/>
      <c r="S252" s="6" t="e">
        <f t="shared" si="45"/>
        <v>#DIV/0!</v>
      </c>
    </row>
    <row r="253" spans="1:19" x14ac:dyDescent="0.2">
      <c r="A253" s="36" t="s">
        <v>56</v>
      </c>
      <c r="B253" s="6" t="s">
        <v>162</v>
      </c>
      <c r="C253" s="71">
        <v>28211.11</v>
      </c>
      <c r="D253" s="6">
        <f>(C253/12)*12</f>
        <v>28211.11</v>
      </c>
      <c r="E253" s="62">
        <v>0</v>
      </c>
      <c r="F253" s="6">
        <f>SUM(E242:E253)</f>
        <v>2700</v>
      </c>
      <c r="G253" s="35" t="str">
        <f t="shared" si="42"/>
        <v>Farol Vermelho</v>
      </c>
      <c r="H253">
        <f t="shared" si="40"/>
        <v>25511.11</v>
      </c>
      <c r="I253" s="6">
        <f t="shared" si="41"/>
        <v>12</v>
      </c>
      <c r="J253" s="100">
        <v>4</v>
      </c>
      <c r="K253" s="62"/>
      <c r="L253" s="6">
        <f>$L242+L252</f>
        <v>4</v>
      </c>
      <c r="M253" s="6">
        <f t="shared" si="49"/>
        <v>1</v>
      </c>
      <c r="N253" s="71"/>
      <c r="O253" t="e">
        <f t="shared" si="43"/>
        <v>#DIV/0!</v>
      </c>
      <c r="P253" s="71"/>
      <c r="Q253" t="e">
        <f t="shared" si="44"/>
        <v>#DIV/0!</v>
      </c>
      <c r="R253" s="71"/>
      <c r="S253" s="6" t="e">
        <f t="shared" si="45"/>
        <v>#DIV/0!</v>
      </c>
    </row>
    <row r="254" spans="1:19" x14ac:dyDescent="0.2">
      <c r="A254" s="36" t="s">
        <v>300</v>
      </c>
      <c r="B254" s="6" t="s">
        <v>151</v>
      </c>
      <c r="C254" s="71">
        <v>0</v>
      </c>
      <c r="D254" s="6">
        <f t="shared" ref="D254:D265" si="50">(C254/12)*12</f>
        <v>0</v>
      </c>
      <c r="E254" s="62">
        <v>0</v>
      </c>
      <c r="F254" s="6">
        <f>E254</f>
        <v>0</v>
      </c>
      <c r="G254" s="35" t="str">
        <f t="shared" si="42"/>
        <v>Farol Amarelo</v>
      </c>
      <c r="H254">
        <f t="shared" ref="H254:H265" si="51">IF(D254-F254&lt;0,0,D254-F254)</f>
        <v>0</v>
      </c>
      <c r="I254" s="6">
        <f t="shared" ref="I254:I265" si="52">_xlfn.IFS(B254="Janeiro",1,B254="Fevereiro",2,B254="Março",3,B254="Abril",4,B254="Maio",5,B254="Junho",6,B254="Julho",7,B254="Agosto",8,B254="Setembro",9,B254="Outubro",10,B254="Novembro",11,B254="Dezembro",12,TRUE,0)</f>
        <v>1</v>
      </c>
      <c r="J254" s="100">
        <v>0</v>
      </c>
      <c r="K254" s="100">
        <v>0</v>
      </c>
      <c r="L254" s="6">
        <f>J254/12</f>
        <v>0</v>
      </c>
      <c r="M254" s="6">
        <f>K254</f>
        <v>0</v>
      </c>
      <c r="N254" s="71">
        <v>0</v>
      </c>
      <c r="O254" t="e">
        <f t="shared" si="43"/>
        <v>#DIV/0!</v>
      </c>
      <c r="P254" s="71">
        <v>0</v>
      </c>
      <c r="Q254" t="e">
        <f t="shared" si="44"/>
        <v>#DIV/0!</v>
      </c>
      <c r="R254" s="71">
        <v>0</v>
      </c>
      <c r="S254" s="6" t="e">
        <f t="shared" si="45"/>
        <v>#DIV/0!</v>
      </c>
    </row>
    <row r="255" spans="1:19" x14ac:dyDescent="0.2">
      <c r="A255" s="36" t="s">
        <v>300</v>
      </c>
      <c r="B255" s="6" t="s">
        <v>152</v>
      </c>
      <c r="C255" s="71">
        <v>0</v>
      </c>
      <c r="D255" s="6">
        <f t="shared" si="50"/>
        <v>0</v>
      </c>
      <c r="E255" s="62">
        <v>0</v>
      </c>
      <c r="F255" s="6">
        <f>SUM(E254:E255)</f>
        <v>0</v>
      </c>
      <c r="G255" s="35" t="str">
        <f t="shared" si="42"/>
        <v>Farol Amarelo</v>
      </c>
      <c r="H255">
        <f t="shared" si="51"/>
        <v>0</v>
      </c>
      <c r="I255" s="6">
        <f t="shared" si="52"/>
        <v>2</v>
      </c>
      <c r="J255" s="100">
        <v>0</v>
      </c>
      <c r="K255" s="100">
        <v>0</v>
      </c>
      <c r="L255" s="6">
        <f>L254+L254</f>
        <v>0</v>
      </c>
      <c r="M255" s="6">
        <f>M254+K255</f>
        <v>0</v>
      </c>
      <c r="N255" s="71">
        <v>0</v>
      </c>
      <c r="O255" t="e">
        <f t="shared" si="43"/>
        <v>#DIV/0!</v>
      </c>
      <c r="P255" s="71">
        <v>0</v>
      </c>
      <c r="Q255" t="e">
        <f t="shared" si="44"/>
        <v>#DIV/0!</v>
      </c>
      <c r="R255" s="71">
        <v>0</v>
      </c>
      <c r="S255" s="6" t="e">
        <f t="shared" si="45"/>
        <v>#DIV/0!</v>
      </c>
    </row>
    <row r="256" spans="1:19" x14ac:dyDescent="0.2">
      <c r="A256" s="36" t="s">
        <v>300</v>
      </c>
      <c r="B256" s="6" t="s">
        <v>153</v>
      </c>
      <c r="C256" s="71">
        <v>0</v>
      </c>
      <c r="D256" s="6">
        <f t="shared" si="50"/>
        <v>0</v>
      </c>
      <c r="E256" s="62">
        <v>0</v>
      </c>
      <c r="F256" s="6">
        <f>SUM(E254:E256)</f>
        <v>0</v>
      </c>
      <c r="G256" s="35" t="str">
        <f t="shared" si="42"/>
        <v>Farol Amarelo</v>
      </c>
      <c r="H256">
        <f t="shared" si="51"/>
        <v>0</v>
      </c>
      <c r="I256" s="6">
        <f t="shared" si="52"/>
        <v>3</v>
      </c>
      <c r="J256" s="100">
        <v>0</v>
      </c>
      <c r="K256" s="100">
        <v>0</v>
      </c>
      <c r="L256" s="6">
        <f>$L254+L255</f>
        <v>0</v>
      </c>
      <c r="M256" s="6">
        <f t="shared" ref="M256:M265" si="53">M255+K256</f>
        <v>0</v>
      </c>
      <c r="N256" s="71">
        <v>0</v>
      </c>
      <c r="O256" t="e">
        <f t="shared" si="43"/>
        <v>#DIV/0!</v>
      </c>
      <c r="P256" s="71">
        <v>0</v>
      </c>
      <c r="Q256" t="e">
        <f t="shared" si="44"/>
        <v>#DIV/0!</v>
      </c>
      <c r="R256" s="71">
        <v>0</v>
      </c>
      <c r="S256" s="6" t="e">
        <f t="shared" si="45"/>
        <v>#DIV/0!</v>
      </c>
    </row>
    <row r="257" spans="1:19" x14ac:dyDescent="0.2">
      <c r="A257" s="36" t="s">
        <v>300</v>
      </c>
      <c r="B257" s="6" t="s">
        <v>154</v>
      </c>
      <c r="C257" s="71">
        <v>0</v>
      </c>
      <c r="D257" s="6">
        <f t="shared" si="50"/>
        <v>0</v>
      </c>
      <c r="E257" s="62">
        <v>0</v>
      </c>
      <c r="F257" s="6">
        <f>SUM(E254:E257)</f>
        <v>0</v>
      </c>
      <c r="G257" s="35" t="str">
        <f t="shared" si="42"/>
        <v>Farol Amarelo</v>
      </c>
      <c r="H257">
        <f t="shared" si="51"/>
        <v>0</v>
      </c>
      <c r="I257" s="6">
        <f t="shared" si="52"/>
        <v>4</v>
      </c>
      <c r="J257" s="100">
        <v>0</v>
      </c>
      <c r="K257" s="100">
        <v>0</v>
      </c>
      <c r="L257" s="6">
        <f>$L254+L256</f>
        <v>0</v>
      </c>
      <c r="M257" s="6">
        <f t="shared" si="53"/>
        <v>0</v>
      </c>
      <c r="N257" s="71">
        <v>0</v>
      </c>
      <c r="O257" t="e">
        <f t="shared" si="43"/>
        <v>#DIV/0!</v>
      </c>
      <c r="P257" s="71">
        <v>0</v>
      </c>
      <c r="Q257" t="e">
        <f t="shared" si="44"/>
        <v>#DIV/0!</v>
      </c>
      <c r="R257" s="71">
        <v>0</v>
      </c>
      <c r="S257" s="6" t="e">
        <f t="shared" si="45"/>
        <v>#DIV/0!</v>
      </c>
    </row>
    <row r="258" spans="1:19" x14ac:dyDescent="0.2">
      <c r="A258" s="36" t="s">
        <v>300</v>
      </c>
      <c r="B258" s="6" t="s">
        <v>155</v>
      </c>
      <c r="C258" s="71">
        <v>0</v>
      </c>
      <c r="D258" s="6">
        <f t="shared" si="50"/>
        <v>0</v>
      </c>
      <c r="E258" s="62">
        <v>0</v>
      </c>
      <c r="F258" s="6">
        <f>SUM(E254:E258)</f>
        <v>0</v>
      </c>
      <c r="G258" s="35" t="str">
        <f t="shared" si="42"/>
        <v>Farol Amarelo</v>
      </c>
      <c r="H258">
        <f t="shared" si="51"/>
        <v>0</v>
      </c>
      <c r="I258" s="6">
        <f t="shared" si="52"/>
        <v>5</v>
      </c>
      <c r="J258" s="100">
        <v>0</v>
      </c>
      <c r="K258" s="100">
        <v>0</v>
      </c>
      <c r="L258" s="6">
        <f>L254+L257</f>
        <v>0</v>
      </c>
      <c r="M258" s="6">
        <f t="shared" si="53"/>
        <v>0</v>
      </c>
      <c r="N258" s="71">
        <v>0</v>
      </c>
      <c r="O258" t="e">
        <f t="shared" si="43"/>
        <v>#DIV/0!</v>
      </c>
      <c r="P258" s="71">
        <v>0</v>
      </c>
      <c r="Q258" t="e">
        <f t="shared" si="44"/>
        <v>#DIV/0!</v>
      </c>
      <c r="R258" s="71">
        <v>0</v>
      </c>
      <c r="S258" s="6" t="e">
        <f t="shared" si="45"/>
        <v>#DIV/0!</v>
      </c>
    </row>
    <row r="259" spans="1:19" x14ac:dyDescent="0.2">
      <c r="A259" s="36" t="s">
        <v>300</v>
      </c>
      <c r="B259" s="6" t="s">
        <v>156</v>
      </c>
      <c r="C259" s="71">
        <v>0</v>
      </c>
      <c r="D259" s="6">
        <f t="shared" si="50"/>
        <v>0</v>
      </c>
      <c r="E259" s="62">
        <v>840</v>
      </c>
      <c r="F259" s="6">
        <f>SUM(E254:E259)</f>
        <v>840</v>
      </c>
      <c r="G259" s="35" t="str">
        <f t="shared" si="42"/>
        <v>Farol Verde</v>
      </c>
      <c r="H259">
        <f t="shared" si="51"/>
        <v>0</v>
      </c>
      <c r="I259" s="6">
        <f t="shared" si="52"/>
        <v>6</v>
      </c>
      <c r="J259" s="100">
        <v>0</v>
      </c>
      <c r="K259" s="100">
        <v>4</v>
      </c>
      <c r="L259" s="6">
        <f>$L254+L258</f>
        <v>0</v>
      </c>
      <c r="M259" s="6">
        <f t="shared" si="53"/>
        <v>4</v>
      </c>
      <c r="N259" s="71">
        <v>3</v>
      </c>
      <c r="O259">
        <f t="shared" si="43"/>
        <v>0.66666666666666663</v>
      </c>
      <c r="P259" s="71">
        <v>2</v>
      </c>
      <c r="Q259">
        <f t="shared" si="44"/>
        <v>0.5</v>
      </c>
      <c r="R259" s="71">
        <v>1</v>
      </c>
      <c r="S259" s="6">
        <f t="shared" si="45"/>
        <v>0.33333333333333331</v>
      </c>
    </row>
    <row r="260" spans="1:19" x14ac:dyDescent="0.2">
      <c r="A260" s="36" t="s">
        <v>300</v>
      </c>
      <c r="B260" s="6" t="s">
        <v>157</v>
      </c>
      <c r="C260" s="71">
        <v>0</v>
      </c>
      <c r="D260" s="6">
        <f t="shared" si="50"/>
        <v>0</v>
      </c>
      <c r="E260" s="62">
        <v>262</v>
      </c>
      <c r="F260" s="6">
        <f>SUM(E254:E260)</f>
        <v>1102</v>
      </c>
      <c r="G260" s="35" t="str">
        <f t="shared" si="42"/>
        <v>Farol Verde</v>
      </c>
      <c r="H260">
        <f t="shared" si="51"/>
        <v>0</v>
      </c>
      <c r="I260" s="6">
        <f t="shared" si="52"/>
        <v>7</v>
      </c>
      <c r="J260" s="100">
        <v>0</v>
      </c>
      <c r="K260" s="62">
        <v>5</v>
      </c>
      <c r="L260" s="6">
        <f>$L254+L259</f>
        <v>0</v>
      </c>
      <c r="M260" s="6">
        <f t="shared" si="53"/>
        <v>9</v>
      </c>
      <c r="N260" s="71"/>
      <c r="O260" t="e">
        <f t="shared" si="43"/>
        <v>#DIV/0!</v>
      </c>
      <c r="P260" s="71"/>
      <c r="Q260" t="e">
        <f t="shared" si="44"/>
        <v>#DIV/0!</v>
      </c>
      <c r="R260" s="71"/>
      <c r="S260" s="6" t="e">
        <f t="shared" si="45"/>
        <v>#DIV/0!</v>
      </c>
    </row>
    <row r="261" spans="1:19" x14ac:dyDescent="0.2">
      <c r="A261" s="36" t="s">
        <v>300</v>
      </c>
      <c r="B261" s="6" t="s">
        <v>158</v>
      </c>
      <c r="C261" s="71">
        <v>0</v>
      </c>
      <c r="D261" s="6">
        <f t="shared" si="50"/>
        <v>0</v>
      </c>
      <c r="E261" s="62">
        <v>0</v>
      </c>
      <c r="F261" s="6">
        <f>SUM(E254:E261)</f>
        <v>1102</v>
      </c>
      <c r="G261" s="35" t="str">
        <f t="shared" si="42"/>
        <v>Farol Verde</v>
      </c>
      <c r="H261">
        <f t="shared" si="51"/>
        <v>0</v>
      </c>
      <c r="I261" s="6">
        <f t="shared" si="52"/>
        <v>8</v>
      </c>
      <c r="J261" s="100">
        <v>0</v>
      </c>
      <c r="K261" s="62"/>
      <c r="L261" s="6">
        <f>L254+L260</f>
        <v>0</v>
      </c>
      <c r="M261" s="6">
        <f t="shared" si="53"/>
        <v>9</v>
      </c>
      <c r="N261" s="71"/>
      <c r="O261" t="e">
        <f t="shared" si="43"/>
        <v>#DIV/0!</v>
      </c>
      <c r="P261" s="71"/>
      <c r="Q261" t="e">
        <f t="shared" si="44"/>
        <v>#DIV/0!</v>
      </c>
      <c r="R261" s="71"/>
      <c r="S261" s="6" t="e">
        <f t="shared" si="45"/>
        <v>#DIV/0!</v>
      </c>
    </row>
    <row r="262" spans="1:19" x14ac:dyDescent="0.2">
      <c r="A262" s="36" t="s">
        <v>300</v>
      </c>
      <c r="B262" s="6" t="s">
        <v>159</v>
      </c>
      <c r="C262" s="71">
        <v>0</v>
      </c>
      <c r="D262" s="6">
        <f t="shared" si="50"/>
        <v>0</v>
      </c>
      <c r="E262" s="62">
        <v>0</v>
      </c>
      <c r="F262" s="6">
        <f>SUM(E254:E262)</f>
        <v>1102</v>
      </c>
      <c r="G262" s="35" t="str">
        <f t="shared" si="42"/>
        <v>Farol Verde</v>
      </c>
      <c r="H262">
        <f t="shared" si="51"/>
        <v>0</v>
      </c>
      <c r="I262" s="6">
        <f t="shared" si="52"/>
        <v>9</v>
      </c>
      <c r="J262" s="100">
        <v>0</v>
      </c>
      <c r="K262" s="62"/>
      <c r="L262" s="6">
        <f>$L254+L261</f>
        <v>0</v>
      </c>
      <c r="M262" s="6">
        <f t="shared" si="53"/>
        <v>9</v>
      </c>
      <c r="N262" s="71"/>
      <c r="O262" t="e">
        <f t="shared" si="43"/>
        <v>#DIV/0!</v>
      </c>
      <c r="P262" s="71"/>
      <c r="Q262" t="e">
        <f t="shared" si="44"/>
        <v>#DIV/0!</v>
      </c>
      <c r="R262" s="71"/>
      <c r="S262" s="6" t="e">
        <f t="shared" si="45"/>
        <v>#DIV/0!</v>
      </c>
    </row>
    <row r="263" spans="1:19" x14ac:dyDescent="0.2">
      <c r="A263" s="36" t="s">
        <v>300</v>
      </c>
      <c r="B263" s="6" t="s">
        <v>160</v>
      </c>
      <c r="C263" s="71">
        <v>0</v>
      </c>
      <c r="D263" s="6">
        <f t="shared" si="50"/>
        <v>0</v>
      </c>
      <c r="E263" s="62">
        <v>0</v>
      </c>
      <c r="F263" s="6">
        <f>SUM(E254:E263)</f>
        <v>1102</v>
      </c>
      <c r="G263" s="35" t="str">
        <f t="shared" si="42"/>
        <v>Farol Verde</v>
      </c>
      <c r="H263">
        <f t="shared" si="51"/>
        <v>0</v>
      </c>
      <c r="I263" s="6">
        <f t="shared" si="52"/>
        <v>10</v>
      </c>
      <c r="J263" s="100">
        <v>0</v>
      </c>
      <c r="K263" s="62"/>
      <c r="L263" s="6">
        <f>$L254+L262</f>
        <v>0</v>
      </c>
      <c r="M263" s="6">
        <f t="shared" si="53"/>
        <v>9</v>
      </c>
      <c r="N263" s="71"/>
      <c r="O263" t="e">
        <f t="shared" si="43"/>
        <v>#DIV/0!</v>
      </c>
      <c r="P263" s="71"/>
      <c r="Q263" t="e">
        <f t="shared" si="44"/>
        <v>#DIV/0!</v>
      </c>
      <c r="R263" s="71"/>
      <c r="S263" s="6" t="e">
        <f t="shared" si="45"/>
        <v>#DIV/0!</v>
      </c>
    </row>
    <row r="264" spans="1:19" x14ac:dyDescent="0.2">
      <c r="A264" s="36" t="s">
        <v>300</v>
      </c>
      <c r="B264" s="6" t="s">
        <v>161</v>
      </c>
      <c r="C264" s="71">
        <v>0</v>
      </c>
      <c r="D264" s="6">
        <f t="shared" si="50"/>
        <v>0</v>
      </c>
      <c r="E264" s="62">
        <v>0</v>
      </c>
      <c r="F264" s="6">
        <f>SUM(E254:E264)</f>
        <v>1102</v>
      </c>
      <c r="G264" s="35" t="str">
        <f t="shared" si="42"/>
        <v>Farol Verde</v>
      </c>
      <c r="H264">
        <f t="shared" si="51"/>
        <v>0</v>
      </c>
      <c r="I264" s="6">
        <f t="shared" si="52"/>
        <v>11</v>
      </c>
      <c r="J264" s="100">
        <v>0</v>
      </c>
      <c r="K264" s="62"/>
      <c r="L264" s="6">
        <f>L254+L263</f>
        <v>0</v>
      </c>
      <c r="M264" s="6">
        <f t="shared" si="53"/>
        <v>9</v>
      </c>
      <c r="N264" s="71"/>
      <c r="O264" t="e">
        <f t="shared" si="43"/>
        <v>#DIV/0!</v>
      </c>
      <c r="P264" s="71"/>
      <c r="Q264" t="e">
        <f t="shared" si="44"/>
        <v>#DIV/0!</v>
      </c>
      <c r="R264" s="71"/>
      <c r="S264" s="6" t="e">
        <f t="shared" si="45"/>
        <v>#DIV/0!</v>
      </c>
    </row>
    <row r="265" spans="1:19" x14ac:dyDescent="0.2">
      <c r="A265" s="36" t="s">
        <v>300</v>
      </c>
      <c r="B265" s="6" t="s">
        <v>162</v>
      </c>
      <c r="C265" s="71">
        <v>0</v>
      </c>
      <c r="D265" s="6">
        <f t="shared" si="50"/>
        <v>0</v>
      </c>
      <c r="E265" s="62">
        <v>0</v>
      </c>
      <c r="F265" s="6">
        <f>SUM(E254:E265)</f>
        <v>1102</v>
      </c>
      <c r="G265" s="35" t="str">
        <f t="shared" si="42"/>
        <v>Farol Verde</v>
      </c>
      <c r="H265">
        <f t="shared" si="51"/>
        <v>0</v>
      </c>
      <c r="I265" s="6">
        <f t="shared" si="52"/>
        <v>12</v>
      </c>
      <c r="J265" s="100">
        <v>0</v>
      </c>
      <c r="K265" s="62"/>
      <c r="L265" s="6">
        <f>$L254+L264</f>
        <v>0</v>
      </c>
      <c r="M265" s="6">
        <f t="shared" si="53"/>
        <v>9</v>
      </c>
      <c r="N265" s="71"/>
      <c r="O265" t="e">
        <f t="shared" si="43"/>
        <v>#DIV/0!</v>
      </c>
      <c r="P265" s="71"/>
      <c r="R265" s="71"/>
      <c r="S265" s="6" t="e">
        <f t="shared" si="45"/>
        <v>#DIV/0!</v>
      </c>
    </row>
    <row r="266" spans="1:19" x14ac:dyDescent="0.2">
      <c r="A266" s="36" t="s">
        <v>90</v>
      </c>
      <c r="B266" s="6" t="s">
        <v>151</v>
      </c>
      <c r="C266" s="71">
        <v>257719.44</v>
      </c>
      <c r="D266" s="6">
        <f>(C266/12)*1</f>
        <v>21476.62</v>
      </c>
      <c r="E266" s="62">
        <v>13500</v>
      </c>
      <c r="F266" s="6">
        <f>E266</f>
        <v>13500</v>
      </c>
      <c r="G266" s="35" t="str">
        <f t="shared" si="42"/>
        <v>Farol Vermelho</v>
      </c>
      <c r="H266">
        <f t="shared" si="40"/>
        <v>7976.619999999999</v>
      </c>
      <c r="I266" s="6">
        <f t="shared" si="41"/>
        <v>1</v>
      </c>
      <c r="J266" s="100">
        <v>24</v>
      </c>
      <c r="K266" s="62">
        <v>1</v>
      </c>
      <c r="L266" s="6">
        <f>J266/12</f>
        <v>2</v>
      </c>
      <c r="M266" s="6">
        <f>K266</f>
        <v>1</v>
      </c>
      <c r="N266" s="71">
        <v>0</v>
      </c>
      <c r="O266" t="e">
        <f t="shared" si="43"/>
        <v>#DIV/0!</v>
      </c>
      <c r="P266" s="71">
        <v>0</v>
      </c>
      <c r="Q266" t="e">
        <f t="shared" si="44"/>
        <v>#DIV/0!</v>
      </c>
      <c r="R266" s="71">
        <v>0</v>
      </c>
      <c r="S266" s="6" t="e">
        <f t="shared" si="45"/>
        <v>#DIV/0!</v>
      </c>
    </row>
    <row r="267" spans="1:19" x14ac:dyDescent="0.2">
      <c r="A267" s="36" t="s">
        <v>90</v>
      </c>
      <c r="B267" s="6" t="s">
        <v>152</v>
      </c>
      <c r="C267" s="71">
        <v>257719.44</v>
      </c>
      <c r="D267" s="6">
        <f>(C267/12)*2</f>
        <v>42953.24</v>
      </c>
      <c r="E267" s="62">
        <v>78932</v>
      </c>
      <c r="F267" s="6">
        <f>SUM(E266:E267)</f>
        <v>92432</v>
      </c>
      <c r="G267" s="35" t="str">
        <f t="shared" si="42"/>
        <v>Farol Verde</v>
      </c>
      <c r="H267">
        <f t="shared" si="40"/>
        <v>0</v>
      </c>
      <c r="I267" s="6">
        <f t="shared" si="41"/>
        <v>2</v>
      </c>
      <c r="J267" s="100">
        <v>24</v>
      </c>
      <c r="K267" s="62">
        <v>3</v>
      </c>
      <c r="L267" s="6">
        <f>L266+L266</f>
        <v>4</v>
      </c>
      <c r="M267" s="6">
        <f>M266+K267</f>
        <v>4</v>
      </c>
      <c r="N267" s="71">
        <v>0</v>
      </c>
      <c r="O267" t="e">
        <f t="shared" si="43"/>
        <v>#DIV/0!</v>
      </c>
      <c r="P267" s="71">
        <v>0</v>
      </c>
      <c r="Q267" t="e">
        <f t="shared" si="44"/>
        <v>#DIV/0!</v>
      </c>
      <c r="R267" s="71">
        <v>0</v>
      </c>
      <c r="S267" s="6" t="e">
        <f t="shared" si="45"/>
        <v>#DIV/0!</v>
      </c>
    </row>
    <row r="268" spans="1:19" x14ac:dyDescent="0.2">
      <c r="A268" s="36" t="s">
        <v>90</v>
      </c>
      <c r="B268" s="6" t="s">
        <v>153</v>
      </c>
      <c r="C268" s="71">
        <v>257719.44</v>
      </c>
      <c r="D268" s="6">
        <f>(C268/12)*3</f>
        <v>64429.86</v>
      </c>
      <c r="E268" s="62">
        <v>42100</v>
      </c>
      <c r="F268" s="6">
        <f>SUM(E266:E268)</f>
        <v>134532</v>
      </c>
      <c r="G268" s="35" t="str">
        <f t="shared" si="42"/>
        <v>Farol Verde</v>
      </c>
      <c r="H268">
        <f t="shared" si="40"/>
        <v>0</v>
      </c>
      <c r="I268" s="6">
        <f t="shared" si="41"/>
        <v>3</v>
      </c>
      <c r="J268" s="100">
        <v>24</v>
      </c>
      <c r="K268" s="62">
        <v>3</v>
      </c>
      <c r="L268" s="6">
        <f>$L266+L267</f>
        <v>6</v>
      </c>
      <c r="M268" s="6">
        <f t="shared" ref="M268:M277" si="54">M267+K268</f>
        <v>7</v>
      </c>
      <c r="N268" s="71">
        <v>0</v>
      </c>
      <c r="O268" t="e">
        <f t="shared" si="43"/>
        <v>#DIV/0!</v>
      </c>
      <c r="P268" s="71">
        <v>0</v>
      </c>
      <c r="Q268" t="e">
        <f t="shared" si="44"/>
        <v>#DIV/0!</v>
      </c>
      <c r="R268" s="71">
        <v>0</v>
      </c>
      <c r="S268" s="6" t="e">
        <f t="shared" si="45"/>
        <v>#DIV/0!</v>
      </c>
    </row>
    <row r="269" spans="1:19" x14ac:dyDescent="0.2">
      <c r="A269" s="36" t="s">
        <v>90</v>
      </c>
      <c r="B269" s="6" t="s">
        <v>154</v>
      </c>
      <c r="C269" s="71">
        <v>257719.44</v>
      </c>
      <c r="D269" s="6">
        <f>(C269/12)*4</f>
        <v>85906.48</v>
      </c>
      <c r="E269" s="62">
        <v>0</v>
      </c>
      <c r="F269" s="6">
        <f>SUM(E266:E269)</f>
        <v>134532</v>
      </c>
      <c r="G269" s="35" t="str">
        <f t="shared" si="42"/>
        <v>Farol Verde</v>
      </c>
      <c r="H269">
        <f t="shared" si="40"/>
        <v>0</v>
      </c>
      <c r="I269" s="6">
        <f t="shared" si="41"/>
        <v>4</v>
      </c>
      <c r="J269" s="100">
        <v>24</v>
      </c>
      <c r="K269" s="62">
        <v>0</v>
      </c>
      <c r="L269" s="6">
        <f>$L266+L268</f>
        <v>8</v>
      </c>
      <c r="M269" s="6">
        <f t="shared" si="54"/>
        <v>7</v>
      </c>
      <c r="N269" s="71">
        <v>0</v>
      </c>
      <c r="O269" t="e">
        <f t="shared" si="43"/>
        <v>#DIV/0!</v>
      </c>
      <c r="P269" s="71">
        <v>0</v>
      </c>
      <c r="Q269" t="e">
        <f t="shared" si="44"/>
        <v>#DIV/0!</v>
      </c>
      <c r="R269" s="71">
        <v>0</v>
      </c>
      <c r="S269" s="6" t="e">
        <f t="shared" si="45"/>
        <v>#DIV/0!</v>
      </c>
    </row>
    <row r="270" spans="1:19" x14ac:dyDescent="0.2">
      <c r="A270" s="36" t="s">
        <v>90</v>
      </c>
      <c r="B270" s="6" t="s">
        <v>155</v>
      </c>
      <c r="C270" s="71">
        <v>257719.44</v>
      </c>
      <c r="D270" s="6">
        <f>(C270/12)*5</f>
        <v>107383.09999999999</v>
      </c>
      <c r="E270" s="62">
        <v>41739.129999999997</v>
      </c>
      <c r="F270" s="6">
        <f>SUM(E266:E270)</f>
        <v>176271.13</v>
      </c>
      <c r="G270" s="35" t="str">
        <f t="shared" si="42"/>
        <v>Farol Verde</v>
      </c>
      <c r="H270">
        <f t="shared" si="40"/>
        <v>0</v>
      </c>
      <c r="I270" s="6">
        <f t="shared" si="41"/>
        <v>5</v>
      </c>
      <c r="J270" s="100">
        <v>24</v>
      </c>
      <c r="K270" s="62">
        <v>1</v>
      </c>
      <c r="L270" s="6">
        <f>L266+L269</f>
        <v>10</v>
      </c>
      <c r="M270" s="6">
        <f t="shared" si="54"/>
        <v>8</v>
      </c>
      <c r="N270" s="71">
        <v>8</v>
      </c>
      <c r="O270">
        <f t="shared" si="43"/>
        <v>0.875</v>
      </c>
      <c r="P270" s="71">
        <v>7</v>
      </c>
      <c r="Q270">
        <f t="shared" si="44"/>
        <v>0.14285714285714285</v>
      </c>
      <c r="R270" s="71">
        <v>1</v>
      </c>
      <c r="S270" s="6">
        <f t="shared" si="45"/>
        <v>0.125</v>
      </c>
    </row>
    <row r="271" spans="1:19" x14ac:dyDescent="0.2">
      <c r="A271" s="36" t="s">
        <v>90</v>
      </c>
      <c r="B271" s="6" t="s">
        <v>156</v>
      </c>
      <c r="C271" s="71">
        <v>257719.44</v>
      </c>
      <c r="D271" s="6">
        <f>(C271/12)*6</f>
        <v>128859.72</v>
      </c>
      <c r="E271" s="62">
        <v>31448.31</v>
      </c>
      <c r="F271" s="6">
        <f>SUM(E266:E271)</f>
        <v>207719.44</v>
      </c>
      <c r="G271" s="35" t="str">
        <f t="shared" si="42"/>
        <v>Farol Verde</v>
      </c>
      <c r="H271">
        <f t="shared" si="40"/>
        <v>0</v>
      </c>
      <c r="I271" s="6">
        <f t="shared" si="41"/>
        <v>6</v>
      </c>
      <c r="J271" s="100">
        <v>24</v>
      </c>
      <c r="K271" s="62">
        <v>5</v>
      </c>
      <c r="L271" s="6">
        <f>$L266+L270</f>
        <v>12</v>
      </c>
      <c r="M271" s="6">
        <f t="shared" si="54"/>
        <v>13</v>
      </c>
      <c r="N271" s="71">
        <v>8</v>
      </c>
      <c r="O271">
        <f t="shared" si="43"/>
        <v>0.625</v>
      </c>
      <c r="P271" s="71">
        <v>5</v>
      </c>
      <c r="Q271">
        <f t="shared" si="44"/>
        <v>0.6</v>
      </c>
      <c r="R271" s="71">
        <v>3</v>
      </c>
      <c r="S271" s="6">
        <f t="shared" si="45"/>
        <v>0.375</v>
      </c>
    </row>
    <row r="272" spans="1:19" x14ac:dyDescent="0.2">
      <c r="A272" s="36" t="s">
        <v>90</v>
      </c>
      <c r="B272" s="6" t="s">
        <v>157</v>
      </c>
      <c r="C272" s="71">
        <v>257719.44</v>
      </c>
      <c r="D272" s="6">
        <f>(C272/12)*7</f>
        <v>150336.34</v>
      </c>
      <c r="E272" s="62">
        <v>25250</v>
      </c>
      <c r="F272" s="6">
        <f>SUM(E266:E272)</f>
        <v>232969.44</v>
      </c>
      <c r="G272" s="35" t="str">
        <f t="shared" si="42"/>
        <v>Farol Verde</v>
      </c>
      <c r="H272">
        <f t="shared" si="40"/>
        <v>0</v>
      </c>
      <c r="I272" s="6">
        <f t="shared" si="41"/>
        <v>7</v>
      </c>
      <c r="J272" s="100">
        <v>24</v>
      </c>
      <c r="K272" s="62">
        <v>3</v>
      </c>
      <c r="L272" s="6">
        <f>$L266+L271</f>
        <v>14</v>
      </c>
      <c r="M272" s="6">
        <f t="shared" si="54"/>
        <v>16</v>
      </c>
      <c r="N272" s="71"/>
      <c r="O272" t="e">
        <f t="shared" si="43"/>
        <v>#DIV/0!</v>
      </c>
      <c r="P272" s="71"/>
      <c r="Q272" t="e">
        <f t="shared" si="44"/>
        <v>#DIV/0!</v>
      </c>
      <c r="R272" s="71"/>
      <c r="S272" s="6" t="e">
        <f t="shared" si="45"/>
        <v>#DIV/0!</v>
      </c>
    </row>
    <row r="273" spans="1:19" x14ac:dyDescent="0.2">
      <c r="A273" s="36" t="s">
        <v>90</v>
      </c>
      <c r="B273" s="6" t="s">
        <v>158</v>
      </c>
      <c r="C273" s="71">
        <v>257719.44</v>
      </c>
      <c r="D273" s="6">
        <f>(C273/12)*8</f>
        <v>171812.96</v>
      </c>
      <c r="E273" s="62">
        <v>0</v>
      </c>
      <c r="F273" s="6">
        <f>SUM(E266:E273)</f>
        <v>232969.44</v>
      </c>
      <c r="G273" s="35" t="str">
        <f t="shared" si="42"/>
        <v>Farol Verde</v>
      </c>
      <c r="H273">
        <f t="shared" si="40"/>
        <v>0</v>
      </c>
      <c r="I273" s="6">
        <f t="shared" si="41"/>
        <v>8</v>
      </c>
      <c r="J273" s="100">
        <v>24</v>
      </c>
      <c r="K273" s="62"/>
      <c r="L273" s="6">
        <f>L266+L272</f>
        <v>16</v>
      </c>
      <c r="M273" s="6">
        <f t="shared" si="54"/>
        <v>16</v>
      </c>
      <c r="N273" s="71"/>
      <c r="O273" t="e">
        <f t="shared" si="43"/>
        <v>#DIV/0!</v>
      </c>
      <c r="P273" s="71"/>
      <c r="Q273" t="e">
        <f t="shared" si="44"/>
        <v>#DIV/0!</v>
      </c>
      <c r="R273" s="71"/>
      <c r="S273" s="6" t="e">
        <f t="shared" si="45"/>
        <v>#DIV/0!</v>
      </c>
    </row>
    <row r="274" spans="1:19" x14ac:dyDescent="0.2">
      <c r="A274" s="36" t="s">
        <v>90</v>
      </c>
      <c r="B274" s="6" t="s">
        <v>159</v>
      </c>
      <c r="C274" s="71">
        <v>257719.44</v>
      </c>
      <c r="D274" s="6">
        <f>(C274/12)*9</f>
        <v>193289.58</v>
      </c>
      <c r="E274" s="62">
        <v>0</v>
      </c>
      <c r="F274" s="6">
        <f>SUM(E266:E274)</f>
        <v>232969.44</v>
      </c>
      <c r="G274" s="35" t="str">
        <f t="shared" si="42"/>
        <v>Farol Verde</v>
      </c>
      <c r="H274">
        <f t="shared" si="40"/>
        <v>0</v>
      </c>
      <c r="I274" s="6">
        <f t="shared" si="41"/>
        <v>9</v>
      </c>
      <c r="J274" s="100">
        <v>24</v>
      </c>
      <c r="K274" s="62"/>
      <c r="L274" s="6">
        <f>$L266+L273</f>
        <v>18</v>
      </c>
      <c r="M274" s="6">
        <f t="shared" si="54"/>
        <v>16</v>
      </c>
      <c r="N274" s="71"/>
      <c r="O274" t="e">
        <f t="shared" si="43"/>
        <v>#DIV/0!</v>
      </c>
      <c r="P274" s="71"/>
      <c r="Q274" t="e">
        <f t="shared" si="44"/>
        <v>#DIV/0!</v>
      </c>
      <c r="R274" s="71"/>
      <c r="S274" s="6" t="e">
        <f t="shared" si="45"/>
        <v>#DIV/0!</v>
      </c>
    </row>
    <row r="275" spans="1:19" x14ac:dyDescent="0.2">
      <c r="A275" s="36" t="s">
        <v>90</v>
      </c>
      <c r="B275" s="6" t="s">
        <v>160</v>
      </c>
      <c r="C275" s="71">
        <v>257719.44</v>
      </c>
      <c r="D275" s="6">
        <f>(C275/12)*10</f>
        <v>214766.19999999998</v>
      </c>
      <c r="E275" s="62">
        <v>0</v>
      </c>
      <c r="F275" s="6">
        <f>SUM(E266:E275)</f>
        <v>232969.44</v>
      </c>
      <c r="G275" s="35" t="str">
        <f t="shared" si="42"/>
        <v>Farol Verde</v>
      </c>
      <c r="H275">
        <f t="shared" si="40"/>
        <v>0</v>
      </c>
      <c r="I275" s="6">
        <f t="shared" si="41"/>
        <v>10</v>
      </c>
      <c r="J275" s="100">
        <v>24</v>
      </c>
      <c r="K275" s="62"/>
      <c r="L275" s="6">
        <f>$L266+L274</f>
        <v>20</v>
      </c>
      <c r="M275" s="6">
        <f t="shared" si="54"/>
        <v>16</v>
      </c>
      <c r="N275" s="71"/>
      <c r="O275" t="e">
        <f t="shared" si="43"/>
        <v>#DIV/0!</v>
      </c>
      <c r="P275" s="71"/>
      <c r="Q275" t="e">
        <f t="shared" si="44"/>
        <v>#DIV/0!</v>
      </c>
      <c r="R275" s="71"/>
      <c r="S275" s="6" t="e">
        <f t="shared" si="45"/>
        <v>#DIV/0!</v>
      </c>
    </row>
    <row r="276" spans="1:19" x14ac:dyDescent="0.2">
      <c r="A276" s="36" t="s">
        <v>90</v>
      </c>
      <c r="B276" s="6" t="s">
        <v>161</v>
      </c>
      <c r="C276" s="71">
        <v>257719.44</v>
      </c>
      <c r="D276" s="6">
        <f>(C276/12)*11</f>
        <v>236242.81999999998</v>
      </c>
      <c r="E276" s="62">
        <v>0</v>
      </c>
      <c r="F276" s="6">
        <f>SUM(E266:E276)</f>
        <v>232969.44</v>
      </c>
      <c r="G276" s="35" t="str">
        <f t="shared" si="42"/>
        <v>Farol Amarelo</v>
      </c>
      <c r="H276">
        <f t="shared" si="40"/>
        <v>3273.3799999999756</v>
      </c>
      <c r="I276" s="6">
        <f t="shared" si="41"/>
        <v>11</v>
      </c>
      <c r="J276" s="100">
        <v>24</v>
      </c>
      <c r="K276" s="62"/>
      <c r="L276" s="6">
        <f>L266+L275</f>
        <v>22</v>
      </c>
      <c r="M276" s="6">
        <f t="shared" si="54"/>
        <v>16</v>
      </c>
      <c r="N276" s="71"/>
      <c r="O276" t="e">
        <f t="shared" si="43"/>
        <v>#DIV/0!</v>
      </c>
      <c r="P276" s="71"/>
      <c r="Q276" t="e">
        <f t="shared" si="44"/>
        <v>#DIV/0!</v>
      </c>
      <c r="R276" s="71"/>
      <c r="S276" s="6" t="e">
        <f t="shared" si="45"/>
        <v>#DIV/0!</v>
      </c>
    </row>
    <row r="277" spans="1:19" x14ac:dyDescent="0.2">
      <c r="A277" s="36" t="s">
        <v>90</v>
      </c>
      <c r="B277" s="6" t="s">
        <v>162</v>
      </c>
      <c r="C277" s="71">
        <v>257719.44</v>
      </c>
      <c r="D277" s="6">
        <f>(C277/12)*12</f>
        <v>257719.44</v>
      </c>
      <c r="E277" s="62">
        <v>0</v>
      </c>
      <c r="F277" s="6">
        <f>SUM(E266:E277)</f>
        <v>232969.44</v>
      </c>
      <c r="G277" s="35" t="str">
        <f t="shared" si="42"/>
        <v>Farol Amarelo</v>
      </c>
      <c r="H277">
        <f t="shared" si="40"/>
        <v>24750</v>
      </c>
      <c r="I277" s="6">
        <f t="shared" si="41"/>
        <v>12</v>
      </c>
      <c r="J277" s="100">
        <v>24</v>
      </c>
      <c r="K277" s="62"/>
      <c r="L277" s="6">
        <f>$L266+L276</f>
        <v>24</v>
      </c>
      <c r="M277" s="6">
        <f t="shared" si="54"/>
        <v>16</v>
      </c>
      <c r="N277" s="71"/>
      <c r="O277" t="e">
        <f t="shared" si="43"/>
        <v>#DIV/0!</v>
      </c>
      <c r="P277" s="71"/>
      <c r="Q277" t="e">
        <f t="shared" si="44"/>
        <v>#DIV/0!</v>
      </c>
      <c r="R277" s="71"/>
      <c r="S277" s="6" t="e">
        <f t="shared" si="45"/>
        <v>#DIV/0!</v>
      </c>
    </row>
    <row r="278" spans="1:19" x14ac:dyDescent="0.2">
      <c r="A278" s="36" t="s">
        <v>54</v>
      </c>
      <c r="B278" s="6" t="s">
        <v>151</v>
      </c>
      <c r="C278" s="71">
        <v>37857.379999999997</v>
      </c>
      <c r="D278" s="6">
        <f>(C278/12)*1</f>
        <v>3154.7816666666663</v>
      </c>
      <c r="E278" s="62">
        <v>40</v>
      </c>
      <c r="F278" s="6">
        <f>E278</f>
        <v>40</v>
      </c>
      <c r="G278" s="35" t="str">
        <f t="shared" si="42"/>
        <v>Farol Vermelho</v>
      </c>
      <c r="H278">
        <f t="shared" si="40"/>
        <v>3114.7816666666663</v>
      </c>
      <c r="I278" s="6">
        <f t="shared" si="41"/>
        <v>1</v>
      </c>
      <c r="J278" s="100">
        <v>19</v>
      </c>
      <c r="K278" s="62">
        <v>1</v>
      </c>
      <c r="L278" s="6">
        <f>J278/12</f>
        <v>1.5833333333333333</v>
      </c>
      <c r="M278" s="6">
        <f>K278</f>
        <v>1</v>
      </c>
      <c r="N278" s="71">
        <v>0</v>
      </c>
      <c r="O278" t="e">
        <f t="shared" si="43"/>
        <v>#DIV/0!</v>
      </c>
      <c r="P278" s="71">
        <v>0</v>
      </c>
      <c r="Q278" t="e">
        <f t="shared" si="44"/>
        <v>#DIV/0!</v>
      </c>
      <c r="R278" s="71">
        <v>0</v>
      </c>
      <c r="S278" s="6" t="e">
        <f t="shared" si="45"/>
        <v>#DIV/0!</v>
      </c>
    </row>
    <row r="279" spans="1:19" x14ac:dyDescent="0.2">
      <c r="A279" s="36" t="s">
        <v>54</v>
      </c>
      <c r="B279" s="6" t="s">
        <v>152</v>
      </c>
      <c r="C279" s="71">
        <v>37857.379999999997</v>
      </c>
      <c r="D279" s="6">
        <f>(C279/12)*2</f>
        <v>6309.5633333333326</v>
      </c>
      <c r="E279" s="62">
        <v>0</v>
      </c>
      <c r="F279" s="6">
        <f>SUM(E278:E279)</f>
        <v>40</v>
      </c>
      <c r="G279" s="35" t="str">
        <f t="shared" si="42"/>
        <v>Farol Vermelho</v>
      </c>
      <c r="H279">
        <f t="shared" si="40"/>
        <v>6269.5633333333326</v>
      </c>
      <c r="I279" s="6">
        <f t="shared" si="41"/>
        <v>2</v>
      </c>
      <c r="J279" s="100">
        <v>19</v>
      </c>
      <c r="K279" s="62">
        <v>0</v>
      </c>
      <c r="L279" s="6">
        <f>L278+L278</f>
        <v>3.1666666666666665</v>
      </c>
      <c r="M279" s="6">
        <f>M278+K279</f>
        <v>1</v>
      </c>
      <c r="N279" s="71">
        <v>0</v>
      </c>
      <c r="O279" t="e">
        <f t="shared" si="43"/>
        <v>#DIV/0!</v>
      </c>
      <c r="P279" s="71">
        <v>0</v>
      </c>
      <c r="Q279" t="e">
        <f t="shared" si="44"/>
        <v>#DIV/0!</v>
      </c>
      <c r="R279" s="71">
        <v>0</v>
      </c>
      <c r="S279" s="6" t="e">
        <f t="shared" si="45"/>
        <v>#DIV/0!</v>
      </c>
    </row>
    <row r="280" spans="1:19" x14ac:dyDescent="0.2">
      <c r="A280" s="36" t="s">
        <v>54</v>
      </c>
      <c r="B280" s="6" t="s">
        <v>153</v>
      </c>
      <c r="C280" s="71">
        <v>37857.379999999997</v>
      </c>
      <c r="D280" s="6">
        <f>(C280/12)*3</f>
        <v>9464.3449999999993</v>
      </c>
      <c r="E280" s="62">
        <v>720</v>
      </c>
      <c r="F280" s="6">
        <f>SUM(E278:E280)</f>
        <v>760</v>
      </c>
      <c r="G280" s="35" t="str">
        <f t="shared" si="42"/>
        <v>Farol Vermelho</v>
      </c>
      <c r="H280">
        <f t="shared" si="40"/>
        <v>8704.3449999999993</v>
      </c>
      <c r="I280" s="6">
        <f t="shared" si="41"/>
        <v>3</v>
      </c>
      <c r="J280" s="100">
        <v>19</v>
      </c>
      <c r="K280" s="62">
        <v>9</v>
      </c>
      <c r="L280" s="6">
        <f>$L278+L279</f>
        <v>4.75</v>
      </c>
      <c r="M280" s="6">
        <f t="shared" ref="M280:M289" si="55">M279+K280</f>
        <v>10</v>
      </c>
      <c r="N280" s="71">
        <v>0</v>
      </c>
      <c r="O280" t="e">
        <f t="shared" si="43"/>
        <v>#DIV/0!</v>
      </c>
      <c r="P280" s="71">
        <v>0</v>
      </c>
      <c r="Q280" t="e">
        <f t="shared" si="44"/>
        <v>#DIV/0!</v>
      </c>
      <c r="R280" s="71">
        <v>0</v>
      </c>
      <c r="S280" s="6" t="e">
        <f t="shared" si="45"/>
        <v>#DIV/0!</v>
      </c>
    </row>
    <row r="281" spans="1:19" x14ac:dyDescent="0.2">
      <c r="A281" s="36" t="s">
        <v>54</v>
      </c>
      <c r="B281" s="6" t="s">
        <v>154</v>
      </c>
      <c r="C281" s="71">
        <v>37857.379999999997</v>
      </c>
      <c r="D281" s="6">
        <f>(C281/12)*4</f>
        <v>12619.126666666665</v>
      </c>
      <c r="E281" s="62">
        <v>0</v>
      </c>
      <c r="F281" s="6">
        <f>SUM(E278:E281)</f>
        <v>760</v>
      </c>
      <c r="G281" s="35" t="str">
        <f t="shared" si="42"/>
        <v>Farol Vermelho</v>
      </c>
      <c r="H281">
        <f t="shared" si="40"/>
        <v>11859.126666666665</v>
      </c>
      <c r="I281" s="6">
        <f t="shared" si="41"/>
        <v>4</v>
      </c>
      <c r="J281" s="100">
        <v>19</v>
      </c>
      <c r="K281" s="62">
        <v>0</v>
      </c>
      <c r="L281" s="6">
        <f>$L278+L280</f>
        <v>6.333333333333333</v>
      </c>
      <c r="M281" s="6">
        <f t="shared" si="55"/>
        <v>10</v>
      </c>
      <c r="N281" s="71">
        <v>0</v>
      </c>
      <c r="O281" t="e">
        <f t="shared" si="43"/>
        <v>#DIV/0!</v>
      </c>
      <c r="P281" s="71">
        <v>0</v>
      </c>
      <c r="Q281" t="e">
        <f t="shared" si="44"/>
        <v>#DIV/0!</v>
      </c>
      <c r="R281" s="71">
        <v>0</v>
      </c>
      <c r="S281" s="6" t="e">
        <f t="shared" si="45"/>
        <v>#DIV/0!</v>
      </c>
    </row>
    <row r="282" spans="1:19" x14ac:dyDescent="0.2">
      <c r="A282" s="36" t="s">
        <v>54</v>
      </c>
      <c r="B282" s="6" t="s">
        <v>155</v>
      </c>
      <c r="C282" s="71">
        <v>37857.379999999997</v>
      </c>
      <c r="D282" s="6">
        <f>(C282/12)*5</f>
        <v>15773.908333333331</v>
      </c>
      <c r="E282" s="62">
        <v>0</v>
      </c>
      <c r="F282" s="6">
        <f>SUM(E278:E282)</f>
        <v>760</v>
      </c>
      <c r="G282" s="35" t="str">
        <f t="shared" si="42"/>
        <v>Farol Vermelho</v>
      </c>
      <c r="H282">
        <f t="shared" ref="H282:H357" si="56">IF(D282-F282&lt;0,0,D282-F282)</f>
        <v>15013.908333333331</v>
      </c>
      <c r="I282" s="6">
        <f t="shared" ref="I282:I357" si="57">_xlfn.IFS(B282="Janeiro",1,B282="Fevereiro",2,B282="Março",3,B282="Abril",4,B282="Maio",5,B282="Junho",6,B282="Julho",7,B282="Agosto",8,B282="Setembro",9,B282="Outubro",10,B282="Novembro",11,B282="Dezembro",12,TRUE,0)</f>
        <v>5</v>
      </c>
      <c r="J282" s="100">
        <v>19</v>
      </c>
      <c r="K282" s="62">
        <v>0</v>
      </c>
      <c r="L282" s="6">
        <f>L278+L281</f>
        <v>7.9166666666666661</v>
      </c>
      <c r="M282" s="6">
        <f t="shared" si="55"/>
        <v>10</v>
      </c>
      <c r="N282" s="71">
        <v>15</v>
      </c>
      <c r="O282">
        <f t="shared" si="43"/>
        <v>0.93333333333333335</v>
      </c>
      <c r="P282" s="71">
        <v>14</v>
      </c>
      <c r="Q282">
        <f>R282/P282</f>
        <v>0.14285714285714285</v>
      </c>
      <c r="R282" s="71">
        <v>2</v>
      </c>
      <c r="S282" s="6">
        <f t="shared" si="45"/>
        <v>0.13333333333333333</v>
      </c>
    </row>
    <row r="283" spans="1:19" x14ac:dyDescent="0.2">
      <c r="A283" s="36" t="s">
        <v>54</v>
      </c>
      <c r="B283" s="6" t="s">
        <v>156</v>
      </c>
      <c r="C283" s="71">
        <v>37857.379999999997</v>
      </c>
      <c r="D283" s="6">
        <f>(C283/12)*6</f>
        <v>18928.689999999999</v>
      </c>
      <c r="E283" s="62">
        <v>20955.73</v>
      </c>
      <c r="F283" s="6">
        <f>SUM(E278:E283)</f>
        <v>21715.73</v>
      </c>
      <c r="G283" s="35" t="str">
        <f t="shared" ref="G283:G358" si="58">_xlfn.IFS(F283&gt;D283,"Farol Verde",F283&gt;=D283*0.85,"Farol Amarelo",F283&lt;D283*0.85,"Farol Vermelho","Verdadeiro",0)</f>
        <v>Farol Verde</v>
      </c>
      <c r="H283">
        <f t="shared" si="56"/>
        <v>0</v>
      </c>
      <c r="I283" s="6">
        <f t="shared" si="57"/>
        <v>6</v>
      </c>
      <c r="J283" s="100">
        <v>19</v>
      </c>
      <c r="K283" s="62">
        <v>3</v>
      </c>
      <c r="L283" s="6">
        <f>$L278+L282</f>
        <v>9.5</v>
      </c>
      <c r="M283" s="6">
        <f t="shared" si="55"/>
        <v>13</v>
      </c>
      <c r="N283" s="71">
        <v>1</v>
      </c>
      <c r="O283">
        <f t="shared" ref="O283:O358" si="59">P283/N283</f>
        <v>1</v>
      </c>
      <c r="P283" s="71">
        <v>1</v>
      </c>
      <c r="Q283">
        <f t="shared" ref="Q283:Q358" si="60">R283/P283</f>
        <v>1</v>
      </c>
      <c r="R283" s="71">
        <v>1</v>
      </c>
      <c r="S283" s="6">
        <f t="shared" ref="S283:S358" si="61">R283/N283</f>
        <v>1</v>
      </c>
    </row>
    <row r="284" spans="1:19" x14ac:dyDescent="0.2">
      <c r="A284" s="36" t="s">
        <v>54</v>
      </c>
      <c r="B284" s="6" t="s">
        <v>157</v>
      </c>
      <c r="C284" s="71">
        <v>37857.379999999997</v>
      </c>
      <c r="D284" s="6">
        <f>(C284/12)*7</f>
        <v>22083.471666666665</v>
      </c>
      <c r="E284" s="62">
        <v>3160</v>
      </c>
      <c r="F284" s="6">
        <f>SUM(E278:E284)</f>
        <v>24875.73</v>
      </c>
      <c r="G284" s="35" t="str">
        <f t="shared" si="58"/>
        <v>Farol Verde</v>
      </c>
      <c r="H284">
        <f t="shared" si="56"/>
        <v>0</v>
      </c>
      <c r="I284" s="6">
        <f t="shared" si="57"/>
        <v>7</v>
      </c>
      <c r="J284" s="100">
        <v>19</v>
      </c>
      <c r="K284" s="62">
        <v>1</v>
      </c>
      <c r="L284" s="6">
        <f>$L278+L283</f>
        <v>11.083333333333334</v>
      </c>
      <c r="M284" s="6">
        <f t="shared" si="55"/>
        <v>14</v>
      </c>
      <c r="N284" s="71"/>
      <c r="O284" t="e">
        <f t="shared" si="59"/>
        <v>#DIV/0!</v>
      </c>
      <c r="P284" s="71"/>
      <c r="Q284" t="e">
        <f t="shared" si="60"/>
        <v>#DIV/0!</v>
      </c>
      <c r="R284" s="71"/>
      <c r="S284" s="6" t="e">
        <f t="shared" si="61"/>
        <v>#DIV/0!</v>
      </c>
    </row>
    <row r="285" spans="1:19" x14ac:dyDescent="0.2">
      <c r="A285" s="36" t="s">
        <v>54</v>
      </c>
      <c r="B285" s="6" t="s">
        <v>158</v>
      </c>
      <c r="C285" s="71">
        <v>37857.379999999997</v>
      </c>
      <c r="D285" s="6">
        <f>(C285/12)*8</f>
        <v>25238.25333333333</v>
      </c>
      <c r="E285" s="62">
        <v>0</v>
      </c>
      <c r="F285" s="6">
        <f>SUM(E278:E285)</f>
        <v>24875.73</v>
      </c>
      <c r="G285" s="35" t="str">
        <f t="shared" si="58"/>
        <v>Farol Amarelo</v>
      </c>
      <c r="H285">
        <f t="shared" si="56"/>
        <v>362.52333333333081</v>
      </c>
      <c r="I285" s="6">
        <f t="shared" si="57"/>
        <v>8</v>
      </c>
      <c r="J285" s="100">
        <v>19</v>
      </c>
      <c r="K285" s="62"/>
      <c r="L285" s="6">
        <f>L278+L284</f>
        <v>12.666666666666668</v>
      </c>
      <c r="M285" s="6">
        <f t="shared" si="55"/>
        <v>14</v>
      </c>
      <c r="N285" s="71"/>
      <c r="O285" t="e">
        <f t="shared" si="59"/>
        <v>#DIV/0!</v>
      </c>
      <c r="P285" s="71"/>
      <c r="Q285" t="e">
        <f t="shared" si="60"/>
        <v>#DIV/0!</v>
      </c>
      <c r="R285" s="71"/>
      <c r="S285" s="6" t="e">
        <f t="shared" si="61"/>
        <v>#DIV/0!</v>
      </c>
    </row>
    <row r="286" spans="1:19" x14ac:dyDescent="0.2">
      <c r="A286" s="36" t="s">
        <v>54</v>
      </c>
      <c r="B286" s="6" t="s">
        <v>159</v>
      </c>
      <c r="C286" s="71">
        <v>37857.379999999997</v>
      </c>
      <c r="D286" s="6">
        <f>(C286/12)*9</f>
        <v>28393.034999999996</v>
      </c>
      <c r="E286" s="62">
        <v>0</v>
      </c>
      <c r="F286" s="6">
        <f>SUM(E278:E286)</f>
        <v>24875.73</v>
      </c>
      <c r="G286" s="35" t="str">
        <f t="shared" si="58"/>
        <v>Farol Amarelo</v>
      </c>
      <c r="H286">
        <f t="shared" si="56"/>
        <v>3517.3049999999967</v>
      </c>
      <c r="I286" s="6">
        <f t="shared" si="57"/>
        <v>9</v>
      </c>
      <c r="J286" s="100">
        <v>19</v>
      </c>
      <c r="K286" s="62"/>
      <c r="L286" s="6">
        <f>$L278+L285</f>
        <v>14.250000000000002</v>
      </c>
      <c r="M286" s="6">
        <f t="shared" si="55"/>
        <v>14</v>
      </c>
      <c r="N286" s="71"/>
      <c r="O286" t="e">
        <f t="shared" si="59"/>
        <v>#DIV/0!</v>
      </c>
      <c r="P286" s="71"/>
      <c r="Q286" t="e">
        <f t="shared" si="60"/>
        <v>#DIV/0!</v>
      </c>
      <c r="R286" s="71"/>
      <c r="S286" s="6" t="e">
        <f t="shared" si="61"/>
        <v>#DIV/0!</v>
      </c>
    </row>
    <row r="287" spans="1:19" x14ac:dyDescent="0.2">
      <c r="A287" s="36" t="s">
        <v>54</v>
      </c>
      <c r="B287" s="6" t="s">
        <v>160</v>
      </c>
      <c r="C287" s="71">
        <v>37857.379999999997</v>
      </c>
      <c r="D287" s="6">
        <f>(C287/12)*10</f>
        <v>31547.816666666662</v>
      </c>
      <c r="E287" s="62">
        <v>0</v>
      </c>
      <c r="F287" s="6">
        <f>SUM(E278:E287)</f>
        <v>24875.73</v>
      </c>
      <c r="G287" s="35" t="str">
        <f t="shared" si="58"/>
        <v>Farol Vermelho</v>
      </c>
      <c r="H287">
        <f t="shared" si="56"/>
        <v>6672.0866666666625</v>
      </c>
      <c r="I287" s="6">
        <f t="shared" si="57"/>
        <v>10</v>
      </c>
      <c r="J287" s="100">
        <v>19</v>
      </c>
      <c r="K287" s="62"/>
      <c r="L287" s="6">
        <f>$L278+L286</f>
        <v>15.833333333333336</v>
      </c>
      <c r="M287" s="6">
        <f t="shared" si="55"/>
        <v>14</v>
      </c>
      <c r="N287" s="71"/>
      <c r="O287" t="e">
        <f t="shared" si="59"/>
        <v>#DIV/0!</v>
      </c>
      <c r="P287" s="71"/>
      <c r="Q287" t="e">
        <f t="shared" si="60"/>
        <v>#DIV/0!</v>
      </c>
      <c r="R287" s="71"/>
      <c r="S287" s="6" t="e">
        <f t="shared" si="61"/>
        <v>#DIV/0!</v>
      </c>
    </row>
    <row r="288" spans="1:19" x14ac:dyDescent="0.2">
      <c r="A288" s="36" t="s">
        <v>54</v>
      </c>
      <c r="B288" s="6" t="s">
        <v>161</v>
      </c>
      <c r="C288" s="71">
        <v>37857.379999999997</v>
      </c>
      <c r="D288" s="6">
        <f>(C288/12)*11</f>
        <v>34702.598333333328</v>
      </c>
      <c r="E288" s="62">
        <v>0</v>
      </c>
      <c r="F288" s="6">
        <f>SUM(E278:E288)</f>
        <v>24875.73</v>
      </c>
      <c r="G288" s="35" t="str">
        <f t="shared" si="58"/>
        <v>Farol Vermelho</v>
      </c>
      <c r="H288">
        <f t="shared" si="56"/>
        <v>9826.8683333333283</v>
      </c>
      <c r="I288" s="6">
        <f t="shared" si="57"/>
        <v>11</v>
      </c>
      <c r="J288" s="100">
        <v>19</v>
      </c>
      <c r="K288" s="62"/>
      <c r="L288" s="6">
        <f>L278+L287</f>
        <v>17.416666666666668</v>
      </c>
      <c r="M288" s="6">
        <f t="shared" si="55"/>
        <v>14</v>
      </c>
      <c r="N288" s="71"/>
      <c r="O288" t="e">
        <f t="shared" si="59"/>
        <v>#DIV/0!</v>
      </c>
      <c r="P288" s="71"/>
      <c r="Q288" t="e">
        <f t="shared" si="60"/>
        <v>#DIV/0!</v>
      </c>
      <c r="R288" s="71"/>
      <c r="S288" s="6" t="e">
        <f t="shared" si="61"/>
        <v>#DIV/0!</v>
      </c>
    </row>
    <row r="289" spans="1:19" x14ac:dyDescent="0.2">
      <c r="A289" s="36" t="s">
        <v>54</v>
      </c>
      <c r="B289" s="6" t="s">
        <v>162</v>
      </c>
      <c r="C289" s="71">
        <v>37857.379999999997</v>
      </c>
      <c r="D289" s="6">
        <f>(C289/12)*12</f>
        <v>37857.379999999997</v>
      </c>
      <c r="E289" s="62">
        <v>0</v>
      </c>
      <c r="F289" s="6">
        <f>SUM(E278:E289)</f>
        <v>24875.73</v>
      </c>
      <c r="G289" s="35" t="str">
        <f t="shared" si="58"/>
        <v>Farol Vermelho</v>
      </c>
      <c r="H289">
        <f t="shared" si="56"/>
        <v>12981.649999999998</v>
      </c>
      <c r="I289" s="6">
        <f t="shared" si="57"/>
        <v>12</v>
      </c>
      <c r="J289" s="100">
        <v>19</v>
      </c>
      <c r="K289" s="62"/>
      <c r="L289" s="6">
        <f>$L278+L288</f>
        <v>19</v>
      </c>
      <c r="M289" s="6">
        <f t="shared" si="55"/>
        <v>14</v>
      </c>
      <c r="N289" s="71"/>
      <c r="O289" t="e">
        <f t="shared" si="59"/>
        <v>#DIV/0!</v>
      </c>
      <c r="P289" s="71"/>
      <c r="Q289" t="e">
        <f t="shared" si="60"/>
        <v>#DIV/0!</v>
      </c>
      <c r="R289" s="71"/>
      <c r="S289" s="6" t="e">
        <f t="shared" si="61"/>
        <v>#DIV/0!</v>
      </c>
    </row>
    <row r="290" spans="1:19" x14ac:dyDescent="0.2">
      <c r="A290" s="36" t="s">
        <v>301</v>
      </c>
      <c r="B290" s="6" t="s">
        <v>151</v>
      </c>
      <c r="C290" s="71">
        <v>0</v>
      </c>
      <c r="D290" s="6">
        <f>(C290/12)*1</f>
        <v>0</v>
      </c>
      <c r="E290" s="62">
        <v>0</v>
      </c>
      <c r="F290" s="6">
        <f>E290</f>
        <v>0</v>
      </c>
      <c r="G290" s="35" t="str">
        <f t="shared" si="58"/>
        <v>Farol Amarelo</v>
      </c>
      <c r="H290">
        <f t="shared" si="56"/>
        <v>0</v>
      </c>
      <c r="I290" s="6">
        <f t="shared" si="57"/>
        <v>1</v>
      </c>
      <c r="J290" s="100">
        <v>0</v>
      </c>
      <c r="K290" s="62">
        <v>0</v>
      </c>
      <c r="L290" s="6">
        <f>J290/12</f>
        <v>0</v>
      </c>
      <c r="M290" s="6">
        <f>K290</f>
        <v>0</v>
      </c>
      <c r="N290" s="71">
        <v>0</v>
      </c>
      <c r="O290" t="e">
        <f t="shared" si="59"/>
        <v>#DIV/0!</v>
      </c>
      <c r="P290" s="71">
        <v>0</v>
      </c>
      <c r="Q290" t="e">
        <f t="shared" si="60"/>
        <v>#DIV/0!</v>
      </c>
      <c r="R290" s="71">
        <v>0</v>
      </c>
      <c r="S290" s="6" t="e">
        <f t="shared" si="61"/>
        <v>#DIV/0!</v>
      </c>
    </row>
    <row r="291" spans="1:19" x14ac:dyDescent="0.2">
      <c r="A291" s="36" t="s">
        <v>301</v>
      </c>
      <c r="B291" s="6" t="s">
        <v>152</v>
      </c>
      <c r="C291" s="71">
        <v>0</v>
      </c>
      <c r="D291" s="6">
        <f>(C291/12)*2</f>
        <v>0</v>
      </c>
      <c r="E291" s="62">
        <v>0</v>
      </c>
      <c r="F291" s="6">
        <f>SUM(E290:E291)</f>
        <v>0</v>
      </c>
      <c r="G291" s="35" t="str">
        <f t="shared" si="58"/>
        <v>Farol Amarelo</v>
      </c>
      <c r="H291">
        <f t="shared" si="56"/>
        <v>0</v>
      </c>
      <c r="I291" s="6">
        <f t="shared" si="57"/>
        <v>2</v>
      </c>
      <c r="J291" s="100">
        <v>0</v>
      </c>
      <c r="K291" s="62">
        <v>0</v>
      </c>
      <c r="L291" s="6">
        <f>L290+L290</f>
        <v>0</v>
      </c>
      <c r="M291" s="6">
        <f>M290+K291</f>
        <v>0</v>
      </c>
      <c r="N291" s="71">
        <v>0</v>
      </c>
      <c r="O291" t="e">
        <f t="shared" si="59"/>
        <v>#DIV/0!</v>
      </c>
      <c r="P291" s="71">
        <v>0</v>
      </c>
      <c r="Q291" t="e">
        <f t="shared" si="60"/>
        <v>#DIV/0!</v>
      </c>
      <c r="R291" s="71">
        <v>0</v>
      </c>
      <c r="S291" s="6" t="e">
        <f t="shared" si="61"/>
        <v>#DIV/0!</v>
      </c>
    </row>
    <row r="292" spans="1:19" x14ac:dyDescent="0.2">
      <c r="A292" s="36" t="s">
        <v>301</v>
      </c>
      <c r="B292" s="6" t="s">
        <v>153</v>
      </c>
      <c r="C292" s="71">
        <v>0</v>
      </c>
      <c r="D292" s="6">
        <f>(C292/12)*3</f>
        <v>0</v>
      </c>
      <c r="E292" s="62">
        <v>0</v>
      </c>
      <c r="F292" s="6">
        <f>SUM(E290:E292)</f>
        <v>0</v>
      </c>
      <c r="G292" s="35" t="str">
        <f t="shared" si="58"/>
        <v>Farol Amarelo</v>
      </c>
      <c r="H292">
        <f t="shared" si="56"/>
        <v>0</v>
      </c>
      <c r="I292" s="6">
        <f t="shared" si="57"/>
        <v>3</v>
      </c>
      <c r="J292" s="100">
        <v>0</v>
      </c>
      <c r="K292" s="62">
        <v>0</v>
      </c>
      <c r="L292" s="6">
        <f>$L290+L291</f>
        <v>0</v>
      </c>
      <c r="M292" s="6">
        <f t="shared" ref="M292:M301" si="62">M291+K292</f>
        <v>0</v>
      </c>
      <c r="N292" s="71">
        <v>0</v>
      </c>
      <c r="O292" t="e">
        <f t="shared" si="59"/>
        <v>#DIV/0!</v>
      </c>
      <c r="P292" s="71">
        <v>0</v>
      </c>
      <c r="Q292" t="e">
        <f t="shared" si="60"/>
        <v>#DIV/0!</v>
      </c>
      <c r="R292" s="71">
        <v>0</v>
      </c>
      <c r="S292" s="6" t="e">
        <f t="shared" si="61"/>
        <v>#DIV/0!</v>
      </c>
    </row>
    <row r="293" spans="1:19" x14ac:dyDescent="0.2">
      <c r="A293" s="36" t="s">
        <v>301</v>
      </c>
      <c r="B293" s="6" t="s">
        <v>154</v>
      </c>
      <c r="C293" s="71">
        <v>0</v>
      </c>
      <c r="D293" s="6">
        <f>(C293/12)*4</f>
        <v>0</v>
      </c>
      <c r="E293" s="62">
        <v>0</v>
      </c>
      <c r="F293" s="6">
        <f>SUM(E290:E293)</f>
        <v>0</v>
      </c>
      <c r="G293" s="35" t="str">
        <f t="shared" si="58"/>
        <v>Farol Amarelo</v>
      </c>
      <c r="H293">
        <f t="shared" si="56"/>
        <v>0</v>
      </c>
      <c r="I293" s="6">
        <f t="shared" si="57"/>
        <v>4</v>
      </c>
      <c r="J293" s="100">
        <v>0</v>
      </c>
      <c r="K293" s="62">
        <v>0</v>
      </c>
      <c r="L293" s="6">
        <f>$L290+L292</f>
        <v>0</v>
      </c>
      <c r="M293" s="6">
        <f t="shared" si="62"/>
        <v>0</v>
      </c>
      <c r="N293" s="71">
        <v>0</v>
      </c>
      <c r="O293" t="e">
        <f t="shared" si="59"/>
        <v>#DIV/0!</v>
      </c>
      <c r="P293" s="71">
        <v>0</v>
      </c>
      <c r="Q293" t="e">
        <f t="shared" si="60"/>
        <v>#DIV/0!</v>
      </c>
      <c r="R293" s="71">
        <v>0</v>
      </c>
      <c r="S293" s="6" t="e">
        <f t="shared" si="61"/>
        <v>#DIV/0!</v>
      </c>
    </row>
    <row r="294" spans="1:19" x14ac:dyDescent="0.2">
      <c r="A294" s="36" t="s">
        <v>301</v>
      </c>
      <c r="B294" s="6" t="s">
        <v>155</v>
      </c>
      <c r="C294" s="71">
        <v>0</v>
      </c>
      <c r="D294" s="6">
        <f>(C294/12)*5</f>
        <v>0</v>
      </c>
      <c r="E294" s="62">
        <v>0</v>
      </c>
      <c r="F294" s="6">
        <f>SUM(E290:E294)</f>
        <v>0</v>
      </c>
      <c r="G294" s="35" t="str">
        <f t="shared" si="58"/>
        <v>Farol Amarelo</v>
      </c>
      <c r="H294">
        <f t="shared" ref="H294:H301" si="63">IF(D294-F294&lt;0,0,D294-F294)</f>
        <v>0</v>
      </c>
      <c r="I294" s="6">
        <f t="shared" ref="I294:I301" si="64">_xlfn.IFS(B294="Janeiro",1,B294="Fevereiro",2,B294="Março",3,B294="Abril",4,B294="Maio",5,B294="Junho",6,B294="Julho",7,B294="Agosto",8,B294="Setembro",9,B294="Outubro",10,B294="Novembro",11,B294="Dezembro",12,TRUE,0)</f>
        <v>5</v>
      </c>
      <c r="J294" s="100">
        <v>0</v>
      </c>
      <c r="K294" s="62">
        <v>0</v>
      </c>
      <c r="L294" s="6">
        <f>L290+L293</f>
        <v>0</v>
      </c>
      <c r="M294" s="6">
        <f t="shared" si="62"/>
        <v>0</v>
      </c>
      <c r="N294" s="71">
        <v>0</v>
      </c>
      <c r="O294" t="e">
        <f t="shared" si="59"/>
        <v>#DIV/0!</v>
      </c>
      <c r="P294" s="71">
        <v>0</v>
      </c>
      <c r="Q294" t="e">
        <f t="shared" si="60"/>
        <v>#DIV/0!</v>
      </c>
      <c r="R294" s="71">
        <v>0</v>
      </c>
      <c r="S294" s="6" t="e">
        <f t="shared" si="61"/>
        <v>#DIV/0!</v>
      </c>
    </row>
    <row r="295" spans="1:19" x14ac:dyDescent="0.2">
      <c r="A295" s="36" t="s">
        <v>301</v>
      </c>
      <c r="B295" s="6" t="s">
        <v>156</v>
      </c>
      <c r="C295" s="71">
        <v>0</v>
      </c>
      <c r="D295" s="6">
        <f>(C295/12)*6</f>
        <v>0</v>
      </c>
      <c r="E295" s="62">
        <v>3573</v>
      </c>
      <c r="F295" s="6">
        <f>SUM(E290:E295)</f>
        <v>3573</v>
      </c>
      <c r="G295" s="35" t="str">
        <f t="shared" si="58"/>
        <v>Farol Verde</v>
      </c>
      <c r="H295">
        <f t="shared" si="63"/>
        <v>0</v>
      </c>
      <c r="I295" s="6">
        <f t="shared" si="64"/>
        <v>6</v>
      </c>
      <c r="J295" s="100">
        <v>0</v>
      </c>
      <c r="K295" s="62">
        <v>7</v>
      </c>
      <c r="L295" s="6">
        <f>$L290+L294</f>
        <v>0</v>
      </c>
      <c r="M295" s="6">
        <f t="shared" si="62"/>
        <v>7</v>
      </c>
      <c r="N295" s="71">
        <v>5</v>
      </c>
      <c r="O295">
        <f t="shared" si="59"/>
        <v>0.6</v>
      </c>
      <c r="P295" s="71">
        <v>3</v>
      </c>
      <c r="Q295">
        <f t="shared" si="60"/>
        <v>1</v>
      </c>
      <c r="R295" s="71">
        <v>3</v>
      </c>
      <c r="S295" s="6">
        <f t="shared" si="61"/>
        <v>0.6</v>
      </c>
    </row>
    <row r="296" spans="1:19" x14ac:dyDescent="0.2">
      <c r="A296" s="36" t="s">
        <v>301</v>
      </c>
      <c r="B296" s="6" t="s">
        <v>157</v>
      </c>
      <c r="C296" s="71">
        <v>0</v>
      </c>
      <c r="D296" s="6">
        <f>(C296/12)*7</f>
        <v>0</v>
      </c>
      <c r="E296" s="62">
        <v>630</v>
      </c>
      <c r="F296" s="6">
        <f>SUM(E290:E296)</f>
        <v>4203</v>
      </c>
      <c r="G296" s="35" t="str">
        <f t="shared" si="58"/>
        <v>Farol Verde</v>
      </c>
      <c r="H296">
        <f t="shared" si="63"/>
        <v>0</v>
      </c>
      <c r="I296" s="6">
        <f t="shared" si="64"/>
        <v>7</v>
      </c>
      <c r="J296" s="100">
        <v>0</v>
      </c>
      <c r="K296" s="62">
        <v>2</v>
      </c>
      <c r="L296" s="6">
        <f>$L290+L295</f>
        <v>0</v>
      </c>
      <c r="M296" s="6">
        <f t="shared" si="62"/>
        <v>9</v>
      </c>
      <c r="N296" s="71"/>
      <c r="O296" t="e">
        <f t="shared" si="59"/>
        <v>#DIV/0!</v>
      </c>
      <c r="P296" s="71"/>
      <c r="Q296" t="e">
        <f t="shared" si="60"/>
        <v>#DIV/0!</v>
      </c>
      <c r="R296" s="71"/>
      <c r="S296" s="6" t="e">
        <f t="shared" si="61"/>
        <v>#DIV/0!</v>
      </c>
    </row>
    <row r="297" spans="1:19" x14ac:dyDescent="0.2">
      <c r="A297" s="36" t="s">
        <v>301</v>
      </c>
      <c r="B297" s="6" t="s">
        <v>158</v>
      </c>
      <c r="C297" s="71">
        <v>0</v>
      </c>
      <c r="D297" s="6">
        <f>(C297/12)*8</f>
        <v>0</v>
      </c>
      <c r="E297" s="62"/>
      <c r="F297" s="6">
        <f>SUM(E290:E297)</f>
        <v>4203</v>
      </c>
      <c r="G297" s="35" t="str">
        <f t="shared" si="58"/>
        <v>Farol Verde</v>
      </c>
      <c r="H297">
        <f t="shared" si="63"/>
        <v>0</v>
      </c>
      <c r="I297" s="6">
        <f t="shared" si="64"/>
        <v>8</v>
      </c>
      <c r="J297" s="100">
        <v>0</v>
      </c>
      <c r="K297" s="62"/>
      <c r="L297" s="6">
        <f>L290+L296</f>
        <v>0</v>
      </c>
      <c r="M297" s="6">
        <f t="shared" si="62"/>
        <v>9</v>
      </c>
      <c r="N297" s="71"/>
      <c r="O297" t="e">
        <f t="shared" si="59"/>
        <v>#DIV/0!</v>
      </c>
      <c r="P297" s="71"/>
      <c r="Q297" t="e">
        <f t="shared" si="60"/>
        <v>#DIV/0!</v>
      </c>
      <c r="R297" s="71"/>
      <c r="S297" s="6" t="e">
        <f t="shared" si="61"/>
        <v>#DIV/0!</v>
      </c>
    </row>
    <row r="298" spans="1:19" x14ac:dyDescent="0.2">
      <c r="A298" s="36" t="s">
        <v>301</v>
      </c>
      <c r="B298" s="6" t="s">
        <v>159</v>
      </c>
      <c r="C298" s="71">
        <v>0</v>
      </c>
      <c r="D298" s="6">
        <f>(C298/12)*9</f>
        <v>0</v>
      </c>
      <c r="E298" s="62"/>
      <c r="F298" s="6">
        <f>SUM(E290:E298)</f>
        <v>4203</v>
      </c>
      <c r="G298" s="35" t="str">
        <f t="shared" si="58"/>
        <v>Farol Verde</v>
      </c>
      <c r="H298">
        <f t="shared" si="63"/>
        <v>0</v>
      </c>
      <c r="I298" s="6">
        <f t="shared" si="64"/>
        <v>9</v>
      </c>
      <c r="J298" s="100">
        <v>0</v>
      </c>
      <c r="K298" s="62"/>
      <c r="L298" s="6">
        <f>$L290+L297</f>
        <v>0</v>
      </c>
      <c r="M298" s="6">
        <f t="shared" si="62"/>
        <v>9</v>
      </c>
      <c r="N298" s="71"/>
      <c r="O298" t="e">
        <f t="shared" si="59"/>
        <v>#DIV/0!</v>
      </c>
      <c r="P298" s="71"/>
      <c r="Q298" t="e">
        <f t="shared" si="60"/>
        <v>#DIV/0!</v>
      </c>
      <c r="R298" s="71"/>
      <c r="S298" s="6" t="e">
        <f t="shared" si="61"/>
        <v>#DIV/0!</v>
      </c>
    </row>
    <row r="299" spans="1:19" x14ac:dyDescent="0.2">
      <c r="A299" s="36" t="s">
        <v>301</v>
      </c>
      <c r="B299" s="6" t="s">
        <v>160</v>
      </c>
      <c r="C299" s="71">
        <v>0</v>
      </c>
      <c r="D299" s="6">
        <f>(C299/12)*10</f>
        <v>0</v>
      </c>
      <c r="E299" s="62"/>
      <c r="F299" s="6">
        <f>SUM(E290:E299)</f>
        <v>4203</v>
      </c>
      <c r="G299" s="35" t="str">
        <f t="shared" si="58"/>
        <v>Farol Verde</v>
      </c>
      <c r="H299">
        <f t="shared" si="63"/>
        <v>0</v>
      </c>
      <c r="I299" s="6">
        <f t="shared" si="64"/>
        <v>10</v>
      </c>
      <c r="J299" s="100">
        <v>0</v>
      </c>
      <c r="K299" s="62"/>
      <c r="L299" s="6">
        <f>$L290+L298</f>
        <v>0</v>
      </c>
      <c r="M299" s="6">
        <f t="shared" si="62"/>
        <v>9</v>
      </c>
      <c r="N299" s="71"/>
      <c r="O299" t="e">
        <f t="shared" si="59"/>
        <v>#DIV/0!</v>
      </c>
      <c r="P299" s="71"/>
      <c r="Q299" t="e">
        <f t="shared" si="60"/>
        <v>#DIV/0!</v>
      </c>
      <c r="R299" s="71"/>
      <c r="S299" s="6" t="e">
        <f t="shared" si="61"/>
        <v>#DIV/0!</v>
      </c>
    </row>
    <row r="300" spans="1:19" x14ac:dyDescent="0.2">
      <c r="A300" s="36" t="s">
        <v>301</v>
      </c>
      <c r="B300" s="6" t="s">
        <v>161</v>
      </c>
      <c r="C300" s="71">
        <v>0</v>
      </c>
      <c r="D300" s="6">
        <f>(C300/12)*11</f>
        <v>0</v>
      </c>
      <c r="E300" s="62"/>
      <c r="F300" s="6">
        <f>SUM(E290:E300)</f>
        <v>4203</v>
      </c>
      <c r="G300" s="35" t="str">
        <f t="shared" si="58"/>
        <v>Farol Verde</v>
      </c>
      <c r="H300">
        <f t="shared" si="63"/>
        <v>0</v>
      </c>
      <c r="I300" s="6">
        <f t="shared" si="64"/>
        <v>11</v>
      </c>
      <c r="J300" s="100">
        <v>0</v>
      </c>
      <c r="K300" s="62"/>
      <c r="L300" s="6">
        <f>L290+L299</f>
        <v>0</v>
      </c>
      <c r="M300" s="6">
        <f t="shared" si="62"/>
        <v>9</v>
      </c>
      <c r="N300" s="71"/>
      <c r="O300" t="e">
        <f t="shared" si="59"/>
        <v>#DIV/0!</v>
      </c>
      <c r="P300" s="71"/>
      <c r="Q300" t="e">
        <f t="shared" si="60"/>
        <v>#DIV/0!</v>
      </c>
      <c r="R300" s="71"/>
      <c r="S300" s="6" t="e">
        <f t="shared" si="61"/>
        <v>#DIV/0!</v>
      </c>
    </row>
    <row r="301" spans="1:19" x14ac:dyDescent="0.2">
      <c r="A301" s="36" t="s">
        <v>301</v>
      </c>
      <c r="B301" s="6" t="s">
        <v>162</v>
      </c>
      <c r="C301" s="71">
        <v>0</v>
      </c>
      <c r="D301" s="6">
        <f>(C301/12)*12</f>
        <v>0</v>
      </c>
      <c r="E301" s="62"/>
      <c r="F301" s="6">
        <f>SUM(E290:E301)</f>
        <v>4203</v>
      </c>
      <c r="G301" s="35" t="str">
        <f t="shared" si="58"/>
        <v>Farol Verde</v>
      </c>
      <c r="H301">
        <f t="shared" si="63"/>
        <v>0</v>
      </c>
      <c r="I301" s="6">
        <f t="shared" si="64"/>
        <v>12</v>
      </c>
      <c r="J301" s="100">
        <v>0</v>
      </c>
      <c r="K301" s="62"/>
      <c r="L301" s="6">
        <f>$L290+L300</f>
        <v>0</v>
      </c>
      <c r="M301" s="6">
        <f t="shared" si="62"/>
        <v>9</v>
      </c>
      <c r="N301" s="71"/>
      <c r="O301" t="e">
        <f t="shared" si="59"/>
        <v>#DIV/0!</v>
      </c>
      <c r="P301" s="71"/>
      <c r="Q301" t="e">
        <f t="shared" si="60"/>
        <v>#DIV/0!</v>
      </c>
      <c r="R301" s="71"/>
      <c r="S301" s="6" t="e">
        <f t="shared" si="61"/>
        <v>#DIV/0!</v>
      </c>
    </row>
    <row r="302" spans="1:19" x14ac:dyDescent="0.2">
      <c r="A302" s="36" t="s">
        <v>147</v>
      </c>
      <c r="B302" s="6" t="s">
        <v>151</v>
      </c>
      <c r="C302" s="71">
        <v>6000</v>
      </c>
      <c r="D302" s="6">
        <f>(C302/12)*1</f>
        <v>500</v>
      </c>
      <c r="E302" s="62">
        <v>0</v>
      </c>
      <c r="F302" s="6">
        <f>E302</f>
        <v>0</v>
      </c>
      <c r="G302" s="35" t="str">
        <f t="shared" si="58"/>
        <v>Farol Vermelho</v>
      </c>
      <c r="H302">
        <f t="shared" si="56"/>
        <v>500</v>
      </c>
      <c r="I302" s="6">
        <f t="shared" si="57"/>
        <v>1</v>
      </c>
      <c r="J302" s="100">
        <v>3</v>
      </c>
      <c r="K302" s="62">
        <v>0</v>
      </c>
      <c r="L302" s="6">
        <f>J302/12</f>
        <v>0.25</v>
      </c>
      <c r="M302" s="6">
        <f>K302</f>
        <v>0</v>
      </c>
      <c r="N302" s="71">
        <v>0</v>
      </c>
      <c r="O302" t="e">
        <f t="shared" si="59"/>
        <v>#DIV/0!</v>
      </c>
      <c r="P302" s="71">
        <v>0</v>
      </c>
      <c r="Q302" t="e">
        <f t="shared" si="60"/>
        <v>#DIV/0!</v>
      </c>
      <c r="R302" s="71">
        <v>0</v>
      </c>
      <c r="S302" s="6" t="e">
        <f t="shared" si="61"/>
        <v>#DIV/0!</v>
      </c>
    </row>
    <row r="303" spans="1:19" x14ac:dyDescent="0.2">
      <c r="A303" s="36" t="s">
        <v>147</v>
      </c>
      <c r="B303" s="6" t="s">
        <v>152</v>
      </c>
      <c r="C303" s="71">
        <v>6000</v>
      </c>
      <c r="D303" s="6">
        <f>(C303/12)*2</f>
        <v>1000</v>
      </c>
      <c r="E303" s="62">
        <v>0</v>
      </c>
      <c r="F303" s="6">
        <f>SUM(E302:E303)</f>
        <v>0</v>
      </c>
      <c r="G303" s="35" t="str">
        <f t="shared" si="58"/>
        <v>Farol Vermelho</v>
      </c>
      <c r="H303">
        <f t="shared" si="56"/>
        <v>1000</v>
      </c>
      <c r="I303" s="6">
        <f t="shared" si="57"/>
        <v>2</v>
      </c>
      <c r="J303" s="100">
        <v>3</v>
      </c>
      <c r="K303" s="62">
        <v>0</v>
      </c>
      <c r="L303" s="6">
        <f>L302+L302</f>
        <v>0.5</v>
      </c>
      <c r="M303" s="6">
        <f>M302+K303</f>
        <v>0</v>
      </c>
      <c r="N303" s="71">
        <v>0</v>
      </c>
      <c r="O303" t="e">
        <f t="shared" si="59"/>
        <v>#DIV/0!</v>
      </c>
      <c r="P303" s="71">
        <v>0</v>
      </c>
      <c r="Q303" t="e">
        <f t="shared" si="60"/>
        <v>#DIV/0!</v>
      </c>
      <c r="R303" s="71">
        <v>0</v>
      </c>
      <c r="S303" s="6" t="e">
        <f t="shared" si="61"/>
        <v>#DIV/0!</v>
      </c>
    </row>
    <row r="304" spans="1:19" x14ac:dyDescent="0.2">
      <c r="A304" s="36" t="s">
        <v>147</v>
      </c>
      <c r="B304" s="6" t="s">
        <v>153</v>
      </c>
      <c r="C304" s="71">
        <v>6000</v>
      </c>
      <c r="D304" s="6">
        <f>(C304/12)*3</f>
        <v>1500</v>
      </c>
      <c r="E304" s="62">
        <v>0</v>
      </c>
      <c r="F304" s="6">
        <f>SUM(E302:E304)</f>
        <v>0</v>
      </c>
      <c r="G304" s="35" t="str">
        <f t="shared" si="58"/>
        <v>Farol Vermelho</v>
      </c>
      <c r="H304">
        <f t="shared" si="56"/>
        <v>1500</v>
      </c>
      <c r="I304" s="6">
        <f t="shared" si="57"/>
        <v>3</v>
      </c>
      <c r="J304" s="100">
        <v>3</v>
      </c>
      <c r="K304" s="62">
        <v>0</v>
      </c>
      <c r="L304" s="6">
        <f>$L302+L303</f>
        <v>0.75</v>
      </c>
      <c r="M304" s="6">
        <f t="shared" ref="M304:M313" si="65">M303+K304</f>
        <v>0</v>
      </c>
      <c r="N304" s="71">
        <v>0</v>
      </c>
      <c r="O304" t="e">
        <f t="shared" si="59"/>
        <v>#DIV/0!</v>
      </c>
      <c r="P304" s="71">
        <v>0</v>
      </c>
      <c r="Q304" t="e">
        <f t="shared" si="60"/>
        <v>#DIV/0!</v>
      </c>
      <c r="R304" s="71">
        <v>0</v>
      </c>
      <c r="S304" s="6" t="e">
        <f t="shared" si="61"/>
        <v>#DIV/0!</v>
      </c>
    </row>
    <row r="305" spans="1:19" x14ac:dyDescent="0.2">
      <c r="A305" s="36" t="s">
        <v>147</v>
      </c>
      <c r="B305" s="6" t="s">
        <v>154</v>
      </c>
      <c r="C305" s="71">
        <v>6000</v>
      </c>
      <c r="D305" s="6">
        <f>(C305/12)*4</f>
        <v>2000</v>
      </c>
      <c r="E305" s="62">
        <v>0</v>
      </c>
      <c r="F305" s="6">
        <f>SUM(E302:E305)</f>
        <v>0</v>
      </c>
      <c r="G305" s="35" t="str">
        <f t="shared" si="58"/>
        <v>Farol Vermelho</v>
      </c>
      <c r="H305">
        <f t="shared" si="56"/>
        <v>2000</v>
      </c>
      <c r="I305" s="6">
        <f t="shared" si="57"/>
        <v>4</v>
      </c>
      <c r="J305" s="100">
        <v>3</v>
      </c>
      <c r="K305" s="62">
        <v>0</v>
      </c>
      <c r="L305" s="6">
        <f>$L302+L304</f>
        <v>1</v>
      </c>
      <c r="M305" s="6">
        <f t="shared" si="65"/>
        <v>0</v>
      </c>
      <c r="N305" s="71">
        <v>0</v>
      </c>
      <c r="O305" t="e">
        <f t="shared" si="59"/>
        <v>#DIV/0!</v>
      </c>
      <c r="P305" s="71">
        <v>0</v>
      </c>
      <c r="Q305" t="e">
        <f t="shared" si="60"/>
        <v>#DIV/0!</v>
      </c>
      <c r="R305" s="71">
        <v>0</v>
      </c>
      <c r="S305" s="6" t="e">
        <f t="shared" si="61"/>
        <v>#DIV/0!</v>
      </c>
    </row>
    <row r="306" spans="1:19" x14ac:dyDescent="0.2">
      <c r="A306" s="36" t="s">
        <v>147</v>
      </c>
      <c r="B306" s="6" t="s">
        <v>155</v>
      </c>
      <c r="C306" s="71">
        <v>6000</v>
      </c>
      <c r="D306" s="6">
        <f>(C306/12)*5</f>
        <v>2500</v>
      </c>
      <c r="E306" s="62">
        <v>0</v>
      </c>
      <c r="F306" s="6">
        <f>SUM(E302:E306)</f>
        <v>0</v>
      </c>
      <c r="G306" s="35" t="str">
        <f t="shared" si="58"/>
        <v>Farol Vermelho</v>
      </c>
      <c r="H306">
        <f t="shared" si="56"/>
        <v>2500</v>
      </c>
      <c r="I306" s="6">
        <f t="shared" si="57"/>
        <v>5</v>
      </c>
      <c r="J306" s="100">
        <v>3</v>
      </c>
      <c r="K306" s="62">
        <v>0</v>
      </c>
      <c r="L306" s="6">
        <f>L302+L305</f>
        <v>1.25</v>
      </c>
      <c r="M306" s="6">
        <f t="shared" si="65"/>
        <v>0</v>
      </c>
      <c r="N306" s="71">
        <v>0</v>
      </c>
      <c r="O306" t="e">
        <f t="shared" si="59"/>
        <v>#DIV/0!</v>
      </c>
      <c r="P306" s="71">
        <v>0</v>
      </c>
      <c r="Q306" t="e">
        <f t="shared" si="60"/>
        <v>#DIV/0!</v>
      </c>
      <c r="R306" s="71">
        <v>0</v>
      </c>
      <c r="S306" s="6" t="e">
        <f t="shared" si="61"/>
        <v>#DIV/0!</v>
      </c>
    </row>
    <row r="307" spans="1:19" x14ac:dyDescent="0.2">
      <c r="A307" s="36" t="s">
        <v>147</v>
      </c>
      <c r="B307" s="6" t="s">
        <v>156</v>
      </c>
      <c r="C307" s="71">
        <v>6000</v>
      </c>
      <c r="D307" s="6">
        <f>(C307/12)*6</f>
        <v>3000</v>
      </c>
      <c r="E307" s="62">
        <v>0</v>
      </c>
      <c r="F307" s="6">
        <f>SUM(E302:E307)</f>
        <v>0</v>
      </c>
      <c r="G307" s="35" t="str">
        <f t="shared" si="58"/>
        <v>Farol Vermelho</v>
      </c>
      <c r="H307">
        <f t="shared" si="56"/>
        <v>3000</v>
      </c>
      <c r="I307" s="6">
        <f t="shared" si="57"/>
        <v>6</v>
      </c>
      <c r="J307" s="100">
        <v>3</v>
      </c>
      <c r="K307" s="62">
        <v>0</v>
      </c>
      <c r="L307" s="6">
        <f>$L302+L306</f>
        <v>1.5</v>
      </c>
      <c r="M307" s="6">
        <f t="shared" si="65"/>
        <v>0</v>
      </c>
      <c r="N307" s="71">
        <v>0</v>
      </c>
      <c r="O307" t="e">
        <f t="shared" si="59"/>
        <v>#DIV/0!</v>
      </c>
      <c r="P307" s="71">
        <v>0</v>
      </c>
      <c r="Q307" t="e">
        <f t="shared" si="60"/>
        <v>#DIV/0!</v>
      </c>
      <c r="R307" s="71">
        <v>0</v>
      </c>
      <c r="S307" s="6" t="e">
        <f t="shared" si="61"/>
        <v>#DIV/0!</v>
      </c>
    </row>
    <row r="308" spans="1:19" x14ac:dyDescent="0.2">
      <c r="A308" s="36" t="s">
        <v>147</v>
      </c>
      <c r="B308" s="6" t="s">
        <v>157</v>
      </c>
      <c r="C308" s="71">
        <v>6000</v>
      </c>
      <c r="D308" s="6">
        <f>(C308/12)*7</f>
        <v>3500</v>
      </c>
      <c r="E308" s="62">
        <v>0</v>
      </c>
      <c r="F308" s="6">
        <f>SUM(E302:E308)</f>
        <v>0</v>
      </c>
      <c r="G308" s="35" t="str">
        <f t="shared" si="58"/>
        <v>Farol Vermelho</v>
      </c>
      <c r="H308">
        <f t="shared" si="56"/>
        <v>3500</v>
      </c>
      <c r="I308" s="6">
        <f t="shared" si="57"/>
        <v>7</v>
      </c>
      <c r="J308" s="100">
        <v>3</v>
      </c>
      <c r="K308" s="62">
        <v>0</v>
      </c>
      <c r="L308" s="6">
        <f>$L302+L307</f>
        <v>1.75</v>
      </c>
      <c r="M308" s="6">
        <f t="shared" si="65"/>
        <v>0</v>
      </c>
      <c r="N308" s="71"/>
      <c r="O308" t="e">
        <f t="shared" si="59"/>
        <v>#DIV/0!</v>
      </c>
      <c r="P308" s="71"/>
      <c r="Q308" t="e">
        <f t="shared" si="60"/>
        <v>#DIV/0!</v>
      </c>
      <c r="R308" s="71"/>
      <c r="S308" s="6" t="e">
        <f t="shared" si="61"/>
        <v>#DIV/0!</v>
      </c>
    </row>
    <row r="309" spans="1:19" x14ac:dyDescent="0.2">
      <c r="A309" s="36" t="s">
        <v>147</v>
      </c>
      <c r="B309" s="6" t="s">
        <v>158</v>
      </c>
      <c r="C309" s="71">
        <v>6000</v>
      </c>
      <c r="D309" s="6">
        <f>(C309/12)*8</f>
        <v>4000</v>
      </c>
      <c r="E309" s="62">
        <v>0</v>
      </c>
      <c r="F309" s="6">
        <f>SUM(E302:E309)</f>
        <v>0</v>
      </c>
      <c r="G309" s="35" t="str">
        <f t="shared" si="58"/>
        <v>Farol Vermelho</v>
      </c>
      <c r="H309">
        <f t="shared" si="56"/>
        <v>4000</v>
      </c>
      <c r="I309" s="6">
        <f t="shared" si="57"/>
        <v>8</v>
      </c>
      <c r="J309" s="100">
        <v>3</v>
      </c>
      <c r="K309" s="62"/>
      <c r="L309" s="6">
        <f>L302+L308</f>
        <v>2</v>
      </c>
      <c r="M309" s="6">
        <f t="shared" si="65"/>
        <v>0</v>
      </c>
      <c r="N309" s="71"/>
      <c r="O309" t="e">
        <f t="shared" si="59"/>
        <v>#DIV/0!</v>
      </c>
      <c r="P309" s="71"/>
      <c r="Q309" t="e">
        <f t="shared" si="60"/>
        <v>#DIV/0!</v>
      </c>
      <c r="R309" s="71"/>
      <c r="S309" s="6" t="e">
        <f t="shared" si="61"/>
        <v>#DIV/0!</v>
      </c>
    </row>
    <row r="310" spans="1:19" x14ac:dyDescent="0.2">
      <c r="A310" s="36" t="s">
        <v>147</v>
      </c>
      <c r="B310" s="6" t="s">
        <v>159</v>
      </c>
      <c r="C310" s="71">
        <v>6000</v>
      </c>
      <c r="D310" s="6">
        <f>(C310/12)*9</f>
        <v>4500</v>
      </c>
      <c r="E310" s="62">
        <v>0</v>
      </c>
      <c r="F310" s="6">
        <f>SUM(E302:E310)</f>
        <v>0</v>
      </c>
      <c r="G310" s="35" t="str">
        <f t="shared" si="58"/>
        <v>Farol Vermelho</v>
      </c>
      <c r="H310">
        <f t="shared" si="56"/>
        <v>4500</v>
      </c>
      <c r="I310" s="6">
        <f t="shared" si="57"/>
        <v>9</v>
      </c>
      <c r="J310" s="100">
        <v>3</v>
      </c>
      <c r="K310" s="62"/>
      <c r="L310" s="6">
        <f>$L302+L309</f>
        <v>2.25</v>
      </c>
      <c r="M310" s="6">
        <f t="shared" si="65"/>
        <v>0</v>
      </c>
      <c r="N310" s="71"/>
      <c r="O310" t="e">
        <f t="shared" si="59"/>
        <v>#DIV/0!</v>
      </c>
      <c r="P310" s="71"/>
      <c r="Q310" t="e">
        <f t="shared" si="60"/>
        <v>#DIV/0!</v>
      </c>
      <c r="R310" s="71"/>
      <c r="S310" s="6" t="e">
        <f t="shared" si="61"/>
        <v>#DIV/0!</v>
      </c>
    </row>
    <row r="311" spans="1:19" x14ac:dyDescent="0.2">
      <c r="A311" s="36" t="s">
        <v>147</v>
      </c>
      <c r="B311" s="6" t="s">
        <v>160</v>
      </c>
      <c r="C311" s="71">
        <v>6000</v>
      </c>
      <c r="D311" s="6">
        <f>(C311/12)*10</f>
        <v>5000</v>
      </c>
      <c r="E311" s="62">
        <v>0</v>
      </c>
      <c r="F311" s="6">
        <f>SUM(E302:E311)</f>
        <v>0</v>
      </c>
      <c r="G311" s="35" t="str">
        <f t="shared" si="58"/>
        <v>Farol Vermelho</v>
      </c>
      <c r="H311">
        <f t="shared" si="56"/>
        <v>5000</v>
      </c>
      <c r="I311" s="6">
        <f t="shared" si="57"/>
        <v>10</v>
      </c>
      <c r="J311" s="100">
        <v>3</v>
      </c>
      <c r="K311" s="62"/>
      <c r="L311" s="6">
        <f>$L302+L310</f>
        <v>2.5</v>
      </c>
      <c r="M311" s="6">
        <f t="shared" si="65"/>
        <v>0</v>
      </c>
      <c r="N311" s="71"/>
      <c r="O311" t="e">
        <f t="shared" si="59"/>
        <v>#DIV/0!</v>
      </c>
      <c r="P311" s="71"/>
      <c r="Q311" t="e">
        <f t="shared" si="60"/>
        <v>#DIV/0!</v>
      </c>
      <c r="R311" s="71"/>
      <c r="S311" s="6" t="e">
        <f t="shared" si="61"/>
        <v>#DIV/0!</v>
      </c>
    </row>
    <row r="312" spans="1:19" x14ac:dyDescent="0.2">
      <c r="A312" s="36" t="s">
        <v>147</v>
      </c>
      <c r="B312" s="6" t="s">
        <v>161</v>
      </c>
      <c r="C312" s="71">
        <v>6000</v>
      </c>
      <c r="D312" s="6">
        <f>(C312/12)*11</f>
        <v>5500</v>
      </c>
      <c r="E312" s="62">
        <v>0</v>
      </c>
      <c r="F312" s="6">
        <f>SUM(E302:E312)</f>
        <v>0</v>
      </c>
      <c r="G312" s="35" t="str">
        <f t="shared" si="58"/>
        <v>Farol Vermelho</v>
      </c>
      <c r="H312">
        <f t="shared" si="56"/>
        <v>5500</v>
      </c>
      <c r="I312" s="6">
        <f t="shared" si="57"/>
        <v>11</v>
      </c>
      <c r="J312" s="100">
        <v>3</v>
      </c>
      <c r="K312" s="62"/>
      <c r="L312" s="6">
        <f>L302+L311</f>
        <v>2.75</v>
      </c>
      <c r="M312" s="6">
        <f t="shared" si="65"/>
        <v>0</v>
      </c>
      <c r="N312" s="71"/>
      <c r="O312" t="e">
        <f t="shared" si="59"/>
        <v>#DIV/0!</v>
      </c>
      <c r="P312" s="71"/>
      <c r="Q312" t="e">
        <f t="shared" si="60"/>
        <v>#DIV/0!</v>
      </c>
      <c r="R312" s="71"/>
      <c r="S312" s="6" t="e">
        <f t="shared" si="61"/>
        <v>#DIV/0!</v>
      </c>
    </row>
    <row r="313" spans="1:19" x14ac:dyDescent="0.2">
      <c r="A313" s="36" t="s">
        <v>147</v>
      </c>
      <c r="B313" s="6" t="s">
        <v>162</v>
      </c>
      <c r="C313" s="71">
        <v>6000</v>
      </c>
      <c r="D313" s="6">
        <f>(C313/12)*12</f>
        <v>6000</v>
      </c>
      <c r="E313" s="62">
        <v>0</v>
      </c>
      <c r="F313" s="6">
        <f>SUM(E302:E313)</f>
        <v>0</v>
      </c>
      <c r="G313" s="35" t="str">
        <f t="shared" si="58"/>
        <v>Farol Vermelho</v>
      </c>
      <c r="H313">
        <f t="shared" si="56"/>
        <v>6000</v>
      </c>
      <c r="I313" s="6">
        <f t="shared" si="57"/>
        <v>12</v>
      </c>
      <c r="J313" s="100">
        <v>3</v>
      </c>
      <c r="K313" s="62"/>
      <c r="L313" s="6">
        <f>$L302+L312</f>
        <v>3</v>
      </c>
      <c r="M313" s="6">
        <f t="shared" si="65"/>
        <v>0</v>
      </c>
      <c r="N313" s="71"/>
      <c r="O313" t="e">
        <f t="shared" si="59"/>
        <v>#DIV/0!</v>
      </c>
      <c r="P313" s="71"/>
      <c r="Q313" t="e">
        <f t="shared" si="60"/>
        <v>#DIV/0!</v>
      </c>
      <c r="R313" s="71"/>
      <c r="S313" s="6" t="e">
        <f t="shared" si="61"/>
        <v>#DIV/0!</v>
      </c>
    </row>
    <row r="314" spans="1:19" x14ac:dyDescent="0.2">
      <c r="A314" s="36" t="s">
        <v>71</v>
      </c>
      <c r="B314" s="6" t="s">
        <v>151</v>
      </c>
      <c r="C314" s="71">
        <v>10000</v>
      </c>
      <c r="D314" s="6">
        <f>(C314/12)*1</f>
        <v>833.33333333333337</v>
      </c>
      <c r="E314" s="62">
        <v>0</v>
      </c>
      <c r="F314" s="6">
        <f>E314</f>
        <v>0</v>
      </c>
      <c r="G314" s="35" t="str">
        <f t="shared" si="58"/>
        <v>Farol Vermelho</v>
      </c>
      <c r="H314">
        <f t="shared" si="56"/>
        <v>833.33333333333337</v>
      </c>
      <c r="I314" s="6">
        <f t="shared" si="57"/>
        <v>1</v>
      </c>
      <c r="J314" s="100">
        <v>7</v>
      </c>
      <c r="K314" s="62">
        <v>0</v>
      </c>
      <c r="L314" s="6">
        <f>J314/12</f>
        <v>0.58333333333333337</v>
      </c>
      <c r="M314" s="6">
        <f>K314</f>
        <v>0</v>
      </c>
      <c r="N314" s="71">
        <v>0</v>
      </c>
      <c r="O314" t="e">
        <f t="shared" si="59"/>
        <v>#DIV/0!</v>
      </c>
      <c r="P314" s="71">
        <v>0</v>
      </c>
      <c r="Q314" t="e">
        <f t="shared" si="60"/>
        <v>#DIV/0!</v>
      </c>
      <c r="R314" s="71">
        <v>0</v>
      </c>
      <c r="S314" s="6" t="e">
        <f t="shared" si="61"/>
        <v>#DIV/0!</v>
      </c>
    </row>
    <row r="315" spans="1:19" x14ac:dyDescent="0.2">
      <c r="A315" s="36" t="s">
        <v>71</v>
      </c>
      <c r="B315" s="6" t="s">
        <v>152</v>
      </c>
      <c r="C315" s="71">
        <v>10000</v>
      </c>
      <c r="D315" s="6">
        <f>(C315/12)*2</f>
        <v>1666.6666666666667</v>
      </c>
      <c r="E315" s="62">
        <v>0</v>
      </c>
      <c r="F315" s="6">
        <f>SUM(E314:E315)</f>
        <v>0</v>
      </c>
      <c r="G315" s="35" t="str">
        <f t="shared" si="58"/>
        <v>Farol Vermelho</v>
      </c>
      <c r="H315">
        <f t="shared" si="56"/>
        <v>1666.6666666666667</v>
      </c>
      <c r="I315" s="6">
        <f t="shared" si="57"/>
        <v>2</v>
      </c>
      <c r="J315" s="100">
        <v>7</v>
      </c>
      <c r="K315" s="62">
        <v>0</v>
      </c>
      <c r="L315" s="6">
        <f>L314+L314</f>
        <v>1.1666666666666667</v>
      </c>
      <c r="M315" s="6">
        <f>M314+K315</f>
        <v>0</v>
      </c>
      <c r="N315" s="71">
        <v>0</v>
      </c>
      <c r="O315" t="e">
        <f t="shared" si="59"/>
        <v>#DIV/0!</v>
      </c>
      <c r="P315" s="71">
        <v>0</v>
      </c>
      <c r="Q315" t="e">
        <f t="shared" si="60"/>
        <v>#DIV/0!</v>
      </c>
      <c r="R315" s="71">
        <v>0</v>
      </c>
      <c r="S315" s="6" t="e">
        <f t="shared" si="61"/>
        <v>#DIV/0!</v>
      </c>
    </row>
    <row r="316" spans="1:19" x14ac:dyDescent="0.2">
      <c r="A316" s="36" t="s">
        <v>71</v>
      </c>
      <c r="B316" s="6" t="s">
        <v>153</v>
      </c>
      <c r="C316" s="71">
        <v>10000</v>
      </c>
      <c r="D316" s="6">
        <f>(C316/12)*3</f>
        <v>2500</v>
      </c>
      <c r="E316" s="62">
        <v>1855</v>
      </c>
      <c r="F316" s="6">
        <f>SUM(E314:E316)</f>
        <v>1855</v>
      </c>
      <c r="G316" s="35" t="str">
        <f t="shared" si="58"/>
        <v>Farol Vermelho</v>
      </c>
      <c r="H316">
        <f t="shared" si="56"/>
        <v>645</v>
      </c>
      <c r="I316" s="6">
        <f t="shared" si="57"/>
        <v>3</v>
      </c>
      <c r="J316" s="100">
        <v>7</v>
      </c>
      <c r="K316" s="62">
        <v>1</v>
      </c>
      <c r="L316" s="6">
        <f>$L314+L315</f>
        <v>1.75</v>
      </c>
      <c r="M316" s="6">
        <f t="shared" ref="M316:M325" si="66">M315+K316</f>
        <v>1</v>
      </c>
      <c r="N316" s="71">
        <v>0</v>
      </c>
      <c r="O316" t="e">
        <f t="shared" si="59"/>
        <v>#DIV/0!</v>
      </c>
      <c r="P316" s="71">
        <v>0</v>
      </c>
      <c r="Q316" t="e">
        <f t="shared" si="60"/>
        <v>#DIV/0!</v>
      </c>
      <c r="R316" s="71">
        <v>0</v>
      </c>
      <c r="S316" s="6" t="e">
        <f t="shared" si="61"/>
        <v>#DIV/0!</v>
      </c>
    </row>
    <row r="317" spans="1:19" x14ac:dyDescent="0.2">
      <c r="A317" s="36" t="s">
        <v>71</v>
      </c>
      <c r="B317" s="6" t="s">
        <v>154</v>
      </c>
      <c r="C317" s="71">
        <v>10000</v>
      </c>
      <c r="D317" s="6">
        <f>(C317/12)*4</f>
        <v>3333.3333333333335</v>
      </c>
      <c r="E317" s="62">
        <v>2655</v>
      </c>
      <c r="F317" s="6">
        <f>SUM(E314:E317)</f>
        <v>4510</v>
      </c>
      <c r="G317" s="35" t="str">
        <f t="shared" si="58"/>
        <v>Farol Verde</v>
      </c>
      <c r="H317">
        <f t="shared" si="56"/>
        <v>0</v>
      </c>
      <c r="I317" s="6">
        <f t="shared" si="57"/>
        <v>4</v>
      </c>
      <c r="J317" s="100">
        <v>7</v>
      </c>
      <c r="K317" s="62">
        <v>1</v>
      </c>
      <c r="L317" s="6">
        <f>$L314+L316</f>
        <v>2.3333333333333335</v>
      </c>
      <c r="M317" s="6">
        <f t="shared" si="66"/>
        <v>2</v>
      </c>
      <c r="N317" s="71">
        <v>0</v>
      </c>
      <c r="O317" t="e">
        <f t="shared" si="59"/>
        <v>#DIV/0!</v>
      </c>
      <c r="P317" s="71">
        <v>0</v>
      </c>
      <c r="Q317" t="e">
        <f t="shared" si="60"/>
        <v>#DIV/0!</v>
      </c>
      <c r="R317" s="71">
        <v>0</v>
      </c>
      <c r="S317" s="6" t="e">
        <f t="shared" si="61"/>
        <v>#DIV/0!</v>
      </c>
    </row>
    <row r="318" spans="1:19" x14ac:dyDescent="0.2">
      <c r="A318" s="36" t="s">
        <v>71</v>
      </c>
      <c r="B318" s="6" t="s">
        <v>155</v>
      </c>
      <c r="C318" s="71">
        <v>10000</v>
      </c>
      <c r="D318" s="6">
        <f>(C318/12)*5</f>
        <v>4166.666666666667</v>
      </c>
      <c r="E318" s="62">
        <v>1</v>
      </c>
      <c r="F318" s="6">
        <f>SUM(E314:E318)</f>
        <v>4511</v>
      </c>
      <c r="G318" s="35" t="str">
        <f t="shared" si="58"/>
        <v>Farol Verde</v>
      </c>
      <c r="H318">
        <f t="shared" si="56"/>
        <v>0</v>
      </c>
      <c r="I318" s="6">
        <f t="shared" si="57"/>
        <v>5</v>
      </c>
      <c r="J318" s="100">
        <v>7</v>
      </c>
      <c r="K318" s="62">
        <v>3</v>
      </c>
      <c r="L318" s="6">
        <f>L314+L317</f>
        <v>2.916666666666667</v>
      </c>
      <c r="M318" s="6">
        <f t="shared" si="66"/>
        <v>5</v>
      </c>
      <c r="N318" s="71">
        <v>1</v>
      </c>
      <c r="O318">
        <f t="shared" si="59"/>
        <v>0</v>
      </c>
      <c r="P318" s="71">
        <v>0</v>
      </c>
      <c r="Q318" t="e">
        <f t="shared" si="60"/>
        <v>#DIV/0!</v>
      </c>
      <c r="R318" s="71">
        <v>0</v>
      </c>
      <c r="S318" s="6">
        <f t="shared" si="61"/>
        <v>0</v>
      </c>
    </row>
    <row r="319" spans="1:19" x14ac:dyDescent="0.2">
      <c r="A319" s="36" t="s">
        <v>71</v>
      </c>
      <c r="B319" s="6" t="s">
        <v>156</v>
      </c>
      <c r="C319" s="71">
        <v>10000</v>
      </c>
      <c r="D319" s="6">
        <f>(C319/12)*6</f>
        <v>5000</v>
      </c>
      <c r="E319" s="62">
        <v>0</v>
      </c>
      <c r="F319" s="6">
        <f>SUM(E314:E319)</f>
        <v>4511</v>
      </c>
      <c r="G319" s="35" t="str">
        <f t="shared" si="58"/>
        <v>Farol Amarelo</v>
      </c>
      <c r="H319">
        <f t="shared" si="56"/>
        <v>489</v>
      </c>
      <c r="I319" s="6">
        <f t="shared" si="57"/>
        <v>6</v>
      </c>
      <c r="J319" s="100">
        <v>7</v>
      </c>
      <c r="K319" s="62">
        <v>0</v>
      </c>
      <c r="L319" s="6">
        <f>$L314+L318</f>
        <v>3.5000000000000004</v>
      </c>
      <c r="M319" s="6">
        <f t="shared" si="66"/>
        <v>5</v>
      </c>
      <c r="N319" s="71">
        <v>2</v>
      </c>
      <c r="O319">
        <f t="shared" si="59"/>
        <v>0.5</v>
      </c>
      <c r="P319" s="71">
        <v>1</v>
      </c>
      <c r="Q319">
        <f t="shared" si="60"/>
        <v>0</v>
      </c>
      <c r="R319" s="71">
        <v>0</v>
      </c>
      <c r="S319" s="6">
        <f t="shared" si="61"/>
        <v>0</v>
      </c>
    </row>
    <row r="320" spans="1:19" x14ac:dyDescent="0.2">
      <c r="A320" s="36" t="s">
        <v>71</v>
      </c>
      <c r="B320" s="6" t="s">
        <v>157</v>
      </c>
      <c r="C320" s="71">
        <v>10000</v>
      </c>
      <c r="D320" s="6">
        <f>(C320/12)*7</f>
        <v>5833.3333333333339</v>
      </c>
      <c r="E320" s="62">
        <v>0</v>
      </c>
      <c r="F320" s="6">
        <f>SUM(E314:E320)</f>
        <v>4511</v>
      </c>
      <c r="G320" s="35" t="str">
        <f t="shared" si="58"/>
        <v>Farol Vermelho</v>
      </c>
      <c r="H320">
        <f t="shared" si="56"/>
        <v>1322.3333333333339</v>
      </c>
      <c r="I320" s="6">
        <f t="shared" si="57"/>
        <v>7</v>
      </c>
      <c r="J320" s="100">
        <v>7</v>
      </c>
      <c r="K320" s="62">
        <v>0</v>
      </c>
      <c r="L320" s="6">
        <f>$L314+L319</f>
        <v>4.0833333333333339</v>
      </c>
      <c r="M320" s="6">
        <f t="shared" si="66"/>
        <v>5</v>
      </c>
      <c r="N320" s="71"/>
      <c r="O320" t="e">
        <f t="shared" si="59"/>
        <v>#DIV/0!</v>
      </c>
      <c r="P320" s="71"/>
      <c r="Q320" t="e">
        <f t="shared" si="60"/>
        <v>#DIV/0!</v>
      </c>
      <c r="R320" s="71"/>
      <c r="S320" s="6" t="e">
        <f t="shared" si="61"/>
        <v>#DIV/0!</v>
      </c>
    </row>
    <row r="321" spans="1:19" x14ac:dyDescent="0.2">
      <c r="A321" s="36" t="s">
        <v>71</v>
      </c>
      <c r="B321" s="6" t="s">
        <v>158</v>
      </c>
      <c r="C321" s="71">
        <v>10000</v>
      </c>
      <c r="D321" s="6">
        <f>(C321/12)*8</f>
        <v>6666.666666666667</v>
      </c>
      <c r="E321" s="62">
        <v>0</v>
      </c>
      <c r="F321" s="6">
        <f>SUM(E314:E321)</f>
        <v>4511</v>
      </c>
      <c r="G321" s="35" t="str">
        <f t="shared" si="58"/>
        <v>Farol Vermelho</v>
      </c>
      <c r="H321">
        <f t="shared" si="56"/>
        <v>2155.666666666667</v>
      </c>
      <c r="I321" s="6">
        <f t="shared" si="57"/>
        <v>8</v>
      </c>
      <c r="J321" s="100">
        <v>7</v>
      </c>
      <c r="K321" s="62"/>
      <c r="L321" s="6">
        <f>L314+L320</f>
        <v>4.666666666666667</v>
      </c>
      <c r="M321" s="6">
        <f t="shared" si="66"/>
        <v>5</v>
      </c>
      <c r="N321" s="71"/>
      <c r="O321" t="e">
        <f t="shared" si="59"/>
        <v>#DIV/0!</v>
      </c>
      <c r="P321" s="71"/>
      <c r="Q321" t="e">
        <f t="shared" si="60"/>
        <v>#DIV/0!</v>
      </c>
      <c r="R321" s="71"/>
      <c r="S321" s="6" t="e">
        <f t="shared" si="61"/>
        <v>#DIV/0!</v>
      </c>
    </row>
    <row r="322" spans="1:19" x14ac:dyDescent="0.2">
      <c r="A322" s="36" t="s">
        <v>71</v>
      </c>
      <c r="B322" s="6" t="s">
        <v>159</v>
      </c>
      <c r="C322" s="71">
        <v>10000</v>
      </c>
      <c r="D322" s="6">
        <f>(C322/12)*9</f>
        <v>7500</v>
      </c>
      <c r="E322" s="62">
        <v>0</v>
      </c>
      <c r="F322" s="6">
        <f>SUM(E314:E322)</f>
        <v>4511</v>
      </c>
      <c r="G322" s="35" t="str">
        <f t="shared" si="58"/>
        <v>Farol Vermelho</v>
      </c>
      <c r="H322">
        <f t="shared" si="56"/>
        <v>2989</v>
      </c>
      <c r="I322" s="6">
        <f t="shared" si="57"/>
        <v>9</v>
      </c>
      <c r="J322" s="100">
        <v>7</v>
      </c>
      <c r="K322" s="62"/>
      <c r="L322" s="6">
        <f>$L314+L321</f>
        <v>5.25</v>
      </c>
      <c r="M322" s="6">
        <f t="shared" si="66"/>
        <v>5</v>
      </c>
      <c r="N322" s="71"/>
      <c r="O322" t="e">
        <f t="shared" si="59"/>
        <v>#DIV/0!</v>
      </c>
      <c r="P322" s="71"/>
      <c r="Q322" t="e">
        <f t="shared" si="60"/>
        <v>#DIV/0!</v>
      </c>
      <c r="R322" s="71"/>
      <c r="S322" s="6" t="e">
        <f t="shared" si="61"/>
        <v>#DIV/0!</v>
      </c>
    </row>
    <row r="323" spans="1:19" x14ac:dyDescent="0.2">
      <c r="A323" s="36" t="s">
        <v>71</v>
      </c>
      <c r="B323" s="6" t="s">
        <v>160</v>
      </c>
      <c r="C323" s="71">
        <v>10000</v>
      </c>
      <c r="D323" s="6">
        <f>(C323/12)*10</f>
        <v>8333.3333333333339</v>
      </c>
      <c r="E323" s="62">
        <v>0</v>
      </c>
      <c r="F323" s="6">
        <f>SUM(E314:E323)</f>
        <v>4511</v>
      </c>
      <c r="G323" s="35" t="str">
        <f t="shared" si="58"/>
        <v>Farol Vermelho</v>
      </c>
      <c r="H323">
        <f t="shared" si="56"/>
        <v>3822.3333333333339</v>
      </c>
      <c r="I323" s="6">
        <f t="shared" si="57"/>
        <v>10</v>
      </c>
      <c r="J323" s="100">
        <v>7</v>
      </c>
      <c r="K323" s="62"/>
      <c r="L323" s="6">
        <f>$L314+L322</f>
        <v>5.833333333333333</v>
      </c>
      <c r="M323" s="6">
        <f t="shared" si="66"/>
        <v>5</v>
      </c>
      <c r="N323" s="71"/>
      <c r="O323" t="e">
        <f t="shared" si="59"/>
        <v>#DIV/0!</v>
      </c>
      <c r="P323" s="71"/>
      <c r="Q323" t="e">
        <f t="shared" si="60"/>
        <v>#DIV/0!</v>
      </c>
      <c r="R323" s="71"/>
      <c r="S323" s="6" t="e">
        <f t="shared" si="61"/>
        <v>#DIV/0!</v>
      </c>
    </row>
    <row r="324" spans="1:19" x14ac:dyDescent="0.2">
      <c r="A324" s="36" t="s">
        <v>71</v>
      </c>
      <c r="B324" s="6" t="s">
        <v>161</v>
      </c>
      <c r="C324" s="71">
        <v>10000</v>
      </c>
      <c r="D324" s="6">
        <f>(C324/12)*11</f>
        <v>9166.6666666666679</v>
      </c>
      <c r="E324" s="62">
        <v>0</v>
      </c>
      <c r="F324" s="6">
        <f>SUM(E314:E324)</f>
        <v>4511</v>
      </c>
      <c r="G324" s="35" t="str">
        <f t="shared" si="58"/>
        <v>Farol Vermelho</v>
      </c>
      <c r="H324">
        <f t="shared" si="56"/>
        <v>4655.6666666666679</v>
      </c>
      <c r="I324" s="6">
        <f t="shared" si="57"/>
        <v>11</v>
      </c>
      <c r="J324" s="100">
        <v>7</v>
      </c>
      <c r="K324" s="62"/>
      <c r="L324" s="6">
        <f>L314+L323</f>
        <v>6.4166666666666661</v>
      </c>
      <c r="M324" s="6">
        <f t="shared" si="66"/>
        <v>5</v>
      </c>
      <c r="N324" s="71"/>
      <c r="O324" t="e">
        <f t="shared" si="59"/>
        <v>#DIV/0!</v>
      </c>
      <c r="P324" s="71"/>
      <c r="Q324" t="e">
        <f t="shared" si="60"/>
        <v>#DIV/0!</v>
      </c>
      <c r="R324" s="71"/>
      <c r="S324" s="6" t="e">
        <f t="shared" si="61"/>
        <v>#DIV/0!</v>
      </c>
    </row>
    <row r="325" spans="1:19" x14ac:dyDescent="0.2">
      <c r="A325" s="36" t="s">
        <v>71</v>
      </c>
      <c r="B325" s="6" t="s">
        <v>162</v>
      </c>
      <c r="C325" s="71">
        <v>10000</v>
      </c>
      <c r="D325" s="6">
        <f>(C325/12)*12</f>
        <v>10000</v>
      </c>
      <c r="E325" s="62">
        <v>0</v>
      </c>
      <c r="F325" s="6">
        <f>SUM(E314:E325)</f>
        <v>4511</v>
      </c>
      <c r="G325" s="35" t="str">
        <f t="shared" si="58"/>
        <v>Farol Vermelho</v>
      </c>
      <c r="H325">
        <f t="shared" si="56"/>
        <v>5489</v>
      </c>
      <c r="I325" s="6">
        <f t="shared" si="57"/>
        <v>12</v>
      </c>
      <c r="J325" s="100">
        <v>7</v>
      </c>
      <c r="K325" s="62"/>
      <c r="L325" s="6">
        <f>$L314+L324</f>
        <v>6.9999999999999991</v>
      </c>
      <c r="M325" s="6">
        <f t="shared" si="66"/>
        <v>5</v>
      </c>
      <c r="N325" s="71"/>
      <c r="O325" t="e">
        <f t="shared" si="59"/>
        <v>#DIV/0!</v>
      </c>
      <c r="P325" s="71"/>
      <c r="Q325" t="e">
        <f t="shared" si="60"/>
        <v>#DIV/0!</v>
      </c>
      <c r="R325" s="71"/>
      <c r="S325" s="6" t="e">
        <f t="shared" si="61"/>
        <v>#DIV/0!</v>
      </c>
    </row>
    <row r="326" spans="1:19" x14ac:dyDescent="0.2">
      <c r="A326" s="36" t="s">
        <v>75</v>
      </c>
      <c r="B326" s="6" t="s">
        <v>151</v>
      </c>
      <c r="C326" s="71">
        <v>36000</v>
      </c>
      <c r="D326" s="6">
        <f>(C326/12)*1</f>
        <v>3000</v>
      </c>
      <c r="E326" s="62">
        <v>541</v>
      </c>
      <c r="F326" s="6">
        <f>E326</f>
        <v>541</v>
      </c>
      <c r="G326" s="35" t="str">
        <f t="shared" si="58"/>
        <v>Farol Vermelho</v>
      </c>
      <c r="H326">
        <f t="shared" si="56"/>
        <v>2459</v>
      </c>
      <c r="I326" s="6">
        <f t="shared" si="57"/>
        <v>1</v>
      </c>
      <c r="J326" s="101">
        <v>37</v>
      </c>
      <c r="K326" s="62">
        <v>3</v>
      </c>
      <c r="L326" s="6">
        <f>J326/12</f>
        <v>3.0833333333333335</v>
      </c>
      <c r="M326" s="6">
        <f>K326</f>
        <v>3</v>
      </c>
      <c r="N326" s="71">
        <v>0</v>
      </c>
      <c r="O326" t="e">
        <f t="shared" si="59"/>
        <v>#DIV/0!</v>
      </c>
      <c r="P326" s="71">
        <v>0</v>
      </c>
      <c r="Q326" t="e">
        <f t="shared" si="60"/>
        <v>#DIV/0!</v>
      </c>
      <c r="R326" s="71">
        <v>0</v>
      </c>
      <c r="S326" s="6" t="e">
        <f t="shared" si="61"/>
        <v>#DIV/0!</v>
      </c>
    </row>
    <row r="327" spans="1:19" x14ac:dyDescent="0.2">
      <c r="A327" s="36" t="s">
        <v>75</v>
      </c>
      <c r="B327" s="6" t="s">
        <v>152</v>
      </c>
      <c r="C327" s="71">
        <v>36000</v>
      </c>
      <c r="D327" s="6">
        <f>(C327/12)*2</f>
        <v>6000</v>
      </c>
      <c r="E327" s="62">
        <v>3499.8</v>
      </c>
      <c r="F327" s="6">
        <f>SUM(E326:E327)</f>
        <v>4040.8</v>
      </c>
      <c r="G327" s="35" t="str">
        <f t="shared" si="58"/>
        <v>Farol Vermelho</v>
      </c>
      <c r="H327">
        <f t="shared" si="56"/>
        <v>1959.1999999999998</v>
      </c>
      <c r="I327" s="6">
        <f t="shared" si="57"/>
        <v>2</v>
      </c>
      <c r="J327" s="101">
        <v>37</v>
      </c>
      <c r="K327" s="62">
        <v>3</v>
      </c>
      <c r="L327" s="6">
        <f>L326+L326</f>
        <v>6.166666666666667</v>
      </c>
      <c r="M327" s="6">
        <f>M326+K327</f>
        <v>6</v>
      </c>
      <c r="N327" s="71">
        <v>0</v>
      </c>
      <c r="O327" t="e">
        <f t="shared" si="59"/>
        <v>#DIV/0!</v>
      </c>
      <c r="P327" s="71">
        <v>0</v>
      </c>
      <c r="Q327" t="e">
        <f t="shared" si="60"/>
        <v>#DIV/0!</v>
      </c>
      <c r="R327" s="71">
        <v>0</v>
      </c>
      <c r="S327" s="6" t="e">
        <f t="shared" si="61"/>
        <v>#DIV/0!</v>
      </c>
    </row>
    <row r="328" spans="1:19" x14ac:dyDescent="0.2">
      <c r="A328" s="36" t="s">
        <v>75</v>
      </c>
      <c r="B328" s="6" t="s">
        <v>153</v>
      </c>
      <c r="C328" s="71">
        <v>36000</v>
      </c>
      <c r="D328" s="6">
        <f>(C328/12)*3</f>
        <v>9000</v>
      </c>
      <c r="E328" s="62">
        <v>2744</v>
      </c>
      <c r="F328" s="6">
        <f>SUM(E326:E328)</f>
        <v>6784.8</v>
      </c>
      <c r="G328" s="35" t="str">
        <f t="shared" si="58"/>
        <v>Farol Vermelho</v>
      </c>
      <c r="H328">
        <f t="shared" si="56"/>
        <v>2215.1999999999998</v>
      </c>
      <c r="I328" s="6">
        <f t="shared" si="57"/>
        <v>3</v>
      </c>
      <c r="J328" s="100">
        <v>37</v>
      </c>
      <c r="K328" s="62">
        <v>2</v>
      </c>
      <c r="L328" s="6">
        <f>$L326+L327</f>
        <v>9.25</v>
      </c>
      <c r="M328" s="6">
        <f t="shared" ref="M328:M337" si="67">M327+K328</f>
        <v>8</v>
      </c>
      <c r="N328" s="71">
        <v>0</v>
      </c>
      <c r="O328" t="e">
        <f t="shared" si="59"/>
        <v>#DIV/0!</v>
      </c>
      <c r="P328" s="71">
        <v>0</v>
      </c>
      <c r="Q328" t="e">
        <f t="shared" si="60"/>
        <v>#DIV/0!</v>
      </c>
      <c r="R328" s="71">
        <v>0</v>
      </c>
      <c r="S328" s="6" t="e">
        <f t="shared" si="61"/>
        <v>#DIV/0!</v>
      </c>
    </row>
    <row r="329" spans="1:19" x14ac:dyDescent="0.2">
      <c r="A329" s="36" t="s">
        <v>75</v>
      </c>
      <c r="B329" s="6" t="s">
        <v>154</v>
      </c>
      <c r="C329" s="71">
        <v>36000</v>
      </c>
      <c r="D329" s="6">
        <f>(C329/12)*4</f>
        <v>12000</v>
      </c>
      <c r="E329" s="62">
        <v>4745</v>
      </c>
      <c r="F329" s="6">
        <f>SUM(E326:E329)</f>
        <v>11529.8</v>
      </c>
      <c r="G329" s="35" t="str">
        <f t="shared" si="58"/>
        <v>Farol Amarelo</v>
      </c>
      <c r="H329">
        <f t="shared" si="56"/>
        <v>470.20000000000073</v>
      </c>
      <c r="I329" s="6">
        <f t="shared" si="57"/>
        <v>4</v>
      </c>
      <c r="J329" s="101">
        <v>37</v>
      </c>
      <c r="K329" s="62">
        <v>5</v>
      </c>
      <c r="L329" s="6">
        <f>$L326+L328</f>
        <v>12.333333333333334</v>
      </c>
      <c r="M329" s="6">
        <f t="shared" si="67"/>
        <v>13</v>
      </c>
      <c r="N329" s="71">
        <v>0</v>
      </c>
      <c r="O329" t="e">
        <f t="shared" si="59"/>
        <v>#DIV/0!</v>
      </c>
      <c r="P329" s="71">
        <v>0</v>
      </c>
      <c r="Q329" t="e">
        <f t="shared" si="60"/>
        <v>#DIV/0!</v>
      </c>
      <c r="R329" s="71">
        <v>0</v>
      </c>
      <c r="S329" s="6" t="e">
        <f t="shared" si="61"/>
        <v>#DIV/0!</v>
      </c>
    </row>
    <row r="330" spans="1:19" x14ac:dyDescent="0.2">
      <c r="A330" s="36" t="s">
        <v>75</v>
      </c>
      <c r="B330" s="6" t="s">
        <v>155</v>
      </c>
      <c r="C330" s="71">
        <v>36000</v>
      </c>
      <c r="D330" s="6">
        <f>(C330/12)*5</f>
        <v>15000</v>
      </c>
      <c r="E330" s="62">
        <v>4251</v>
      </c>
      <c r="F330" s="6">
        <f>SUM(E326:E330)</f>
        <v>15780.8</v>
      </c>
      <c r="G330" s="35" t="str">
        <f t="shared" si="58"/>
        <v>Farol Verde</v>
      </c>
      <c r="H330">
        <f t="shared" si="56"/>
        <v>0</v>
      </c>
      <c r="I330" s="6">
        <f t="shared" si="57"/>
        <v>5</v>
      </c>
      <c r="J330" s="100">
        <v>37</v>
      </c>
      <c r="K330" s="62">
        <v>4</v>
      </c>
      <c r="L330" s="6">
        <f>L326+L329</f>
        <v>15.416666666666668</v>
      </c>
      <c r="M330" s="6">
        <f t="shared" si="67"/>
        <v>17</v>
      </c>
      <c r="N330" s="71">
        <v>0</v>
      </c>
      <c r="O330" t="e">
        <f t="shared" si="59"/>
        <v>#DIV/0!</v>
      </c>
      <c r="P330" s="71">
        <v>0</v>
      </c>
      <c r="Q330" t="e">
        <f t="shared" si="60"/>
        <v>#DIV/0!</v>
      </c>
      <c r="R330" s="71">
        <v>0</v>
      </c>
      <c r="S330" s="6" t="e">
        <f t="shared" si="61"/>
        <v>#DIV/0!</v>
      </c>
    </row>
    <row r="331" spans="1:19" x14ac:dyDescent="0.2">
      <c r="A331" s="36" t="s">
        <v>75</v>
      </c>
      <c r="B331" s="6" t="s">
        <v>156</v>
      </c>
      <c r="C331" s="71">
        <v>36000</v>
      </c>
      <c r="D331" s="6">
        <f>(C331/12)*6</f>
        <v>18000</v>
      </c>
      <c r="E331" s="62">
        <v>1501</v>
      </c>
      <c r="F331" s="6">
        <f>SUM(E326:E331)</f>
        <v>17281.8</v>
      </c>
      <c r="G331" s="35" t="str">
        <f t="shared" si="58"/>
        <v>Farol Amarelo</v>
      </c>
      <c r="H331">
        <f t="shared" si="56"/>
        <v>718.20000000000073</v>
      </c>
      <c r="I331" s="6">
        <f t="shared" si="57"/>
        <v>6</v>
      </c>
      <c r="J331" s="101">
        <v>37</v>
      </c>
      <c r="K331" s="62">
        <v>3</v>
      </c>
      <c r="L331" s="6">
        <f>$L326+L330</f>
        <v>18.5</v>
      </c>
      <c r="M331" s="6">
        <f t="shared" si="67"/>
        <v>20</v>
      </c>
      <c r="N331" s="71">
        <v>18</v>
      </c>
      <c r="O331">
        <f>P331/N331</f>
        <v>1</v>
      </c>
      <c r="P331" s="71">
        <v>18</v>
      </c>
      <c r="Q331">
        <f t="shared" si="60"/>
        <v>0.1111111111111111</v>
      </c>
      <c r="R331" s="71">
        <v>2</v>
      </c>
      <c r="S331" s="6">
        <f t="shared" si="61"/>
        <v>0.1111111111111111</v>
      </c>
    </row>
    <row r="332" spans="1:19" x14ac:dyDescent="0.2">
      <c r="A332" s="36" t="s">
        <v>75</v>
      </c>
      <c r="B332" s="6" t="s">
        <v>157</v>
      </c>
      <c r="C332" s="71">
        <v>36000</v>
      </c>
      <c r="D332" s="6">
        <f>(C332/12)*7</f>
        <v>21000</v>
      </c>
      <c r="E332" s="62">
        <v>9204.7999999999993</v>
      </c>
      <c r="F332" s="6">
        <f>SUM(E326:E332)</f>
        <v>26486.6</v>
      </c>
      <c r="G332" s="35" t="str">
        <f t="shared" si="58"/>
        <v>Farol Verde</v>
      </c>
      <c r="H332">
        <f t="shared" si="56"/>
        <v>0</v>
      </c>
      <c r="I332" s="6">
        <f t="shared" si="57"/>
        <v>7</v>
      </c>
      <c r="J332" s="100">
        <v>37</v>
      </c>
      <c r="K332" s="62">
        <v>7</v>
      </c>
      <c r="L332" s="6">
        <f>$L326+L331</f>
        <v>21.583333333333332</v>
      </c>
      <c r="M332" s="6">
        <f t="shared" si="67"/>
        <v>27</v>
      </c>
      <c r="N332" s="71"/>
      <c r="O332" t="e">
        <f t="shared" si="59"/>
        <v>#DIV/0!</v>
      </c>
      <c r="P332" s="71"/>
      <c r="Q332" t="e">
        <f t="shared" si="60"/>
        <v>#DIV/0!</v>
      </c>
      <c r="R332" s="71"/>
      <c r="S332" s="6" t="e">
        <f t="shared" si="61"/>
        <v>#DIV/0!</v>
      </c>
    </row>
    <row r="333" spans="1:19" x14ac:dyDescent="0.2">
      <c r="A333" s="36" t="s">
        <v>75</v>
      </c>
      <c r="B333" s="6" t="s">
        <v>158</v>
      </c>
      <c r="C333" s="71">
        <v>36000</v>
      </c>
      <c r="D333" s="6">
        <f>(C333/12)*8</f>
        <v>24000</v>
      </c>
      <c r="E333" s="62">
        <v>0</v>
      </c>
      <c r="F333" s="6">
        <f>SUM(E326:E333)</f>
        <v>26486.6</v>
      </c>
      <c r="G333" s="35" t="str">
        <f t="shared" si="58"/>
        <v>Farol Verde</v>
      </c>
      <c r="H333">
        <f t="shared" si="56"/>
        <v>0</v>
      </c>
      <c r="I333" s="6">
        <f t="shared" si="57"/>
        <v>8</v>
      </c>
      <c r="J333" s="101">
        <v>37</v>
      </c>
      <c r="K333" s="62"/>
      <c r="L333" s="6">
        <f>L326+L332</f>
        <v>24.666666666666664</v>
      </c>
      <c r="M333" s="6">
        <f t="shared" si="67"/>
        <v>27</v>
      </c>
      <c r="N333" s="71"/>
      <c r="O333" t="e">
        <f t="shared" si="59"/>
        <v>#DIV/0!</v>
      </c>
      <c r="P333" s="71"/>
      <c r="Q333" t="e">
        <f t="shared" si="60"/>
        <v>#DIV/0!</v>
      </c>
      <c r="R333" s="71"/>
      <c r="S333" s="6" t="e">
        <f t="shared" si="61"/>
        <v>#DIV/0!</v>
      </c>
    </row>
    <row r="334" spans="1:19" x14ac:dyDescent="0.2">
      <c r="A334" s="36" t="s">
        <v>75</v>
      </c>
      <c r="B334" s="6" t="s">
        <v>159</v>
      </c>
      <c r="C334" s="71">
        <v>36000</v>
      </c>
      <c r="D334" s="6">
        <f>(C334/12)*9</f>
        <v>27000</v>
      </c>
      <c r="E334" s="62">
        <v>0</v>
      </c>
      <c r="F334" s="6">
        <f>SUM(E326:E334)</f>
        <v>26486.6</v>
      </c>
      <c r="G334" s="35" t="str">
        <f t="shared" si="58"/>
        <v>Farol Amarelo</v>
      </c>
      <c r="H334">
        <f t="shared" si="56"/>
        <v>513.40000000000146</v>
      </c>
      <c r="I334" s="6">
        <f t="shared" si="57"/>
        <v>9</v>
      </c>
      <c r="J334" s="100">
        <v>37</v>
      </c>
      <c r="K334" s="62"/>
      <c r="L334" s="6">
        <f>$L326+L333</f>
        <v>27.749999999999996</v>
      </c>
      <c r="M334" s="6">
        <f t="shared" si="67"/>
        <v>27</v>
      </c>
      <c r="N334" s="71"/>
      <c r="O334" t="e">
        <f t="shared" si="59"/>
        <v>#DIV/0!</v>
      </c>
      <c r="P334" s="71"/>
      <c r="Q334" t="e">
        <f t="shared" si="60"/>
        <v>#DIV/0!</v>
      </c>
      <c r="R334" s="71"/>
      <c r="S334" s="6" t="e">
        <f t="shared" si="61"/>
        <v>#DIV/0!</v>
      </c>
    </row>
    <row r="335" spans="1:19" x14ac:dyDescent="0.2">
      <c r="A335" s="36" t="s">
        <v>75</v>
      </c>
      <c r="B335" s="6" t="s">
        <v>160</v>
      </c>
      <c r="C335" s="71">
        <v>36000</v>
      </c>
      <c r="D335" s="6">
        <f>(C335/12)*10</f>
        <v>30000</v>
      </c>
      <c r="E335" s="62">
        <v>0</v>
      </c>
      <c r="F335" s="6">
        <f>SUM(E326:E335)</f>
        <v>26486.6</v>
      </c>
      <c r="G335" s="35" t="str">
        <f t="shared" si="58"/>
        <v>Farol Amarelo</v>
      </c>
      <c r="H335">
        <f t="shared" si="56"/>
        <v>3513.4000000000015</v>
      </c>
      <c r="I335" s="6">
        <f t="shared" si="57"/>
        <v>10</v>
      </c>
      <c r="J335" s="101">
        <v>37</v>
      </c>
      <c r="K335" s="62"/>
      <c r="L335" s="6">
        <f>$L326+L334</f>
        <v>30.833333333333329</v>
      </c>
      <c r="M335" s="6">
        <f t="shared" si="67"/>
        <v>27</v>
      </c>
      <c r="N335" s="71"/>
      <c r="O335" t="e">
        <f t="shared" si="59"/>
        <v>#DIV/0!</v>
      </c>
      <c r="P335" s="71"/>
      <c r="Q335" t="e">
        <f t="shared" si="60"/>
        <v>#DIV/0!</v>
      </c>
      <c r="R335" s="71"/>
      <c r="S335" s="6" t="e">
        <f t="shared" si="61"/>
        <v>#DIV/0!</v>
      </c>
    </row>
    <row r="336" spans="1:19" x14ac:dyDescent="0.2">
      <c r="A336" s="36" t="s">
        <v>75</v>
      </c>
      <c r="B336" s="6" t="s">
        <v>161</v>
      </c>
      <c r="C336" s="71">
        <v>36000</v>
      </c>
      <c r="D336" s="6">
        <f>(C336/12)*11</f>
        <v>33000</v>
      </c>
      <c r="E336" s="62">
        <v>0</v>
      </c>
      <c r="F336" s="6">
        <f>SUM(E326:E336)</f>
        <v>26486.6</v>
      </c>
      <c r="G336" s="35" t="str">
        <f t="shared" si="58"/>
        <v>Farol Vermelho</v>
      </c>
      <c r="H336">
        <f t="shared" si="56"/>
        <v>6513.4000000000015</v>
      </c>
      <c r="I336" s="6">
        <f t="shared" si="57"/>
        <v>11</v>
      </c>
      <c r="J336" s="100">
        <v>37</v>
      </c>
      <c r="K336" s="62"/>
      <c r="L336" s="6">
        <f>L326+L335</f>
        <v>33.916666666666664</v>
      </c>
      <c r="M336" s="6">
        <f t="shared" si="67"/>
        <v>27</v>
      </c>
      <c r="N336" s="71"/>
      <c r="O336" t="e">
        <f t="shared" si="59"/>
        <v>#DIV/0!</v>
      </c>
      <c r="P336" s="71"/>
      <c r="Q336" t="e">
        <f t="shared" si="60"/>
        <v>#DIV/0!</v>
      </c>
      <c r="R336" s="71"/>
      <c r="S336" s="6" t="e">
        <f t="shared" si="61"/>
        <v>#DIV/0!</v>
      </c>
    </row>
    <row r="337" spans="1:19" x14ac:dyDescent="0.2">
      <c r="A337" s="36" t="s">
        <v>75</v>
      </c>
      <c r="B337" s="6" t="s">
        <v>162</v>
      </c>
      <c r="C337" s="71">
        <v>36000</v>
      </c>
      <c r="D337" s="6">
        <f>(C337/12)*12</f>
        <v>36000</v>
      </c>
      <c r="E337" s="62">
        <v>0</v>
      </c>
      <c r="F337" s="6">
        <f>SUM(E326:E337)</f>
        <v>26486.6</v>
      </c>
      <c r="G337" s="35" t="str">
        <f t="shared" si="58"/>
        <v>Farol Vermelho</v>
      </c>
      <c r="H337">
        <f t="shared" si="56"/>
        <v>9513.4000000000015</v>
      </c>
      <c r="I337" s="6">
        <f t="shared" si="57"/>
        <v>12</v>
      </c>
      <c r="J337" s="101">
        <v>37</v>
      </c>
      <c r="K337" s="62"/>
      <c r="L337" s="6">
        <f>$L326+L336</f>
        <v>37</v>
      </c>
      <c r="M337" s="6">
        <f t="shared" si="67"/>
        <v>27</v>
      </c>
      <c r="N337" s="71"/>
      <c r="O337" t="e">
        <f t="shared" si="59"/>
        <v>#DIV/0!</v>
      </c>
      <c r="P337" s="71"/>
      <c r="Q337" t="e">
        <f t="shared" si="60"/>
        <v>#DIV/0!</v>
      </c>
      <c r="R337" s="71"/>
      <c r="S337" s="6" t="e">
        <f t="shared" si="61"/>
        <v>#DIV/0!</v>
      </c>
    </row>
    <row r="338" spans="1:19" x14ac:dyDescent="0.2">
      <c r="A338" s="36" t="s">
        <v>46</v>
      </c>
      <c r="B338" s="6" t="s">
        <v>151</v>
      </c>
      <c r="C338" s="71">
        <v>10000</v>
      </c>
      <c r="D338" s="6">
        <f>(C338/12)*1</f>
        <v>833.33333333333337</v>
      </c>
      <c r="E338" s="62">
        <v>0</v>
      </c>
      <c r="F338" s="6">
        <f>E338</f>
        <v>0</v>
      </c>
      <c r="G338" s="35" t="str">
        <f t="shared" si="58"/>
        <v>Farol Vermelho</v>
      </c>
      <c r="H338">
        <f t="shared" si="56"/>
        <v>833.33333333333337</v>
      </c>
      <c r="I338" s="6">
        <f t="shared" si="57"/>
        <v>1</v>
      </c>
      <c r="J338" s="100">
        <v>12</v>
      </c>
      <c r="K338" s="62">
        <v>0</v>
      </c>
      <c r="L338" s="6">
        <f>J338/12</f>
        <v>1</v>
      </c>
      <c r="M338" s="6">
        <f>K338</f>
        <v>0</v>
      </c>
      <c r="N338" s="71">
        <v>0</v>
      </c>
      <c r="O338" t="e">
        <f t="shared" si="59"/>
        <v>#DIV/0!</v>
      </c>
      <c r="P338" s="71">
        <v>0</v>
      </c>
      <c r="Q338" t="e">
        <f t="shared" si="60"/>
        <v>#DIV/0!</v>
      </c>
      <c r="R338" s="71">
        <v>0</v>
      </c>
      <c r="S338" s="6" t="e">
        <f t="shared" si="61"/>
        <v>#DIV/0!</v>
      </c>
    </row>
    <row r="339" spans="1:19" x14ac:dyDescent="0.2">
      <c r="A339" s="36" t="s">
        <v>46</v>
      </c>
      <c r="B339" s="6" t="s">
        <v>152</v>
      </c>
      <c r="C339" s="71">
        <v>10000</v>
      </c>
      <c r="D339" s="6">
        <f>(C339/12)*2</f>
        <v>1666.6666666666667</v>
      </c>
      <c r="E339" s="62">
        <v>0</v>
      </c>
      <c r="F339" s="6">
        <f>SUM(E338:E339)</f>
        <v>0</v>
      </c>
      <c r="G339" s="35" t="str">
        <f t="shared" si="58"/>
        <v>Farol Vermelho</v>
      </c>
      <c r="H339">
        <f t="shared" si="56"/>
        <v>1666.6666666666667</v>
      </c>
      <c r="I339" s="6">
        <f t="shared" si="57"/>
        <v>2</v>
      </c>
      <c r="J339" s="100">
        <v>12</v>
      </c>
      <c r="K339" s="62">
        <v>0</v>
      </c>
      <c r="L339" s="6">
        <f>L338+L338</f>
        <v>2</v>
      </c>
      <c r="M339" s="6">
        <f>M338+K339</f>
        <v>0</v>
      </c>
      <c r="N339" s="71">
        <v>0</v>
      </c>
      <c r="O339" t="e">
        <f t="shared" si="59"/>
        <v>#DIV/0!</v>
      </c>
      <c r="P339" s="71">
        <v>0</v>
      </c>
      <c r="Q339" t="e">
        <f t="shared" si="60"/>
        <v>#DIV/0!</v>
      </c>
      <c r="R339" s="71">
        <v>0</v>
      </c>
      <c r="S339" s="6" t="e">
        <f t="shared" si="61"/>
        <v>#DIV/0!</v>
      </c>
    </row>
    <row r="340" spans="1:19" x14ac:dyDescent="0.2">
      <c r="A340" s="36" t="s">
        <v>46</v>
      </c>
      <c r="B340" s="6" t="s">
        <v>153</v>
      </c>
      <c r="C340" s="71">
        <v>10000</v>
      </c>
      <c r="D340" s="6">
        <f>(C340/12)*3</f>
        <v>2500</v>
      </c>
      <c r="E340" s="62">
        <v>0</v>
      </c>
      <c r="F340" s="6">
        <f>SUM(E338:E340)</f>
        <v>0</v>
      </c>
      <c r="G340" s="35" t="str">
        <f t="shared" si="58"/>
        <v>Farol Vermelho</v>
      </c>
      <c r="H340">
        <f t="shared" si="56"/>
        <v>2500</v>
      </c>
      <c r="I340" s="6">
        <f t="shared" si="57"/>
        <v>3</v>
      </c>
      <c r="J340" s="100">
        <v>12</v>
      </c>
      <c r="K340" s="62">
        <v>0</v>
      </c>
      <c r="L340" s="6">
        <f>$L338+L339</f>
        <v>3</v>
      </c>
      <c r="M340" s="6">
        <f t="shared" ref="M340:M349" si="68">M339+K340</f>
        <v>0</v>
      </c>
      <c r="N340" s="71">
        <v>0</v>
      </c>
      <c r="O340" t="e">
        <f t="shared" si="59"/>
        <v>#DIV/0!</v>
      </c>
      <c r="P340" s="71">
        <v>0</v>
      </c>
      <c r="Q340" t="e">
        <f t="shared" si="60"/>
        <v>#DIV/0!</v>
      </c>
      <c r="R340" s="71">
        <v>0</v>
      </c>
      <c r="S340" s="6" t="e">
        <f t="shared" si="61"/>
        <v>#DIV/0!</v>
      </c>
    </row>
    <row r="341" spans="1:19" x14ac:dyDescent="0.2">
      <c r="A341" s="36" t="s">
        <v>46</v>
      </c>
      <c r="B341" s="6" t="s">
        <v>154</v>
      </c>
      <c r="C341" s="71">
        <v>10000</v>
      </c>
      <c r="D341" s="6">
        <f>(C341/12)*4</f>
        <v>3333.3333333333335</v>
      </c>
      <c r="E341" s="62">
        <v>0</v>
      </c>
      <c r="F341" s="6">
        <f>SUM(E338:E341)</f>
        <v>0</v>
      </c>
      <c r="G341" s="35" t="str">
        <f t="shared" si="58"/>
        <v>Farol Vermelho</v>
      </c>
      <c r="H341">
        <f t="shared" si="56"/>
        <v>3333.3333333333335</v>
      </c>
      <c r="I341" s="6">
        <f t="shared" si="57"/>
        <v>4</v>
      </c>
      <c r="J341" s="100">
        <v>12</v>
      </c>
      <c r="K341" s="62">
        <v>0</v>
      </c>
      <c r="L341" s="6">
        <f>$L338+L340</f>
        <v>4</v>
      </c>
      <c r="M341" s="6">
        <f t="shared" si="68"/>
        <v>0</v>
      </c>
      <c r="N341" s="71">
        <v>0</v>
      </c>
      <c r="O341" t="e">
        <f t="shared" si="59"/>
        <v>#DIV/0!</v>
      </c>
      <c r="P341" s="71">
        <v>0</v>
      </c>
      <c r="Q341" t="e">
        <f t="shared" si="60"/>
        <v>#DIV/0!</v>
      </c>
      <c r="R341" s="71">
        <v>0</v>
      </c>
      <c r="S341" s="6" t="e">
        <f t="shared" si="61"/>
        <v>#DIV/0!</v>
      </c>
    </row>
    <row r="342" spans="1:19" x14ac:dyDescent="0.2">
      <c r="A342" s="36" t="s">
        <v>46</v>
      </c>
      <c r="B342" s="6" t="s">
        <v>155</v>
      </c>
      <c r="C342" s="71">
        <v>10000</v>
      </c>
      <c r="D342" s="6">
        <f>(C342/12)*5</f>
        <v>4166.666666666667</v>
      </c>
      <c r="E342" s="62">
        <v>0</v>
      </c>
      <c r="F342" s="6">
        <f>SUM(E338:E342)</f>
        <v>0</v>
      </c>
      <c r="G342" s="35" t="str">
        <f t="shared" si="58"/>
        <v>Farol Vermelho</v>
      </c>
      <c r="H342">
        <f t="shared" si="56"/>
        <v>4166.666666666667</v>
      </c>
      <c r="I342" s="6">
        <f t="shared" si="57"/>
        <v>5</v>
      </c>
      <c r="J342" s="100">
        <v>12</v>
      </c>
      <c r="K342" s="62">
        <v>0</v>
      </c>
      <c r="L342" s="6">
        <f>L338+L341</f>
        <v>5</v>
      </c>
      <c r="M342" s="6">
        <f t="shared" si="68"/>
        <v>0</v>
      </c>
      <c r="N342" s="71">
        <v>0</v>
      </c>
      <c r="O342" t="e">
        <f t="shared" si="59"/>
        <v>#DIV/0!</v>
      </c>
      <c r="P342" s="71">
        <v>0</v>
      </c>
      <c r="Q342" t="e">
        <f t="shared" si="60"/>
        <v>#DIV/0!</v>
      </c>
      <c r="R342" s="71">
        <v>0</v>
      </c>
      <c r="S342" s="6" t="e">
        <f t="shared" si="61"/>
        <v>#DIV/0!</v>
      </c>
    </row>
    <row r="343" spans="1:19" x14ac:dyDescent="0.2">
      <c r="A343" s="36" t="s">
        <v>46</v>
      </c>
      <c r="B343" s="6" t="s">
        <v>156</v>
      </c>
      <c r="C343" s="71">
        <v>10000</v>
      </c>
      <c r="D343" s="6">
        <f>(C343/12)*6</f>
        <v>5000</v>
      </c>
      <c r="E343" s="62">
        <v>0</v>
      </c>
      <c r="F343" s="6">
        <f>SUM(E338:E343)</f>
        <v>0</v>
      </c>
      <c r="G343" s="35" t="str">
        <f t="shared" si="58"/>
        <v>Farol Vermelho</v>
      </c>
      <c r="H343">
        <f t="shared" si="56"/>
        <v>5000</v>
      </c>
      <c r="I343" s="6">
        <f t="shared" si="57"/>
        <v>6</v>
      </c>
      <c r="J343" s="100">
        <v>12</v>
      </c>
      <c r="K343" s="62">
        <v>0</v>
      </c>
      <c r="L343" s="6">
        <f>$L338+L342</f>
        <v>6</v>
      </c>
      <c r="M343" s="6">
        <f t="shared" si="68"/>
        <v>0</v>
      </c>
      <c r="N343" s="71"/>
      <c r="O343" t="e">
        <f t="shared" si="59"/>
        <v>#DIV/0!</v>
      </c>
      <c r="P343" s="71"/>
      <c r="Q343" t="e">
        <f t="shared" si="60"/>
        <v>#DIV/0!</v>
      </c>
      <c r="R343" s="71"/>
      <c r="S343" s="6" t="e">
        <f t="shared" si="61"/>
        <v>#DIV/0!</v>
      </c>
    </row>
    <row r="344" spans="1:19" x14ac:dyDescent="0.2">
      <c r="A344" s="36" t="s">
        <v>46</v>
      </c>
      <c r="B344" s="6" t="s">
        <v>157</v>
      </c>
      <c r="C344" s="71">
        <v>10000</v>
      </c>
      <c r="D344" s="6">
        <f>(C344/12)*7</f>
        <v>5833.3333333333339</v>
      </c>
      <c r="E344" s="62">
        <v>0</v>
      </c>
      <c r="F344" s="6">
        <f>SUM(E338:E344)</f>
        <v>0</v>
      </c>
      <c r="G344" s="35" t="str">
        <f t="shared" si="58"/>
        <v>Farol Vermelho</v>
      </c>
      <c r="H344">
        <f t="shared" si="56"/>
        <v>5833.3333333333339</v>
      </c>
      <c r="I344" s="6">
        <f t="shared" si="57"/>
        <v>7</v>
      </c>
      <c r="J344" s="100">
        <v>12</v>
      </c>
      <c r="K344" s="62">
        <v>0</v>
      </c>
      <c r="L344" s="6">
        <f>$L338+L343</f>
        <v>7</v>
      </c>
      <c r="M344" s="6">
        <f t="shared" si="68"/>
        <v>0</v>
      </c>
      <c r="N344" s="71"/>
      <c r="O344" t="e">
        <f t="shared" si="59"/>
        <v>#DIV/0!</v>
      </c>
      <c r="P344" s="71"/>
      <c r="Q344" t="e">
        <f t="shared" si="60"/>
        <v>#DIV/0!</v>
      </c>
      <c r="R344" s="71"/>
      <c r="S344" s="6" t="e">
        <f t="shared" si="61"/>
        <v>#DIV/0!</v>
      </c>
    </row>
    <row r="345" spans="1:19" x14ac:dyDescent="0.2">
      <c r="A345" s="36" t="s">
        <v>46</v>
      </c>
      <c r="B345" s="6" t="s">
        <v>158</v>
      </c>
      <c r="C345" s="71">
        <v>10000</v>
      </c>
      <c r="D345" s="6">
        <f>(C345/12)*8</f>
        <v>6666.666666666667</v>
      </c>
      <c r="E345" s="62">
        <v>0</v>
      </c>
      <c r="F345" s="6">
        <f>SUM(E338:E345)</f>
        <v>0</v>
      </c>
      <c r="G345" s="35" t="str">
        <f t="shared" si="58"/>
        <v>Farol Vermelho</v>
      </c>
      <c r="H345">
        <f t="shared" si="56"/>
        <v>6666.666666666667</v>
      </c>
      <c r="I345" s="6">
        <f t="shared" si="57"/>
        <v>8</v>
      </c>
      <c r="J345" s="100">
        <v>12</v>
      </c>
      <c r="K345" s="62"/>
      <c r="L345" s="6">
        <f>L338+L344</f>
        <v>8</v>
      </c>
      <c r="M345" s="6">
        <f t="shared" si="68"/>
        <v>0</v>
      </c>
      <c r="N345" s="71"/>
      <c r="O345" t="e">
        <f t="shared" si="59"/>
        <v>#DIV/0!</v>
      </c>
      <c r="P345" s="71"/>
      <c r="Q345" t="e">
        <f t="shared" si="60"/>
        <v>#DIV/0!</v>
      </c>
      <c r="R345" s="71"/>
      <c r="S345" s="6" t="e">
        <f t="shared" si="61"/>
        <v>#DIV/0!</v>
      </c>
    </row>
    <row r="346" spans="1:19" x14ac:dyDescent="0.2">
      <c r="A346" s="36" t="s">
        <v>46</v>
      </c>
      <c r="B346" s="6" t="s">
        <v>159</v>
      </c>
      <c r="C346" s="71">
        <v>10000</v>
      </c>
      <c r="D346" s="6">
        <f>(C346/12)*9</f>
        <v>7500</v>
      </c>
      <c r="E346" s="62">
        <v>0</v>
      </c>
      <c r="F346" s="6">
        <f>SUM(E338:E346)</f>
        <v>0</v>
      </c>
      <c r="G346" s="35" t="str">
        <f t="shared" si="58"/>
        <v>Farol Vermelho</v>
      </c>
      <c r="H346">
        <f t="shared" si="56"/>
        <v>7500</v>
      </c>
      <c r="I346" s="6">
        <f t="shared" si="57"/>
        <v>9</v>
      </c>
      <c r="J346" s="100">
        <v>12</v>
      </c>
      <c r="K346" s="62"/>
      <c r="L346" s="6">
        <f>$L338+L345</f>
        <v>9</v>
      </c>
      <c r="M346" s="6">
        <f t="shared" si="68"/>
        <v>0</v>
      </c>
      <c r="N346" s="71"/>
      <c r="O346" t="e">
        <f t="shared" si="59"/>
        <v>#DIV/0!</v>
      </c>
      <c r="P346" s="71"/>
      <c r="Q346" t="e">
        <f t="shared" si="60"/>
        <v>#DIV/0!</v>
      </c>
      <c r="R346" s="71"/>
      <c r="S346" s="6" t="e">
        <f t="shared" si="61"/>
        <v>#DIV/0!</v>
      </c>
    </row>
    <row r="347" spans="1:19" x14ac:dyDescent="0.2">
      <c r="A347" s="36" t="s">
        <v>46</v>
      </c>
      <c r="B347" s="6" t="s">
        <v>160</v>
      </c>
      <c r="C347" s="71">
        <v>10000</v>
      </c>
      <c r="D347" s="6">
        <f>(C347/12)*10</f>
        <v>8333.3333333333339</v>
      </c>
      <c r="E347" s="62">
        <v>0</v>
      </c>
      <c r="F347" s="6">
        <f>SUM(E338:E347)</f>
        <v>0</v>
      </c>
      <c r="G347" s="35" t="str">
        <f t="shared" si="58"/>
        <v>Farol Vermelho</v>
      </c>
      <c r="H347">
        <f t="shared" si="56"/>
        <v>8333.3333333333339</v>
      </c>
      <c r="I347" s="6">
        <f t="shared" si="57"/>
        <v>10</v>
      </c>
      <c r="J347" s="100">
        <v>12</v>
      </c>
      <c r="K347" s="62"/>
      <c r="L347" s="6">
        <f>$L338+L346</f>
        <v>10</v>
      </c>
      <c r="M347" s="6">
        <f t="shared" si="68"/>
        <v>0</v>
      </c>
      <c r="N347" s="71"/>
      <c r="O347" t="e">
        <f t="shared" si="59"/>
        <v>#DIV/0!</v>
      </c>
      <c r="P347" s="71"/>
      <c r="Q347" t="e">
        <f t="shared" si="60"/>
        <v>#DIV/0!</v>
      </c>
      <c r="R347" s="71"/>
      <c r="S347" s="6" t="e">
        <f t="shared" si="61"/>
        <v>#DIV/0!</v>
      </c>
    </row>
    <row r="348" spans="1:19" x14ac:dyDescent="0.2">
      <c r="A348" s="36" t="s">
        <v>46</v>
      </c>
      <c r="B348" s="6" t="s">
        <v>161</v>
      </c>
      <c r="C348" s="71">
        <v>10000</v>
      </c>
      <c r="D348" s="6">
        <f>(C348/12)*11</f>
        <v>9166.6666666666679</v>
      </c>
      <c r="E348" s="62">
        <v>0</v>
      </c>
      <c r="F348" s="6">
        <f>SUM(E338:E348)</f>
        <v>0</v>
      </c>
      <c r="G348" s="35" t="str">
        <f t="shared" si="58"/>
        <v>Farol Vermelho</v>
      </c>
      <c r="H348">
        <f t="shared" si="56"/>
        <v>9166.6666666666679</v>
      </c>
      <c r="I348" s="6">
        <f t="shared" si="57"/>
        <v>11</v>
      </c>
      <c r="J348" s="100">
        <v>12</v>
      </c>
      <c r="K348" s="62"/>
      <c r="L348" s="6">
        <f>L338+L347</f>
        <v>11</v>
      </c>
      <c r="M348" s="6">
        <f t="shared" si="68"/>
        <v>0</v>
      </c>
      <c r="N348" s="71"/>
      <c r="O348" t="e">
        <f t="shared" si="59"/>
        <v>#DIV/0!</v>
      </c>
      <c r="P348" s="71"/>
      <c r="Q348" t="e">
        <f t="shared" si="60"/>
        <v>#DIV/0!</v>
      </c>
      <c r="R348" s="71"/>
      <c r="S348" s="6" t="e">
        <f t="shared" si="61"/>
        <v>#DIV/0!</v>
      </c>
    </row>
    <row r="349" spans="1:19" x14ac:dyDescent="0.2">
      <c r="A349" s="36" t="s">
        <v>46</v>
      </c>
      <c r="B349" s="6" t="s">
        <v>162</v>
      </c>
      <c r="C349" s="71">
        <v>10000</v>
      </c>
      <c r="D349" s="6">
        <f>(C349/12)*12</f>
        <v>10000</v>
      </c>
      <c r="E349" s="62">
        <v>0</v>
      </c>
      <c r="F349" s="6">
        <f>SUM(E338:E349)</f>
        <v>0</v>
      </c>
      <c r="G349" s="35" t="str">
        <f t="shared" si="58"/>
        <v>Farol Vermelho</v>
      </c>
      <c r="H349">
        <f t="shared" si="56"/>
        <v>10000</v>
      </c>
      <c r="I349" s="6">
        <f t="shared" si="57"/>
        <v>12</v>
      </c>
      <c r="J349" s="100">
        <v>12</v>
      </c>
      <c r="K349" s="62"/>
      <c r="L349" s="6">
        <f>$L338+L348</f>
        <v>12</v>
      </c>
      <c r="M349" s="6">
        <f t="shared" si="68"/>
        <v>0</v>
      </c>
      <c r="N349" s="71"/>
      <c r="O349" t="e">
        <f t="shared" si="59"/>
        <v>#DIV/0!</v>
      </c>
      <c r="P349" s="71"/>
      <c r="Q349" t="e">
        <f t="shared" si="60"/>
        <v>#DIV/0!</v>
      </c>
      <c r="R349" s="71"/>
      <c r="S349" s="6" t="e">
        <f t="shared" si="61"/>
        <v>#DIV/0!</v>
      </c>
    </row>
    <row r="350" spans="1:19" x14ac:dyDescent="0.2">
      <c r="A350" s="36" t="s">
        <v>36</v>
      </c>
      <c r="B350" s="6" t="s">
        <v>151</v>
      </c>
      <c r="C350" s="71">
        <v>21600</v>
      </c>
      <c r="D350" s="6">
        <f>(C350/12)*1</f>
        <v>1800</v>
      </c>
      <c r="E350" s="62">
        <v>0</v>
      </c>
      <c r="F350" s="6">
        <f>E350</f>
        <v>0</v>
      </c>
      <c r="G350" s="35" t="str">
        <f t="shared" si="58"/>
        <v>Farol Vermelho</v>
      </c>
      <c r="H350">
        <f t="shared" si="56"/>
        <v>1800</v>
      </c>
      <c r="I350" s="6">
        <f t="shared" si="57"/>
        <v>1</v>
      </c>
      <c r="J350" s="100">
        <v>4</v>
      </c>
      <c r="K350" s="62">
        <v>0</v>
      </c>
      <c r="L350" s="6">
        <f>J350/12</f>
        <v>0.33333333333333331</v>
      </c>
      <c r="M350" s="6">
        <f>K350</f>
        <v>0</v>
      </c>
      <c r="N350" s="71">
        <v>0</v>
      </c>
      <c r="O350" t="e">
        <f t="shared" si="59"/>
        <v>#DIV/0!</v>
      </c>
      <c r="P350" s="71">
        <v>0</v>
      </c>
      <c r="Q350" t="e">
        <f t="shared" si="60"/>
        <v>#DIV/0!</v>
      </c>
      <c r="R350" s="71">
        <v>0</v>
      </c>
      <c r="S350" s="6" t="e">
        <f t="shared" si="61"/>
        <v>#DIV/0!</v>
      </c>
    </row>
    <row r="351" spans="1:19" x14ac:dyDescent="0.2">
      <c r="A351" s="36" t="s">
        <v>36</v>
      </c>
      <c r="B351" s="6" t="s">
        <v>152</v>
      </c>
      <c r="C351" s="71">
        <v>21600</v>
      </c>
      <c r="D351" s="6">
        <f>(C351/12)*2</f>
        <v>3600</v>
      </c>
      <c r="E351" s="62">
        <v>0</v>
      </c>
      <c r="F351" s="6">
        <f>SUM(E350:E351)</f>
        <v>0</v>
      </c>
      <c r="G351" s="35" t="str">
        <f t="shared" si="58"/>
        <v>Farol Vermelho</v>
      </c>
      <c r="H351">
        <f t="shared" si="56"/>
        <v>3600</v>
      </c>
      <c r="I351" s="6">
        <f t="shared" si="57"/>
        <v>2</v>
      </c>
      <c r="J351" s="100">
        <v>4</v>
      </c>
      <c r="K351" s="62">
        <v>0</v>
      </c>
      <c r="L351" s="6">
        <f>L350+L350</f>
        <v>0.66666666666666663</v>
      </c>
      <c r="M351" s="6">
        <f>M350+K351</f>
        <v>0</v>
      </c>
      <c r="N351" s="71">
        <v>0</v>
      </c>
      <c r="O351" t="e">
        <f t="shared" si="59"/>
        <v>#DIV/0!</v>
      </c>
      <c r="P351" s="71">
        <v>0</v>
      </c>
      <c r="Q351" t="e">
        <f t="shared" si="60"/>
        <v>#DIV/0!</v>
      </c>
      <c r="R351" s="71">
        <v>0</v>
      </c>
      <c r="S351" s="6" t="e">
        <f t="shared" si="61"/>
        <v>#DIV/0!</v>
      </c>
    </row>
    <row r="352" spans="1:19" x14ac:dyDescent="0.2">
      <c r="A352" s="36" t="s">
        <v>36</v>
      </c>
      <c r="B352" s="6" t="s">
        <v>153</v>
      </c>
      <c r="C352" s="71">
        <v>21600</v>
      </c>
      <c r="D352" s="6">
        <f>(C352/12)*3</f>
        <v>5400</v>
      </c>
      <c r="E352" s="62">
        <v>0</v>
      </c>
      <c r="F352" s="6">
        <f>SUM(E350:E352)</f>
        <v>0</v>
      </c>
      <c r="G352" s="35" t="str">
        <f t="shared" si="58"/>
        <v>Farol Vermelho</v>
      </c>
      <c r="H352">
        <f t="shared" si="56"/>
        <v>5400</v>
      </c>
      <c r="I352" s="6">
        <f t="shared" si="57"/>
        <v>3</v>
      </c>
      <c r="J352" s="100">
        <v>4</v>
      </c>
      <c r="K352" s="62">
        <v>0</v>
      </c>
      <c r="L352" s="6">
        <f>$L350+L351</f>
        <v>1</v>
      </c>
      <c r="M352" s="6">
        <f t="shared" ref="M352:M361" si="69">M351+K352</f>
        <v>0</v>
      </c>
      <c r="N352" s="71">
        <v>0</v>
      </c>
      <c r="O352" t="e">
        <f t="shared" si="59"/>
        <v>#DIV/0!</v>
      </c>
      <c r="P352" s="71">
        <v>0</v>
      </c>
      <c r="Q352" t="e">
        <f t="shared" si="60"/>
        <v>#DIV/0!</v>
      </c>
      <c r="R352" s="71">
        <v>0</v>
      </c>
      <c r="S352" s="6" t="e">
        <f t="shared" si="61"/>
        <v>#DIV/0!</v>
      </c>
    </row>
    <row r="353" spans="1:19" x14ac:dyDescent="0.2">
      <c r="A353" s="36" t="s">
        <v>36</v>
      </c>
      <c r="B353" s="6" t="s">
        <v>154</v>
      </c>
      <c r="C353" s="71">
        <v>21600</v>
      </c>
      <c r="D353" s="6">
        <f>(C353/12)*4</f>
        <v>7200</v>
      </c>
      <c r="E353" s="62">
        <v>0</v>
      </c>
      <c r="F353" s="6">
        <f>SUM(E350:E353)</f>
        <v>0</v>
      </c>
      <c r="G353" s="35" t="str">
        <f t="shared" si="58"/>
        <v>Farol Vermelho</v>
      </c>
      <c r="H353">
        <f t="shared" si="56"/>
        <v>7200</v>
      </c>
      <c r="I353" s="6">
        <f t="shared" si="57"/>
        <v>4</v>
      </c>
      <c r="J353" s="100">
        <v>4</v>
      </c>
      <c r="K353" s="62">
        <v>0</v>
      </c>
      <c r="L353" s="6">
        <f>$L350+L352</f>
        <v>1.3333333333333333</v>
      </c>
      <c r="M353" s="6">
        <f t="shared" si="69"/>
        <v>0</v>
      </c>
      <c r="N353" s="71">
        <v>0</v>
      </c>
      <c r="O353" t="e">
        <f t="shared" si="59"/>
        <v>#DIV/0!</v>
      </c>
      <c r="P353" s="71">
        <v>0</v>
      </c>
      <c r="Q353" t="e">
        <f t="shared" si="60"/>
        <v>#DIV/0!</v>
      </c>
      <c r="R353" s="71">
        <v>0</v>
      </c>
      <c r="S353" s="6" t="e">
        <f t="shared" si="61"/>
        <v>#DIV/0!</v>
      </c>
    </row>
    <row r="354" spans="1:19" x14ac:dyDescent="0.2">
      <c r="A354" s="36" t="s">
        <v>36</v>
      </c>
      <c r="B354" s="6" t="s">
        <v>155</v>
      </c>
      <c r="C354" s="71">
        <v>21600</v>
      </c>
      <c r="D354" s="6">
        <f>(C354/12)*5</f>
        <v>9000</v>
      </c>
      <c r="E354" s="62">
        <v>0</v>
      </c>
      <c r="F354" s="6">
        <f>SUM(E350:E354)</f>
        <v>0</v>
      </c>
      <c r="G354" s="35" t="str">
        <f t="shared" si="58"/>
        <v>Farol Vermelho</v>
      </c>
      <c r="H354">
        <f t="shared" si="56"/>
        <v>9000</v>
      </c>
      <c r="I354" s="6">
        <f t="shared" si="57"/>
        <v>5</v>
      </c>
      <c r="J354" s="100">
        <v>4</v>
      </c>
      <c r="K354" s="62">
        <v>0</v>
      </c>
      <c r="L354" s="6">
        <f>L350+L353</f>
        <v>1.6666666666666665</v>
      </c>
      <c r="M354" s="6">
        <f t="shared" si="69"/>
        <v>0</v>
      </c>
      <c r="N354" s="71">
        <v>0</v>
      </c>
      <c r="O354" t="e">
        <f t="shared" si="59"/>
        <v>#DIV/0!</v>
      </c>
      <c r="P354" s="71">
        <v>0</v>
      </c>
      <c r="Q354" t="e">
        <f t="shared" si="60"/>
        <v>#DIV/0!</v>
      </c>
      <c r="R354" s="71">
        <v>0</v>
      </c>
      <c r="S354" s="6" t="e">
        <f t="shared" si="61"/>
        <v>#DIV/0!</v>
      </c>
    </row>
    <row r="355" spans="1:19" x14ac:dyDescent="0.2">
      <c r="A355" s="36" t="s">
        <v>36</v>
      </c>
      <c r="B355" s="6" t="s">
        <v>156</v>
      </c>
      <c r="C355" s="71">
        <v>21600</v>
      </c>
      <c r="D355" s="6">
        <f>(C355/12)*6</f>
        <v>10800</v>
      </c>
      <c r="E355" s="62">
        <v>0</v>
      </c>
      <c r="F355" s="6">
        <f>SUM(E350:E355)</f>
        <v>0</v>
      </c>
      <c r="G355" s="35" t="str">
        <f t="shared" si="58"/>
        <v>Farol Vermelho</v>
      </c>
      <c r="H355">
        <f t="shared" si="56"/>
        <v>10800</v>
      </c>
      <c r="I355" s="6">
        <f t="shared" si="57"/>
        <v>6</v>
      </c>
      <c r="J355" s="100">
        <v>4</v>
      </c>
      <c r="K355" s="62">
        <v>0</v>
      </c>
      <c r="L355" s="6">
        <f>$L350+L354</f>
        <v>1.9999999999999998</v>
      </c>
      <c r="M355" s="6">
        <f t="shared" si="69"/>
        <v>0</v>
      </c>
      <c r="N355" s="71">
        <v>1</v>
      </c>
      <c r="O355">
        <f t="shared" si="59"/>
        <v>1</v>
      </c>
      <c r="P355" s="71">
        <v>1</v>
      </c>
      <c r="Q355">
        <f t="shared" si="60"/>
        <v>0</v>
      </c>
      <c r="R355" s="71">
        <v>0</v>
      </c>
      <c r="S355" s="6">
        <f t="shared" si="61"/>
        <v>0</v>
      </c>
    </row>
    <row r="356" spans="1:19" x14ac:dyDescent="0.2">
      <c r="A356" s="36" t="s">
        <v>36</v>
      </c>
      <c r="B356" s="6" t="s">
        <v>157</v>
      </c>
      <c r="C356" s="71">
        <v>21600</v>
      </c>
      <c r="D356" s="6">
        <f>(C356/12)*7</f>
        <v>12600</v>
      </c>
      <c r="E356" s="62">
        <v>0</v>
      </c>
      <c r="F356" s="6">
        <f>SUM(E350:E356)</f>
        <v>0</v>
      </c>
      <c r="G356" s="35" t="str">
        <f t="shared" si="58"/>
        <v>Farol Vermelho</v>
      </c>
      <c r="H356">
        <f t="shared" si="56"/>
        <v>12600</v>
      </c>
      <c r="I356" s="6">
        <f t="shared" si="57"/>
        <v>7</v>
      </c>
      <c r="J356" s="100">
        <v>4</v>
      </c>
      <c r="K356" s="62">
        <v>0</v>
      </c>
      <c r="L356" s="6">
        <f>$L350+L355</f>
        <v>2.333333333333333</v>
      </c>
      <c r="M356" s="6">
        <f t="shared" si="69"/>
        <v>0</v>
      </c>
      <c r="N356" s="71"/>
      <c r="O356" t="e">
        <f t="shared" si="59"/>
        <v>#DIV/0!</v>
      </c>
      <c r="P356" s="71"/>
      <c r="Q356" t="e">
        <f t="shared" si="60"/>
        <v>#DIV/0!</v>
      </c>
      <c r="R356" s="71"/>
      <c r="S356" s="6" t="e">
        <f t="shared" si="61"/>
        <v>#DIV/0!</v>
      </c>
    </row>
    <row r="357" spans="1:19" x14ac:dyDescent="0.2">
      <c r="A357" s="36" t="s">
        <v>36</v>
      </c>
      <c r="B357" s="6" t="s">
        <v>158</v>
      </c>
      <c r="C357" s="71">
        <v>21600</v>
      </c>
      <c r="D357" s="6">
        <f>(C357/12)*8</f>
        <v>14400</v>
      </c>
      <c r="E357" s="62">
        <v>0</v>
      </c>
      <c r="F357" s="6">
        <f>SUM(E350:E357)</f>
        <v>0</v>
      </c>
      <c r="G357" s="35" t="str">
        <f t="shared" si="58"/>
        <v>Farol Vermelho</v>
      </c>
      <c r="H357">
        <f t="shared" si="56"/>
        <v>14400</v>
      </c>
      <c r="I357" s="6">
        <f t="shared" si="57"/>
        <v>8</v>
      </c>
      <c r="J357" s="100">
        <v>4</v>
      </c>
      <c r="K357" s="62"/>
      <c r="L357" s="6">
        <f>L350+L356</f>
        <v>2.6666666666666665</v>
      </c>
      <c r="M357" s="6">
        <f t="shared" si="69"/>
        <v>0</v>
      </c>
      <c r="N357" s="71"/>
      <c r="O357" t="e">
        <f t="shared" si="59"/>
        <v>#DIV/0!</v>
      </c>
      <c r="P357" s="71"/>
      <c r="Q357" t="e">
        <f t="shared" si="60"/>
        <v>#DIV/0!</v>
      </c>
      <c r="R357" s="71"/>
      <c r="S357" s="6" t="e">
        <f t="shared" si="61"/>
        <v>#DIV/0!</v>
      </c>
    </row>
    <row r="358" spans="1:19" x14ac:dyDescent="0.2">
      <c r="A358" s="36" t="s">
        <v>36</v>
      </c>
      <c r="B358" s="6" t="s">
        <v>159</v>
      </c>
      <c r="C358" s="71">
        <v>21600</v>
      </c>
      <c r="D358" s="6">
        <f>(C358/12)*9</f>
        <v>16200</v>
      </c>
      <c r="E358" s="62">
        <v>0</v>
      </c>
      <c r="F358" s="6">
        <f>SUM(E350:E358)</f>
        <v>0</v>
      </c>
      <c r="G358" s="35" t="str">
        <f t="shared" si="58"/>
        <v>Farol Vermelho</v>
      </c>
      <c r="H358">
        <f t="shared" ref="H358:H421" si="70">IF(D358-F358&lt;0,0,D358-F358)</f>
        <v>16200</v>
      </c>
      <c r="I358" s="6">
        <f t="shared" ref="I358:I421" si="71">_xlfn.IFS(B358="Janeiro",1,B358="Fevereiro",2,B358="Março",3,B358="Abril",4,B358="Maio",5,B358="Junho",6,B358="Julho",7,B358="Agosto",8,B358="Setembro",9,B358="Outubro",10,B358="Novembro",11,B358="Dezembro",12,TRUE,0)</f>
        <v>9</v>
      </c>
      <c r="J358" s="100">
        <v>4</v>
      </c>
      <c r="K358" s="62"/>
      <c r="L358" s="6">
        <f>$L350+L357</f>
        <v>3</v>
      </c>
      <c r="M358" s="6">
        <f t="shared" si="69"/>
        <v>0</v>
      </c>
      <c r="N358" s="71"/>
      <c r="O358" t="e">
        <f t="shared" si="59"/>
        <v>#DIV/0!</v>
      </c>
      <c r="P358" s="71"/>
      <c r="Q358" t="e">
        <f t="shared" si="60"/>
        <v>#DIV/0!</v>
      </c>
      <c r="R358" s="71"/>
      <c r="S358" s="6" t="e">
        <f t="shared" si="61"/>
        <v>#DIV/0!</v>
      </c>
    </row>
    <row r="359" spans="1:19" x14ac:dyDescent="0.2">
      <c r="A359" s="36" t="s">
        <v>36</v>
      </c>
      <c r="B359" s="6" t="s">
        <v>160</v>
      </c>
      <c r="C359" s="71">
        <v>21600</v>
      </c>
      <c r="D359" s="6">
        <f>(C359/12)*10</f>
        <v>18000</v>
      </c>
      <c r="E359" s="62">
        <v>0</v>
      </c>
      <c r="F359" s="6">
        <f>SUM(E350:E359)</f>
        <v>0</v>
      </c>
      <c r="G359" s="35" t="str">
        <f t="shared" ref="G359:G422" si="72">_xlfn.IFS(F359&gt;D359,"Farol Verde",F359&gt;=D359*0.85,"Farol Amarelo",F359&lt;D359*0.85,"Farol Vermelho","Verdadeiro",0)</f>
        <v>Farol Vermelho</v>
      </c>
      <c r="H359">
        <f t="shared" si="70"/>
        <v>18000</v>
      </c>
      <c r="I359" s="6">
        <f t="shared" si="71"/>
        <v>10</v>
      </c>
      <c r="J359" s="100">
        <v>4</v>
      </c>
      <c r="K359" s="62"/>
      <c r="L359" s="6">
        <f>$L350+L358</f>
        <v>3.3333333333333335</v>
      </c>
      <c r="M359" s="6">
        <f t="shared" si="69"/>
        <v>0</v>
      </c>
      <c r="N359" s="71"/>
      <c r="O359" t="e">
        <f t="shared" ref="O359:O422" si="73">P359/N359</f>
        <v>#DIV/0!</v>
      </c>
      <c r="P359" s="71"/>
      <c r="Q359" t="e">
        <f t="shared" ref="Q359:Q422" si="74">R359/P359</f>
        <v>#DIV/0!</v>
      </c>
      <c r="R359" s="71"/>
      <c r="S359" s="6" t="e">
        <f t="shared" ref="S359:S422" si="75">R359/N359</f>
        <v>#DIV/0!</v>
      </c>
    </row>
    <row r="360" spans="1:19" x14ac:dyDescent="0.2">
      <c r="A360" s="36" t="s">
        <v>36</v>
      </c>
      <c r="B360" s="6" t="s">
        <v>161</v>
      </c>
      <c r="C360" s="71">
        <v>21600</v>
      </c>
      <c r="D360" s="6">
        <f>(C360/12)*11</f>
        <v>19800</v>
      </c>
      <c r="E360" s="62">
        <v>0</v>
      </c>
      <c r="F360" s="6">
        <f>SUM(E350:E360)</f>
        <v>0</v>
      </c>
      <c r="G360" s="35" t="str">
        <f t="shared" si="72"/>
        <v>Farol Vermelho</v>
      </c>
      <c r="H360">
        <f t="shared" si="70"/>
        <v>19800</v>
      </c>
      <c r="I360" s="6">
        <f t="shared" si="71"/>
        <v>11</v>
      </c>
      <c r="J360" s="100">
        <v>4</v>
      </c>
      <c r="K360" s="62"/>
      <c r="L360" s="6">
        <f>L350+L359</f>
        <v>3.666666666666667</v>
      </c>
      <c r="M360" s="6">
        <f t="shared" si="69"/>
        <v>0</v>
      </c>
      <c r="N360" s="71"/>
      <c r="O360" t="e">
        <f t="shared" si="73"/>
        <v>#DIV/0!</v>
      </c>
      <c r="P360" s="71"/>
      <c r="Q360" t="e">
        <f t="shared" si="74"/>
        <v>#DIV/0!</v>
      </c>
      <c r="R360" s="71"/>
      <c r="S360" s="6" t="e">
        <f t="shared" si="75"/>
        <v>#DIV/0!</v>
      </c>
    </row>
    <row r="361" spans="1:19" x14ac:dyDescent="0.2">
      <c r="A361" s="36" t="s">
        <v>36</v>
      </c>
      <c r="B361" s="6" t="s">
        <v>162</v>
      </c>
      <c r="C361" s="71">
        <v>21600</v>
      </c>
      <c r="D361" s="6">
        <f>(C361/12)*12</f>
        <v>21600</v>
      </c>
      <c r="E361" s="62">
        <v>0</v>
      </c>
      <c r="F361" s="6">
        <f>SUM(E350:E361)</f>
        <v>0</v>
      </c>
      <c r="G361" s="35" t="str">
        <f t="shared" si="72"/>
        <v>Farol Vermelho</v>
      </c>
      <c r="H361">
        <f t="shared" si="70"/>
        <v>21600</v>
      </c>
      <c r="I361" s="6">
        <f t="shared" si="71"/>
        <v>12</v>
      </c>
      <c r="J361" s="100">
        <v>4</v>
      </c>
      <c r="K361" s="62"/>
      <c r="L361" s="6">
        <f>$L350+L360</f>
        <v>4</v>
      </c>
      <c r="M361" s="6">
        <f t="shared" si="69"/>
        <v>0</v>
      </c>
      <c r="N361" s="71"/>
      <c r="O361" t="e">
        <f t="shared" si="73"/>
        <v>#DIV/0!</v>
      </c>
      <c r="P361" s="71"/>
      <c r="Q361" t="e">
        <f t="shared" si="74"/>
        <v>#DIV/0!</v>
      </c>
      <c r="R361" s="71"/>
      <c r="S361" s="6" t="e">
        <f t="shared" si="75"/>
        <v>#DIV/0!</v>
      </c>
    </row>
    <row r="362" spans="1:19" x14ac:dyDescent="0.2">
      <c r="A362" s="36" t="s">
        <v>82</v>
      </c>
      <c r="B362" s="6" t="s">
        <v>151</v>
      </c>
      <c r="C362" s="71">
        <v>21000</v>
      </c>
      <c r="D362" s="6">
        <f>(C362/12)*1</f>
        <v>1750</v>
      </c>
      <c r="E362" s="62">
        <v>0</v>
      </c>
      <c r="F362" s="6">
        <f>E362</f>
        <v>0</v>
      </c>
      <c r="G362" s="35" t="str">
        <f t="shared" si="72"/>
        <v>Farol Vermelho</v>
      </c>
      <c r="H362">
        <f t="shared" si="70"/>
        <v>1750</v>
      </c>
      <c r="I362" s="6">
        <f t="shared" si="71"/>
        <v>1</v>
      </c>
      <c r="J362" s="100">
        <v>10</v>
      </c>
      <c r="K362" s="62">
        <v>0</v>
      </c>
      <c r="L362" s="6">
        <f>J362/12</f>
        <v>0.83333333333333337</v>
      </c>
      <c r="M362" s="6">
        <f>K362</f>
        <v>0</v>
      </c>
      <c r="N362" s="71">
        <v>0</v>
      </c>
      <c r="O362" t="e">
        <f t="shared" si="73"/>
        <v>#DIV/0!</v>
      </c>
      <c r="P362" s="71">
        <v>0</v>
      </c>
      <c r="Q362" t="e">
        <f t="shared" si="74"/>
        <v>#DIV/0!</v>
      </c>
      <c r="R362" s="71">
        <v>0</v>
      </c>
      <c r="S362" s="6" t="e">
        <f t="shared" si="75"/>
        <v>#DIV/0!</v>
      </c>
    </row>
    <row r="363" spans="1:19" x14ac:dyDescent="0.2">
      <c r="A363" s="36" t="s">
        <v>82</v>
      </c>
      <c r="B363" s="6" t="s">
        <v>152</v>
      </c>
      <c r="C363" s="71">
        <v>21000</v>
      </c>
      <c r="D363" s="6">
        <f>(C363/12)*2</f>
        <v>3500</v>
      </c>
      <c r="E363" s="62">
        <v>0</v>
      </c>
      <c r="F363" s="6">
        <f>SUM(E362:E363)</f>
        <v>0</v>
      </c>
      <c r="G363" s="35" t="str">
        <f t="shared" si="72"/>
        <v>Farol Vermelho</v>
      </c>
      <c r="H363">
        <f t="shared" si="70"/>
        <v>3500</v>
      </c>
      <c r="I363" s="6">
        <f t="shared" si="71"/>
        <v>2</v>
      </c>
      <c r="J363" s="100">
        <v>10</v>
      </c>
      <c r="K363" s="62">
        <v>0</v>
      </c>
      <c r="L363" s="6">
        <f>L362+L362</f>
        <v>1.6666666666666667</v>
      </c>
      <c r="M363" s="6">
        <f>M362+K363</f>
        <v>0</v>
      </c>
      <c r="N363" s="71">
        <v>0</v>
      </c>
      <c r="O363" t="e">
        <f t="shared" si="73"/>
        <v>#DIV/0!</v>
      </c>
      <c r="P363" s="71">
        <v>0</v>
      </c>
      <c r="Q363" t="e">
        <f t="shared" si="74"/>
        <v>#DIV/0!</v>
      </c>
      <c r="R363" s="71">
        <v>0</v>
      </c>
      <c r="S363" s="6" t="e">
        <f t="shared" si="75"/>
        <v>#DIV/0!</v>
      </c>
    </row>
    <row r="364" spans="1:19" x14ac:dyDescent="0.2">
      <c r="A364" s="36" t="s">
        <v>82</v>
      </c>
      <c r="B364" s="6" t="s">
        <v>153</v>
      </c>
      <c r="C364" s="71">
        <v>21000</v>
      </c>
      <c r="D364" s="6">
        <f>(C364/12)*3</f>
        <v>5250</v>
      </c>
      <c r="E364" s="62">
        <v>1800</v>
      </c>
      <c r="F364" s="6">
        <f>SUM(E362:E364)</f>
        <v>1800</v>
      </c>
      <c r="G364" s="35" t="str">
        <f t="shared" si="72"/>
        <v>Farol Vermelho</v>
      </c>
      <c r="H364">
        <f t="shared" si="70"/>
        <v>3450</v>
      </c>
      <c r="I364" s="6">
        <f t="shared" si="71"/>
        <v>3</v>
      </c>
      <c r="J364" s="100">
        <v>10</v>
      </c>
      <c r="K364" s="62">
        <v>3</v>
      </c>
      <c r="L364" s="6">
        <f>$L362+L363</f>
        <v>2.5</v>
      </c>
      <c r="M364" s="6">
        <f t="shared" ref="M364:M373" si="76">M363+K364</f>
        <v>3</v>
      </c>
      <c r="N364" s="71">
        <v>0</v>
      </c>
      <c r="O364" t="e">
        <f t="shared" si="73"/>
        <v>#DIV/0!</v>
      </c>
      <c r="P364" s="71">
        <v>0</v>
      </c>
      <c r="Q364" t="e">
        <f t="shared" si="74"/>
        <v>#DIV/0!</v>
      </c>
      <c r="R364" s="71">
        <v>0</v>
      </c>
      <c r="S364" s="6" t="e">
        <f t="shared" si="75"/>
        <v>#DIV/0!</v>
      </c>
    </row>
    <row r="365" spans="1:19" x14ac:dyDescent="0.2">
      <c r="A365" s="36" t="s">
        <v>82</v>
      </c>
      <c r="B365" s="6" t="s">
        <v>154</v>
      </c>
      <c r="C365" s="71">
        <v>21000</v>
      </c>
      <c r="D365" s="6">
        <f>(C365/12)*4</f>
        <v>7000</v>
      </c>
      <c r="E365" s="62">
        <v>0</v>
      </c>
      <c r="F365" s="6">
        <f>SUM(E362:E365)</f>
        <v>1800</v>
      </c>
      <c r="G365" s="35" t="str">
        <f t="shared" si="72"/>
        <v>Farol Vermelho</v>
      </c>
      <c r="H365">
        <f t="shared" si="70"/>
        <v>5200</v>
      </c>
      <c r="I365" s="6">
        <f t="shared" si="71"/>
        <v>4</v>
      </c>
      <c r="J365" s="100">
        <v>10</v>
      </c>
      <c r="K365" s="62">
        <v>0</v>
      </c>
      <c r="L365" s="6">
        <f>$L362+L364</f>
        <v>3.3333333333333335</v>
      </c>
      <c r="M365" s="6">
        <f t="shared" si="76"/>
        <v>3</v>
      </c>
      <c r="N365" s="71">
        <v>0</v>
      </c>
      <c r="O365" t="e">
        <f t="shared" si="73"/>
        <v>#DIV/0!</v>
      </c>
      <c r="P365" s="71">
        <v>0</v>
      </c>
      <c r="Q365" t="e">
        <f t="shared" si="74"/>
        <v>#DIV/0!</v>
      </c>
      <c r="R365" s="71">
        <v>0</v>
      </c>
      <c r="S365" s="6" t="e">
        <f t="shared" si="75"/>
        <v>#DIV/0!</v>
      </c>
    </row>
    <row r="366" spans="1:19" x14ac:dyDescent="0.2">
      <c r="A366" s="36" t="s">
        <v>82</v>
      </c>
      <c r="B366" s="6" t="s">
        <v>155</v>
      </c>
      <c r="C366" s="71">
        <v>21000</v>
      </c>
      <c r="D366" s="6">
        <f>(C366/12)*5</f>
        <v>8750</v>
      </c>
      <c r="E366" s="62">
        <v>0</v>
      </c>
      <c r="F366" s="6">
        <f>SUM(E362:E366)</f>
        <v>1800</v>
      </c>
      <c r="G366" s="35" t="str">
        <f t="shared" si="72"/>
        <v>Farol Vermelho</v>
      </c>
      <c r="H366">
        <f t="shared" si="70"/>
        <v>6950</v>
      </c>
      <c r="I366" s="6">
        <f t="shared" si="71"/>
        <v>5</v>
      </c>
      <c r="J366" s="100">
        <v>10</v>
      </c>
      <c r="K366" s="62">
        <v>0</v>
      </c>
      <c r="L366" s="6">
        <f>L362+L365</f>
        <v>4.166666666666667</v>
      </c>
      <c r="M366" s="6">
        <f t="shared" si="76"/>
        <v>3</v>
      </c>
      <c r="N366" s="71">
        <v>0</v>
      </c>
      <c r="O366" t="e">
        <f t="shared" si="73"/>
        <v>#DIV/0!</v>
      </c>
      <c r="P366" s="71">
        <v>0</v>
      </c>
      <c r="Q366" t="e">
        <f t="shared" si="74"/>
        <v>#DIV/0!</v>
      </c>
      <c r="R366" s="71">
        <v>0</v>
      </c>
      <c r="S366" s="6" t="e">
        <f t="shared" si="75"/>
        <v>#DIV/0!</v>
      </c>
    </row>
    <row r="367" spans="1:19" x14ac:dyDescent="0.2">
      <c r="A367" s="36" t="s">
        <v>82</v>
      </c>
      <c r="B367" s="6" t="s">
        <v>156</v>
      </c>
      <c r="C367" s="71">
        <v>21000</v>
      </c>
      <c r="D367" s="6">
        <f>(C367/12)*6</f>
        <v>10500</v>
      </c>
      <c r="E367" s="62">
        <v>5320</v>
      </c>
      <c r="F367" s="6">
        <f>SUM(E362:E367)</f>
        <v>7120</v>
      </c>
      <c r="G367" s="35" t="str">
        <f t="shared" si="72"/>
        <v>Farol Vermelho</v>
      </c>
      <c r="H367">
        <f t="shared" si="70"/>
        <v>3380</v>
      </c>
      <c r="I367" s="6">
        <f t="shared" si="71"/>
        <v>6</v>
      </c>
      <c r="J367" s="100">
        <v>10</v>
      </c>
      <c r="K367" s="62">
        <v>2</v>
      </c>
      <c r="L367" s="6">
        <f>$L362+L366</f>
        <v>5</v>
      </c>
      <c r="M367" s="6">
        <f t="shared" si="76"/>
        <v>5</v>
      </c>
      <c r="N367" s="71">
        <v>3</v>
      </c>
      <c r="O367">
        <f t="shared" si="73"/>
        <v>0.33333333333333331</v>
      </c>
      <c r="P367" s="71">
        <v>1</v>
      </c>
      <c r="Q367">
        <f t="shared" si="74"/>
        <v>1</v>
      </c>
      <c r="R367" s="71">
        <v>1</v>
      </c>
      <c r="S367" s="6">
        <f t="shared" si="75"/>
        <v>0.33333333333333331</v>
      </c>
    </row>
    <row r="368" spans="1:19" x14ac:dyDescent="0.2">
      <c r="A368" s="36" t="s">
        <v>82</v>
      </c>
      <c r="B368" s="6" t="s">
        <v>157</v>
      </c>
      <c r="C368" s="71">
        <v>21000</v>
      </c>
      <c r="D368" s="6">
        <f>(C368/12)*7</f>
        <v>12250</v>
      </c>
      <c r="E368" s="62">
        <v>34618.230000000003</v>
      </c>
      <c r="F368" s="6">
        <f>SUM(E362:E368)</f>
        <v>41738.230000000003</v>
      </c>
      <c r="G368" s="35" t="str">
        <f t="shared" si="72"/>
        <v>Farol Verde</v>
      </c>
      <c r="H368">
        <f t="shared" si="70"/>
        <v>0</v>
      </c>
      <c r="I368" s="6">
        <f t="shared" si="71"/>
        <v>7</v>
      </c>
      <c r="J368" s="100">
        <v>10</v>
      </c>
      <c r="K368" s="62">
        <v>1</v>
      </c>
      <c r="L368" s="6">
        <f>$L362+L367</f>
        <v>5.833333333333333</v>
      </c>
      <c r="M368" s="6">
        <f t="shared" si="76"/>
        <v>6</v>
      </c>
      <c r="N368" s="71"/>
      <c r="O368" t="e">
        <f t="shared" si="73"/>
        <v>#DIV/0!</v>
      </c>
      <c r="P368" s="71"/>
      <c r="Q368" t="e">
        <f t="shared" si="74"/>
        <v>#DIV/0!</v>
      </c>
      <c r="R368" s="71"/>
      <c r="S368" s="6" t="e">
        <f t="shared" si="75"/>
        <v>#DIV/0!</v>
      </c>
    </row>
    <row r="369" spans="1:19" x14ac:dyDescent="0.2">
      <c r="A369" s="36" t="s">
        <v>82</v>
      </c>
      <c r="B369" s="6" t="s">
        <v>158</v>
      </c>
      <c r="C369" s="71">
        <v>21000</v>
      </c>
      <c r="D369" s="6">
        <f>(C369/12)*8</f>
        <v>14000</v>
      </c>
      <c r="E369" s="62">
        <v>0</v>
      </c>
      <c r="F369" s="6">
        <f>SUM(E362:E369)</f>
        <v>41738.230000000003</v>
      </c>
      <c r="G369" s="35" t="str">
        <f t="shared" si="72"/>
        <v>Farol Verde</v>
      </c>
      <c r="H369">
        <f t="shared" si="70"/>
        <v>0</v>
      </c>
      <c r="I369" s="6">
        <f t="shared" si="71"/>
        <v>8</v>
      </c>
      <c r="J369" s="100">
        <v>10</v>
      </c>
      <c r="K369" s="62"/>
      <c r="L369" s="6">
        <f>L362+L368</f>
        <v>6.6666666666666661</v>
      </c>
      <c r="M369" s="6">
        <f t="shared" si="76"/>
        <v>6</v>
      </c>
      <c r="N369" s="71"/>
      <c r="O369" t="e">
        <f t="shared" si="73"/>
        <v>#DIV/0!</v>
      </c>
      <c r="P369" s="71"/>
      <c r="Q369" t="e">
        <f t="shared" si="74"/>
        <v>#DIV/0!</v>
      </c>
      <c r="R369" s="71"/>
      <c r="S369" s="6" t="e">
        <f t="shared" si="75"/>
        <v>#DIV/0!</v>
      </c>
    </row>
    <row r="370" spans="1:19" x14ac:dyDescent="0.2">
      <c r="A370" s="36" t="s">
        <v>82</v>
      </c>
      <c r="B370" s="6" t="s">
        <v>159</v>
      </c>
      <c r="C370" s="71">
        <v>21000</v>
      </c>
      <c r="D370" s="6">
        <f>(C370/12)*9</f>
        <v>15750</v>
      </c>
      <c r="E370" s="62">
        <v>0</v>
      </c>
      <c r="F370" s="6">
        <f>SUM(E362:E370)</f>
        <v>41738.230000000003</v>
      </c>
      <c r="G370" s="35" t="str">
        <f t="shared" si="72"/>
        <v>Farol Verde</v>
      </c>
      <c r="H370">
        <f t="shared" si="70"/>
        <v>0</v>
      </c>
      <c r="I370" s="6">
        <f t="shared" si="71"/>
        <v>9</v>
      </c>
      <c r="J370" s="100">
        <v>10</v>
      </c>
      <c r="K370" s="62"/>
      <c r="L370" s="6">
        <f>$L362+L369</f>
        <v>7.4999999999999991</v>
      </c>
      <c r="M370" s="6">
        <f t="shared" si="76"/>
        <v>6</v>
      </c>
      <c r="N370" s="71"/>
      <c r="O370" t="e">
        <f t="shared" si="73"/>
        <v>#DIV/0!</v>
      </c>
      <c r="P370" s="71"/>
      <c r="Q370" t="e">
        <f t="shared" si="74"/>
        <v>#DIV/0!</v>
      </c>
      <c r="R370" s="71"/>
      <c r="S370" s="6" t="e">
        <f t="shared" si="75"/>
        <v>#DIV/0!</v>
      </c>
    </row>
    <row r="371" spans="1:19" x14ac:dyDescent="0.2">
      <c r="A371" s="36" t="s">
        <v>82</v>
      </c>
      <c r="B371" s="6" t="s">
        <v>160</v>
      </c>
      <c r="C371" s="71">
        <v>21000</v>
      </c>
      <c r="D371" s="6">
        <f>(C371/12)*10</f>
        <v>17500</v>
      </c>
      <c r="E371" s="62">
        <v>0</v>
      </c>
      <c r="F371" s="6">
        <f>SUM(E362:E371)</f>
        <v>41738.230000000003</v>
      </c>
      <c r="G371" s="35" t="str">
        <f t="shared" si="72"/>
        <v>Farol Verde</v>
      </c>
      <c r="H371">
        <f t="shared" si="70"/>
        <v>0</v>
      </c>
      <c r="I371" s="6">
        <f t="shared" si="71"/>
        <v>10</v>
      </c>
      <c r="J371" s="100">
        <v>10</v>
      </c>
      <c r="K371" s="62"/>
      <c r="L371" s="6">
        <f>$L362+L370</f>
        <v>8.3333333333333321</v>
      </c>
      <c r="M371" s="6">
        <f t="shared" si="76"/>
        <v>6</v>
      </c>
      <c r="N371" s="71"/>
      <c r="O371" t="e">
        <f t="shared" si="73"/>
        <v>#DIV/0!</v>
      </c>
      <c r="P371" s="71"/>
      <c r="Q371" t="e">
        <f t="shared" si="74"/>
        <v>#DIV/0!</v>
      </c>
      <c r="R371" s="71"/>
      <c r="S371" s="6" t="e">
        <f t="shared" si="75"/>
        <v>#DIV/0!</v>
      </c>
    </row>
    <row r="372" spans="1:19" x14ac:dyDescent="0.2">
      <c r="A372" s="36" t="s">
        <v>82</v>
      </c>
      <c r="B372" s="6" t="s">
        <v>161</v>
      </c>
      <c r="C372" s="71">
        <v>21000</v>
      </c>
      <c r="D372" s="6">
        <f>(C372/12)*11</f>
        <v>19250</v>
      </c>
      <c r="E372" s="62">
        <v>0</v>
      </c>
      <c r="F372" s="6">
        <f>SUM(E362:E372)</f>
        <v>41738.230000000003</v>
      </c>
      <c r="G372" s="35" t="str">
        <f t="shared" si="72"/>
        <v>Farol Verde</v>
      </c>
      <c r="H372">
        <f t="shared" si="70"/>
        <v>0</v>
      </c>
      <c r="I372" s="6">
        <f t="shared" si="71"/>
        <v>11</v>
      </c>
      <c r="J372" s="100">
        <v>10</v>
      </c>
      <c r="K372" s="62"/>
      <c r="L372" s="6">
        <f>L362+L371</f>
        <v>9.1666666666666661</v>
      </c>
      <c r="M372" s="6">
        <f t="shared" si="76"/>
        <v>6</v>
      </c>
      <c r="N372" s="71"/>
      <c r="O372" t="e">
        <f t="shared" si="73"/>
        <v>#DIV/0!</v>
      </c>
      <c r="P372" s="71"/>
      <c r="Q372" t="e">
        <f t="shared" si="74"/>
        <v>#DIV/0!</v>
      </c>
      <c r="R372" s="71"/>
      <c r="S372" s="6" t="e">
        <f t="shared" si="75"/>
        <v>#DIV/0!</v>
      </c>
    </row>
    <row r="373" spans="1:19" x14ac:dyDescent="0.2">
      <c r="A373" s="36" t="s">
        <v>82</v>
      </c>
      <c r="B373" s="6" t="s">
        <v>162</v>
      </c>
      <c r="C373" s="71">
        <v>21000</v>
      </c>
      <c r="D373" s="6">
        <f>(C373/12)*12</f>
        <v>21000</v>
      </c>
      <c r="E373" s="62">
        <v>0</v>
      </c>
      <c r="F373" s="6">
        <f>SUM(E362:E373)</f>
        <v>41738.230000000003</v>
      </c>
      <c r="G373" s="35" t="str">
        <f t="shared" si="72"/>
        <v>Farol Verde</v>
      </c>
      <c r="H373">
        <f t="shared" si="70"/>
        <v>0</v>
      </c>
      <c r="I373" s="6">
        <f t="shared" si="71"/>
        <v>12</v>
      </c>
      <c r="J373" s="100">
        <v>10</v>
      </c>
      <c r="K373" s="62"/>
      <c r="L373" s="6">
        <f>$L362+L372</f>
        <v>10</v>
      </c>
      <c r="M373" s="6">
        <f t="shared" si="76"/>
        <v>6</v>
      </c>
      <c r="N373" s="71"/>
      <c r="O373" t="e">
        <f t="shared" si="73"/>
        <v>#DIV/0!</v>
      </c>
      <c r="P373" s="71"/>
      <c r="Q373" t="e">
        <f t="shared" si="74"/>
        <v>#DIV/0!</v>
      </c>
      <c r="R373" s="71"/>
      <c r="S373" s="6" t="e">
        <f t="shared" si="75"/>
        <v>#DIV/0!</v>
      </c>
    </row>
    <row r="374" spans="1:19" x14ac:dyDescent="0.2">
      <c r="A374" s="36" t="s">
        <v>64</v>
      </c>
      <c r="B374" s="6" t="s">
        <v>151</v>
      </c>
      <c r="C374" s="71">
        <v>34000</v>
      </c>
      <c r="D374" s="6">
        <f>(C374/12)*1</f>
        <v>2833.3333333333335</v>
      </c>
      <c r="E374" s="62">
        <v>0</v>
      </c>
      <c r="F374" s="6">
        <f>E374</f>
        <v>0</v>
      </c>
      <c r="G374" s="35" t="str">
        <f t="shared" si="72"/>
        <v>Farol Vermelho</v>
      </c>
      <c r="H374">
        <f t="shared" si="70"/>
        <v>2833.3333333333335</v>
      </c>
      <c r="I374" s="6">
        <f t="shared" si="71"/>
        <v>1</v>
      </c>
      <c r="J374" s="100">
        <v>13</v>
      </c>
      <c r="K374" s="62">
        <v>0</v>
      </c>
      <c r="L374" s="6">
        <f>J374/12</f>
        <v>1.0833333333333333</v>
      </c>
      <c r="M374" s="6">
        <f>K374</f>
        <v>0</v>
      </c>
      <c r="N374" s="71">
        <v>0</v>
      </c>
      <c r="O374" t="e">
        <f t="shared" si="73"/>
        <v>#DIV/0!</v>
      </c>
      <c r="P374" s="71">
        <v>0</v>
      </c>
      <c r="Q374" t="e">
        <f t="shared" si="74"/>
        <v>#DIV/0!</v>
      </c>
      <c r="R374" s="71">
        <v>0</v>
      </c>
      <c r="S374" s="6" t="e">
        <f t="shared" si="75"/>
        <v>#DIV/0!</v>
      </c>
    </row>
    <row r="375" spans="1:19" x14ac:dyDescent="0.2">
      <c r="A375" s="36" t="s">
        <v>64</v>
      </c>
      <c r="B375" s="6" t="s">
        <v>152</v>
      </c>
      <c r="C375" s="71">
        <v>34000</v>
      </c>
      <c r="D375" s="6">
        <f>(C375/12)*2</f>
        <v>5666.666666666667</v>
      </c>
      <c r="E375" s="62">
        <v>0</v>
      </c>
      <c r="F375" s="6">
        <f>SUM(E374:E375)</f>
        <v>0</v>
      </c>
      <c r="G375" s="35" t="str">
        <f t="shared" si="72"/>
        <v>Farol Vermelho</v>
      </c>
      <c r="H375">
        <f t="shared" si="70"/>
        <v>5666.666666666667</v>
      </c>
      <c r="I375" s="6">
        <f t="shared" si="71"/>
        <v>2</v>
      </c>
      <c r="J375" s="100">
        <v>13</v>
      </c>
      <c r="K375" s="62">
        <v>0</v>
      </c>
      <c r="L375" s="6">
        <f>L374+L374</f>
        <v>2.1666666666666665</v>
      </c>
      <c r="M375" s="6">
        <f>M374+K375</f>
        <v>0</v>
      </c>
      <c r="N375" s="71">
        <v>0</v>
      </c>
      <c r="O375" t="e">
        <f t="shared" si="73"/>
        <v>#DIV/0!</v>
      </c>
      <c r="P375" s="71">
        <v>0</v>
      </c>
      <c r="Q375" t="e">
        <f t="shared" si="74"/>
        <v>#DIV/0!</v>
      </c>
      <c r="R375" s="71">
        <v>0</v>
      </c>
      <c r="S375" s="6" t="e">
        <f t="shared" si="75"/>
        <v>#DIV/0!</v>
      </c>
    </row>
    <row r="376" spans="1:19" x14ac:dyDescent="0.2">
      <c r="A376" s="36" t="s">
        <v>64</v>
      </c>
      <c r="B376" s="6" t="s">
        <v>153</v>
      </c>
      <c r="C376" s="71">
        <v>34000</v>
      </c>
      <c r="D376" s="6">
        <f>(C376/12)*3</f>
        <v>8500</v>
      </c>
      <c r="E376" s="62">
        <v>0</v>
      </c>
      <c r="F376" s="6">
        <f>SUM(E374:E376)</f>
        <v>0</v>
      </c>
      <c r="G376" s="35" t="str">
        <f t="shared" si="72"/>
        <v>Farol Vermelho</v>
      </c>
      <c r="H376">
        <f t="shared" si="70"/>
        <v>8500</v>
      </c>
      <c r="I376" s="6">
        <f t="shared" si="71"/>
        <v>3</v>
      </c>
      <c r="J376" s="100">
        <v>13</v>
      </c>
      <c r="K376" s="62">
        <v>0</v>
      </c>
      <c r="L376" s="6">
        <f>$L374+L375</f>
        <v>3.25</v>
      </c>
      <c r="M376" s="6">
        <f t="shared" ref="M376:M385" si="77">M375+K376</f>
        <v>0</v>
      </c>
      <c r="N376" s="71">
        <v>0</v>
      </c>
      <c r="O376" t="e">
        <f t="shared" si="73"/>
        <v>#DIV/0!</v>
      </c>
      <c r="P376" s="71">
        <v>0</v>
      </c>
      <c r="Q376" t="e">
        <f t="shared" si="74"/>
        <v>#DIV/0!</v>
      </c>
      <c r="R376" s="71">
        <v>0</v>
      </c>
      <c r="S376" s="6" t="e">
        <f t="shared" si="75"/>
        <v>#DIV/0!</v>
      </c>
    </row>
    <row r="377" spans="1:19" x14ac:dyDescent="0.2">
      <c r="A377" s="36" t="s">
        <v>64</v>
      </c>
      <c r="B377" s="6" t="s">
        <v>154</v>
      </c>
      <c r="C377" s="71">
        <v>34000</v>
      </c>
      <c r="D377" s="6">
        <f>(C377/12)*4</f>
        <v>11333.333333333334</v>
      </c>
      <c r="E377" s="62">
        <v>0</v>
      </c>
      <c r="F377" s="6">
        <f>SUM(E374:E377)</f>
        <v>0</v>
      </c>
      <c r="G377" s="35" t="str">
        <f t="shared" si="72"/>
        <v>Farol Vermelho</v>
      </c>
      <c r="H377">
        <f t="shared" si="70"/>
        <v>11333.333333333334</v>
      </c>
      <c r="I377" s="6">
        <f t="shared" si="71"/>
        <v>4</v>
      </c>
      <c r="J377" s="100">
        <v>13</v>
      </c>
      <c r="K377" s="62">
        <v>0</v>
      </c>
      <c r="L377" s="6">
        <f>$L374+L376</f>
        <v>4.333333333333333</v>
      </c>
      <c r="M377" s="6">
        <f t="shared" si="77"/>
        <v>0</v>
      </c>
      <c r="N377" s="71">
        <v>0</v>
      </c>
      <c r="O377" t="e">
        <f t="shared" si="73"/>
        <v>#DIV/0!</v>
      </c>
      <c r="P377" s="71">
        <v>0</v>
      </c>
      <c r="Q377" t="e">
        <f t="shared" si="74"/>
        <v>#DIV/0!</v>
      </c>
      <c r="R377" s="71">
        <v>0</v>
      </c>
      <c r="S377" s="6" t="e">
        <f t="shared" si="75"/>
        <v>#DIV/0!</v>
      </c>
    </row>
    <row r="378" spans="1:19" x14ac:dyDescent="0.2">
      <c r="A378" s="36" t="s">
        <v>64</v>
      </c>
      <c r="B378" s="6" t="s">
        <v>155</v>
      </c>
      <c r="C378" s="71">
        <v>34000</v>
      </c>
      <c r="D378" s="6">
        <f>(C378/12)*5</f>
        <v>14166.666666666668</v>
      </c>
      <c r="E378" s="62">
        <v>0</v>
      </c>
      <c r="F378" s="6">
        <f>SUM(E374:E378)</f>
        <v>0</v>
      </c>
      <c r="G378" s="35" t="str">
        <f t="shared" si="72"/>
        <v>Farol Vermelho</v>
      </c>
      <c r="H378">
        <f t="shared" si="70"/>
        <v>14166.666666666668</v>
      </c>
      <c r="I378" s="6">
        <f t="shared" si="71"/>
        <v>5</v>
      </c>
      <c r="J378" s="100">
        <v>13</v>
      </c>
      <c r="K378" s="62">
        <v>0</v>
      </c>
      <c r="L378" s="6">
        <f>L374+L377</f>
        <v>5.4166666666666661</v>
      </c>
      <c r="M378" s="6">
        <f t="shared" si="77"/>
        <v>0</v>
      </c>
      <c r="N378" s="71">
        <v>0</v>
      </c>
      <c r="O378" t="e">
        <f t="shared" si="73"/>
        <v>#DIV/0!</v>
      </c>
      <c r="P378" s="71">
        <v>0</v>
      </c>
      <c r="Q378" t="e">
        <f t="shared" si="74"/>
        <v>#DIV/0!</v>
      </c>
      <c r="R378" s="71">
        <v>0</v>
      </c>
      <c r="S378" s="6" t="e">
        <f t="shared" si="75"/>
        <v>#DIV/0!</v>
      </c>
    </row>
    <row r="379" spans="1:19" x14ac:dyDescent="0.2">
      <c r="A379" s="36" t="s">
        <v>64</v>
      </c>
      <c r="B379" s="6" t="s">
        <v>156</v>
      </c>
      <c r="C379" s="71">
        <v>34000</v>
      </c>
      <c r="D379" s="6">
        <f>(C379/12)*6</f>
        <v>17000</v>
      </c>
      <c r="E379" s="62">
        <v>0</v>
      </c>
      <c r="F379" s="6">
        <f>SUM(E374:E379)</f>
        <v>0</v>
      </c>
      <c r="G379" s="35" t="str">
        <f t="shared" si="72"/>
        <v>Farol Vermelho</v>
      </c>
      <c r="H379">
        <f t="shared" si="70"/>
        <v>17000</v>
      </c>
      <c r="I379" s="6">
        <f t="shared" si="71"/>
        <v>6</v>
      </c>
      <c r="J379" s="100">
        <v>13</v>
      </c>
      <c r="K379" s="62">
        <v>0</v>
      </c>
      <c r="L379" s="6">
        <f>$L374+L378</f>
        <v>6.4999999999999991</v>
      </c>
      <c r="M379" s="6">
        <f t="shared" si="77"/>
        <v>0</v>
      </c>
      <c r="N379" s="71">
        <v>0</v>
      </c>
      <c r="O379" t="e">
        <f t="shared" si="73"/>
        <v>#DIV/0!</v>
      </c>
      <c r="P379" s="71">
        <v>0</v>
      </c>
      <c r="Q379" t="e">
        <f t="shared" si="74"/>
        <v>#DIV/0!</v>
      </c>
      <c r="R379" s="71">
        <v>0</v>
      </c>
      <c r="S379" s="6" t="e">
        <f t="shared" si="75"/>
        <v>#DIV/0!</v>
      </c>
    </row>
    <row r="380" spans="1:19" x14ac:dyDescent="0.2">
      <c r="A380" s="36" t="s">
        <v>64</v>
      </c>
      <c r="B380" s="6" t="s">
        <v>157</v>
      </c>
      <c r="C380" s="71">
        <v>34000</v>
      </c>
      <c r="D380" s="6">
        <f>(C380/12)*7</f>
        <v>19833.333333333336</v>
      </c>
      <c r="E380" s="62">
        <v>0</v>
      </c>
      <c r="F380" s="6">
        <f>SUM(E374:E380)</f>
        <v>0</v>
      </c>
      <c r="G380" s="35" t="str">
        <f t="shared" si="72"/>
        <v>Farol Vermelho</v>
      </c>
      <c r="H380">
        <f t="shared" si="70"/>
        <v>19833.333333333336</v>
      </c>
      <c r="I380" s="6">
        <f t="shared" si="71"/>
        <v>7</v>
      </c>
      <c r="J380" s="100">
        <v>13</v>
      </c>
      <c r="K380" s="62">
        <v>0</v>
      </c>
      <c r="L380" s="6">
        <f>$L374+L379</f>
        <v>7.5833333333333321</v>
      </c>
      <c r="M380" s="6">
        <f t="shared" si="77"/>
        <v>0</v>
      </c>
      <c r="N380" s="71"/>
      <c r="O380" t="e">
        <f t="shared" si="73"/>
        <v>#DIV/0!</v>
      </c>
      <c r="P380" s="71"/>
      <c r="Q380" t="e">
        <f t="shared" si="74"/>
        <v>#DIV/0!</v>
      </c>
      <c r="R380" s="71"/>
      <c r="S380" s="6" t="e">
        <f t="shared" si="75"/>
        <v>#DIV/0!</v>
      </c>
    </row>
    <row r="381" spans="1:19" x14ac:dyDescent="0.2">
      <c r="A381" s="36" t="s">
        <v>64</v>
      </c>
      <c r="B381" s="6" t="s">
        <v>158</v>
      </c>
      <c r="C381" s="71">
        <v>34000</v>
      </c>
      <c r="D381" s="6">
        <f>(C381/12)*8</f>
        <v>22666.666666666668</v>
      </c>
      <c r="E381" s="62">
        <v>0</v>
      </c>
      <c r="F381" s="6">
        <f>SUM(E374:E381)</f>
        <v>0</v>
      </c>
      <c r="G381" s="35" t="str">
        <f t="shared" si="72"/>
        <v>Farol Vermelho</v>
      </c>
      <c r="H381">
        <f t="shared" si="70"/>
        <v>22666.666666666668</v>
      </c>
      <c r="I381" s="6">
        <f t="shared" si="71"/>
        <v>8</v>
      </c>
      <c r="J381" s="100">
        <v>13</v>
      </c>
      <c r="K381" s="62"/>
      <c r="L381" s="6">
        <f>L374+L380</f>
        <v>8.6666666666666661</v>
      </c>
      <c r="M381" s="6">
        <f t="shared" si="77"/>
        <v>0</v>
      </c>
      <c r="N381" s="71"/>
      <c r="O381" t="e">
        <f t="shared" si="73"/>
        <v>#DIV/0!</v>
      </c>
      <c r="P381" s="71"/>
      <c r="Q381" t="e">
        <f t="shared" si="74"/>
        <v>#DIV/0!</v>
      </c>
      <c r="R381" s="71"/>
      <c r="S381" s="6" t="e">
        <f t="shared" si="75"/>
        <v>#DIV/0!</v>
      </c>
    </row>
    <row r="382" spans="1:19" x14ac:dyDescent="0.2">
      <c r="A382" s="36" t="s">
        <v>64</v>
      </c>
      <c r="B382" s="6" t="s">
        <v>159</v>
      </c>
      <c r="C382" s="71">
        <v>34000</v>
      </c>
      <c r="D382" s="6">
        <f>(C382/12)*9</f>
        <v>25500</v>
      </c>
      <c r="E382" s="62">
        <v>0</v>
      </c>
      <c r="F382" s="6">
        <f>SUM(E374:E382)</f>
        <v>0</v>
      </c>
      <c r="G382" s="35" t="str">
        <f t="shared" si="72"/>
        <v>Farol Vermelho</v>
      </c>
      <c r="H382">
        <f t="shared" si="70"/>
        <v>25500</v>
      </c>
      <c r="I382" s="6">
        <f t="shared" si="71"/>
        <v>9</v>
      </c>
      <c r="J382" s="100">
        <v>13</v>
      </c>
      <c r="K382" s="62"/>
      <c r="L382" s="6">
        <f>$L374+L381</f>
        <v>9.75</v>
      </c>
      <c r="M382" s="6">
        <f t="shared" si="77"/>
        <v>0</v>
      </c>
      <c r="N382" s="71"/>
      <c r="O382" t="e">
        <f t="shared" si="73"/>
        <v>#DIV/0!</v>
      </c>
      <c r="P382" s="71"/>
      <c r="Q382" t="e">
        <f t="shared" si="74"/>
        <v>#DIV/0!</v>
      </c>
      <c r="R382" s="71"/>
      <c r="S382" s="6" t="e">
        <f t="shared" si="75"/>
        <v>#DIV/0!</v>
      </c>
    </row>
    <row r="383" spans="1:19" x14ac:dyDescent="0.2">
      <c r="A383" s="36" t="s">
        <v>64</v>
      </c>
      <c r="B383" s="6" t="s">
        <v>160</v>
      </c>
      <c r="C383" s="71">
        <v>34000</v>
      </c>
      <c r="D383" s="6">
        <f>(C383/12)*10</f>
        <v>28333.333333333336</v>
      </c>
      <c r="E383" s="62">
        <v>0</v>
      </c>
      <c r="F383" s="6">
        <f>SUM(E374:E383)</f>
        <v>0</v>
      </c>
      <c r="G383" s="35" t="str">
        <f t="shared" si="72"/>
        <v>Farol Vermelho</v>
      </c>
      <c r="H383">
        <f t="shared" si="70"/>
        <v>28333.333333333336</v>
      </c>
      <c r="I383" s="6">
        <f t="shared" si="71"/>
        <v>10</v>
      </c>
      <c r="J383" s="100">
        <v>13</v>
      </c>
      <c r="K383" s="62"/>
      <c r="L383" s="6">
        <f>$L374+L382</f>
        <v>10.833333333333334</v>
      </c>
      <c r="M383" s="6">
        <f t="shared" si="77"/>
        <v>0</v>
      </c>
      <c r="N383" s="71"/>
      <c r="O383" t="e">
        <f t="shared" si="73"/>
        <v>#DIV/0!</v>
      </c>
      <c r="P383" s="71"/>
      <c r="Q383" t="e">
        <f t="shared" si="74"/>
        <v>#DIV/0!</v>
      </c>
      <c r="R383" s="71"/>
      <c r="S383" s="6" t="e">
        <f t="shared" si="75"/>
        <v>#DIV/0!</v>
      </c>
    </row>
    <row r="384" spans="1:19" x14ac:dyDescent="0.2">
      <c r="A384" s="36" t="s">
        <v>64</v>
      </c>
      <c r="B384" s="6" t="s">
        <v>161</v>
      </c>
      <c r="C384" s="71">
        <v>34000</v>
      </c>
      <c r="D384" s="6">
        <f>(C384/12)*11</f>
        <v>31166.666666666668</v>
      </c>
      <c r="E384" s="62">
        <v>0</v>
      </c>
      <c r="F384" s="6">
        <f>SUM(E374:E384)</f>
        <v>0</v>
      </c>
      <c r="G384" s="35" t="str">
        <f t="shared" si="72"/>
        <v>Farol Vermelho</v>
      </c>
      <c r="H384">
        <f t="shared" si="70"/>
        <v>31166.666666666668</v>
      </c>
      <c r="I384" s="6">
        <f t="shared" si="71"/>
        <v>11</v>
      </c>
      <c r="J384" s="100">
        <v>13</v>
      </c>
      <c r="K384" s="62"/>
      <c r="L384" s="6">
        <f>L374+L383</f>
        <v>11.916666666666668</v>
      </c>
      <c r="M384" s="6">
        <f t="shared" si="77"/>
        <v>0</v>
      </c>
      <c r="N384" s="71"/>
      <c r="O384" t="e">
        <f t="shared" si="73"/>
        <v>#DIV/0!</v>
      </c>
      <c r="P384" s="71"/>
      <c r="Q384" t="e">
        <f t="shared" si="74"/>
        <v>#DIV/0!</v>
      </c>
      <c r="R384" s="71"/>
      <c r="S384" s="6" t="e">
        <f t="shared" si="75"/>
        <v>#DIV/0!</v>
      </c>
    </row>
    <row r="385" spans="1:19" x14ac:dyDescent="0.2">
      <c r="A385" s="36" t="s">
        <v>64</v>
      </c>
      <c r="B385" s="6" t="s">
        <v>162</v>
      </c>
      <c r="C385" s="71">
        <v>34000</v>
      </c>
      <c r="D385" s="6">
        <f>(C385/12)*12</f>
        <v>34000</v>
      </c>
      <c r="E385" s="62">
        <v>0</v>
      </c>
      <c r="F385" s="6">
        <f>SUM(E374:E385)</f>
        <v>0</v>
      </c>
      <c r="G385" s="35" t="str">
        <f t="shared" si="72"/>
        <v>Farol Vermelho</v>
      </c>
      <c r="H385">
        <f t="shared" si="70"/>
        <v>34000</v>
      </c>
      <c r="I385" s="6">
        <f t="shared" si="71"/>
        <v>12</v>
      </c>
      <c r="J385" s="100">
        <v>13</v>
      </c>
      <c r="K385" s="62"/>
      <c r="L385" s="6">
        <f>$L374+L384</f>
        <v>13.000000000000002</v>
      </c>
      <c r="M385" s="6">
        <f t="shared" si="77"/>
        <v>0</v>
      </c>
      <c r="N385" s="71"/>
      <c r="O385" t="e">
        <f t="shared" si="73"/>
        <v>#DIV/0!</v>
      </c>
      <c r="P385" s="71"/>
      <c r="Q385" t="e">
        <f t="shared" si="74"/>
        <v>#DIV/0!</v>
      </c>
      <c r="R385" s="71"/>
      <c r="S385" s="6" t="e">
        <f t="shared" si="75"/>
        <v>#DIV/0!</v>
      </c>
    </row>
    <row r="386" spans="1:19" x14ac:dyDescent="0.2">
      <c r="A386" s="36" t="s">
        <v>135</v>
      </c>
      <c r="B386" s="6" t="s">
        <v>151</v>
      </c>
      <c r="C386" s="71">
        <v>7000</v>
      </c>
      <c r="D386" s="6">
        <f>(C386/12)*1</f>
        <v>583.33333333333337</v>
      </c>
      <c r="E386" s="62">
        <v>0</v>
      </c>
      <c r="F386" s="6">
        <f>E386</f>
        <v>0</v>
      </c>
      <c r="G386" s="35" t="str">
        <f t="shared" si="72"/>
        <v>Farol Vermelho</v>
      </c>
      <c r="H386">
        <f t="shared" si="70"/>
        <v>583.33333333333337</v>
      </c>
      <c r="I386" s="6">
        <f t="shared" si="71"/>
        <v>1</v>
      </c>
      <c r="J386" s="100">
        <v>7</v>
      </c>
      <c r="K386" s="62">
        <v>0</v>
      </c>
      <c r="L386" s="6">
        <f>J386/12</f>
        <v>0.58333333333333337</v>
      </c>
      <c r="M386" s="6">
        <f>K386</f>
        <v>0</v>
      </c>
      <c r="N386" s="71">
        <v>0</v>
      </c>
      <c r="O386" t="e">
        <f t="shared" si="73"/>
        <v>#DIV/0!</v>
      </c>
      <c r="P386" s="71">
        <v>0</v>
      </c>
      <c r="Q386" t="e">
        <f t="shared" si="74"/>
        <v>#DIV/0!</v>
      </c>
      <c r="R386" s="71">
        <v>0</v>
      </c>
      <c r="S386" s="6" t="e">
        <f t="shared" si="75"/>
        <v>#DIV/0!</v>
      </c>
    </row>
    <row r="387" spans="1:19" x14ac:dyDescent="0.2">
      <c r="A387" s="36" t="s">
        <v>135</v>
      </c>
      <c r="B387" s="6" t="s">
        <v>152</v>
      </c>
      <c r="C387" s="71">
        <v>7000</v>
      </c>
      <c r="D387" s="6">
        <f>(C387/12)*2</f>
        <v>1166.6666666666667</v>
      </c>
      <c r="E387" s="62">
        <v>0</v>
      </c>
      <c r="F387" s="6">
        <f>SUM(E386:E387)</f>
        <v>0</v>
      </c>
      <c r="G387" s="35" t="str">
        <f t="shared" si="72"/>
        <v>Farol Vermelho</v>
      </c>
      <c r="H387">
        <f t="shared" si="70"/>
        <v>1166.6666666666667</v>
      </c>
      <c r="I387" s="6">
        <f t="shared" si="71"/>
        <v>2</v>
      </c>
      <c r="J387" s="100">
        <v>7</v>
      </c>
      <c r="K387" s="62">
        <v>0</v>
      </c>
      <c r="L387" s="6">
        <f>L386+L386</f>
        <v>1.1666666666666667</v>
      </c>
      <c r="M387" s="6">
        <f>M386+K387</f>
        <v>0</v>
      </c>
      <c r="N387" s="71">
        <v>0</v>
      </c>
      <c r="O387" t="e">
        <f t="shared" si="73"/>
        <v>#DIV/0!</v>
      </c>
      <c r="P387" s="71">
        <v>0</v>
      </c>
      <c r="Q387" t="e">
        <f t="shared" si="74"/>
        <v>#DIV/0!</v>
      </c>
      <c r="R387" s="71">
        <v>0</v>
      </c>
      <c r="S387" s="6" t="e">
        <f t="shared" si="75"/>
        <v>#DIV/0!</v>
      </c>
    </row>
    <row r="388" spans="1:19" x14ac:dyDescent="0.2">
      <c r="A388" s="36" t="s">
        <v>135</v>
      </c>
      <c r="B388" s="6" t="s">
        <v>153</v>
      </c>
      <c r="C388" s="71">
        <v>7000</v>
      </c>
      <c r="D388" s="6">
        <f>(C388/12)*3</f>
        <v>1750</v>
      </c>
      <c r="E388" s="62">
        <v>0</v>
      </c>
      <c r="F388" s="6">
        <f>SUM(E386:E388)</f>
        <v>0</v>
      </c>
      <c r="G388" s="35" t="str">
        <f t="shared" si="72"/>
        <v>Farol Vermelho</v>
      </c>
      <c r="H388">
        <f t="shared" si="70"/>
        <v>1750</v>
      </c>
      <c r="I388" s="6">
        <f t="shared" si="71"/>
        <v>3</v>
      </c>
      <c r="J388" s="100">
        <v>7</v>
      </c>
      <c r="K388" s="62">
        <v>0</v>
      </c>
      <c r="L388" s="6">
        <f>$L386+L387</f>
        <v>1.75</v>
      </c>
      <c r="M388" s="6">
        <f t="shared" ref="M388:M397" si="78">M387+K388</f>
        <v>0</v>
      </c>
      <c r="N388" s="71">
        <v>0</v>
      </c>
      <c r="O388" t="e">
        <f t="shared" si="73"/>
        <v>#DIV/0!</v>
      </c>
      <c r="P388" s="71">
        <v>0</v>
      </c>
      <c r="Q388" t="e">
        <f t="shared" si="74"/>
        <v>#DIV/0!</v>
      </c>
      <c r="R388" s="71">
        <v>0</v>
      </c>
      <c r="S388" s="6" t="e">
        <f t="shared" si="75"/>
        <v>#DIV/0!</v>
      </c>
    </row>
    <row r="389" spans="1:19" x14ac:dyDescent="0.2">
      <c r="A389" s="36" t="s">
        <v>135</v>
      </c>
      <c r="B389" s="6" t="s">
        <v>154</v>
      </c>
      <c r="C389" s="71">
        <v>7000</v>
      </c>
      <c r="D389" s="6">
        <f>(C389/12)*4</f>
        <v>2333.3333333333335</v>
      </c>
      <c r="E389" s="62">
        <v>0</v>
      </c>
      <c r="F389" s="6">
        <f>SUM(E386:E389)</f>
        <v>0</v>
      </c>
      <c r="G389" s="35" t="str">
        <f t="shared" si="72"/>
        <v>Farol Vermelho</v>
      </c>
      <c r="H389">
        <f t="shared" si="70"/>
        <v>2333.3333333333335</v>
      </c>
      <c r="I389" s="6">
        <f t="shared" si="71"/>
        <v>4</v>
      </c>
      <c r="J389" s="100">
        <v>7</v>
      </c>
      <c r="K389" s="62">
        <v>0</v>
      </c>
      <c r="L389" s="6">
        <f>$L386+L388</f>
        <v>2.3333333333333335</v>
      </c>
      <c r="M389" s="6">
        <f t="shared" si="78"/>
        <v>0</v>
      </c>
      <c r="N389" s="71">
        <v>0</v>
      </c>
      <c r="O389" t="e">
        <f t="shared" si="73"/>
        <v>#DIV/0!</v>
      </c>
      <c r="P389" s="71">
        <v>0</v>
      </c>
      <c r="Q389" t="e">
        <f t="shared" si="74"/>
        <v>#DIV/0!</v>
      </c>
      <c r="R389" s="71">
        <v>0</v>
      </c>
      <c r="S389" s="6" t="e">
        <f t="shared" si="75"/>
        <v>#DIV/0!</v>
      </c>
    </row>
    <row r="390" spans="1:19" x14ac:dyDescent="0.2">
      <c r="A390" s="36" t="s">
        <v>135</v>
      </c>
      <c r="B390" s="6" t="s">
        <v>155</v>
      </c>
      <c r="C390" s="71">
        <v>7000</v>
      </c>
      <c r="D390" s="6">
        <f>(C390/12)*5</f>
        <v>2916.666666666667</v>
      </c>
      <c r="E390" s="62">
        <v>1400</v>
      </c>
      <c r="F390" s="6">
        <f>SUM(E386:E390)</f>
        <v>1400</v>
      </c>
      <c r="G390" s="35" t="str">
        <f t="shared" si="72"/>
        <v>Farol Vermelho</v>
      </c>
      <c r="H390">
        <f t="shared" si="70"/>
        <v>1516.666666666667</v>
      </c>
      <c r="I390" s="6">
        <f t="shared" si="71"/>
        <v>5</v>
      </c>
      <c r="J390" s="100">
        <v>7</v>
      </c>
      <c r="K390" s="62">
        <v>1</v>
      </c>
      <c r="L390" s="6">
        <f>L386+L389</f>
        <v>2.916666666666667</v>
      </c>
      <c r="M390" s="6">
        <f t="shared" si="78"/>
        <v>1</v>
      </c>
      <c r="N390" s="71">
        <v>1</v>
      </c>
      <c r="O390">
        <f t="shared" si="73"/>
        <v>1</v>
      </c>
      <c r="P390" s="71">
        <v>1</v>
      </c>
      <c r="Q390">
        <f t="shared" si="74"/>
        <v>1</v>
      </c>
      <c r="R390" s="71">
        <v>1</v>
      </c>
      <c r="S390" s="6">
        <f t="shared" si="75"/>
        <v>1</v>
      </c>
    </row>
    <row r="391" spans="1:19" x14ac:dyDescent="0.2">
      <c r="A391" s="36" t="s">
        <v>135</v>
      </c>
      <c r="B391" s="6" t="s">
        <v>156</v>
      </c>
      <c r="C391" s="71">
        <v>7000</v>
      </c>
      <c r="D391" s="6">
        <f>(C391/12)*6</f>
        <v>3500</v>
      </c>
      <c r="E391" s="62">
        <v>1400</v>
      </c>
      <c r="F391" s="6">
        <f>SUM(E386:E391)</f>
        <v>2800</v>
      </c>
      <c r="G391" s="35" t="str">
        <f t="shared" si="72"/>
        <v>Farol Vermelho</v>
      </c>
      <c r="H391">
        <f t="shared" si="70"/>
        <v>700</v>
      </c>
      <c r="I391" s="6">
        <f t="shared" si="71"/>
        <v>6</v>
      </c>
      <c r="J391" s="100">
        <v>7</v>
      </c>
      <c r="K391" s="62">
        <v>1</v>
      </c>
      <c r="L391" s="6">
        <f>$L386+L390</f>
        <v>3.5000000000000004</v>
      </c>
      <c r="M391" s="6">
        <f t="shared" si="78"/>
        <v>2</v>
      </c>
      <c r="N391" s="71">
        <v>1</v>
      </c>
      <c r="O391">
        <f t="shared" si="73"/>
        <v>1</v>
      </c>
      <c r="P391" s="71">
        <v>1</v>
      </c>
      <c r="Q391">
        <f t="shared" si="74"/>
        <v>1</v>
      </c>
      <c r="R391" s="71">
        <v>1</v>
      </c>
      <c r="S391" s="6">
        <f t="shared" si="75"/>
        <v>1</v>
      </c>
    </row>
    <row r="392" spans="1:19" x14ac:dyDescent="0.2">
      <c r="A392" s="36" t="s">
        <v>135</v>
      </c>
      <c r="B392" s="6" t="s">
        <v>157</v>
      </c>
      <c r="C392" s="71">
        <v>7000</v>
      </c>
      <c r="D392" s="6">
        <f>(C392/12)*7</f>
        <v>4083.3333333333335</v>
      </c>
      <c r="E392" s="62">
        <v>1200</v>
      </c>
      <c r="F392" s="6">
        <f>SUM(E386:E392)</f>
        <v>4000</v>
      </c>
      <c r="G392" s="35" t="str">
        <f t="shared" si="72"/>
        <v>Farol Amarelo</v>
      </c>
      <c r="H392">
        <f t="shared" si="70"/>
        <v>83.333333333333485</v>
      </c>
      <c r="I392" s="6">
        <f t="shared" si="71"/>
        <v>7</v>
      </c>
      <c r="J392" s="100">
        <v>7</v>
      </c>
      <c r="K392" s="62">
        <v>1</v>
      </c>
      <c r="L392" s="6">
        <f>$L386+L391</f>
        <v>4.0833333333333339</v>
      </c>
      <c r="M392" s="6">
        <f t="shared" si="78"/>
        <v>3</v>
      </c>
      <c r="N392" s="71"/>
      <c r="O392" t="e">
        <f t="shared" si="73"/>
        <v>#DIV/0!</v>
      </c>
      <c r="P392" s="71"/>
      <c r="Q392" t="e">
        <f t="shared" si="74"/>
        <v>#DIV/0!</v>
      </c>
      <c r="R392" s="71"/>
      <c r="S392" s="6" t="e">
        <f t="shared" si="75"/>
        <v>#DIV/0!</v>
      </c>
    </row>
    <row r="393" spans="1:19" x14ac:dyDescent="0.2">
      <c r="A393" s="36" t="s">
        <v>135</v>
      </c>
      <c r="B393" s="6" t="s">
        <v>158</v>
      </c>
      <c r="C393" s="71">
        <v>7000</v>
      </c>
      <c r="D393" s="6">
        <f>(C393/12)*8</f>
        <v>4666.666666666667</v>
      </c>
      <c r="E393" s="62">
        <v>0</v>
      </c>
      <c r="F393" s="6">
        <f>SUM(E386:E393)</f>
        <v>4000</v>
      </c>
      <c r="G393" s="35" t="str">
        <f t="shared" si="72"/>
        <v>Farol Amarelo</v>
      </c>
      <c r="H393">
        <f t="shared" si="70"/>
        <v>666.66666666666697</v>
      </c>
      <c r="I393" s="6">
        <f t="shared" si="71"/>
        <v>8</v>
      </c>
      <c r="J393" s="100">
        <v>7</v>
      </c>
      <c r="K393" s="62"/>
      <c r="L393" s="6">
        <f>L386+L392</f>
        <v>4.666666666666667</v>
      </c>
      <c r="M393" s="6">
        <f t="shared" si="78"/>
        <v>3</v>
      </c>
      <c r="N393" s="71"/>
      <c r="O393" t="e">
        <f t="shared" si="73"/>
        <v>#DIV/0!</v>
      </c>
      <c r="P393" s="71"/>
      <c r="Q393" t="e">
        <f t="shared" si="74"/>
        <v>#DIV/0!</v>
      </c>
      <c r="R393" s="71"/>
      <c r="S393" s="6" t="e">
        <f t="shared" si="75"/>
        <v>#DIV/0!</v>
      </c>
    </row>
    <row r="394" spans="1:19" x14ac:dyDescent="0.2">
      <c r="A394" s="36" t="s">
        <v>135</v>
      </c>
      <c r="B394" s="6" t="s">
        <v>159</v>
      </c>
      <c r="C394" s="71">
        <v>7000</v>
      </c>
      <c r="D394" s="6">
        <f>(C394/12)*9</f>
        <v>5250</v>
      </c>
      <c r="E394" s="62">
        <v>0</v>
      </c>
      <c r="F394" s="6">
        <f>SUM(E386:E394)</f>
        <v>4000</v>
      </c>
      <c r="G394" s="35" t="str">
        <f t="shared" si="72"/>
        <v>Farol Vermelho</v>
      </c>
      <c r="H394">
        <f t="shared" si="70"/>
        <v>1250</v>
      </c>
      <c r="I394" s="6">
        <f t="shared" si="71"/>
        <v>9</v>
      </c>
      <c r="J394" s="100">
        <v>7</v>
      </c>
      <c r="K394" s="62"/>
      <c r="L394" s="6">
        <f>$L386+L393</f>
        <v>5.25</v>
      </c>
      <c r="M394" s="6">
        <f t="shared" si="78"/>
        <v>3</v>
      </c>
      <c r="N394" s="71"/>
      <c r="O394" t="e">
        <f t="shared" si="73"/>
        <v>#DIV/0!</v>
      </c>
      <c r="P394" s="71"/>
      <c r="Q394" t="e">
        <f t="shared" si="74"/>
        <v>#DIV/0!</v>
      </c>
      <c r="R394" s="71"/>
      <c r="S394" s="6" t="e">
        <f t="shared" si="75"/>
        <v>#DIV/0!</v>
      </c>
    </row>
    <row r="395" spans="1:19" x14ac:dyDescent="0.2">
      <c r="A395" s="36" t="s">
        <v>135</v>
      </c>
      <c r="B395" s="6" t="s">
        <v>160</v>
      </c>
      <c r="C395" s="71">
        <v>7000</v>
      </c>
      <c r="D395" s="6">
        <f>(C395/12)*10</f>
        <v>5833.3333333333339</v>
      </c>
      <c r="E395" s="62">
        <v>0</v>
      </c>
      <c r="F395" s="6">
        <f>SUM(E386:E395)</f>
        <v>4000</v>
      </c>
      <c r="G395" s="35" t="str">
        <f t="shared" si="72"/>
        <v>Farol Vermelho</v>
      </c>
      <c r="H395">
        <f t="shared" si="70"/>
        <v>1833.3333333333339</v>
      </c>
      <c r="I395" s="6">
        <f t="shared" si="71"/>
        <v>10</v>
      </c>
      <c r="J395" s="100">
        <v>7</v>
      </c>
      <c r="K395" s="62"/>
      <c r="L395" s="6">
        <f>$L386+L394</f>
        <v>5.833333333333333</v>
      </c>
      <c r="M395" s="6">
        <f t="shared" si="78"/>
        <v>3</v>
      </c>
      <c r="N395" s="71"/>
      <c r="O395" t="e">
        <f t="shared" si="73"/>
        <v>#DIV/0!</v>
      </c>
      <c r="P395" s="71"/>
      <c r="Q395" t="e">
        <f t="shared" si="74"/>
        <v>#DIV/0!</v>
      </c>
      <c r="R395" s="71"/>
      <c r="S395" s="6" t="e">
        <f t="shared" si="75"/>
        <v>#DIV/0!</v>
      </c>
    </row>
    <row r="396" spans="1:19" x14ac:dyDescent="0.2">
      <c r="A396" s="36" t="s">
        <v>135</v>
      </c>
      <c r="B396" s="6" t="s">
        <v>161</v>
      </c>
      <c r="C396" s="71">
        <v>7000</v>
      </c>
      <c r="D396" s="6">
        <f>(C396/12)*11</f>
        <v>6416.666666666667</v>
      </c>
      <c r="E396" s="62">
        <v>0</v>
      </c>
      <c r="F396" s="6">
        <f>SUM(E386:E396)</f>
        <v>4000</v>
      </c>
      <c r="G396" s="35" t="str">
        <f t="shared" si="72"/>
        <v>Farol Vermelho</v>
      </c>
      <c r="H396">
        <f t="shared" si="70"/>
        <v>2416.666666666667</v>
      </c>
      <c r="I396" s="6">
        <f t="shared" si="71"/>
        <v>11</v>
      </c>
      <c r="J396" s="100">
        <v>7</v>
      </c>
      <c r="K396" s="62"/>
      <c r="L396" s="6">
        <f>L386+L395</f>
        <v>6.4166666666666661</v>
      </c>
      <c r="M396" s="6">
        <f t="shared" si="78"/>
        <v>3</v>
      </c>
      <c r="N396" s="71"/>
      <c r="O396" t="e">
        <f t="shared" si="73"/>
        <v>#DIV/0!</v>
      </c>
      <c r="P396" s="71"/>
      <c r="Q396" t="e">
        <f t="shared" si="74"/>
        <v>#DIV/0!</v>
      </c>
      <c r="R396" s="71"/>
      <c r="S396" s="6" t="e">
        <f t="shared" si="75"/>
        <v>#DIV/0!</v>
      </c>
    </row>
    <row r="397" spans="1:19" x14ac:dyDescent="0.2">
      <c r="A397" s="36" t="s">
        <v>135</v>
      </c>
      <c r="B397" s="6" t="s">
        <v>162</v>
      </c>
      <c r="C397" s="71">
        <v>7000</v>
      </c>
      <c r="D397" s="6">
        <f>(C397/12)*12</f>
        <v>7000</v>
      </c>
      <c r="E397" s="62">
        <v>0</v>
      </c>
      <c r="F397" s="6">
        <f>SUM(E386:E397)</f>
        <v>4000</v>
      </c>
      <c r="G397" s="35" t="str">
        <f t="shared" si="72"/>
        <v>Farol Vermelho</v>
      </c>
      <c r="H397">
        <f t="shared" si="70"/>
        <v>3000</v>
      </c>
      <c r="I397" s="6">
        <f t="shared" si="71"/>
        <v>12</v>
      </c>
      <c r="J397" s="100">
        <v>7</v>
      </c>
      <c r="K397" s="62"/>
      <c r="L397" s="6">
        <f>$L386+L396</f>
        <v>6.9999999999999991</v>
      </c>
      <c r="M397" s="6">
        <f t="shared" si="78"/>
        <v>3</v>
      </c>
      <c r="N397" s="71"/>
      <c r="O397" t="e">
        <f t="shared" si="73"/>
        <v>#DIV/0!</v>
      </c>
      <c r="P397" s="71"/>
      <c r="Q397" t="e">
        <f t="shared" si="74"/>
        <v>#DIV/0!</v>
      </c>
      <c r="R397" s="71"/>
      <c r="S397" s="6" t="e">
        <f t="shared" si="75"/>
        <v>#DIV/0!</v>
      </c>
    </row>
    <row r="398" spans="1:19" x14ac:dyDescent="0.2">
      <c r="A398" s="36" t="s">
        <v>103</v>
      </c>
      <c r="B398" s="6" t="s">
        <v>151</v>
      </c>
      <c r="C398" s="71">
        <v>102000</v>
      </c>
      <c r="D398" s="6">
        <f>(C398/12)*1</f>
        <v>8500</v>
      </c>
      <c r="E398" s="62">
        <v>0</v>
      </c>
      <c r="F398" s="6">
        <f>E398</f>
        <v>0</v>
      </c>
      <c r="G398" s="35" t="str">
        <f t="shared" si="72"/>
        <v>Farol Vermelho</v>
      </c>
      <c r="H398">
        <f t="shared" si="70"/>
        <v>8500</v>
      </c>
      <c r="I398" s="6">
        <f t="shared" si="71"/>
        <v>1</v>
      </c>
      <c r="J398" s="100">
        <v>40</v>
      </c>
      <c r="K398" s="62">
        <v>0</v>
      </c>
      <c r="L398" s="6">
        <f>J398/12</f>
        <v>3.3333333333333335</v>
      </c>
      <c r="M398" s="6">
        <f>K398</f>
        <v>0</v>
      </c>
      <c r="N398" s="71">
        <v>0</v>
      </c>
      <c r="O398" t="e">
        <f t="shared" si="73"/>
        <v>#DIV/0!</v>
      </c>
      <c r="P398" s="71">
        <v>0</v>
      </c>
      <c r="Q398" t="e">
        <f t="shared" si="74"/>
        <v>#DIV/0!</v>
      </c>
      <c r="R398" s="71">
        <v>0</v>
      </c>
      <c r="S398" s="6" t="e">
        <f t="shared" si="75"/>
        <v>#DIV/0!</v>
      </c>
    </row>
    <row r="399" spans="1:19" x14ac:dyDescent="0.2">
      <c r="A399" s="36" t="s">
        <v>103</v>
      </c>
      <c r="B399" s="6" t="s">
        <v>152</v>
      </c>
      <c r="C399" s="71">
        <v>102000</v>
      </c>
      <c r="D399" s="6">
        <f>(C399/12)*2</f>
        <v>17000</v>
      </c>
      <c r="E399" s="62">
        <v>3900</v>
      </c>
      <c r="F399" s="6">
        <f>SUM(E398:E399)</f>
        <v>3900</v>
      </c>
      <c r="G399" s="35" t="str">
        <f t="shared" si="72"/>
        <v>Farol Vermelho</v>
      </c>
      <c r="H399">
        <f t="shared" si="70"/>
        <v>13100</v>
      </c>
      <c r="I399" s="6">
        <f t="shared" si="71"/>
        <v>2</v>
      </c>
      <c r="J399" s="100">
        <v>40</v>
      </c>
      <c r="K399" s="62">
        <v>2</v>
      </c>
      <c r="L399" s="6">
        <f>L398+L398</f>
        <v>6.666666666666667</v>
      </c>
      <c r="M399" s="6">
        <f>M398+K399</f>
        <v>2</v>
      </c>
      <c r="N399" s="71">
        <v>0</v>
      </c>
      <c r="O399" t="e">
        <f t="shared" si="73"/>
        <v>#DIV/0!</v>
      </c>
      <c r="P399" s="71">
        <v>0</v>
      </c>
      <c r="Q399" t="e">
        <f t="shared" si="74"/>
        <v>#DIV/0!</v>
      </c>
      <c r="R399" s="71">
        <v>0</v>
      </c>
      <c r="S399" s="6" t="e">
        <f t="shared" si="75"/>
        <v>#DIV/0!</v>
      </c>
    </row>
    <row r="400" spans="1:19" x14ac:dyDescent="0.2">
      <c r="A400" s="36" t="s">
        <v>103</v>
      </c>
      <c r="B400" s="6" t="s">
        <v>153</v>
      </c>
      <c r="C400" s="71">
        <v>102000</v>
      </c>
      <c r="D400" s="6">
        <f>(C400/12)*3</f>
        <v>25500</v>
      </c>
      <c r="E400" s="62">
        <v>8000</v>
      </c>
      <c r="F400" s="6">
        <f>SUM(E398:E400)</f>
        <v>11900</v>
      </c>
      <c r="G400" s="35" t="str">
        <f t="shared" si="72"/>
        <v>Farol Vermelho</v>
      </c>
      <c r="H400">
        <f t="shared" si="70"/>
        <v>13600</v>
      </c>
      <c r="I400" s="6">
        <f t="shared" si="71"/>
        <v>3</v>
      </c>
      <c r="J400" s="100">
        <v>40</v>
      </c>
      <c r="K400" s="62">
        <v>3</v>
      </c>
      <c r="L400" s="6">
        <f>$L398+L399</f>
        <v>10</v>
      </c>
      <c r="M400" s="6">
        <f t="shared" ref="M400:M409" si="79">M399+K400</f>
        <v>5</v>
      </c>
      <c r="N400" s="71">
        <v>0</v>
      </c>
      <c r="O400" t="e">
        <f t="shared" si="73"/>
        <v>#DIV/0!</v>
      </c>
      <c r="P400" s="71">
        <v>0</v>
      </c>
      <c r="Q400" t="e">
        <f t="shared" si="74"/>
        <v>#DIV/0!</v>
      </c>
      <c r="R400" s="71">
        <v>0</v>
      </c>
      <c r="S400" s="6" t="e">
        <f t="shared" si="75"/>
        <v>#DIV/0!</v>
      </c>
    </row>
    <row r="401" spans="1:19" x14ac:dyDescent="0.2">
      <c r="A401" s="36" t="s">
        <v>103</v>
      </c>
      <c r="B401" s="6" t="s">
        <v>154</v>
      </c>
      <c r="C401" s="71">
        <v>102000</v>
      </c>
      <c r="D401" s="6">
        <f>(C401/12)*4</f>
        <v>34000</v>
      </c>
      <c r="E401" s="62">
        <v>0</v>
      </c>
      <c r="F401" s="6">
        <f>SUM(E398:E401)</f>
        <v>11900</v>
      </c>
      <c r="G401" s="35" t="str">
        <f t="shared" si="72"/>
        <v>Farol Vermelho</v>
      </c>
      <c r="H401">
        <f t="shared" si="70"/>
        <v>22100</v>
      </c>
      <c r="I401" s="6">
        <f t="shared" si="71"/>
        <v>4</v>
      </c>
      <c r="J401" s="100">
        <v>40</v>
      </c>
      <c r="K401" s="62">
        <v>0</v>
      </c>
      <c r="L401" s="6">
        <f>$L398+L400</f>
        <v>13.333333333333334</v>
      </c>
      <c r="M401" s="6">
        <f t="shared" si="79"/>
        <v>5</v>
      </c>
      <c r="N401" s="71">
        <v>0</v>
      </c>
      <c r="O401" t="e">
        <f t="shared" si="73"/>
        <v>#DIV/0!</v>
      </c>
      <c r="P401" s="71">
        <v>0</v>
      </c>
      <c r="Q401" t="e">
        <f t="shared" si="74"/>
        <v>#DIV/0!</v>
      </c>
      <c r="R401" s="71">
        <v>0</v>
      </c>
      <c r="S401" s="6" t="e">
        <f t="shared" si="75"/>
        <v>#DIV/0!</v>
      </c>
    </row>
    <row r="402" spans="1:19" x14ac:dyDescent="0.2">
      <c r="A402" s="36" t="s">
        <v>103</v>
      </c>
      <c r="B402" s="6" t="s">
        <v>155</v>
      </c>
      <c r="C402" s="71">
        <v>102000</v>
      </c>
      <c r="D402" s="6">
        <f>(C402/12)*5</f>
        <v>42500</v>
      </c>
      <c r="E402" s="62">
        <v>0</v>
      </c>
      <c r="F402" s="6">
        <f>SUM(E398:E402)</f>
        <v>11900</v>
      </c>
      <c r="G402" s="35" t="str">
        <f t="shared" si="72"/>
        <v>Farol Vermelho</v>
      </c>
      <c r="H402">
        <f t="shared" si="70"/>
        <v>30600</v>
      </c>
      <c r="I402" s="6">
        <f t="shared" si="71"/>
        <v>5</v>
      </c>
      <c r="J402" s="100">
        <v>40</v>
      </c>
      <c r="K402" s="62">
        <v>0</v>
      </c>
      <c r="L402" s="6">
        <f>L398+L401</f>
        <v>16.666666666666668</v>
      </c>
      <c r="M402" s="6">
        <f t="shared" si="79"/>
        <v>5</v>
      </c>
      <c r="N402" s="71">
        <v>4</v>
      </c>
      <c r="O402">
        <f t="shared" si="73"/>
        <v>0.75</v>
      </c>
      <c r="P402" s="71">
        <v>3</v>
      </c>
      <c r="Q402">
        <f t="shared" si="74"/>
        <v>0</v>
      </c>
      <c r="R402" s="71">
        <v>0</v>
      </c>
      <c r="S402" s="6">
        <f t="shared" si="75"/>
        <v>0</v>
      </c>
    </row>
    <row r="403" spans="1:19" x14ac:dyDescent="0.2">
      <c r="A403" s="36" t="s">
        <v>103</v>
      </c>
      <c r="B403" s="6" t="s">
        <v>156</v>
      </c>
      <c r="C403" s="71">
        <v>102000</v>
      </c>
      <c r="D403" s="6">
        <f>(C403/12)*6</f>
        <v>51000</v>
      </c>
      <c r="E403" s="62">
        <v>0</v>
      </c>
      <c r="F403" s="6">
        <f>SUM(E398:E403)</f>
        <v>11900</v>
      </c>
      <c r="G403" s="35" t="str">
        <f t="shared" si="72"/>
        <v>Farol Vermelho</v>
      </c>
      <c r="H403">
        <f t="shared" si="70"/>
        <v>39100</v>
      </c>
      <c r="I403" s="6">
        <f t="shared" si="71"/>
        <v>6</v>
      </c>
      <c r="J403" s="100">
        <v>40</v>
      </c>
      <c r="K403" s="62">
        <v>0</v>
      </c>
      <c r="L403" s="6">
        <f>$L398+L402</f>
        <v>20</v>
      </c>
      <c r="M403" s="6">
        <f t="shared" si="79"/>
        <v>5</v>
      </c>
      <c r="N403" s="71"/>
      <c r="O403" t="e">
        <f t="shared" si="73"/>
        <v>#DIV/0!</v>
      </c>
      <c r="P403" s="71"/>
      <c r="Q403" t="e">
        <f t="shared" si="74"/>
        <v>#DIV/0!</v>
      </c>
      <c r="R403" s="71"/>
      <c r="S403" s="6" t="e">
        <f t="shared" si="75"/>
        <v>#DIV/0!</v>
      </c>
    </row>
    <row r="404" spans="1:19" x14ac:dyDescent="0.2">
      <c r="A404" s="36" t="s">
        <v>103</v>
      </c>
      <c r="B404" s="6" t="s">
        <v>157</v>
      </c>
      <c r="C404" s="71">
        <v>102000</v>
      </c>
      <c r="D404" s="6">
        <f>(C404/12)*7</f>
        <v>59500</v>
      </c>
      <c r="E404" s="62">
        <v>0</v>
      </c>
      <c r="F404" s="6">
        <f>SUM(E398:E404)</f>
        <v>11900</v>
      </c>
      <c r="G404" s="35" t="str">
        <f t="shared" si="72"/>
        <v>Farol Vermelho</v>
      </c>
      <c r="H404">
        <f t="shared" si="70"/>
        <v>47600</v>
      </c>
      <c r="I404" s="6">
        <f t="shared" si="71"/>
        <v>7</v>
      </c>
      <c r="J404" s="100">
        <v>40</v>
      </c>
      <c r="K404" s="62">
        <v>0</v>
      </c>
      <c r="L404" s="6">
        <f>$L398+L403</f>
        <v>23.333333333333332</v>
      </c>
      <c r="M404" s="6">
        <f t="shared" si="79"/>
        <v>5</v>
      </c>
      <c r="N404" s="71"/>
      <c r="O404" t="e">
        <f t="shared" si="73"/>
        <v>#DIV/0!</v>
      </c>
      <c r="P404" s="71"/>
      <c r="Q404" t="e">
        <f t="shared" si="74"/>
        <v>#DIV/0!</v>
      </c>
      <c r="R404" s="71"/>
      <c r="S404" s="6" t="e">
        <f t="shared" si="75"/>
        <v>#DIV/0!</v>
      </c>
    </row>
    <row r="405" spans="1:19" x14ac:dyDescent="0.2">
      <c r="A405" s="36" t="s">
        <v>103</v>
      </c>
      <c r="B405" s="6" t="s">
        <v>158</v>
      </c>
      <c r="C405" s="71">
        <v>102000</v>
      </c>
      <c r="D405" s="6">
        <f>(C405/12)*8</f>
        <v>68000</v>
      </c>
      <c r="E405" s="62">
        <v>0</v>
      </c>
      <c r="F405" s="6">
        <f>SUM(E398:E405)</f>
        <v>11900</v>
      </c>
      <c r="G405" s="35" t="str">
        <f t="shared" si="72"/>
        <v>Farol Vermelho</v>
      </c>
      <c r="H405">
        <f t="shared" si="70"/>
        <v>56100</v>
      </c>
      <c r="I405" s="6">
        <f t="shared" si="71"/>
        <v>8</v>
      </c>
      <c r="J405" s="100">
        <v>40</v>
      </c>
      <c r="K405" s="62"/>
      <c r="L405" s="6">
        <f>L398+L404</f>
        <v>26.666666666666664</v>
      </c>
      <c r="M405" s="6">
        <f t="shared" si="79"/>
        <v>5</v>
      </c>
      <c r="N405" s="71"/>
      <c r="O405" t="e">
        <f t="shared" si="73"/>
        <v>#DIV/0!</v>
      </c>
      <c r="P405" s="71"/>
      <c r="Q405" t="e">
        <f t="shared" si="74"/>
        <v>#DIV/0!</v>
      </c>
      <c r="R405" s="71"/>
      <c r="S405" s="6" t="e">
        <f t="shared" si="75"/>
        <v>#DIV/0!</v>
      </c>
    </row>
    <row r="406" spans="1:19" x14ac:dyDescent="0.2">
      <c r="A406" s="36" t="s">
        <v>103</v>
      </c>
      <c r="B406" s="6" t="s">
        <v>159</v>
      </c>
      <c r="C406" s="71">
        <v>102000</v>
      </c>
      <c r="D406" s="6">
        <f>(C406/12)*9</f>
        <v>76500</v>
      </c>
      <c r="E406" s="62">
        <v>0</v>
      </c>
      <c r="F406" s="6">
        <f>SUM(E398:E406)</f>
        <v>11900</v>
      </c>
      <c r="G406" s="35" t="str">
        <f t="shared" si="72"/>
        <v>Farol Vermelho</v>
      </c>
      <c r="H406">
        <f t="shared" si="70"/>
        <v>64600</v>
      </c>
      <c r="I406" s="6">
        <f t="shared" si="71"/>
        <v>9</v>
      </c>
      <c r="J406" s="100">
        <v>40</v>
      </c>
      <c r="K406" s="62"/>
      <c r="L406" s="6">
        <f>$L398+L405</f>
        <v>29.999999999999996</v>
      </c>
      <c r="M406" s="6">
        <f t="shared" si="79"/>
        <v>5</v>
      </c>
      <c r="N406" s="71"/>
      <c r="O406" t="e">
        <f t="shared" si="73"/>
        <v>#DIV/0!</v>
      </c>
      <c r="P406" s="71"/>
      <c r="Q406" t="e">
        <f t="shared" si="74"/>
        <v>#DIV/0!</v>
      </c>
      <c r="R406" s="71"/>
      <c r="S406" s="6" t="e">
        <f t="shared" si="75"/>
        <v>#DIV/0!</v>
      </c>
    </row>
    <row r="407" spans="1:19" x14ac:dyDescent="0.2">
      <c r="A407" s="36" t="s">
        <v>103</v>
      </c>
      <c r="B407" s="6" t="s">
        <v>160</v>
      </c>
      <c r="C407" s="71">
        <v>102000</v>
      </c>
      <c r="D407" s="6">
        <f>(C407/12)*10</f>
        <v>85000</v>
      </c>
      <c r="E407" s="62">
        <v>0</v>
      </c>
      <c r="F407" s="6">
        <f>SUM(E398:E407)</f>
        <v>11900</v>
      </c>
      <c r="G407" s="35" t="str">
        <f t="shared" si="72"/>
        <v>Farol Vermelho</v>
      </c>
      <c r="H407">
        <f t="shared" si="70"/>
        <v>73100</v>
      </c>
      <c r="I407" s="6">
        <f t="shared" si="71"/>
        <v>10</v>
      </c>
      <c r="J407" s="100">
        <v>40</v>
      </c>
      <c r="K407" s="62"/>
      <c r="L407" s="6">
        <f>$L398+L406</f>
        <v>33.333333333333329</v>
      </c>
      <c r="M407" s="6">
        <f t="shared" si="79"/>
        <v>5</v>
      </c>
      <c r="N407" s="71"/>
      <c r="O407" t="e">
        <f t="shared" si="73"/>
        <v>#DIV/0!</v>
      </c>
      <c r="P407" s="71"/>
      <c r="Q407" t="e">
        <f t="shared" si="74"/>
        <v>#DIV/0!</v>
      </c>
      <c r="R407" s="71"/>
      <c r="S407" s="6" t="e">
        <f t="shared" si="75"/>
        <v>#DIV/0!</v>
      </c>
    </row>
    <row r="408" spans="1:19" x14ac:dyDescent="0.2">
      <c r="A408" s="36" t="s">
        <v>103</v>
      </c>
      <c r="B408" s="6" t="s">
        <v>161</v>
      </c>
      <c r="C408" s="71">
        <v>102000</v>
      </c>
      <c r="D408" s="6">
        <f>(C408/12)*11</f>
        <v>93500</v>
      </c>
      <c r="E408" s="62">
        <v>0</v>
      </c>
      <c r="F408" s="6">
        <f>SUM(E398:E408)</f>
        <v>11900</v>
      </c>
      <c r="G408" s="35" t="str">
        <f t="shared" si="72"/>
        <v>Farol Vermelho</v>
      </c>
      <c r="H408">
        <f t="shared" si="70"/>
        <v>81600</v>
      </c>
      <c r="I408" s="6">
        <f t="shared" si="71"/>
        <v>11</v>
      </c>
      <c r="J408" s="100">
        <v>40</v>
      </c>
      <c r="K408" s="62"/>
      <c r="L408" s="6">
        <f>L398+L407</f>
        <v>36.666666666666664</v>
      </c>
      <c r="M408" s="6">
        <f t="shared" si="79"/>
        <v>5</v>
      </c>
      <c r="N408" s="71"/>
      <c r="O408" t="e">
        <f t="shared" si="73"/>
        <v>#DIV/0!</v>
      </c>
      <c r="P408" s="71"/>
      <c r="Q408" t="e">
        <f t="shared" si="74"/>
        <v>#DIV/0!</v>
      </c>
      <c r="R408" s="71"/>
      <c r="S408" s="6" t="e">
        <f t="shared" si="75"/>
        <v>#DIV/0!</v>
      </c>
    </row>
    <row r="409" spans="1:19" x14ac:dyDescent="0.2">
      <c r="A409" s="36" t="s">
        <v>103</v>
      </c>
      <c r="B409" s="6" t="s">
        <v>162</v>
      </c>
      <c r="C409" s="71">
        <v>102000</v>
      </c>
      <c r="D409" s="6">
        <f>(C409/12)*12</f>
        <v>102000</v>
      </c>
      <c r="E409" s="62">
        <v>0</v>
      </c>
      <c r="F409" s="6">
        <f>SUM(E398:E409)</f>
        <v>11900</v>
      </c>
      <c r="G409" s="35" t="str">
        <f t="shared" si="72"/>
        <v>Farol Vermelho</v>
      </c>
      <c r="H409">
        <f t="shared" si="70"/>
        <v>90100</v>
      </c>
      <c r="I409" s="6">
        <f t="shared" si="71"/>
        <v>12</v>
      </c>
      <c r="J409" s="100">
        <v>40</v>
      </c>
      <c r="K409" s="62"/>
      <c r="L409" s="6">
        <f>$L398+L408</f>
        <v>40</v>
      </c>
      <c r="M409" s="6">
        <f t="shared" si="79"/>
        <v>5</v>
      </c>
      <c r="N409" s="71"/>
      <c r="O409" t="e">
        <f t="shared" si="73"/>
        <v>#DIV/0!</v>
      </c>
      <c r="P409" s="71"/>
      <c r="Q409" t="e">
        <f t="shared" si="74"/>
        <v>#DIV/0!</v>
      </c>
      <c r="R409" s="71"/>
      <c r="S409" s="6" t="e">
        <f t="shared" si="75"/>
        <v>#DIV/0!</v>
      </c>
    </row>
    <row r="410" spans="1:19" x14ac:dyDescent="0.2">
      <c r="A410" s="36" t="s">
        <v>85</v>
      </c>
      <c r="B410" s="6" t="s">
        <v>151</v>
      </c>
      <c r="C410" s="71">
        <v>8100</v>
      </c>
      <c r="D410" s="6">
        <f>(C410/12)*1</f>
        <v>675</v>
      </c>
      <c r="E410" s="62">
        <v>0</v>
      </c>
      <c r="F410" s="6">
        <f>E410</f>
        <v>0</v>
      </c>
      <c r="G410" s="35" t="str">
        <f t="shared" si="72"/>
        <v>Farol Vermelho</v>
      </c>
      <c r="H410">
        <f t="shared" si="70"/>
        <v>675</v>
      </c>
      <c r="I410" s="6">
        <f t="shared" si="71"/>
        <v>1</v>
      </c>
      <c r="J410" s="100">
        <v>10</v>
      </c>
      <c r="K410" s="62">
        <v>0</v>
      </c>
      <c r="L410" s="6">
        <f>J410/12</f>
        <v>0.83333333333333337</v>
      </c>
      <c r="M410" s="6">
        <f>K410</f>
        <v>0</v>
      </c>
      <c r="N410" s="71">
        <v>0</v>
      </c>
      <c r="O410" t="e">
        <f t="shared" si="73"/>
        <v>#DIV/0!</v>
      </c>
      <c r="P410" s="71">
        <v>0</v>
      </c>
      <c r="Q410" t="e">
        <f t="shared" si="74"/>
        <v>#DIV/0!</v>
      </c>
      <c r="R410" s="71">
        <v>0</v>
      </c>
      <c r="S410" s="6" t="e">
        <f t="shared" si="75"/>
        <v>#DIV/0!</v>
      </c>
    </row>
    <row r="411" spans="1:19" x14ac:dyDescent="0.2">
      <c r="A411" s="36" t="s">
        <v>85</v>
      </c>
      <c r="B411" s="6" t="s">
        <v>152</v>
      </c>
      <c r="C411" s="71">
        <v>8100</v>
      </c>
      <c r="D411" s="6">
        <f>(C411/12)*2</f>
        <v>1350</v>
      </c>
      <c r="E411" s="62">
        <v>0</v>
      </c>
      <c r="F411" s="6">
        <f>SUM(E410:E411)</f>
        <v>0</v>
      </c>
      <c r="G411" s="35" t="str">
        <f t="shared" si="72"/>
        <v>Farol Vermelho</v>
      </c>
      <c r="H411">
        <f t="shared" si="70"/>
        <v>1350</v>
      </c>
      <c r="I411" s="6">
        <f t="shared" si="71"/>
        <v>2</v>
      </c>
      <c r="J411" s="100">
        <v>10</v>
      </c>
      <c r="K411" s="62">
        <v>0</v>
      </c>
      <c r="L411" s="6">
        <f>L410+L410</f>
        <v>1.6666666666666667</v>
      </c>
      <c r="M411" s="6">
        <f>M410+K411</f>
        <v>0</v>
      </c>
      <c r="N411" s="71">
        <v>0</v>
      </c>
      <c r="O411" t="e">
        <f t="shared" si="73"/>
        <v>#DIV/0!</v>
      </c>
      <c r="P411" s="71">
        <v>0</v>
      </c>
      <c r="Q411" t="e">
        <f t="shared" si="74"/>
        <v>#DIV/0!</v>
      </c>
      <c r="R411" s="71">
        <v>0</v>
      </c>
      <c r="S411" s="6" t="e">
        <f t="shared" si="75"/>
        <v>#DIV/0!</v>
      </c>
    </row>
    <row r="412" spans="1:19" x14ac:dyDescent="0.2">
      <c r="A412" s="36" t="s">
        <v>85</v>
      </c>
      <c r="B412" s="6" t="s">
        <v>153</v>
      </c>
      <c r="C412" s="71">
        <v>8100</v>
      </c>
      <c r="D412" s="6">
        <f>(C412/12)*3</f>
        <v>2025</v>
      </c>
      <c r="E412" s="62">
        <v>0</v>
      </c>
      <c r="F412" s="6">
        <f>SUM(E410:E412)</f>
        <v>0</v>
      </c>
      <c r="G412" s="35" t="str">
        <f t="shared" si="72"/>
        <v>Farol Vermelho</v>
      </c>
      <c r="H412">
        <f t="shared" si="70"/>
        <v>2025</v>
      </c>
      <c r="I412" s="6">
        <f t="shared" si="71"/>
        <v>3</v>
      </c>
      <c r="J412" s="100">
        <v>10</v>
      </c>
      <c r="K412" s="62">
        <v>0</v>
      </c>
      <c r="L412" s="6">
        <f>$L410+L411</f>
        <v>2.5</v>
      </c>
      <c r="M412" s="6">
        <f t="shared" ref="M412:M421" si="80">M411+K412</f>
        <v>0</v>
      </c>
      <c r="N412" s="71">
        <v>0</v>
      </c>
      <c r="O412" t="e">
        <f t="shared" si="73"/>
        <v>#DIV/0!</v>
      </c>
      <c r="P412" s="71">
        <v>0</v>
      </c>
      <c r="Q412" t="e">
        <f t="shared" si="74"/>
        <v>#DIV/0!</v>
      </c>
      <c r="R412" s="71">
        <v>0</v>
      </c>
      <c r="S412" s="6" t="e">
        <f t="shared" si="75"/>
        <v>#DIV/0!</v>
      </c>
    </row>
    <row r="413" spans="1:19" x14ac:dyDescent="0.2">
      <c r="A413" s="36" t="s">
        <v>85</v>
      </c>
      <c r="B413" s="6" t="s">
        <v>154</v>
      </c>
      <c r="C413" s="71">
        <v>8100</v>
      </c>
      <c r="D413" s="6">
        <f>(C413/12)*4</f>
        <v>2700</v>
      </c>
      <c r="E413" s="62">
        <v>0</v>
      </c>
      <c r="F413" s="6">
        <f>SUM(E410:E413)</f>
        <v>0</v>
      </c>
      <c r="G413" s="35" t="str">
        <f t="shared" si="72"/>
        <v>Farol Vermelho</v>
      </c>
      <c r="H413">
        <f t="shared" si="70"/>
        <v>2700</v>
      </c>
      <c r="I413" s="6">
        <f t="shared" si="71"/>
        <v>4</v>
      </c>
      <c r="J413" s="100">
        <v>10</v>
      </c>
      <c r="K413" s="62">
        <v>0</v>
      </c>
      <c r="L413" s="6">
        <f>$L410+L412</f>
        <v>3.3333333333333335</v>
      </c>
      <c r="M413" s="6">
        <f t="shared" si="80"/>
        <v>0</v>
      </c>
      <c r="N413" s="71">
        <v>0</v>
      </c>
      <c r="O413" t="e">
        <f t="shared" si="73"/>
        <v>#DIV/0!</v>
      </c>
      <c r="P413" s="71">
        <v>0</v>
      </c>
      <c r="Q413" t="e">
        <f t="shared" si="74"/>
        <v>#DIV/0!</v>
      </c>
      <c r="R413" s="71">
        <v>0</v>
      </c>
      <c r="S413" s="6" t="e">
        <f t="shared" si="75"/>
        <v>#DIV/0!</v>
      </c>
    </row>
    <row r="414" spans="1:19" x14ac:dyDescent="0.2">
      <c r="A414" s="36" t="s">
        <v>85</v>
      </c>
      <c r="B414" s="6" t="s">
        <v>155</v>
      </c>
      <c r="C414" s="71">
        <v>8100</v>
      </c>
      <c r="D414" s="6">
        <f>(C414/12)*5</f>
        <v>3375</v>
      </c>
      <c r="E414" s="62">
        <v>300</v>
      </c>
      <c r="F414" s="6">
        <f>SUM(E410:E414)</f>
        <v>300</v>
      </c>
      <c r="G414" s="35" t="str">
        <f t="shared" si="72"/>
        <v>Farol Vermelho</v>
      </c>
      <c r="H414">
        <f t="shared" si="70"/>
        <v>3075</v>
      </c>
      <c r="I414" s="6">
        <f t="shared" si="71"/>
        <v>5</v>
      </c>
      <c r="J414" s="100">
        <v>10</v>
      </c>
      <c r="K414" s="62">
        <v>1</v>
      </c>
      <c r="L414" s="6">
        <f>L410+L413</f>
        <v>4.166666666666667</v>
      </c>
      <c r="M414" s="6">
        <f t="shared" si="80"/>
        <v>1</v>
      </c>
      <c r="N414" s="71">
        <v>0</v>
      </c>
      <c r="O414" t="e">
        <f t="shared" si="73"/>
        <v>#DIV/0!</v>
      </c>
      <c r="P414" s="71">
        <v>0</v>
      </c>
      <c r="Q414" t="e">
        <f t="shared" si="74"/>
        <v>#DIV/0!</v>
      </c>
      <c r="R414" s="71">
        <v>0</v>
      </c>
      <c r="S414" s="6" t="e">
        <f t="shared" si="75"/>
        <v>#DIV/0!</v>
      </c>
    </row>
    <row r="415" spans="1:19" x14ac:dyDescent="0.2">
      <c r="A415" s="36" t="s">
        <v>85</v>
      </c>
      <c r="B415" s="6" t="s">
        <v>156</v>
      </c>
      <c r="C415" s="71">
        <v>8100</v>
      </c>
      <c r="D415" s="6">
        <f>(C415/12)*6</f>
        <v>4050</v>
      </c>
      <c r="E415" s="62">
        <v>550</v>
      </c>
      <c r="F415" s="6">
        <f>SUM(E410:E415)</f>
        <v>850</v>
      </c>
      <c r="G415" s="35" t="str">
        <f t="shared" si="72"/>
        <v>Farol Vermelho</v>
      </c>
      <c r="H415">
        <f t="shared" si="70"/>
        <v>3200</v>
      </c>
      <c r="I415" s="6">
        <f t="shared" si="71"/>
        <v>6</v>
      </c>
      <c r="J415" s="100">
        <v>10</v>
      </c>
      <c r="K415" s="62">
        <v>3</v>
      </c>
      <c r="L415" s="6">
        <f>$L410+L414</f>
        <v>5</v>
      </c>
      <c r="M415" s="6">
        <f t="shared" si="80"/>
        <v>4</v>
      </c>
      <c r="N415" s="71"/>
      <c r="O415" t="e">
        <f t="shared" si="73"/>
        <v>#DIV/0!</v>
      </c>
      <c r="P415" s="71"/>
      <c r="Q415" t="e">
        <f t="shared" si="74"/>
        <v>#DIV/0!</v>
      </c>
      <c r="R415" s="71"/>
      <c r="S415" s="6" t="e">
        <f t="shared" si="75"/>
        <v>#DIV/0!</v>
      </c>
    </row>
    <row r="416" spans="1:19" x14ac:dyDescent="0.2">
      <c r="A416" s="36" t="s">
        <v>85</v>
      </c>
      <c r="B416" s="6" t="s">
        <v>157</v>
      </c>
      <c r="C416" s="71">
        <v>8100</v>
      </c>
      <c r="D416" s="6">
        <f>(C416/12)*7</f>
        <v>4725</v>
      </c>
      <c r="E416" s="62">
        <v>3100</v>
      </c>
      <c r="F416" s="6">
        <f>SUM(E410:E416)</f>
        <v>3950</v>
      </c>
      <c r="G416" s="35" t="str">
        <f t="shared" si="72"/>
        <v>Farol Vermelho</v>
      </c>
      <c r="H416">
        <f t="shared" si="70"/>
        <v>775</v>
      </c>
      <c r="I416" s="6">
        <f t="shared" si="71"/>
        <v>7</v>
      </c>
      <c r="J416" s="100">
        <v>10</v>
      </c>
      <c r="K416" s="62">
        <v>10</v>
      </c>
      <c r="L416" s="6">
        <f>$L410+L415</f>
        <v>5.833333333333333</v>
      </c>
      <c r="M416" s="6">
        <f t="shared" si="80"/>
        <v>14</v>
      </c>
      <c r="N416" s="71"/>
      <c r="O416" t="e">
        <f t="shared" si="73"/>
        <v>#DIV/0!</v>
      </c>
      <c r="P416" s="71"/>
      <c r="Q416" t="e">
        <f t="shared" si="74"/>
        <v>#DIV/0!</v>
      </c>
      <c r="R416" s="71"/>
      <c r="S416" s="6" t="e">
        <f t="shared" si="75"/>
        <v>#DIV/0!</v>
      </c>
    </row>
    <row r="417" spans="1:19" x14ac:dyDescent="0.2">
      <c r="A417" s="36" t="s">
        <v>85</v>
      </c>
      <c r="B417" s="6" t="s">
        <v>158</v>
      </c>
      <c r="C417" s="71">
        <v>8100</v>
      </c>
      <c r="D417" s="6">
        <f>(C417/12)*8</f>
        <v>5400</v>
      </c>
      <c r="E417" s="62">
        <v>0</v>
      </c>
      <c r="F417" s="6">
        <f>SUM(E410:E417)</f>
        <v>3950</v>
      </c>
      <c r="G417" s="35" t="str">
        <f t="shared" si="72"/>
        <v>Farol Vermelho</v>
      </c>
      <c r="H417">
        <f t="shared" si="70"/>
        <v>1450</v>
      </c>
      <c r="I417" s="6">
        <f t="shared" si="71"/>
        <v>8</v>
      </c>
      <c r="J417" s="100">
        <v>10</v>
      </c>
      <c r="K417" s="62"/>
      <c r="L417" s="6">
        <f>L410+L416</f>
        <v>6.6666666666666661</v>
      </c>
      <c r="M417" s="6">
        <f t="shared" si="80"/>
        <v>14</v>
      </c>
      <c r="N417" s="71"/>
      <c r="O417" t="e">
        <f t="shared" si="73"/>
        <v>#DIV/0!</v>
      </c>
      <c r="P417" s="71"/>
      <c r="Q417" t="e">
        <f t="shared" si="74"/>
        <v>#DIV/0!</v>
      </c>
      <c r="R417" s="71"/>
      <c r="S417" s="6" t="e">
        <f t="shared" si="75"/>
        <v>#DIV/0!</v>
      </c>
    </row>
    <row r="418" spans="1:19" x14ac:dyDescent="0.2">
      <c r="A418" s="36" t="s">
        <v>85</v>
      </c>
      <c r="B418" s="6" t="s">
        <v>159</v>
      </c>
      <c r="C418" s="71">
        <v>8100</v>
      </c>
      <c r="D418" s="6">
        <f>(C418/12)*9</f>
        <v>6075</v>
      </c>
      <c r="E418" s="62">
        <v>0</v>
      </c>
      <c r="F418" s="6">
        <f>SUM(E410:E418)</f>
        <v>3950</v>
      </c>
      <c r="G418" s="35" t="str">
        <f t="shared" si="72"/>
        <v>Farol Vermelho</v>
      </c>
      <c r="H418">
        <f t="shared" si="70"/>
        <v>2125</v>
      </c>
      <c r="I418" s="6">
        <f t="shared" si="71"/>
        <v>9</v>
      </c>
      <c r="J418" s="100">
        <v>10</v>
      </c>
      <c r="K418" s="62"/>
      <c r="L418" s="6">
        <f>$L410+L417</f>
        <v>7.4999999999999991</v>
      </c>
      <c r="M418" s="6">
        <f t="shared" si="80"/>
        <v>14</v>
      </c>
      <c r="N418" s="71"/>
      <c r="O418" t="e">
        <f t="shared" si="73"/>
        <v>#DIV/0!</v>
      </c>
      <c r="P418" s="71"/>
      <c r="Q418" t="e">
        <f t="shared" si="74"/>
        <v>#DIV/0!</v>
      </c>
      <c r="R418" s="71"/>
      <c r="S418" s="6" t="e">
        <f t="shared" si="75"/>
        <v>#DIV/0!</v>
      </c>
    </row>
    <row r="419" spans="1:19" x14ac:dyDescent="0.2">
      <c r="A419" s="36" t="s">
        <v>85</v>
      </c>
      <c r="B419" s="6" t="s">
        <v>160</v>
      </c>
      <c r="C419" s="71">
        <v>8100</v>
      </c>
      <c r="D419" s="6">
        <f>(C419/12)*10</f>
        <v>6750</v>
      </c>
      <c r="E419" s="62">
        <v>0</v>
      </c>
      <c r="F419" s="6">
        <f>SUM(E410:E419)</f>
        <v>3950</v>
      </c>
      <c r="G419" s="35" t="str">
        <f t="shared" si="72"/>
        <v>Farol Vermelho</v>
      </c>
      <c r="H419">
        <f t="shared" si="70"/>
        <v>2800</v>
      </c>
      <c r="I419" s="6">
        <f t="shared" si="71"/>
        <v>10</v>
      </c>
      <c r="J419" s="100">
        <v>10</v>
      </c>
      <c r="K419" s="62"/>
      <c r="L419" s="6">
        <f>$L410+L418</f>
        <v>8.3333333333333321</v>
      </c>
      <c r="M419" s="6">
        <f t="shared" si="80"/>
        <v>14</v>
      </c>
      <c r="N419" s="71"/>
      <c r="O419" t="e">
        <f t="shared" si="73"/>
        <v>#DIV/0!</v>
      </c>
      <c r="P419" s="71"/>
      <c r="Q419" t="e">
        <f t="shared" si="74"/>
        <v>#DIV/0!</v>
      </c>
      <c r="R419" s="71"/>
      <c r="S419" s="6" t="e">
        <f t="shared" si="75"/>
        <v>#DIV/0!</v>
      </c>
    </row>
    <row r="420" spans="1:19" x14ac:dyDescent="0.2">
      <c r="A420" s="36" t="s">
        <v>85</v>
      </c>
      <c r="B420" s="6" t="s">
        <v>161</v>
      </c>
      <c r="C420" s="71">
        <v>8100</v>
      </c>
      <c r="D420" s="6">
        <f>(C420/12)*11</f>
        <v>7425</v>
      </c>
      <c r="E420" s="62">
        <v>0</v>
      </c>
      <c r="F420" s="6">
        <f>SUM(E410:E420)</f>
        <v>3950</v>
      </c>
      <c r="G420" s="35" t="str">
        <f t="shared" si="72"/>
        <v>Farol Vermelho</v>
      </c>
      <c r="H420">
        <f t="shared" si="70"/>
        <v>3475</v>
      </c>
      <c r="I420" s="6">
        <f t="shared" si="71"/>
        <v>11</v>
      </c>
      <c r="J420" s="100">
        <v>10</v>
      </c>
      <c r="K420" s="62"/>
      <c r="L420" s="6">
        <f>L410+L419</f>
        <v>9.1666666666666661</v>
      </c>
      <c r="M420" s="6">
        <f t="shared" si="80"/>
        <v>14</v>
      </c>
      <c r="N420" s="71"/>
      <c r="O420" t="e">
        <f t="shared" si="73"/>
        <v>#DIV/0!</v>
      </c>
      <c r="P420" s="71"/>
      <c r="Q420" t="e">
        <f t="shared" si="74"/>
        <v>#DIV/0!</v>
      </c>
      <c r="R420" s="71"/>
      <c r="S420" s="6" t="e">
        <f t="shared" si="75"/>
        <v>#DIV/0!</v>
      </c>
    </row>
    <row r="421" spans="1:19" x14ac:dyDescent="0.2">
      <c r="A421" s="36" t="s">
        <v>85</v>
      </c>
      <c r="B421" s="6" t="s">
        <v>162</v>
      </c>
      <c r="C421" s="71">
        <v>8100</v>
      </c>
      <c r="D421" s="6">
        <f>(C421/12)*12</f>
        <v>8100</v>
      </c>
      <c r="E421" s="62">
        <v>0</v>
      </c>
      <c r="F421" s="6">
        <f>SUM(E410:E421)</f>
        <v>3950</v>
      </c>
      <c r="G421" s="35" t="str">
        <f t="shared" si="72"/>
        <v>Farol Vermelho</v>
      </c>
      <c r="H421">
        <f t="shared" si="70"/>
        <v>4150</v>
      </c>
      <c r="I421" s="6">
        <f t="shared" si="71"/>
        <v>12</v>
      </c>
      <c r="J421" s="100">
        <v>10</v>
      </c>
      <c r="K421" s="62"/>
      <c r="L421" s="6">
        <f>$L410+L420</f>
        <v>10</v>
      </c>
      <c r="M421" s="6">
        <f t="shared" si="80"/>
        <v>14</v>
      </c>
      <c r="N421" s="71"/>
      <c r="O421" t="e">
        <f t="shared" si="73"/>
        <v>#DIV/0!</v>
      </c>
      <c r="P421" s="71"/>
      <c r="Q421" t="e">
        <f t="shared" si="74"/>
        <v>#DIV/0!</v>
      </c>
      <c r="R421" s="71"/>
      <c r="S421" s="6" t="e">
        <f t="shared" si="75"/>
        <v>#DIV/0!</v>
      </c>
    </row>
    <row r="422" spans="1:19" x14ac:dyDescent="0.2">
      <c r="A422" s="36" t="s">
        <v>121</v>
      </c>
      <c r="B422" s="6" t="s">
        <v>151</v>
      </c>
      <c r="C422" s="71">
        <v>125346</v>
      </c>
      <c r="D422" s="6">
        <f>(C422/12)*1</f>
        <v>10445.5</v>
      </c>
      <c r="E422" s="62">
        <v>9000</v>
      </c>
      <c r="F422" s="6">
        <f>E422</f>
        <v>9000</v>
      </c>
      <c r="G422" s="35" t="str">
        <f t="shared" si="72"/>
        <v>Farol Amarelo</v>
      </c>
      <c r="H422">
        <f t="shared" ref="H422:H485" si="81">IF(D422-F422&lt;0,0,D422-F422)</f>
        <v>1445.5</v>
      </c>
      <c r="I422" s="6">
        <f t="shared" ref="I422:I485" si="82">_xlfn.IFS(B422="Janeiro",1,B422="Fevereiro",2,B422="Março",3,B422="Abril",4,B422="Maio",5,B422="Junho",6,B422="Julho",7,B422="Agosto",8,B422="Setembro",9,B422="Outubro",10,B422="Novembro",11,B422="Dezembro",12,TRUE,0)</f>
        <v>1</v>
      </c>
      <c r="J422" s="100">
        <v>9</v>
      </c>
      <c r="K422" s="62">
        <v>1</v>
      </c>
      <c r="L422" s="6">
        <f>J422/12</f>
        <v>0.75</v>
      </c>
      <c r="M422" s="6">
        <f>K422</f>
        <v>1</v>
      </c>
      <c r="N422" s="71">
        <v>0</v>
      </c>
      <c r="O422" t="e">
        <f t="shared" si="73"/>
        <v>#DIV/0!</v>
      </c>
      <c r="P422" s="71">
        <v>0</v>
      </c>
      <c r="Q422" t="e">
        <f t="shared" si="74"/>
        <v>#DIV/0!</v>
      </c>
      <c r="R422" s="71">
        <v>0</v>
      </c>
      <c r="S422" s="6" t="e">
        <f t="shared" si="75"/>
        <v>#DIV/0!</v>
      </c>
    </row>
    <row r="423" spans="1:19" x14ac:dyDescent="0.2">
      <c r="A423" s="36" t="s">
        <v>121</v>
      </c>
      <c r="B423" s="6" t="s">
        <v>152</v>
      </c>
      <c r="C423" s="71">
        <v>125346</v>
      </c>
      <c r="D423" s="6">
        <f>(C423/12)*2</f>
        <v>20891</v>
      </c>
      <c r="E423" s="62">
        <v>4600</v>
      </c>
      <c r="F423" s="6">
        <f>SUM(E422:E423)</f>
        <v>13600</v>
      </c>
      <c r="G423" s="35" t="str">
        <f t="shared" ref="G423:G486" si="83">_xlfn.IFS(F423&gt;D423,"Farol Verde",F423&gt;=D423*0.85,"Farol Amarelo",F423&lt;D423*0.85,"Farol Vermelho","Verdadeiro",0)</f>
        <v>Farol Vermelho</v>
      </c>
      <c r="H423">
        <f t="shared" si="81"/>
        <v>7291</v>
      </c>
      <c r="I423" s="6">
        <f t="shared" si="82"/>
        <v>2</v>
      </c>
      <c r="J423" s="100">
        <v>9</v>
      </c>
      <c r="K423" s="62">
        <v>1</v>
      </c>
      <c r="L423" s="6">
        <f>L422+L422</f>
        <v>1.5</v>
      </c>
      <c r="M423" s="6">
        <f>M422+K423</f>
        <v>2</v>
      </c>
      <c r="N423" s="71">
        <v>0</v>
      </c>
      <c r="O423" t="e">
        <f t="shared" ref="O423:O486" si="84">P423/N423</f>
        <v>#DIV/0!</v>
      </c>
      <c r="P423" s="71">
        <v>0</v>
      </c>
      <c r="Q423" t="e">
        <f t="shared" ref="Q423:Q486" si="85">R423/P423</f>
        <v>#DIV/0!</v>
      </c>
      <c r="R423" s="71">
        <v>0</v>
      </c>
      <c r="S423" s="6" t="e">
        <f t="shared" ref="S423:S486" si="86">R423/N423</f>
        <v>#DIV/0!</v>
      </c>
    </row>
    <row r="424" spans="1:19" x14ac:dyDescent="0.2">
      <c r="A424" s="36" t="s">
        <v>121</v>
      </c>
      <c r="B424" s="6" t="s">
        <v>153</v>
      </c>
      <c r="C424" s="71">
        <v>125346</v>
      </c>
      <c r="D424" s="6">
        <f>(C424/12)*3</f>
        <v>31336.5</v>
      </c>
      <c r="E424" s="62">
        <v>19880</v>
      </c>
      <c r="F424" s="6">
        <f>SUM(E422:E424)</f>
        <v>33480</v>
      </c>
      <c r="G424" s="35" t="str">
        <f t="shared" si="83"/>
        <v>Farol Verde</v>
      </c>
      <c r="H424">
        <f t="shared" si="81"/>
        <v>0</v>
      </c>
      <c r="I424" s="6">
        <f t="shared" si="82"/>
        <v>3</v>
      </c>
      <c r="J424" s="100">
        <v>9</v>
      </c>
      <c r="K424" s="62">
        <v>1</v>
      </c>
      <c r="L424" s="6">
        <f>$L422+L423</f>
        <v>2.25</v>
      </c>
      <c r="M424" s="6">
        <f t="shared" ref="M424:M433" si="87">M423+K424</f>
        <v>3</v>
      </c>
      <c r="N424" s="71">
        <v>0</v>
      </c>
      <c r="O424" t="e">
        <f t="shared" si="84"/>
        <v>#DIV/0!</v>
      </c>
      <c r="P424" s="71">
        <v>0</v>
      </c>
      <c r="Q424" t="e">
        <f t="shared" si="85"/>
        <v>#DIV/0!</v>
      </c>
      <c r="R424" s="71">
        <v>0</v>
      </c>
      <c r="S424" s="6" t="e">
        <f t="shared" si="86"/>
        <v>#DIV/0!</v>
      </c>
    </row>
    <row r="425" spans="1:19" x14ac:dyDescent="0.2">
      <c r="A425" s="36" t="s">
        <v>121</v>
      </c>
      <c r="B425" s="6" t="s">
        <v>154</v>
      </c>
      <c r="C425" s="71">
        <v>125346</v>
      </c>
      <c r="D425" s="6">
        <f>(C425/12)*4</f>
        <v>41782</v>
      </c>
      <c r="E425" s="62">
        <v>12880</v>
      </c>
      <c r="F425" s="6">
        <f>SUM(E422:E425)</f>
        <v>46360</v>
      </c>
      <c r="G425" s="35" t="str">
        <f t="shared" si="83"/>
        <v>Farol Verde</v>
      </c>
      <c r="H425">
        <f t="shared" si="81"/>
        <v>0</v>
      </c>
      <c r="I425" s="6">
        <f t="shared" si="82"/>
        <v>4</v>
      </c>
      <c r="J425" s="100">
        <v>9</v>
      </c>
      <c r="K425" s="62">
        <v>1</v>
      </c>
      <c r="L425" s="6">
        <f>$L422+L424</f>
        <v>3</v>
      </c>
      <c r="M425" s="6">
        <f t="shared" si="87"/>
        <v>4</v>
      </c>
      <c r="N425" s="71">
        <v>0</v>
      </c>
      <c r="O425" t="e">
        <f t="shared" si="84"/>
        <v>#DIV/0!</v>
      </c>
      <c r="P425" s="71">
        <v>0</v>
      </c>
      <c r="Q425" t="e">
        <f t="shared" si="85"/>
        <v>#DIV/0!</v>
      </c>
      <c r="R425" s="71">
        <v>0</v>
      </c>
      <c r="S425" s="6" t="e">
        <f t="shared" si="86"/>
        <v>#DIV/0!</v>
      </c>
    </row>
    <row r="426" spans="1:19" x14ac:dyDescent="0.2">
      <c r="A426" s="36" t="s">
        <v>121</v>
      </c>
      <c r="B426" s="6" t="s">
        <v>155</v>
      </c>
      <c r="C426" s="71">
        <v>125346</v>
      </c>
      <c r="D426" s="6">
        <f>(C426/12)*5</f>
        <v>52227.5</v>
      </c>
      <c r="E426" s="62">
        <v>0</v>
      </c>
      <c r="F426" s="6">
        <f>SUM(E422:E426)</f>
        <v>46360</v>
      </c>
      <c r="G426" s="35" t="str">
        <f t="shared" si="83"/>
        <v>Farol Amarelo</v>
      </c>
      <c r="H426">
        <f t="shared" si="81"/>
        <v>5867.5</v>
      </c>
      <c r="I426" s="6">
        <f t="shared" si="82"/>
        <v>5</v>
      </c>
      <c r="J426" s="100">
        <v>9</v>
      </c>
      <c r="K426" s="62">
        <v>0</v>
      </c>
      <c r="L426" s="6">
        <f>L422+L425</f>
        <v>3.75</v>
      </c>
      <c r="M426" s="6">
        <f t="shared" si="87"/>
        <v>4</v>
      </c>
      <c r="N426" s="71">
        <v>0</v>
      </c>
      <c r="O426" t="e">
        <f t="shared" si="84"/>
        <v>#DIV/0!</v>
      </c>
      <c r="P426" s="71">
        <v>0</v>
      </c>
      <c r="Q426" t="e">
        <f t="shared" si="85"/>
        <v>#DIV/0!</v>
      </c>
      <c r="R426" s="71">
        <v>0</v>
      </c>
      <c r="S426" s="6" t="e">
        <f t="shared" si="86"/>
        <v>#DIV/0!</v>
      </c>
    </row>
    <row r="427" spans="1:19" x14ac:dyDescent="0.2">
      <c r="A427" s="36" t="s">
        <v>121</v>
      </c>
      <c r="B427" s="6" t="s">
        <v>156</v>
      </c>
      <c r="C427" s="71">
        <v>125346</v>
      </c>
      <c r="D427" s="6">
        <f>(C427/12)*6</f>
        <v>62673</v>
      </c>
      <c r="E427" s="62">
        <v>296.39999999999998</v>
      </c>
      <c r="F427" s="6">
        <f>SUM(E422:E427)</f>
        <v>46656.4</v>
      </c>
      <c r="G427" s="35" t="str">
        <f t="shared" si="83"/>
        <v>Farol Vermelho</v>
      </c>
      <c r="H427">
        <f t="shared" si="81"/>
        <v>16016.599999999999</v>
      </c>
      <c r="I427" s="6">
        <f t="shared" si="82"/>
        <v>6</v>
      </c>
      <c r="J427" s="100">
        <v>9</v>
      </c>
      <c r="K427" s="62">
        <v>1</v>
      </c>
      <c r="L427" s="6">
        <f>$L422+L426</f>
        <v>4.5</v>
      </c>
      <c r="M427" s="6">
        <f t="shared" si="87"/>
        <v>5</v>
      </c>
      <c r="N427" s="71">
        <v>3</v>
      </c>
      <c r="O427">
        <f t="shared" si="84"/>
        <v>1</v>
      </c>
      <c r="P427" s="71">
        <v>3</v>
      </c>
      <c r="Q427">
        <f t="shared" si="85"/>
        <v>0</v>
      </c>
      <c r="R427" s="71">
        <v>0</v>
      </c>
      <c r="S427" s="6">
        <f t="shared" si="86"/>
        <v>0</v>
      </c>
    </row>
    <row r="428" spans="1:19" x14ac:dyDescent="0.2">
      <c r="A428" s="36" t="s">
        <v>121</v>
      </c>
      <c r="B428" s="6" t="s">
        <v>157</v>
      </c>
      <c r="C428" s="71">
        <v>125346</v>
      </c>
      <c r="D428" s="6">
        <f>(C428/12)*7</f>
        <v>73118.5</v>
      </c>
      <c r="E428" s="62">
        <v>34618.230000000003</v>
      </c>
      <c r="F428" s="6">
        <f>SUM(E422:E428)</f>
        <v>81274.63</v>
      </c>
      <c r="G428" s="35" t="str">
        <f t="shared" si="83"/>
        <v>Farol Verde</v>
      </c>
      <c r="H428">
        <f t="shared" si="81"/>
        <v>0</v>
      </c>
      <c r="I428" s="6">
        <f t="shared" si="82"/>
        <v>7</v>
      </c>
      <c r="J428" s="100">
        <v>9</v>
      </c>
      <c r="K428" s="62">
        <v>1</v>
      </c>
      <c r="L428" s="6">
        <f>$L422+L427</f>
        <v>5.25</v>
      </c>
      <c r="M428" s="6">
        <f t="shared" si="87"/>
        <v>6</v>
      </c>
      <c r="N428" s="71"/>
      <c r="O428" t="e">
        <f t="shared" si="84"/>
        <v>#DIV/0!</v>
      </c>
      <c r="P428" s="71"/>
      <c r="Q428" t="e">
        <f t="shared" si="85"/>
        <v>#DIV/0!</v>
      </c>
      <c r="R428" s="71"/>
      <c r="S428" s="6" t="e">
        <f t="shared" si="86"/>
        <v>#DIV/0!</v>
      </c>
    </row>
    <row r="429" spans="1:19" x14ac:dyDescent="0.2">
      <c r="A429" s="36" t="s">
        <v>121</v>
      </c>
      <c r="B429" s="6" t="s">
        <v>158</v>
      </c>
      <c r="C429" s="71">
        <v>125346</v>
      </c>
      <c r="D429" s="6">
        <f>(C429/12)*8</f>
        <v>83564</v>
      </c>
      <c r="E429" s="62">
        <v>0</v>
      </c>
      <c r="F429" s="6">
        <f>SUM(E422:E429)</f>
        <v>81274.63</v>
      </c>
      <c r="G429" s="35" t="str">
        <f t="shared" si="83"/>
        <v>Farol Amarelo</v>
      </c>
      <c r="H429">
        <f t="shared" si="81"/>
        <v>2289.3699999999953</v>
      </c>
      <c r="I429" s="6">
        <f t="shared" si="82"/>
        <v>8</v>
      </c>
      <c r="J429" s="100">
        <v>9</v>
      </c>
      <c r="K429" s="62"/>
      <c r="L429" s="6">
        <f>L422+L428</f>
        <v>6</v>
      </c>
      <c r="M429" s="6">
        <f t="shared" si="87"/>
        <v>6</v>
      </c>
      <c r="N429" s="71"/>
      <c r="O429" t="e">
        <f t="shared" si="84"/>
        <v>#DIV/0!</v>
      </c>
      <c r="P429" s="71"/>
      <c r="Q429" t="e">
        <f t="shared" si="85"/>
        <v>#DIV/0!</v>
      </c>
      <c r="R429" s="71"/>
      <c r="S429" s="6" t="e">
        <f t="shared" si="86"/>
        <v>#DIV/0!</v>
      </c>
    </row>
    <row r="430" spans="1:19" x14ac:dyDescent="0.2">
      <c r="A430" s="36" t="s">
        <v>121</v>
      </c>
      <c r="B430" s="6" t="s">
        <v>159</v>
      </c>
      <c r="C430" s="71">
        <v>125346</v>
      </c>
      <c r="D430" s="6">
        <f>(C430/12)*9</f>
        <v>94009.5</v>
      </c>
      <c r="E430" s="62">
        <v>0</v>
      </c>
      <c r="F430" s="6">
        <f>SUM(E422:E430)</f>
        <v>81274.63</v>
      </c>
      <c r="G430" s="35" t="str">
        <f t="shared" si="83"/>
        <v>Farol Amarelo</v>
      </c>
      <c r="H430">
        <f t="shared" si="81"/>
        <v>12734.869999999995</v>
      </c>
      <c r="I430" s="6">
        <f t="shared" si="82"/>
        <v>9</v>
      </c>
      <c r="J430" s="100">
        <v>9</v>
      </c>
      <c r="K430" s="62"/>
      <c r="L430" s="6">
        <f>$L422+L429</f>
        <v>6.75</v>
      </c>
      <c r="M430" s="6">
        <f t="shared" si="87"/>
        <v>6</v>
      </c>
      <c r="N430" s="71"/>
      <c r="O430" t="e">
        <f t="shared" si="84"/>
        <v>#DIV/0!</v>
      </c>
      <c r="P430" s="71"/>
      <c r="Q430" t="e">
        <f t="shared" si="85"/>
        <v>#DIV/0!</v>
      </c>
      <c r="R430" s="71"/>
      <c r="S430" s="6" t="e">
        <f t="shared" si="86"/>
        <v>#DIV/0!</v>
      </c>
    </row>
    <row r="431" spans="1:19" x14ac:dyDescent="0.2">
      <c r="A431" s="36" t="s">
        <v>121</v>
      </c>
      <c r="B431" s="6" t="s">
        <v>160</v>
      </c>
      <c r="C431" s="71">
        <v>125346</v>
      </c>
      <c r="D431" s="6">
        <f>(C431/12)*10</f>
        <v>104455</v>
      </c>
      <c r="E431" s="62">
        <v>0</v>
      </c>
      <c r="F431" s="6">
        <f>SUM(E422:E431)</f>
        <v>81274.63</v>
      </c>
      <c r="G431" s="35" t="str">
        <f t="shared" si="83"/>
        <v>Farol Vermelho</v>
      </c>
      <c r="H431">
        <f t="shared" si="81"/>
        <v>23180.369999999995</v>
      </c>
      <c r="I431" s="6">
        <f t="shared" si="82"/>
        <v>10</v>
      </c>
      <c r="J431" s="100">
        <v>9</v>
      </c>
      <c r="K431" s="62"/>
      <c r="L431" s="6">
        <f>$L422+L430</f>
        <v>7.5</v>
      </c>
      <c r="M431" s="6">
        <f t="shared" si="87"/>
        <v>6</v>
      </c>
      <c r="N431" s="71"/>
      <c r="O431" t="e">
        <f t="shared" si="84"/>
        <v>#DIV/0!</v>
      </c>
      <c r="P431" s="71"/>
      <c r="Q431" t="e">
        <f t="shared" si="85"/>
        <v>#DIV/0!</v>
      </c>
      <c r="R431" s="71"/>
      <c r="S431" s="6" t="e">
        <f t="shared" si="86"/>
        <v>#DIV/0!</v>
      </c>
    </row>
    <row r="432" spans="1:19" x14ac:dyDescent="0.2">
      <c r="A432" s="36" t="s">
        <v>121</v>
      </c>
      <c r="B432" s="6" t="s">
        <v>161</v>
      </c>
      <c r="C432" s="71">
        <v>125346</v>
      </c>
      <c r="D432" s="6">
        <f>(C432/12)*11</f>
        <v>114900.5</v>
      </c>
      <c r="E432" s="62">
        <v>0</v>
      </c>
      <c r="F432" s="6">
        <f>SUM(E422:E432)</f>
        <v>81274.63</v>
      </c>
      <c r="G432" s="35" t="str">
        <f t="shared" si="83"/>
        <v>Farol Vermelho</v>
      </c>
      <c r="H432">
        <f t="shared" si="81"/>
        <v>33625.869999999995</v>
      </c>
      <c r="I432" s="6">
        <f t="shared" si="82"/>
        <v>11</v>
      </c>
      <c r="J432" s="100">
        <v>9</v>
      </c>
      <c r="K432" s="62"/>
      <c r="L432" s="6">
        <f>L422+L431</f>
        <v>8.25</v>
      </c>
      <c r="M432" s="6">
        <f t="shared" si="87"/>
        <v>6</v>
      </c>
      <c r="N432" s="71"/>
      <c r="O432" t="e">
        <f t="shared" si="84"/>
        <v>#DIV/0!</v>
      </c>
      <c r="P432" s="71"/>
      <c r="Q432" t="e">
        <f t="shared" si="85"/>
        <v>#DIV/0!</v>
      </c>
      <c r="R432" s="71"/>
      <c r="S432" s="6" t="e">
        <f t="shared" si="86"/>
        <v>#DIV/0!</v>
      </c>
    </row>
    <row r="433" spans="1:19" x14ac:dyDescent="0.2">
      <c r="A433" s="36" t="s">
        <v>121</v>
      </c>
      <c r="B433" s="6" t="s">
        <v>162</v>
      </c>
      <c r="C433" s="71">
        <v>125346</v>
      </c>
      <c r="D433" s="6">
        <f>(C433/12)*12</f>
        <v>125346</v>
      </c>
      <c r="E433" s="62">
        <v>0</v>
      </c>
      <c r="F433" s="6">
        <f>SUM(E422:E433)</f>
        <v>81274.63</v>
      </c>
      <c r="G433" s="35" t="str">
        <f t="shared" si="83"/>
        <v>Farol Vermelho</v>
      </c>
      <c r="H433">
        <f t="shared" si="81"/>
        <v>44071.369999999995</v>
      </c>
      <c r="I433" s="6">
        <f t="shared" si="82"/>
        <v>12</v>
      </c>
      <c r="J433" s="100">
        <v>9</v>
      </c>
      <c r="K433" s="62"/>
      <c r="L433" s="6">
        <f>$L422+L432</f>
        <v>9</v>
      </c>
      <c r="M433" s="6">
        <f t="shared" si="87"/>
        <v>6</v>
      </c>
      <c r="N433" s="71"/>
      <c r="O433" t="e">
        <f t="shared" si="84"/>
        <v>#DIV/0!</v>
      </c>
      <c r="P433" s="71"/>
      <c r="Q433" t="e">
        <f t="shared" si="85"/>
        <v>#DIV/0!</v>
      </c>
      <c r="R433" s="71"/>
      <c r="S433" s="6" t="e">
        <f t="shared" si="86"/>
        <v>#DIV/0!</v>
      </c>
    </row>
    <row r="434" spans="1:19" x14ac:dyDescent="0.2">
      <c r="A434" s="36" t="s">
        <v>116</v>
      </c>
      <c r="B434" s="6" t="s">
        <v>151</v>
      </c>
      <c r="C434" s="71">
        <v>17674.88</v>
      </c>
      <c r="D434" s="6">
        <f>(C434/12)*1</f>
        <v>1472.9066666666668</v>
      </c>
      <c r="E434" s="62">
        <v>10</v>
      </c>
      <c r="F434" s="6">
        <f>E434</f>
        <v>10</v>
      </c>
      <c r="G434" s="35" t="str">
        <f t="shared" si="83"/>
        <v>Farol Vermelho</v>
      </c>
      <c r="H434">
        <f t="shared" si="81"/>
        <v>1462.9066666666668</v>
      </c>
      <c r="I434" s="6">
        <f t="shared" si="82"/>
        <v>1</v>
      </c>
      <c r="J434" s="100">
        <v>10</v>
      </c>
      <c r="K434" s="62">
        <v>1</v>
      </c>
      <c r="L434" s="6">
        <f>J434/12</f>
        <v>0.83333333333333337</v>
      </c>
      <c r="M434" s="6">
        <f>K434</f>
        <v>1</v>
      </c>
      <c r="N434" s="71">
        <v>0</v>
      </c>
      <c r="O434" t="e">
        <f t="shared" si="84"/>
        <v>#DIV/0!</v>
      </c>
      <c r="P434" s="71">
        <v>0</v>
      </c>
      <c r="Q434" t="e">
        <f t="shared" si="85"/>
        <v>#DIV/0!</v>
      </c>
      <c r="R434" s="71">
        <v>0</v>
      </c>
      <c r="S434" s="6" t="e">
        <f t="shared" si="86"/>
        <v>#DIV/0!</v>
      </c>
    </row>
    <row r="435" spans="1:19" x14ac:dyDescent="0.2">
      <c r="A435" s="36" t="s">
        <v>116</v>
      </c>
      <c r="B435" s="6" t="s">
        <v>152</v>
      </c>
      <c r="C435" s="71">
        <v>17674.88</v>
      </c>
      <c r="D435" s="6">
        <f>(C435/12)*2</f>
        <v>2945.8133333333335</v>
      </c>
      <c r="E435" s="62">
        <v>0</v>
      </c>
      <c r="F435" s="6">
        <f>SUM(E434:E435)</f>
        <v>10</v>
      </c>
      <c r="G435" s="35" t="str">
        <f t="shared" si="83"/>
        <v>Farol Vermelho</v>
      </c>
      <c r="H435">
        <f t="shared" si="81"/>
        <v>2935.8133333333335</v>
      </c>
      <c r="I435" s="6">
        <f t="shared" si="82"/>
        <v>2</v>
      </c>
      <c r="J435" s="100">
        <v>10</v>
      </c>
      <c r="K435" s="62">
        <v>0</v>
      </c>
      <c r="L435" s="6">
        <f>L434+L434</f>
        <v>1.6666666666666667</v>
      </c>
      <c r="M435" s="6">
        <f>M434+K435</f>
        <v>1</v>
      </c>
      <c r="N435" s="71">
        <v>0</v>
      </c>
      <c r="O435" t="e">
        <f t="shared" si="84"/>
        <v>#DIV/0!</v>
      </c>
      <c r="P435" s="71">
        <v>0</v>
      </c>
      <c r="Q435" t="e">
        <f t="shared" si="85"/>
        <v>#DIV/0!</v>
      </c>
      <c r="R435" s="71">
        <v>0</v>
      </c>
      <c r="S435" s="6" t="e">
        <f t="shared" si="86"/>
        <v>#DIV/0!</v>
      </c>
    </row>
    <row r="436" spans="1:19" x14ac:dyDescent="0.2">
      <c r="A436" s="36" t="s">
        <v>116</v>
      </c>
      <c r="B436" s="6" t="s">
        <v>153</v>
      </c>
      <c r="C436" s="71">
        <v>17674.88</v>
      </c>
      <c r="D436" s="6">
        <f>(C436/12)*3</f>
        <v>4418.72</v>
      </c>
      <c r="E436" s="62">
        <v>0</v>
      </c>
      <c r="F436" s="6">
        <f>SUM(E434:E436)</f>
        <v>10</v>
      </c>
      <c r="G436" s="35" t="str">
        <f t="shared" si="83"/>
        <v>Farol Vermelho</v>
      </c>
      <c r="H436">
        <f t="shared" si="81"/>
        <v>4408.72</v>
      </c>
      <c r="I436" s="6">
        <f t="shared" si="82"/>
        <v>3</v>
      </c>
      <c r="J436" s="100">
        <v>10</v>
      </c>
      <c r="K436" s="62">
        <v>0</v>
      </c>
      <c r="L436" s="6">
        <f>$L434+L435</f>
        <v>2.5</v>
      </c>
      <c r="M436" s="6">
        <f t="shared" ref="M436:M445" si="88">M435+K436</f>
        <v>1</v>
      </c>
      <c r="N436" s="71">
        <v>0</v>
      </c>
      <c r="O436" t="e">
        <f t="shared" si="84"/>
        <v>#DIV/0!</v>
      </c>
      <c r="P436" s="71">
        <v>0</v>
      </c>
      <c r="Q436" t="e">
        <f t="shared" si="85"/>
        <v>#DIV/0!</v>
      </c>
      <c r="R436" s="71">
        <v>0</v>
      </c>
      <c r="S436" s="6" t="e">
        <f t="shared" si="86"/>
        <v>#DIV/0!</v>
      </c>
    </row>
    <row r="437" spans="1:19" x14ac:dyDescent="0.2">
      <c r="A437" s="36" t="s">
        <v>116</v>
      </c>
      <c r="B437" s="6" t="s">
        <v>154</v>
      </c>
      <c r="C437" s="71">
        <v>17674.88</v>
      </c>
      <c r="D437" s="6">
        <f>(C437/12)*4</f>
        <v>5891.626666666667</v>
      </c>
      <c r="E437" s="62">
        <v>0</v>
      </c>
      <c r="F437" s="6">
        <f>SUM(E434:E437)</f>
        <v>10</v>
      </c>
      <c r="G437" s="35" t="str">
        <f t="shared" si="83"/>
        <v>Farol Vermelho</v>
      </c>
      <c r="H437">
        <f t="shared" si="81"/>
        <v>5881.626666666667</v>
      </c>
      <c r="I437" s="6">
        <f t="shared" si="82"/>
        <v>4</v>
      </c>
      <c r="J437" s="100">
        <v>10</v>
      </c>
      <c r="K437" s="62">
        <v>0</v>
      </c>
      <c r="L437" s="6">
        <f>$L434+L436</f>
        <v>3.3333333333333335</v>
      </c>
      <c r="M437" s="6">
        <f t="shared" si="88"/>
        <v>1</v>
      </c>
      <c r="N437" s="71">
        <v>0</v>
      </c>
      <c r="O437" t="e">
        <f t="shared" si="84"/>
        <v>#DIV/0!</v>
      </c>
      <c r="P437" s="71">
        <v>0</v>
      </c>
      <c r="Q437" t="e">
        <f t="shared" si="85"/>
        <v>#DIV/0!</v>
      </c>
      <c r="R437" s="71">
        <v>0</v>
      </c>
      <c r="S437" s="6" t="e">
        <f t="shared" si="86"/>
        <v>#DIV/0!</v>
      </c>
    </row>
    <row r="438" spans="1:19" x14ac:dyDescent="0.2">
      <c r="A438" s="36" t="s">
        <v>116</v>
      </c>
      <c r="B438" s="6" t="s">
        <v>155</v>
      </c>
      <c r="C438" s="71">
        <v>17674.88</v>
      </c>
      <c r="D438" s="6">
        <f>(C438/12)*5</f>
        <v>7364.5333333333338</v>
      </c>
      <c r="E438" s="62">
        <v>144</v>
      </c>
      <c r="F438" s="6">
        <f>SUM(E434:E438)</f>
        <v>154</v>
      </c>
      <c r="G438" s="35" t="str">
        <f t="shared" si="83"/>
        <v>Farol Vermelho</v>
      </c>
      <c r="H438">
        <f t="shared" si="81"/>
        <v>7210.5333333333338</v>
      </c>
      <c r="I438" s="6">
        <f t="shared" si="82"/>
        <v>5</v>
      </c>
      <c r="J438" s="100">
        <v>10</v>
      </c>
      <c r="K438" s="62">
        <v>1</v>
      </c>
      <c r="L438" s="6">
        <f>L434+L437</f>
        <v>4.166666666666667</v>
      </c>
      <c r="M438" s="6">
        <f t="shared" si="88"/>
        <v>2</v>
      </c>
      <c r="N438" s="71">
        <v>0</v>
      </c>
      <c r="O438" t="e">
        <f t="shared" si="84"/>
        <v>#DIV/0!</v>
      </c>
      <c r="P438" s="71">
        <v>0</v>
      </c>
      <c r="Q438" t="e">
        <f t="shared" si="85"/>
        <v>#DIV/0!</v>
      </c>
      <c r="R438" s="71">
        <v>0</v>
      </c>
      <c r="S438" s="6" t="e">
        <f t="shared" si="86"/>
        <v>#DIV/0!</v>
      </c>
    </row>
    <row r="439" spans="1:19" x14ac:dyDescent="0.2">
      <c r="A439" s="36" t="s">
        <v>116</v>
      </c>
      <c r="B439" s="6" t="s">
        <v>156</v>
      </c>
      <c r="C439" s="71">
        <v>17674.88</v>
      </c>
      <c r="D439" s="6">
        <f>(C439/12)*6</f>
        <v>8837.44</v>
      </c>
      <c r="E439" s="62">
        <v>60</v>
      </c>
      <c r="F439" s="6">
        <f>SUM(E434:E439)</f>
        <v>214</v>
      </c>
      <c r="G439" s="35" t="str">
        <f t="shared" si="83"/>
        <v>Farol Vermelho</v>
      </c>
      <c r="H439">
        <f t="shared" si="81"/>
        <v>8623.44</v>
      </c>
      <c r="I439" s="6">
        <f t="shared" si="82"/>
        <v>6</v>
      </c>
      <c r="J439" s="100">
        <v>10</v>
      </c>
      <c r="K439" s="62">
        <v>1</v>
      </c>
      <c r="L439" s="6">
        <f>$L434+L438</f>
        <v>5</v>
      </c>
      <c r="M439" s="6">
        <f t="shared" si="88"/>
        <v>3</v>
      </c>
      <c r="N439" s="71">
        <v>0</v>
      </c>
      <c r="O439" t="e">
        <f t="shared" si="84"/>
        <v>#DIV/0!</v>
      </c>
      <c r="P439" s="71">
        <v>0</v>
      </c>
      <c r="Q439" t="e">
        <f t="shared" si="85"/>
        <v>#DIV/0!</v>
      </c>
      <c r="R439" s="71">
        <v>0</v>
      </c>
      <c r="S439" s="6" t="e">
        <f t="shared" si="86"/>
        <v>#DIV/0!</v>
      </c>
    </row>
    <row r="440" spans="1:19" x14ac:dyDescent="0.2">
      <c r="A440" s="36" t="s">
        <v>116</v>
      </c>
      <c r="B440" s="6" t="s">
        <v>157</v>
      </c>
      <c r="C440" s="71">
        <v>17674.88</v>
      </c>
      <c r="D440" s="6">
        <f>(C440/12)*7</f>
        <v>10310.346666666668</v>
      </c>
      <c r="E440" s="62">
        <v>0</v>
      </c>
      <c r="F440" s="6">
        <f>SUM(E434:E440)</f>
        <v>214</v>
      </c>
      <c r="G440" s="35" t="str">
        <f t="shared" si="83"/>
        <v>Farol Vermelho</v>
      </c>
      <c r="H440">
        <f t="shared" si="81"/>
        <v>10096.346666666668</v>
      </c>
      <c r="I440" s="6">
        <f t="shared" si="82"/>
        <v>7</v>
      </c>
      <c r="J440" s="100">
        <v>10</v>
      </c>
      <c r="K440" s="62">
        <v>0</v>
      </c>
      <c r="L440" s="6">
        <f>$L434+L439</f>
        <v>5.833333333333333</v>
      </c>
      <c r="M440" s="6">
        <f t="shared" si="88"/>
        <v>3</v>
      </c>
      <c r="N440" s="71"/>
      <c r="O440" t="e">
        <f t="shared" si="84"/>
        <v>#DIV/0!</v>
      </c>
      <c r="P440" s="71"/>
      <c r="Q440" t="e">
        <f t="shared" si="85"/>
        <v>#DIV/0!</v>
      </c>
      <c r="R440" s="71"/>
      <c r="S440" s="6" t="e">
        <f t="shared" si="86"/>
        <v>#DIV/0!</v>
      </c>
    </row>
    <row r="441" spans="1:19" x14ac:dyDescent="0.2">
      <c r="A441" s="36" t="s">
        <v>116</v>
      </c>
      <c r="B441" s="6" t="s">
        <v>158</v>
      </c>
      <c r="C441" s="71">
        <v>17674.88</v>
      </c>
      <c r="D441" s="6">
        <f>(C441/12)*8</f>
        <v>11783.253333333334</v>
      </c>
      <c r="E441" s="62">
        <v>0</v>
      </c>
      <c r="F441" s="6">
        <f>SUM(E434:E441)</f>
        <v>214</v>
      </c>
      <c r="G441" s="35" t="str">
        <f t="shared" si="83"/>
        <v>Farol Vermelho</v>
      </c>
      <c r="H441">
        <f t="shared" si="81"/>
        <v>11569.253333333334</v>
      </c>
      <c r="I441" s="6">
        <f t="shared" si="82"/>
        <v>8</v>
      </c>
      <c r="J441" s="100">
        <v>10</v>
      </c>
      <c r="K441" s="62"/>
      <c r="L441" s="6">
        <f>L434+L440</f>
        <v>6.6666666666666661</v>
      </c>
      <c r="M441" s="6">
        <f t="shared" si="88"/>
        <v>3</v>
      </c>
      <c r="N441" s="71"/>
      <c r="O441" t="e">
        <f t="shared" si="84"/>
        <v>#DIV/0!</v>
      </c>
      <c r="P441" s="71"/>
      <c r="Q441" t="e">
        <f t="shared" si="85"/>
        <v>#DIV/0!</v>
      </c>
      <c r="R441" s="71"/>
      <c r="S441" s="6" t="e">
        <f t="shared" si="86"/>
        <v>#DIV/0!</v>
      </c>
    </row>
    <row r="442" spans="1:19" x14ac:dyDescent="0.2">
      <c r="A442" s="36" t="s">
        <v>116</v>
      </c>
      <c r="B442" s="6" t="s">
        <v>159</v>
      </c>
      <c r="C442" s="71">
        <v>17674.88</v>
      </c>
      <c r="D442" s="6">
        <f>(C442/12)*9</f>
        <v>13256.16</v>
      </c>
      <c r="E442" s="62">
        <v>0</v>
      </c>
      <c r="F442" s="6">
        <f>SUM(E434:E442)</f>
        <v>214</v>
      </c>
      <c r="G442" s="35" t="str">
        <f t="shared" si="83"/>
        <v>Farol Vermelho</v>
      </c>
      <c r="H442">
        <f t="shared" si="81"/>
        <v>13042.16</v>
      </c>
      <c r="I442" s="6">
        <f t="shared" si="82"/>
        <v>9</v>
      </c>
      <c r="J442" s="100">
        <v>10</v>
      </c>
      <c r="K442" s="62"/>
      <c r="L442" s="6">
        <f>$L434+L441</f>
        <v>7.4999999999999991</v>
      </c>
      <c r="M442" s="6">
        <f t="shared" si="88"/>
        <v>3</v>
      </c>
      <c r="N442" s="71"/>
      <c r="O442" t="e">
        <f t="shared" si="84"/>
        <v>#DIV/0!</v>
      </c>
      <c r="P442" s="71"/>
      <c r="Q442" t="e">
        <f t="shared" si="85"/>
        <v>#DIV/0!</v>
      </c>
      <c r="R442" s="71"/>
      <c r="S442" s="6" t="e">
        <f t="shared" si="86"/>
        <v>#DIV/0!</v>
      </c>
    </row>
    <row r="443" spans="1:19" x14ac:dyDescent="0.2">
      <c r="A443" s="36" t="s">
        <v>116</v>
      </c>
      <c r="B443" s="6" t="s">
        <v>160</v>
      </c>
      <c r="C443" s="71">
        <v>17674.88</v>
      </c>
      <c r="D443" s="6">
        <f>(C443/12)*10</f>
        <v>14729.066666666668</v>
      </c>
      <c r="E443" s="62">
        <v>0</v>
      </c>
      <c r="F443" s="6">
        <f>SUM(E434:E443)</f>
        <v>214</v>
      </c>
      <c r="G443" s="35" t="str">
        <f t="shared" si="83"/>
        <v>Farol Vermelho</v>
      </c>
      <c r="H443">
        <f t="shared" si="81"/>
        <v>14515.066666666668</v>
      </c>
      <c r="I443" s="6">
        <f t="shared" si="82"/>
        <v>10</v>
      </c>
      <c r="J443" s="100">
        <v>10</v>
      </c>
      <c r="K443" s="62"/>
      <c r="L443" s="6">
        <f>$L434+L442</f>
        <v>8.3333333333333321</v>
      </c>
      <c r="M443" s="6">
        <f t="shared" si="88"/>
        <v>3</v>
      </c>
      <c r="N443" s="71"/>
      <c r="O443" t="e">
        <f t="shared" si="84"/>
        <v>#DIV/0!</v>
      </c>
      <c r="P443" s="71"/>
      <c r="Q443" t="e">
        <f t="shared" si="85"/>
        <v>#DIV/0!</v>
      </c>
      <c r="R443" s="71"/>
      <c r="S443" s="6" t="e">
        <f t="shared" si="86"/>
        <v>#DIV/0!</v>
      </c>
    </row>
    <row r="444" spans="1:19" x14ac:dyDescent="0.2">
      <c r="A444" s="36" t="s">
        <v>116</v>
      </c>
      <c r="B444" s="6" t="s">
        <v>161</v>
      </c>
      <c r="C444" s="71">
        <v>17674.88</v>
      </c>
      <c r="D444" s="6">
        <f>(C444/12)*11</f>
        <v>16201.973333333335</v>
      </c>
      <c r="E444" s="62">
        <v>0</v>
      </c>
      <c r="F444" s="6">
        <f>SUM(E434:E444)</f>
        <v>214</v>
      </c>
      <c r="G444" s="35" t="str">
        <f t="shared" si="83"/>
        <v>Farol Vermelho</v>
      </c>
      <c r="H444">
        <f t="shared" si="81"/>
        <v>15987.973333333335</v>
      </c>
      <c r="I444" s="6">
        <f t="shared" si="82"/>
        <v>11</v>
      </c>
      <c r="J444" s="100">
        <v>10</v>
      </c>
      <c r="K444" s="62"/>
      <c r="L444" s="6">
        <f>L434+L443</f>
        <v>9.1666666666666661</v>
      </c>
      <c r="M444" s="6">
        <f t="shared" si="88"/>
        <v>3</v>
      </c>
      <c r="N444" s="71"/>
      <c r="O444" t="e">
        <f t="shared" si="84"/>
        <v>#DIV/0!</v>
      </c>
      <c r="P444" s="71"/>
      <c r="Q444" t="e">
        <f t="shared" si="85"/>
        <v>#DIV/0!</v>
      </c>
      <c r="R444" s="71"/>
      <c r="S444" s="6" t="e">
        <f t="shared" si="86"/>
        <v>#DIV/0!</v>
      </c>
    </row>
    <row r="445" spans="1:19" x14ac:dyDescent="0.2">
      <c r="A445" s="36" t="s">
        <v>116</v>
      </c>
      <c r="B445" s="6" t="s">
        <v>162</v>
      </c>
      <c r="C445" s="71">
        <v>17674.88</v>
      </c>
      <c r="D445" s="6">
        <f>(C445/12)*12</f>
        <v>17674.88</v>
      </c>
      <c r="E445" s="62">
        <v>0</v>
      </c>
      <c r="F445" s="6">
        <f>SUM(E434:E445)</f>
        <v>214</v>
      </c>
      <c r="G445" s="35" t="str">
        <f t="shared" si="83"/>
        <v>Farol Vermelho</v>
      </c>
      <c r="H445">
        <f t="shared" si="81"/>
        <v>17460.88</v>
      </c>
      <c r="I445" s="6">
        <f t="shared" si="82"/>
        <v>12</v>
      </c>
      <c r="J445" s="100">
        <v>10</v>
      </c>
      <c r="K445" s="62"/>
      <c r="L445" s="6">
        <f>$L434+L444</f>
        <v>10</v>
      </c>
      <c r="M445" s="6">
        <f t="shared" si="88"/>
        <v>3</v>
      </c>
      <c r="N445" s="71"/>
      <c r="O445" t="e">
        <f t="shared" si="84"/>
        <v>#DIV/0!</v>
      </c>
      <c r="P445" s="71"/>
      <c r="Q445" t="e">
        <f t="shared" si="85"/>
        <v>#DIV/0!</v>
      </c>
      <c r="R445" s="71"/>
      <c r="S445" s="6" t="e">
        <f t="shared" si="86"/>
        <v>#DIV/0!</v>
      </c>
    </row>
    <row r="446" spans="1:19" x14ac:dyDescent="0.2">
      <c r="A446" s="36" t="s">
        <v>86</v>
      </c>
      <c r="B446" s="6" t="s">
        <v>151</v>
      </c>
      <c r="C446" s="71">
        <v>1000</v>
      </c>
      <c r="D446" s="6">
        <f>(C446/12)*1</f>
        <v>83.333333333333329</v>
      </c>
      <c r="E446" s="62">
        <v>0</v>
      </c>
      <c r="F446" s="6">
        <f>E446</f>
        <v>0</v>
      </c>
      <c r="G446" s="35" t="str">
        <f t="shared" si="83"/>
        <v>Farol Vermelho</v>
      </c>
      <c r="H446">
        <f t="shared" si="81"/>
        <v>83.333333333333329</v>
      </c>
      <c r="I446" s="6">
        <f t="shared" si="82"/>
        <v>1</v>
      </c>
      <c r="J446" s="100">
        <v>5</v>
      </c>
      <c r="K446" s="62">
        <v>0</v>
      </c>
      <c r="L446" s="6">
        <f>J446/12</f>
        <v>0.41666666666666669</v>
      </c>
      <c r="M446" s="6">
        <f>K446</f>
        <v>0</v>
      </c>
      <c r="N446" s="71">
        <v>0</v>
      </c>
      <c r="O446" t="e">
        <f t="shared" si="84"/>
        <v>#DIV/0!</v>
      </c>
      <c r="P446" s="71">
        <v>0</v>
      </c>
      <c r="Q446" t="e">
        <f t="shared" si="85"/>
        <v>#DIV/0!</v>
      </c>
      <c r="R446" s="71">
        <v>0</v>
      </c>
      <c r="S446" s="6" t="e">
        <f t="shared" si="86"/>
        <v>#DIV/0!</v>
      </c>
    </row>
    <row r="447" spans="1:19" x14ac:dyDescent="0.2">
      <c r="A447" s="36" t="s">
        <v>86</v>
      </c>
      <c r="B447" s="6" t="s">
        <v>152</v>
      </c>
      <c r="C447" s="71">
        <v>1000</v>
      </c>
      <c r="D447" s="6">
        <f>(C447/12)*2</f>
        <v>166.66666666666666</v>
      </c>
      <c r="E447" s="62">
        <v>0</v>
      </c>
      <c r="F447" s="6">
        <f>SUM(E446:E447)</f>
        <v>0</v>
      </c>
      <c r="G447" s="35" t="str">
        <f t="shared" si="83"/>
        <v>Farol Vermelho</v>
      </c>
      <c r="H447">
        <f t="shared" si="81"/>
        <v>166.66666666666666</v>
      </c>
      <c r="I447" s="6">
        <f t="shared" si="82"/>
        <v>2</v>
      </c>
      <c r="J447" s="100">
        <v>5</v>
      </c>
      <c r="K447" s="62">
        <v>0</v>
      </c>
      <c r="L447" s="6">
        <f>L446+L446</f>
        <v>0.83333333333333337</v>
      </c>
      <c r="M447" s="6">
        <f>M446+K447</f>
        <v>0</v>
      </c>
      <c r="N447" s="71">
        <v>0</v>
      </c>
      <c r="O447" t="e">
        <f t="shared" si="84"/>
        <v>#DIV/0!</v>
      </c>
      <c r="P447" s="71">
        <v>0</v>
      </c>
      <c r="Q447" t="e">
        <f t="shared" si="85"/>
        <v>#DIV/0!</v>
      </c>
      <c r="R447" s="71">
        <v>0</v>
      </c>
      <c r="S447" s="6" t="e">
        <f t="shared" si="86"/>
        <v>#DIV/0!</v>
      </c>
    </row>
    <row r="448" spans="1:19" x14ac:dyDescent="0.2">
      <c r="A448" s="36" t="s">
        <v>86</v>
      </c>
      <c r="B448" s="6" t="s">
        <v>153</v>
      </c>
      <c r="C448" s="71">
        <v>1000</v>
      </c>
      <c r="D448" s="6">
        <f>(C448/12)*3</f>
        <v>250</v>
      </c>
      <c r="E448" s="62">
        <v>0</v>
      </c>
      <c r="F448" s="6">
        <f>SUM(E446:E448)</f>
        <v>0</v>
      </c>
      <c r="G448" s="35" t="str">
        <f t="shared" si="83"/>
        <v>Farol Vermelho</v>
      </c>
      <c r="H448">
        <f t="shared" si="81"/>
        <v>250</v>
      </c>
      <c r="I448" s="6">
        <f t="shared" si="82"/>
        <v>3</v>
      </c>
      <c r="J448" s="100">
        <v>5</v>
      </c>
      <c r="K448" s="62">
        <v>0</v>
      </c>
      <c r="L448" s="6">
        <f>$L446+L447</f>
        <v>1.25</v>
      </c>
      <c r="M448" s="6">
        <f t="shared" ref="M448:M457" si="89">M447+K448</f>
        <v>0</v>
      </c>
      <c r="N448" s="71">
        <v>0</v>
      </c>
      <c r="O448" t="e">
        <f t="shared" si="84"/>
        <v>#DIV/0!</v>
      </c>
      <c r="P448" s="71">
        <v>0</v>
      </c>
      <c r="Q448" t="e">
        <f t="shared" si="85"/>
        <v>#DIV/0!</v>
      </c>
      <c r="R448" s="71">
        <v>0</v>
      </c>
      <c r="S448" s="6" t="e">
        <f t="shared" si="86"/>
        <v>#DIV/0!</v>
      </c>
    </row>
    <row r="449" spans="1:19" x14ac:dyDescent="0.2">
      <c r="A449" s="36" t="s">
        <v>86</v>
      </c>
      <c r="B449" s="6" t="s">
        <v>154</v>
      </c>
      <c r="C449" s="71">
        <v>1000</v>
      </c>
      <c r="D449" s="6">
        <f>(C449/12)*4</f>
        <v>333.33333333333331</v>
      </c>
      <c r="E449" s="62">
        <v>0</v>
      </c>
      <c r="F449" s="6">
        <f>SUM(E446:E449)</f>
        <v>0</v>
      </c>
      <c r="G449" s="35" t="str">
        <f t="shared" si="83"/>
        <v>Farol Vermelho</v>
      </c>
      <c r="H449">
        <f t="shared" si="81"/>
        <v>333.33333333333331</v>
      </c>
      <c r="I449" s="6">
        <f t="shared" si="82"/>
        <v>4</v>
      </c>
      <c r="J449" s="100">
        <v>5</v>
      </c>
      <c r="K449" s="62">
        <v>0</v>
      </c>
      <c r="L449" s="6">
        <f>$L446+L448</f>
        <v>1.6666666666666667</v>
      </c>
      <c r="M449" s="6">
        <f t="shared" si="89"/>
        <v>0</v>
      </c>
      <c r="N449" s="71">
        <v>0</v>
      </c>
      <c r="O449" t="e">
        <f t="shared" si="84"/>
        <v>#DIV/0!</v>
      </c>
      <c r="P449" s="71">
        <v>0</v>
      </c>
      <c r="Q449" t="e">
        <f t="shared" si="85"/>
        <v>#DIV/0!</v>
      </c>
      <c r="R449" s="71">
        <v>0</v>
      </c>
      <c r="S449" s="6" t="e">
        <f t="shared" si="86"/>
        <v>#DIV/0!</v>
      </c>
    </row>
    <row r="450" spans="1:19" x14ac:dyDescent="0.2">
      <c r="A450" s="36" t="s">
        <v>86</v>
      </c>
      <c r="B450" s="6" t="s">
        <v>155</v>
      </c>
      <c r="C450" s="71">
        <v>1000</v>
      </c>
      <c r="D450" s="6">
        <f>(C450/12)*5</f>
        <v>416.66666666666663</v>
      </c>
      <c r="E450" s="62">
        <v>0</v>
      </c>
      <c r="F450" s="6">
        <f>SUM(E446:E450)</f>
        <v>0</v>
      </c>
      <c r="G450" s="35" t="str">
        <f t="shared" si="83"/>
        <v>Farol Vermelho</v>
      </c>
      <c r="H450">
        <f t="shared" si="81"/>
        <v>416.66666666666663</v>
      </c>
      <c r="I450" s="6">
        <f t="shared" si="82"/>
        <v>5</v>
      </c>
      <c r="J450" s="100">
        <v>5</v>
      </c>
      <c r="K450" s="62">
        <v>0</v>
      </c>
      <c r="L450" s="6">
        <f>L446+L449</f>
        <v>2.0833333333333335</v>
      </c>
      <c r="M450" s="6">
        <f t="shared" si="89"/>
        <v>0</v>
      </c>
      <c r="N450" s="71">
        <v>0</v>
      </c>
      <c r="O450" t="e">
        <f t="shared" si="84"/>
        <v>#DIV/0!</v>
      </c>
      <c r="P450" s="71">
        <v>0</v>
      </c>
      <c r="Q450" t="e">
        <f t="shared" si="85"/>
        <v>#DIV/0!</v>
      </c>
      <c r="R450" s="71">
        <v>0</v>
      </c>
      <c r="S450" s="6" t="e">
        <f t="shared" si="86"/>
        <v>#DIV/0!</v>
      </c>
    </row>
    <row r="451" spans="1:19" x14ac:dyDescent="0.2">
      <c r="A451" s="36" t="s">
        <v>86</v>
      </c>
      <c r="B451" s="6" t="s">
        <v>156</v>
      </c>
      <c r="C451" s="71">
        <v>1000</v>
      </c>
      <c r="D451" s="6">
        <f>(C451/12)*6</f>
        <v>500</v>
      </c>
      <c r="E451" s="62">
        <v>0</v>
      </c>
      <c r="F451" s="6">
        <f>SUM(E446:E451)</f>
        <v>0</v>
      </c>
      <c r="G451" s="35" t="str">
        <f t="shared" si="83"/>
        <v>Farol Vermelho</v>
      </c>
      <c r="H451">
        <f t="shared" si="81"/>
        <v>500</v>
      </c>
      <c r="I451" s="6">
        <f t="shared" si="82"/>
        <v>6</v>
      </c>
      <c r="J451" s="100">
        <v>5</v>
      </c>
      <c r="K451" s="62">
        <v>0</v>
      </c>
      <c r="L451" s="6">
        <f>$L446+L450</f>
        <v>2.5</v>
      </c>
      <c r="M451" s="6">
        <f t="shared" si="89"/>
        <v>0</v>
      </c>
      <c r="N451" s="71">
        <v>2</v>
      </c>
      <c r="O451">
        <f t="shared" si="84"/>
        <v>1</v>
      </c>
      <c r="P451" s="71">
        <v>2</v>
      </c>
      <c r="Q451">
        <f t="shared" si="85"/>
        <v>0</v>
      </c>
      <c r="R451" s="71">
        <v>0</v>
      </c>
      <c r="S451" s="6">
        <f t="shared" si="86"/>
        <v>0</v>
      </c>
    </row>
    <row r="452" spans="1:19" x14ac:dyDescent="0.2">
      <c r="A452" s="36" t="s">
        <v>86</v>
      </c>
      <c r="B452" s="6" t="s">
        <v>157</v>
      </c>
      <c r="C452" s="71">
        <v>1000</v>
      </c>
      <c r="D452" s="6">
        <f>(C452/12)*7</f>
        <v>583.33333333333326</v>
      </c>
      <c r="E452" s="62">
        <v>0</v>
      </c>
      <c r="F452" s="6">
        <f>SUM(E446:E452)</f>
        <v>0</v>
      </c>
      <c r="G452" s="35" t="str">
        <f t="shared" si="83"/>
        <v>Farol Vermelho</v>
      </c>
      <c r="H452">
        <f t="shared" si="81"/>
        <v>583.33333333333326</v>
      </c>
      <c r="I452" s="6">
        <f t="shared" si="82"/>
        <v>7</v>
      </c>
      <c r="J452" s="100">
        <v>5</v>
      </c>
      <c r="K452" s="62"/>
      <c r="L452" s="6">
        <f>$L446+L451</f>
        <v>2.9166666666666665</v>
      </c>
      <c r="M452" s="6">
        <f t="shared" si="89"/>
        <v>0</v>
      </c>
      <c r="N452" s="71"/>
      <c r="O452" t="e">
        <f t="shared" si="84"/>
        <v>#DIV/0!</v>
      </c>
      <c r="P452" s="71"/>
      <c r="Q452" t="e">
        <f t="shared" si="85"/>
        <v>#DIV/0!</v>
      </c>
      <c r="R452" s="71"/>
      <c r="S452" s="6" t="e">
        <f t="shared" si="86"/>
        <v>#DIV/0!</v>
      </c>
    </row>
    <row r="453" spans="1:19" x14ac:dyDescent="0.2">
      <c r="A453" s="36" t="s">
        <v>86</v>
      </c>
      <c r="B453" s="6" t="s">
        <v>158</v>
      </c>
      <c r="C453" s="71">
        <v>1000</v>
      </c>
      <c r="D453" s="6">
        <f>(C453/12)*8</f>
        <v>666.66666666666663</v>
      </c>
      <c r="E453" s="62">
        <v>0</v>
      </c>
      <c r="F453" s="6">
        <f>SUM(E446:E453)</f>
        <v>0</v>
      </c>
      <c r="G453" s="35" t="str">
        <f t="shared" si="83"/>
        <v>Farol Vermelho</v>
      </c>
      <c r="H453">
        <f t="shared" si="81"/>
        <v>666.66666666666663</v>
      </c>
      <c r="I453" s="6">
        <f t="shared" si="82"/>
        <v>8</v>
      </c>
      <c r="J453" s="100">
        <v>5</v>
      </c>
      <c r="K453" s="62"/>
      <c r="L453" s="6">
        <f>L446+L452</f>
        <v>3.333333333333333</v>
      </c>
      <c r="M453" s="6">
        <f t="shared" si="89"/>
        <v>0</v>
      </c>
      <c r="N453" s="71"/>
      <c r="O453" t="e">
        <f t="shared" si="84"/>
        <v>#DIV/0!</v>
      </c>
      <c r="P453" s="71"/>
      <c r="Q453" t="e">
        <f t="shared" si="85"/>
        <v>#DIV/0!</v>
      </c>
      <c r="R453" s="71"/>
      <c r="S453" s="6" t="e">
        <f t="shared" si="86"/>
        <v>#DIV/0!</v>
      </c>
    </row>
    <row r="454" spans="1:19" x14ac:dyDescent="0.2">
      <c r="A454" s="36" t="s">
        <v>86</v>
      </c>
      <c r="B454" s="6" t="s">
        <v>159</v>
      </c>
      <c r="C454" s="71">
        <v>1000</v>
      </c>
      <c r="D454" s="6">
        <f>(C454/12)*9</f>
        <v>750</v>
      </c>
      <c r="E454" s="62">
        <v>0</v>
      </c>
      <c r="F454" s="6">
        <f>SUM(E446:E454)</f>
        <v>0</v>
      </c>
      <c r="G454" s="35" t="str">
        <f t="shared" si="83"/>
        <v>Farol Vermelho</v>
      </c>
      <c r="H454">
        <f t="shared" si="81"/>
        <v>750</v>
      </c>
      <c r="I454" s="6">
        <f t="shared" si="82"/>
        <v>9</v>
      </c>
      <c r="J454" s="100">
        <v>5</v>
      </c>
      <c r="K454" s="62"/>
      <c r="L454" s="6">
        <f>$L446+L453</f>
        <v>3.7499999999999996</v>
      </c>
      <c r="M454" s="6">
        <f t="shared" si="89"/>
        <v>0</v>
      </c>
      <c r="N454" s="71"/>
      <c r="O454" t="e">
        <f t="shared" si="84"/>
        <v>#DIV/0!</v>
      </c>
      <c r="P454" s="71"/>
      <c r="Q454" t="e">
        <f t="shared" si="85"/>
        <v>#DIV/0!</v>
      </c>
      <c r="R454" s="71"/>
      <c r="S454" s="6" t="e">
        <f t="shared" si="86"/>
        <v>#DIV/0!</v>
      </c>
    </row>
    <row r="455" spans="1:19" x14ac:dyDescent="0.2">
      <c r="A455" s="36" t="s">
        <v>86</v>
      </c>
      <c r="B455" s="6" t="s">
        <v>160</v>
      </c>
      <c r="C455" s="71">
        <v>1000</v>
      </c>
      <c r="D455" s="6">
        <f>(C455/12)*10</f>
        <v>833.33333333333326</v>
      </c>
      <c r="E455" s="62">
        <v>0</v>
      </c>
      <c r="F455" s="6">
        <f>SUM(E446:E455)</f>
        <v>0</v>
      </c>
      <c r="G455" s="35" t="str">
        <f t="shared" si="83"/>
        <v>Farol Vermelho</v>
      </c>
      <c r="H455">
        <f t="shared" si="81"/>
        <v>833.33333333333326</v>
      </c>
      <c r="I455" s="6">
        <f t="shared" si="82"/>
        <v>10</v>
      </c>
      <c r="J455" s="100">
        <v>5</v>
      </c>
      <c r="K455" s="62"/>
      <c r="L455" s="6">
        <f>$L446+L454</f>
        <v>4.1666666666666661</v>
      </c>
      <c r="M455" s="6">
        <f t="shared" si="89"/>
        <v>0</v>
      </c>
      <c r="N455" s="71"/>
      <c r="O455" t="e">
        <f t="shared" si="84"/>
        <v>#DIV/0!</v>
      </c>
      <c r="P455" s="71"/>
      <c r="Q455" t="e">
        <f t="shared" si="85"/>
        <v>#DIV/0!</v>
      </c>
      <c r="R455" s="71"/>
      <c r="S455" s="6" t="e">
        <f t="shared" si="86"/>
        <v>#DIV/0!</v>
      </c>
    </row>
    <row r="456" spans="1:19" x14ac:dyDescent="0.2">
      <c r="A456" s="36" t="s">
        <v>86</v>
      </c>
      <c r="B456" s="6" t="s">
        <v>161</v>
      </c>
      <c r="C456" s="71">
        <v>1000</v>
      </c>
      <c r="D456" s="6">
        <f>(C456/12)*11</f>
        <v>916.66666666666663</v>
      </c>
      <c r="E456" s="62">
        <v>0</v>
      </c>
      <c r="F456" s="6">
        <f>SUM(E446:E456)</f>
        <v>0</v>
      </c>
      <c r="G456" s="35" t="str">
        <f t="shared" si="83"/>
        <v>Farol Vermelho</v>
      </c>
      <c r="H456">
        <f t="shared" si="81"/>
        <v>916.66666666666663</v>
      </c>
      <c r="I456" s="6">
        <f t="shared" si="82"/>
        <v>11</v>
      </c>
      <c r="J456" s="100">
        <v>5</v>
      </c>
      <c r="K456" s="62"/>
      <c r="L456" s="6">
        <f>L446+L455</f>
        <v>4.583333333333333</v>
      </c>
      <c r="M456" s="6">
        <f t="shared" si="89"/>
        <v>0</v>
      </c>
      <c r="N456" s="71"/>
      <c r="O456" t="e">
        <f t="shared" si="84"/>
        <v>#DIV/0!</v>
      </c>
      <c r="P456" s="71"/>
      <c r="Q456" t="e">
        <f t="shared" si="85"/>
        <v>#DIV/0!</v>
      </c>
      <c r="R456" s="71"/>
      <c r="S456" s="6" t="e">
        <f t="shared" si="86"/>
        <v>#DIV/0!</v>
      </c>
    </row>
    <row r="457" spans="1:19" x14ac:dyDescent="0.2">
      <c r="A457" s="36" t="s">
        <v>86</v>
      </c>
      <c r="B457" s="6" t="s">
        <v>162</v>
      </c>
      <c r="C457" s="71">
        <v>1000</v>
      </c>
      <c r="D457" s="6">
        <f>(C457/12)*12</f>
        <v>1000</v>
      </c>
      <c r="E457" s="62">
        <v>0</v>
      </c>
      <c r="F457" s="6">
        <f>SUM(E446:E457)</f>
        <v>0</v>
      </c>
      <c r="G457" s="35" t="str">
        <f t="shared" si="83"/>
        <v>Farol Vermelho</v>
      </c>
      <c r="H457">
        <f t="shared" si="81"/>
        <v>1000</v>
      </c>
      <c r="I457" s="6">
        <f t="shared" si="82"/>
        <v>12</v>
      </c>
      <c r="J457" s="100">
        <v>5</v>
      </c>
      <c r="K457" s="62"/>
      <c r="L457" s="6">
        <f>$L446+L456</f>
        <v>5</v>
      </c>
      <c r="M457" s="6">
        <f t="shared" si="89"/>
        <v>0</v>
      </c>
      <c r="N457" s="71"/>
      <c r="O457" t="e">
        <f t="shared" si="84"/>
        <v>#DIV/0!</v>
      </c>
      <c r="P457" s="71"/>
      <c r="Q457" t="e">
        <f t="shared" si="85"/>
        <v>#DIV/0!</v>
      </c>
      <c r="R457" s="71"/>
      <c r="S457" s="6" t="e">
        <f t="shared" si="86"/>
        <v>#DIV/0!</v>
      </c>
    </row>
    <row r="458" spans="1:19" x14ac:dyDescent="0.2">
      <c r="A458" s="36" t="s">
        <v>102</v>
      </c>
      <c r="B458" s="6" t="s">
        <v>151</v>
      </c>
      <c r="C458" s="71">
        <v>8325</v>
      </c>
      <c r="D458" s="6">
        <f>(C458/12)*1</f>
        <v>693.75</v>
      </c>
      <c r="E458" s="62">
        <v>0</v>
      </c>
      <c r="F458" s="6">
        <f>E458</f>
        <v>0</v>
      </c>
      <c r="G458" s="35" t="str">
        <f t="shared" si="83"/>
        <v>Farol Vermelho</v>
      </c>
      <c r="H458">
        <f t="shared" si="81"/>
        <v>693.75</v>
      </c>
      <c r="I458" s="6">
        <f t="shared" si="82"/>
        <v>1</v>
      </c>
      <c r="J458" s="100">
        <v>12</v>
      </c>
      <c r="K458" s="62">
        <v>0</v>
      </c>
      <c r="L458" s="6">
        <f>J458/12</f>
        <v>1</v>
      </c>
      <c r="M458" s="6">
        <f>K458</f>
        <v>0</v>
      </c>
      <c r="N458" s="71">
        <v>0</v>
      </c>
      <c r="O458" t="e">
        <f t="shared" si="84"/>
        <v>#DIV/0!</v>
      </c>
      <c r="P458" s="71">
        <v>0</v>
      </c>
      <c r="Q458" t="e">
        <f t="shared" si="85"/>
        <v>#DIV/0!</v>
      </c>
      <c r="R458" s="71">
        <v>0</v>
      </c>
      <c r="S458" s="6" t="e">
        <f t="shared" si="86"/>
        <v>#DIV/0!</v>
      </c>
    </row>
    <row r="459" spans="1:19" x14ac:dyDescent="0.2">
      <c r="A459" s="36" t="s">
        <v>102</v>
      </c>
      <c r="B459" s="6" t="s">
        <v>152</v>
      </c>
      <c r="C459" s="71">
        <v>8325</v>
      </c>
      <c r="D459" s="6">
        <f>(C459/12)*2</f>
        <v>1387.5</v>
      </c>
      <c r="E459" s="62">
        <v>0</v>
      </c>
      <c r="F459" s="6">
        <f>SUM(E458:E459)</f>
        <v>0</v>
      </c>
      <c r="G459" s="35" t="str">
        <f t="shared" si="83"/>
        <v>Farol Vermelho</v>
      </c>
      <c r="H459">
        <f t="shared" si="81"/>
        <v>1387.5</v>
      </c>
      <c r="I459" s="6">
        <f t="shared" si="82"/>
        <v>2</v>
      </c>
      <c r="J459" s="100">
        <v>12</v>
      </c>
      <c r="K459" s="62">
        <v>0</v>
      </c>
      <c r="L459" s="6">
        <f>L458+L458</f>
        <v>2</v>
      </c>
      <c r="M459" s="6">
        <f>M458+K459</f>
        <v>0</v>
      </c>
      <c r="N459" s="71">
        <v>0</v>
      </c>
      <c r="O459" t="e">
        <f t="shared" si="84"/>
        <v>#DIV/0!</v>
      </c>
      <c r="P459" s="71">
        <v>0</v>
      </c>
      <c r="Q459" t="e">
        <f t="shared" si="85"/>
        <v>#DIV/0!</v>
      </c>
      <c r="R459" s="71">
        <v>0</v>
      </c>
      <c r="S459" s="6" t="e">
        <f t="shared" si="86"/>
        <v>#DIV/0!</v>
      </c>
    </row>
    <row r="460" spans="1:19" x14ac:dyDescent="0.2">
      <c r="A460" s="36" t="s">
        <v>102</v>
      </c>
      <c r="B460" s="6" t="s">
        <v>153</v>
      </c>
      <c r="C460" s="71">
        <v>8325</v>
      </c>
      <c r="D460" s="6">
        <f>(C460/12)*3</f>
        <v>2081.25</v>
      </c>
      <c r="E460" s="62">
        <v>0</v>
      </c>
      <c r="F460" s="6">
        <f>SUM(E458:E460)</f>
        <v>0</v>
      </c>
      <c r="G460" s="35" t="str">
        <f t="shared" si="83"/>
        <v>Farol Vermelho</v>
      </c>
      <c r="H460">
        <f t="shared" si="81"/>
        <v>2081.25</v>
      </c>
      <c r="I460" s="6">
        <f t="shared" si="82"/>
        <v>3</v>
      </c>
      <c r="J460" s="100">
        <v>12</v>
      </c>
      <c r="K460" s="62">
        <v>0</v>
      </c>
      <c r="L460" s="6">
        <f>$L458+L459</f>
        <v>3</v>
      </c>
      <c r="M460" s="6">
        <f t="shared" ref="M460:M469" si="90">M459+K460</f>
        <v>0</v>
      </c>
      <c r="N460" s="71">
        <v>0</v>
      </c>
      <c r="O460" t="e">
        <f t="shared" si="84"/>
        <v>#DIV/0!</v>
      </c>
      <c r="P460" s="71">
        <v>0</v>
      </c>
      <c r="Q460" t="e">
        <f t="shared" si="85"/>
        <v>#DIV/0!</v>
      </c>
      <c r="R460" s="71">
        <v>0</v>
      </c>
      <c r="S460" s="6" t="e">
        <f t="shared" si="86"/>
        <v>#DIV/0!</v>
      </c>
    </row>
    <row r="461" spans="1:19" x14ac:dyDescent="0.2">
      <c r="A461" s="36" t="s">
        <v>102</v>
      </c>
      <c r="B461" s="6" t="s">
        <v>154</v>
      </c>
      <c r="C461" s="71">
        <v>8325</v>
      </c>
      <c r="D461" s="6">
        <f>(C461/12)*4</f>
        <v>2775</v>
      </c>
      <c r="E461" s="62">
        <v>0</v>
      </c>
      <c r="F461" s="6">
        <f>SUM(E458:E461)</f>
        <v>0</v>
      </c>
      <c r="G461" s="35" t="str">
        <f t="shared" si="83"/>
        <v>Farol Vermelho</v>
      </c>
      <c r="H461">
        <f t="shared" si="81"/>
        <v>2775</v>
      </c>
      <c r="I461" s="6">
        <f t="shared" si="82"/>
        <v>4</v>
      </c>
      <c r="J461" s="100">
        <v>12</v>
      </c>
      <c r="K461" s="62">
        <v>0</v>
      </c>
      <c r="L461" s="6">
        <f>$L458+L460</f>
        <v>4</v>
      </c>
      <c r="M461" s="6">
        <f t="shared" si="90"/>
        <v>0</v>
      </c>
      <c r="N461" s="71">
        <v>0</v>
      </c>
      <c r="O461" t="e">
        <f t="shared" si="84"/>
        <v>#DIV/0!</v>
      </c>
      <c r="P461" s="71">
        <v>0</v>
      </c>
      <c r="Q461" t="e">
        <f t="shared" si="85"/>
        <v>#DIV/0!</v>
      </c>
      <c r="R461" s="71">
        <v>0</v>
      </c>
      <c r="S461" s="6" t="e">
        <f t="shared" si="86"/>
        <v>#DIV/0!</v>
      </c>
    </row>
    <row r="462" spans="1:19" x14ac:dyDescent="0.2">
      <c r="A462" s="36" t="s">
        <v>102</v>
      </c>
      <c r="B462" s="6" t="s">
        <v>155</v>
      </c>
      <c r="C462" s="71">
        <v>8325</v>
      </c>
      <c r="D462" s="6">
        <f>(C462/12)*5</f>
        <v>3468.75</v>
      </c>
      <c r="E462" s="62">
        <v>0</v>
      </c>
      <c r="F462" s="6">
        <f>SUM(E458:E462)</f>
        <v>0</v>
      </c>
      <c r="G462" s="35" t="str">
        <f t="shared" si="83"/>
        <v>Farol Vermelho</v>
      </c>
      <c r="H462">
        <f t="shared" si="81"/>
        <v>3468.75</v>
      </c>
      <c r="I462" s="6">
        <f t="shared" si="82"/>
        <v>5</v>
      </c>
      <c r="J462" s="100">
        <v>12</v>
      </c>
      <c r="K462" s="62">
        <v>0</v>
      </c>
      <c r="L462" s="6">
        <f>L458+L461</f>
        <v>5</v>
      </c>
      <c r="M462" s="6">
        <f t="shared" si="90"/>
        <v>0</v>
      </c>
      <c r="N462" s="71">
        <v>3</v>
      </c>
      <c r="O462">
        <f t="shared" si="84"/>
        <v>1</v>
      </c>
      <c r="P462" s="71">
        <v>3</v>
      </c>
      <c r="Q462">
        <f t="shared" si="85"/>
        <v>0</v>
      </c>
      <c r="R462" s="71">
        <v>0</v>
      </c>
      <c r="S462" s="6">
        <f t="shared" si="86"/>
        <v>0</v>
      </c>
    </row>
    <row r="463" spans="1:19" x14ac:dyDescent="0.2">
      <c r="A463" s="36" t="s">
        <v>102</v>
      </c>
      <c r="B463" s="6" t="s">
        <v>156</v>
      </c>
      <c r="C463" s="71">
        <v>8325</v>
      </c>
      <c r="D463" s="6">
        <f>(C463/12)*6</f>
        <v>4162.5</v>
      </c>
      <c r="E463" s="62">
        <v>0</v>
      </c>
      <c r="F463" s="6">
        <f>SUM(E458:E463)</f>
        <v>0</v>
      </c>
      <c r="G463" s="35" t="str">
        <f t="shared" si="83"/>
        <v>Farol Vermelho</v>
      </c>
      <c r="H463">
        <f t="shared" si="81"/>
        <v>4162.5</v>
      </c>
      <c r="I463" s="6">
        <f t="shared" si="82"/>
        <v>6</v>
      </c>
      <c r="J463" s="100">
        <v>12</v>
      </c>
      <c r="K463" s="62">
        <v>0</v>
      </c>
      <c r="L463" s="6">
        <f>$L458+L462</f>
        <v>6</v>
      </c>
      <c r="M463" s="6">
        <f t="shared" si="90"/>
        <v>0</v>
      </c>
      <c r="N463" s="71">
        <v>2</v>
      </c>
      <c r="O463">
        <f t="shared" si="84"/>
        <v>0.5</v>
      </c>
      <c r="P463" s="71">
        <v>1</v>
      </c>
      <c r="Q463">
        <f t="shared" si="85"/>
        <v>0</v>
      </c>
      <c r="R463" s="71">
        <v>0</v>
      </c>
      <c r="S463" s="6">
        <f t="shared" si="86"/>
        <v>0</v>
      </c>
    </row>
    <row r="464" spans="1:19" x14ac:dyDescent="0.2">
      <c r="A464" s="36" t="s">
        <v>102</v>
      </c>
      <c r="B464" s="6" t="s">
        <v>157</v>
      </c>
      <c r="C464" s="71">
        <v>8325</v>
      </c>
      <c r="D464" s="6">
        <f>(C464/12)*7</f>
        <v>4856.25</v>
      </c>
      <c r="E464" s="62">
        <v>0</v>
      </c>
      <c r="F464" s="6">
        <f>SUM(E458:E464)</f>
        <v>0</v>
      </c>
      <c r="G464" s="35" t="str">
        <f t="shared" si="83"/>
        <v>Farol Vermelho</v>
      </c>
      <c r="H464">
        <f t="shared" si="81"/>
        <v>4856.25</v>
      </c>
      <c r="I464" s="6">
        <f t="shared" si="82"/>
        <v>7</v>
      </c>
      <c r="J464" s="100">
        <v>12</v>
      </c>
      <c r="K464" s="62"/>
      <c r="L464" s="6">
        <f>$L458+L463</f>
        <v>7</v>
      </c>
      <c r="M464" s="6">
        <f t="shared" si="90"/>
        <v>0</v>
      </c>
      <c r="N464" s="71"/>
      <c r="O464" t="e">
        <f t="shared" si="84"/>
        <v>#DIV/0!</v>
      </c>
      <c r="P464" s="71"/>
      <c r="Q464" t="e">
        <f t="shared" si="85"/>
        <v>#DIV/0!</v>
      </c>
      <c r="R464" s="71"/>
      <c r="S464" s="6" t="e">
        <f t="shared" si="86"/>
        <v>#DIV/0!</v>
      </c>
    </row>
    <row r="465" spans="1:19" x14ac:dyDescent="0.2">
      <c r="A465" s="36" t="s">
        <v>102</v>
      </c>
      <c r="B465" s="6" t="s">
        <v>158</v>
      </c>
      <c r="C465" s="71">
        <v>8325</v>
      </c>
      <c r="D465" s="6">
        <f>(C465/12)*8</f>
        <v>5550</v>
      </c>
      <c r="E465" s="62">
        <v>0</v>
      </c>
      <c r="F465" s="6">
        <f>SUM(E458:E465)</f>
        <v>0</v>
      </c>
      <c r="G465" s="35" t="str">
        <f t="shared" si="83"/>
        <v>Farol Vermelho</v>
      </c>
      <c r="H465">
        <f t="shared" si="81"/>
        <v>5550</v>
      </c>
      <c r="I465" s="6">
        <f t="shared" si="82"/>
        <v>8</v>
      </c>
      <c r="J465" s="100">
        <v>12</v>
      </c>
      <c r="K465" s="62"/>
      <c r="L465" s="6">
        <f>L458+L464</f>
        <v>8</v>
      </c>
      <c r="M465" s="6">
        <f t="shared" si="90"/>
        <v>0</v>
      </c>
      <c r="N465" s="71"/>
      <c r="O465" t="e">
        <f t="shared" si="84"/>
        <v>#DIV/0!</v>
      </c>
      <c r="P465" s="71"/>
      <c r="Q465" t="e">
        <f t="shared" si="85"/>
        <v>#DIV/0!</v>
      </c>
      <c r="R465" s="71"/>
      <c r="S465" s="6" t="e">
        <f t="shared" si="86"/>
        <v>#DIV/0!</v>
      </c>
    </row>
    <row r="466" spans="1:19" x14ac:dyDescent="0.2">
      <c r="A466" s="36" t="s">
        <v>102</v>
      </c>
      <c r="B466" s="6" t="s">
        <v>159</v>
      </c>
      <c r="C466" s="71">
        <v>8325</v>
      </c>
      <c r="D466" s="6">
        <f>(C466/12)*9</f>
        <v>6243.75</v>
      </c>
      <c r="E466" s="62">
        <v>0</v>
      </c>
      <c r="F466" s="6">
        <f>SUM(E458:E466)</f>
        <v>0</v>
      </c>
      <c r="G466" s="35" t="str">
        <f t="shared" si="83"/>
        <v>Farol Vermelho</v>
      </c>
      <c r="H466">
        <f t="shared" si="81"/>
        <v>6243.75</v>
      </c>
      <c r="I466" s="6">
        <f t="shared" si="82"/>
        <v>9</v>
      </c>
      <c r="J466" s="100">
        <v>12</v>
      </c>
      <c r="K466" s="62"/>
      <c r="L466" s="6">
        <f>$L458+L465</f>
        <v>9</v>
      </c>
      <c r="M466" s="6">
        <f t="shared" si="90"/>
        <v>0</v>
      </c>
      <c r="N466" s="71"/>
      <c r="O466" t="e">
        <f t="shared" si="84"/>
        <v>#DIV/0!</v>
      </c>
      <c r="P466" s="71"/>
      <c r="Q466" t="e">
        <f t="shared" si="85"/>
        <v>#DIV/0!</v>
      </c>
      <c r="R466" s="71"/>
      <c r="S466" s="6" t="e">
        <f t="shared" si="86"/>
        <v>#DIV/0!</v>
      </c>
    </row>
    <row r="467" spans="1:19" x14ac:dyDescent="0.2">
      <c r="A467" s="36" t="s">
        <v>102</v>
      </c>
      <c r="B467" s="6" t="s">
        <v>160</v>
      </c>
      <c r="C467" s="71">
        <v>8325</v>
      </c>
      <c r="D467" s="6">
        <f>(C467/12)*10</f>
        <v>6937.5</v>
      </c>
      <c r="E467" s="62">
        <v>0</v>
      </c>
      <c r="F467" s="6">
        <f>SUM(E458:E467)</f>
        <v>0</v>
      </c>
      <c r="G467" s="35" t="str">
        <f t="shared" si="83"/>
        <v>Farol Vermelho</v>
      </c>
      <c r="H467">
        <f t="shared" si="81"/>
        <v>6937.5</v>
      </c>
      <c r="I467" s="6">
        <f t="shared" si="82"/>
        <v>10</v>
      </c>
      <c r="J467" s="100">
        <v>12</v>
      </c>
      <c r="K467" s="62"/>
      <c r="L467" s="6">
        <f>$L458+L466</f>
        <v>10</v>
      </c>
      <c r="M467" s="6">
        <f t="shared" si="90"/>
        <v>0</v>
      </c>
      <c r="N467" s="71"/>
      <c r="O467" t="e">
        <f t="shared" si="84"/>
        <v>#DIV/0!</v>
      </c>
      <c r="P467" s="71"/>
      <c r="Q467" t="e">
        <f t="shared" si="85"/>
        <v>#DIV/0!</v>
      </c>
      <c r="R467" s="71"/>
      <c r="S467" s="6" t="e">
        <f t="shared" si="86"/>
        <v>#DIV/0!</v>
      </c>
    </row>
    <row r="468" spans="1:19" x14ac:dyDescent="0.2">
      <c r="A468" s="36" t="s">
        <v>102</v>
      </c>
      <c r="B468" s="6" t="s">
        <v>161</v>
      </c>
      <c r="C468" s="71">
        <v>8325</v>
      </c>
      <c r="D468" s="6">
        <f>(C468/12)*11</f>
        <v>7631.25</v>
      </c>
      <c r="E468" s="62">
        <v>0</v>
      </c>
      <c r="F468" s="6">
        <f>SUM(E458:E468)</f>
        <v>0</v>
      </c>
      <c r="G468" s="35" t="str">
        <f t="shared" si="83"/>
        <v>Farol Vermelho</v>
      </c>
      <c r="H468">
        <f t="shared" si="81"/>
        <v>7631.25</v>
      </c>
      <c r="I468" s="6">
        <f t="shared" si="82"/>
        <v>11</v>
      </c>
      <c r="J468" s="100">
        <v>12</v>
      </c>
      <c r="K468" s="62"/>
      <c r="L468" s="6">
        <f>L458+L467</f>
        <v>11</v>
      </c>
      <c r="M468" s="6">
        <f t="shared" si="90"/>
        <v>0</v>
      </c>
      <c r="N468" s="71"/>
      <c r="O468" t="e">
        <f t="shared" si="84"/>
        <v>#DIV/0!</v>
      </c>
      <c r="P468" s="71"/>
      <c r="Q468" t="e">
        <f t="shared" si="85"/>
        <v>#DIV/0!</v>
      </c>
      <c r="R468" s="71"/>
      <c r="S468" s="6" t="e">
        <f t="shared" si="86"/>
        <v>#DIV/0!</v>
      </c>
    </row>
    <row r="469" spans="1:19" x14ac:dyDescent="0.2">
      <c r="A469" s="36" t="s">
        <v>102</v>
      </c>
      <c r="B469" s="6" t="s">
        <v>162</v>
      </c>
      <c r="C469" s="71">
        <v>8325</v>
      </c>
      <c r="D469" s="6">
        <f>(C469/12)*12</f>
        <v>8325</v>
      </c>
      <c r="E469" s="62">
        <v>0</v>
      </c>
      <c r="F469" s="6">
        <f>SUM(E458:E469)</f>
        <v>0</v>
      </c>
      <c r="G469" s="35" t="str">
        <f t="shared" si="83"/>
        <v>Farol Vermelho</v>
      </c>
      <c r="H469">
        <f t="shared" si="81"/>
        <v>8325</v>
      </c>
      <c r="I469" s="6">
        <f t="shared" si="82"/>
        <v>12</v>
      </c>
      <c r="J469" s="100">
        <v>12</v>
      </c>
      <c r="K469" s="62"/>
      <c r="L469" s="6">
        <f>$L458+L468</f>
        <v>12</v>
      </c>
      <c r="M469" s="6">
        <f t="shared" si="90"/>
        <v>0</v>
      </c>
      <c r="N469" s="71"/>
      <c r="O469" t="e">
        <f t="shared" si="84"/>
        <v>#DIV/0!</v>
      </c>
      <c r="P469" s="71"/>
      <c r="Q469" t="e">
        <f t="shared" si="85"/>
        <v>#DIV/0!</v>
      </c>
      <c r="R469" s="71"/>
      <c r="S469" s="6" t="e">
        <f t="shared" si="86"/>
        <v>#DIV/0!</v>
      </c>
    </row>
    <row r="470" spans="1:19" x14ac:dyDescent="0.2">
      <c r="A470" s="36" t="s">
        <v>106</v>
      </c>
      <c r="B470" s="6" t="s">
        <v>151</v>
      </c>
      <c r="C470" s="71">
        <v>127560</v>
      </c>
      <c r="D470" s="6">
        <f>(C470/12)*1</f>
        <v>10630</v>
      </c>
      <c r="E470" s="62">
        <v>10515</v>
      </c>
      <c r="F470" s="6">
        <f>E470</f>
        <v>10515</v>
      </c>
      <c r="G470" s="35" t="str">
        <f t="shared" si="83"/>
        <v>Farol Amarelo</v>
      </c>
      <c r="H470">
        <f t="shared" si="81"/>
        <v>115</v>
      </c>
      <c r="I470" s="6">
        <f t="shared" si="82"/>
        <v>1</v>
      </c>
      <c r="J470" s="100">
        <v>25</v>
      </c>
      <c r="K470" s="62">
        <v>3</v>
      </c>
      <c r="L470" s="6">
        <f>J470/12</f>
        <v>2.0833333333333335</v>
      </c>
      <c r="M470" s="6">
        <f>K470</f>
        <v>3</v>
      </c>
      <c r="N470" s="71">
        <v>0</v>
      </c>
      <c r="O470" t="e">
        <f t="shared" si="84"/>
        <v>#DIV/0!</v>
      </c>
      <c r="P470" s="71">
        <v>0</v>
      </c>
      <c r="Q470" t="e">
        <f t="shared" si="85"/>
        <v>#DIV/0!</v>
      </c>
      <c r="R470" s="71">
        <v>0</v>
      </c>
      <c r="S470" s="6" t="e">
        <f t="shared" si="86"/>
        <v>#DIV/0!</v>
      </c>
    </row>
    <row r="471" spans="1:19" x14ac:dyDescent="0.2">
      <c r="A471" s="36" t="s">
        <v>106</v>
      </c>
      <c r="B471" s="6" t="s">
        <v>152</v>
      </c>
      <c r="C471" s="71">
        <v>127560</v>
      </c>
      <c r="D471" s="6">
        <f>(C471/12)*2</f>
        <v>21260</v>
      </c>
      <c r="E471" s="62">
        <v>0</v>
      </c>
      <c r="F471" s="6">
        <f>SUM(E470:E471)</f>
        <v>10515</v>
      </c>
      <c r="G471" s="35" t="str">
        <f t="shared" si="83"/>
        <v>Farol Vermelho</v>
      </c>
      <c r="H471">
        <f t="shared" si="81"/>
        <v>10745</v>
      </c>
      <c r="I471" s="6">
        <f t="shared" si="82"/>
        <v>2</v>
      </c>
      <c r="J471" s="100">
        <v>25</v>
      </c>
      <c r="K471" s="62">
        <v>0</v>
      </c>
      <c r="L471" s="6">
        <f>L470+L470</f>
        <v>4.166666666666667</v>
      </c>
      <c r="M471" s="6">
        <f>M470+K471</f>
        <v>3</v>
      </c>
      <c r="N471" s="71">
        <v>0</v>
      </c>
      <c r="O471" t="e">
        <f t="shared" si="84"/>
        <v>#DIV/0!</v>
      </c>
      <c r="P471" s="71">
        <v>0</v>
      </c>
      <c r="Q471" t="e">
        <f t="shared" si="85"/>
        <v>#DIV/0!</v>
      </c>
      <c r="R471" s="71">
        <v>0</v>
      </c>
      <c r="S471" s="6" t="e">
        <f t="shared" si="86"/>
        <v>#DIV/0!</v>
      </c>
    </row>
    <row r="472" spans="1:19" x14ac:dyDescent="0.2">
      <c r="A472" s="36" t="s">
        <v>106</v>
      </c>
      <c r="B472" s="6" t="s">
        <v>153</v>
      </c>
      <c r="C472" s="71">
        <v>127560</v>
      </c>
      <c r="D472" s="6">
        <f>(C472/12)*3</f>
        <v>31890</v>
      </c>
      <c r="E472" s="62">
        <v>5810</v>
      </c>
      <c r="F472" s="6">
        <f>SUM(E470:E472)</f>
        <v>16325</v>
      </c>
      <c r="G472" s="35" t="str">
        <f t="shared" si="83"/>
        <v>Farol Vermelho</v>
      </c>
      <c r="H472">
        <f t="shared" si="81"/>
        <v>15565</v>
      </c>
      <c r="I472" s="6">
        <f t="shared" si="82"/>
        <v>3</v>
      </c>
      <c r="J472" s="100">
        <v>25</v>
      </c>
      <c r="K472" s="62">
        <v>1</v>
      </c>
      <c r="L472" s="6">
        <f>$L470+L471</f>
        <v>6.25</v>
      </c>
      <c r="M472" s="6">
        <f t="shared" ref="M472:M481" si="91">M471+K472</f>
        <v>4</v>
      </c>
      <c r="N472" s="71">
        <v>0</v>
      </c>
      <c r="O472" t="e">
        <f t="shared" si="84"/>
        <v>#DIV/0!</v>
      </c>
      <c r="P472" s="71">
        <v>0</v>
      </c>
      <c r="Q472" t="e">
        <f t="shared" si="85"/>
        <v>#DIV/0!</v>
      </c>
      <c r="R472" s="71">
        <v>0</v>
      </c>
      <c r="S472" s="6" t="e">
        <f t="shared" si="86"/>
        <v>#DIV/0!</v>
      </c>
    </row>
    <row r="473" spans="1:19" x14ac:dyDescent="0.2">
      <c r="A473" s="36" t="s">
        <v>106</v>
      </c>
      <c r="B473" s="6" t="s">
        <v>154</v>
      </c>
      <c r="C473" s="71">
        <v>127560</v>
      </c>
      <c r="D473" s="6">
        <f>(C473/12)*4</f>
        <v>42520</v>
      </c>
      <c r="E473" s="62">
        <v>5400</v>
      </c>
      <c r="F473" s="6">
        <f>SUM(E470:E473)</f>
        <v>21725</v>
      </c>
      <c r="G473" s="35" t="str">
        <f t="shared" si="83"/>
        <v>Farol Vermelho</v>
      </c>
      <c r="H473">
        <f t="shared" si="81"/>
        <v>20795</v>
      </c>
      <c r="I473" s="6">
        <f t="shared" si="82"/>
        <v>4</v>
      </c>
      <c r="J473" s="100">
        <v>25</v>
      </c>
      <c r="K473" s="62">
        <v>1</v>
      </c>
      <c r="L473" s="6">
        <f>$L470+L472</f>
        <v>8.3333333333333339</v>
      </c>
      <c r="M473" s="6">
        <f t="shared" si="91"/>
        <v>5</v>
      </c>
      <c r="N473" s="71">
        <v>0</v>
      </c>
      <c r="O473" t="e">
        <f t="shared" si="84"/>
        <v>#DIV/0!</v>
      </c>
      <c r="P473" s="71">
        <v>0</v>
      </c>
      <c r="Q473" t="e">
        <f t="shared" si="85"/>
        <v>#DIV/0!</v>
      </c>
      <c r="R473" s="71">
        <v>0</v>
      </c>
      <c r="S473" s="6" t="e">
        <f t="shared" si="86"/>
        <v>#DIV/0!</v>
      </c>
    </row>
    <row r="474" spans="1:19" x14ac:dyDescent="0.2">
      <c r="A474" s="36" t="s">
        <v>106</v>
      </c>
      <c r="B474" s="6" t="s">
        <v>155</v>
      </c>
      <c r="C474" s="71">
        <v>127560</v>
      </c>
      <c r="D474" s="6">
        <f>(C474/12)*5</f>
        <v>53150</v>
      </c>
      <c r="E474" s="62">
        <v>0</v>
      </c>
      <c r="F474" s="6">
        <f>SUM(E470:E474)</f>
        <v>21725</v>
      </c>
      <c r="G474" s="35" t="str">
        <f t="shared" si="83"/>
        <v>Farol Vermelho</v>
      </c>
      <c r="H474">
        <f t="shared" si="81"/>
        <v>31425</v>
      </c>
      <c r="I474" s="6">
        <f t="shared" si="82"/>
        <v>5</v>
      </c>
      <c r="J474" s="100">
        <v>25</v>
      </c>
      <c r="K474" s="62">
        <v>0</v>
      </c>
      <c r="L474" s="6">
        <f>L470+L473</f>
        <v>10.416666666666668</v>
      </c>
      <c r="M474" s="6">
        <f t="shared" si="91"/>
        <v>5</v>
      </c>
      <c r="N474" s="71">
        <v>2</v>
      </c>
      <c r="O474">
        <f t="shared" si="84"/>
        <v>1</v>
      </c>
      <c r="P474" s="71">
        <v>2</v>
      </c>
      <c r="Q474">
        <f t="shared" si="85"/>
        <v>0</v>
      </c>
      <c r="R474" s="71">
        <v>0</v>
      </c>
      <c r="S474" s="6">
        <f t="shared" si="86"/>
        <v>0</v>
      </c>
    </row>
    <row r="475" spans="1:19" x14ac:dyDescent="0.2">
      <c r="A475" s="36" t="s">
        <v>106</v>
      </c>
      <c r="B475" s="6" t="s">
        <v>156</v>
      </c>
      <c r="C475" s="71">
        <v>127560</v>
      </c>
      <c r="D475" s="6">
        <f>(C475/12)*6</f>
        <v>63780</v>
      </c>
      <c r="E475" s="62">
        <v>3600</v>
      </c>
      <c r="F475" s="6">
        <f>SUM(E470:E475)</f>
        <v>25325</v>
      </c>
      <c r="G475" s="35" t="str">
        <f t="shared" si="83"/>
        <v>Farol Vermelho</v>
      </c>
      <c r="H475">
        <f t="shared" si="81"/>
        <v>38455</v>
      </c>
      <c r="I475" s="6">
        <f t="shared" si="82"/>
        <v>6</v>
      </c>
      <c r="J475" s="100">
        <v>25</v>
      </c>
      <c r="K475" s="62">
        <v>1</v>
      </c>
      <c r="L475" s="6">
        <f>$L470+L474</f>
        <v>12.500000000000002</v>
      </c>
      <c r="M475" s="6">
        <f t="shared" si="91"/>
        <v>6</v>
      </c>
      <c r="N475" s="71">
        <v>13</v>
      </c>
      <c r="O475">
        <f t="shared" si="84"/>
        <v>0.38461538461538464</v>
      </c>
      <c r="P475" s="71">
        <v>5</v>
      </c>
      <c r="Q475">
        <f t="shared" si="85"/>
        <v>0</v>
      </c>
      <c r="R475" s="71">
        <v>0</v>
      </c>
      <c r="S475" s="6">
        <f t="shared" si="86"/>
        <v>0</v>
      </c>
    </row>
    <row r="476" spans="1:19" x14ac:dyDescent="0.2">
      <c r="A476" s="36" t="s">
        <v>106</v>
      </c>
      <c r="B476" s="6" t="s">
        <v>157</v>
      </c>
      <c r="C476" s="71">
        <v>127560</v>
      </c>
      <c r="D476" s="6">
        <f>(C476/12)*7</f>
        <v>74410</v>
      </c>
      <c r="E476" s="62">
        <v>8544</v>
      </c>
      <c r="F476" s="6">
        <f>SUM(E470:E476)</f>
        <v>33869</v>
      </c>
      <c r="G476" s="35" t="str">
        <f t="shared" si="83"/>
        <v>Farol Vermelho</v>
      </c>
      <c r="H476">
        <f t="shared" si="81"/>
        <v>40541</v>
      </c>
      <c r="I476" s="6">
        <f t="shared" si="82"/>
        <v>7</v>
      </c>
      <c r="J476" s="100">
        <v>25</v>
      </c>
      <c r="K476" s="62">
        <v>2</v>
      </c>
      <c r="L476" s="6">
        <f>$L470+L475</f>
        <v>14.583333333333336</v>
      </c>
      <c r="M476" s="6">
        <f t="shared" si="91"/>
        <v>8</v>
      </c>
      <c r="N476" s="71"/>
      <c r="O476" t="e">
        <f t="shared" si="84"/>
        <v>#DIV/0!</v>
      </c>
      <c r="P476" s="71"/>
      <c r="Q476" t="e">
        <f t="shared" si="85"/>
        <v>#DIV/0!</v>
      </c>
      <c r="R476" s="71"/>
      <c r="S476" s="6" t="e">
        <f t="shared" si="86"/>
        <v>#DIV/0!</v>
      </c>
    </row>
    <row r="477" spans="1:19" x14ac:dyDescent="0.2">
      <c r="A477" s="36" t="s">
        <v>106</v>
      </c>
      <c r="B477" s="6" t="s">
        <v>158</v>
      </c>
      <c r="C477" s="71">
        <v>127560</v>
      </c>
      <c r="D477" s="6">
        <f>(C477/12)*8</f>
        <v>85040</v>
      </c>
      <c r="E477" s="62">
        <v>0</v>
      </c>
      <c r="F477" s="6">
        <f>SUM(E470:E477)</f>
        <v>33869</v>
      </c>
      <c r="G477" s="35" t="str">
        <f t="shared" si="83"/>
        <v>Farol Vermelho</v>
      </c>
      <c r="H477">
        <f t="shared" si="81"/>
        <v>51171</v>
      </c>
      <c r="I477" s="6">
        <f t="shared" si="82"/>
        <v>8</v>
      </c>
      <c r="J477" s="100">
        <v>25</v>
      </c>
      <c r="K477" s="62"/>
      <c r="L477" s="6">
        <f>L470+L476</f>
        <v>16.666666666666668</v>
      </c>
      <c r="M477" s="6">
        <f t="shared" si="91"/>
        <v>8</v>
      </c>
      <c r="N477" s="71"/>
      <c r="O477" t="e">
        <f t="shared" si="84"/>
        <v>#DIV/0!</v>
      </c>
      <c r="P477" s="71"/>
      <c r="Q477" t="e">
        <f t="shared" si="85"/>
        <v>#DIV/0!</v>
      </c>
      <c r="R477" s="71"/>
      <c r="S477" s="6" t="e">
        <f t="shared" si="86"/>
        <v>#DIV/0!</v>
      </c>
    </row>
    <row r="478" spans="1:19" x14ac:dyDescent="0.2">
      <c r="A478" s="36" t="s">
        <v>106</v>
      </c>
      <c r="B478" s="6" t="s">
        <v>159</v>
      </c>
      <c r="C478" s="71">
        <v>127560</v>
      </c>
      <c r="D478" s="6">
        <f>(C478/12)*9</f>
        <v>95670</v>
      </c>
      <c r="E478" s="62">
        <v>0</v>
      </c>
      <c r="F478" s="6">
        <f>SUM(E470:E478)</f>
        <v>33869</v>
      </c>
      <c r="G478" s="35" t="str">
        <f t="shared" si="83"/>
        <v>Farol Vermelho</v>
      </c>
      <c r="H478">
        <f t="shared" si="81"/>
        <v>61801</v>
      </c>
      <c r="I478" s="6">
        <f t="shared" si="82"/>
        <v>9</v>
      </c>
      <c r="J478" s="100">
        <v>25</v>
      </c>
      <c r="K478" s="62"/>
      <c r="L478" s="6">
        <f>$L470+L477</f>
        <v>18.75</v>
      </c>
      <c r="M478" s="6">
        <f t="shared" si="91"/>
        <v>8</v>
      </c>
      <c r="N478" s="71"/>
      <c r="O478" t="e">
        <f t="shared" si="84"/>
        <v>#DIV/0!</v>
      </c>
      <c r="P478" s="71"/>
      <c r="Q478" t="e">
        <f t="shared" si="85"/>
        <v>#DIV/0!</v>
      </c>
      <c r="R478" s="71"/>
      <c r="S478" s="6" t="e">
        <f t="shared" si="86"/>
        <v>#DIV/0!</v>
      </c>
    </row>
    <row r="479" spans="1:19" x14ac:dyDescent="0.2">
      <c r="A479" s="36" t="s">
        <v>106</v>
      </c>
      <c r="B479" s="6" t="s">
        <v>160</v>
      </c>
      <c r="C479" s="71">
        <v>127560</v>
      </c>
      <c r="D479" s="6">
        <f>(C479/12)*10</f>
        <v>106300</v>
      </c>
      <c r="E479" s="62">
        <v>0</v>
      </c>
      <c r="F479" s="6">
        <f>SUM(E470:E479)</f>
        <v>33869</v>
      </c>
      <c r="G479" s="35" t="str">
        <f t="shared" si="83"/>
        <v>Farol Vermelho</v>
      </c>
      <c r="H479">
        <f t="shared" si="81"/>
        <v>72431</v>
      </c>
      <c r="I479" s="6">
        <f t="shared" si="82"/>
        <v>10</v>
      </c>
      <c r="J479" s="100">
        <v>25</v>
      </c>
      <c r="K479" s="62"/>
      <c r="L479" s="6">
        <f>$L470+L478</f>
        <v>20.833333333333332</v>
      </c>
      <c r="M479" s="6">
        <f t="shared" si="91"/>
        <v>8</v>
      </c>
      <c r="N479" s="71"/>
      <c r="O479" t="e">
        <f t="shared" si="84"/>
        <v>#DIV/0!</v>
      </c>
      <c r="P479" s="71"/>
      <c r="Q479" t="e">
        <f t="shared" si="85"/>
        <v>#DIV/0!</v>
      </c>
      <c r="R479" s="71"/>
      <c r="S479" s="6" t="e">
        <f t="shared" si="86"/>
        <v>#DIV/0!</v>
      </c>
    </row>
    <row r="480" spans="1:19" x14ac:dyDescent="0.2">
      <c r="A480" s="36" t="s">
        <v>106</v>
      </c>
      <c r="B480" s="6" t="s">
        <v>161</v>
      </c>
      <c r="C480" s="71">
        <v>127560</v>
      </c>
      <c r="D480" s="6">
        <f>(C480/12)*11</f>
        <v>116930</v>
      </c>
      <c r="E480" s="62">
        <v>0</v>
      </c>
      <c r="F480" s="6">
        <f>SUM(E470:E480)</f>
        <v>33869</v>
      </c>
      <c r="G480" s="35" t="str">
        <f t="shared" si="83"/>
        <v>Farol Vermelho</v>
      </c>
      <c r="H480">
        <f t="shared" si="81"/>
        <v>83061</v>
      </c>
      <c r="I480" s="6">
        <f t="shared" si="82"/>
        <v>11</v>
      </c>
      <c r="J480" s="100">
        <v>25</v>
      </c>
      <c r="K480" s="62"/>
      <c r="L480" s="6">
        <f>L470+L479</f>
        <v>22.916666666666664</v>
      </c>
      <c r="M480" s="6">
        <f t="shared" si="91"/>
        <v>8</v>
      </c>
      <c r="N480" s="71"/>
      <c r="O480" t="e">
        <f t="shared" si="84"/>
        <v>#DIV/0!</v>
      </c>
      <c r="P480" s="71"/>
      <c r="Q480" t="e">
        <f t="shared" si="85"/>
        <v>#DIV/0!</v>
      </c>
      <c r="R480" s="71"/>
      <c r="S480" s="6" t="e">
        <f t="shared" si="86"/>
        <v>#DIV/0!</v>
      </c>
    </row>
    <row r="481" spans="1:19" x14ac:dyDescent="0.2">
      <c r="A481" s="36" t="s">
        <v>106</v>
      </c>
      <c r="B481" s="6" t="s">
        <v>162</v>
      </c>
      <c r="C481" s="71">
        <v>127560</v>
      </c>
      <c r="D481" s="6">
        <f>(C481/12)*12</f>
        <v>127560</v>
      </c>
      <c r="E481" s="62">
        <v>0</v>
      </c>
      <c r="F481" s="6">
        <f>SUM(E470:E481)</f>
        <v>33869</v>
      </c>
      <c r="G481" s="35" t="str">
        <f t="shared" si="83"/>
        <v>Farol Vermelho</v>
      </c>
      <c r="H481">
        <f t="shared" si="81"/>
        <v>93691</v>
      </c>
      <c r="I481" s="6">
        <f t="shared" si="82"/>
        <v>12</v>
      </c>
      <c r="J481" s="100">
        <v>25</v>
      </c>
      <c r="K481" s="62"/>
      <c r="L481" s="6">
        <f>$L470+L480</f>
        <v>24.999999999999996</v>
      </c>
      <c r="M481" s="6">
        <f t="shared" si="91"/>
        <v>8</v>
      </c>
      <c r="N481" s="71"/>
      <c r="O481" t="e">
        <f t="shared" si="84"/>
        <v>#DIV/0!</v>
      </c>
      <c r="P481" s="71"/>
      <c r="Q481" t="e">
        <f t="shared" si="85"/>
        <v>#DIV/0!</v>
      </c>
      <c r="R481" s="71"/>
      <c r="S481" s="6" t="e">
        <f t="shared" si="86"/>
        <v>#DIV/0!</v>
      </c>
    </row>
    <row r="482" spans="1:19" x14ac:dyDescent="0.2">
      <c r="A482" s="36" t="s">
        <v>31</v>
      </c>
      <c r="B482" s="6" t="s">
        <v>151</v>
      </c>
      <c r="C482" s="71">
        <v>7025</v>
      </c>
      <c r="D482" s="6">
        <f>(C482/12)*1</f>
        <v>585.41666666666663</v>
      </c>
      <c r="E482" s="62">
        <v>0</v>
      </c>
      <c r="F482" s="6">
        <f>E482</f>
        <v>0</v>
      </c>
      <c r="G482" s="35" t="str">
        <f t="shared" si="83"/>
        <v>Farol Vermelho</v>
      </c>
      <c r="H482">
        <f t="shared" si="81"/>
        <v>585.41666666666663</v>
      </c>
      <c r="I482" s="6">
        <f t="shared" si="82"/>
        <v>1</v>
      </c>
      <c r="J482" s="100">
        <v>6</v>
      </c>
      <c r="K482" s="62">
        <v>0</v>
      </c>
      <c r="L482" s="6">
        <f>J482/12</f>
        <v>0.5</v>
      </c>
      <c r="M482" s="6">
        <f>K482</f>
        <v>0</v>
      </c>
      <c r="N482" s="71">
        <v>0</v>
      </c>
      <c r="O482" t="e">
        <f t="shared" si="84"/>
        <v>#DIV/0!</v>
      </c>
      <c r="P482" s="71">
        <v>0</v>
      </c>
      <c r="Q482" t="e">
        <f t="shared" si="85"/>
        <v>#DIV/0!</v>
      </c>
      <c r="R482" s="71">
        <v>0</v>
      </c>
      <c r="S482" s="6" t="e">
        <f t="shared" si="86"/>
        <v>#DIV/0!</v>
      </c>
    </row>
    <row r="483" spans="1:19" x14ac:dyDescent="0.2">
      <c r="A483" s="36" t="s">
        <v>31</v>
      </c>
      <c r="B483" s="6" t="s">
        <v>152</v>
      </c>
      <c r="C483" s="71">
        <v>7025</v>
      </c>
      <c r="D483" s="6">
        <f>(C483/12)*2</f>
        <v>1170.8333333333333</v>
      </c>
      <c r="E483" s="62">
        <v>0</v>
      </c>
      <c r="F483" s="6">
        <f>SUM(E482:E483)</f>
        <v>0</v>
      </c>
      <c r="G483" s="35" t="str">
        <f t="shared" si="83"/>
        <v>Farol Vermelho</v>
      </c>
      <c r="H483">
        <f t="shared" si="81"/>
        <v>1170.8333333333333</v>
      </c>
      <c r="I483" s="6">
        <f t="shared" si="82"/>
        <v>2</v>
      </c>
      <c r="J483" s="100">
        <v>6</v>
      </c>
      <c r="K483" s="62">
        <v>0</v>
      </c>
      <c r="L483" s="6">
        <f>L482+L482</f>
        <v>1</v>
      </c>
      <c r="M483" s="6">
        <f>M482+K483</f>
        <v>0</v>
      </c>
      <c r="N483" s="71">
        <v>0</v>
      </c>
      <c r="O483" t="e">
        <f t="shared" si="84"/>
        <v>#DIV/0!</v>
      </c>
      <c r="P483" s="71">
        <v>0</v>
      </c>
      <c r="Q483" t="e">
        <f t="shared" si="85"/>
        <v>#DIV/0!</v>
      </c>
      <c r="R483" s="71">
        <v>0</v>
      </c>
      <c r="S483" s="6" t="e">
        <f t="shared" si="86"/>
        <v>#DIV/0!</v>
      </c>
    </row>
    <row r="484" spans="1:19" x14ac:dyDescent="0.2">
      <c r="A484" s="36" t="s">
        <v>31</v>
      </c>
      <c r="B484" s="6" t="s">
        <v>153</v>
      </c>
      <c r="C484" s="71">
        <v>7025</v>
      </c>
      <c r="D484" s="6">
        <f>(C484/12)*3</f>
        <v>1756.25</v>
      </c>
      <c r="E484" s="62">
        <v>0</v>
      </c>
      <c r="F484" s="6">
        <f>SUM(E482:E484)</f>
        <v>0</v>
      </c>
      <c r="G484" s="35" t="str">
        <f t="shared" si="83"/>
        <v>Farol Vermelho</v>
      </c>
      <c r="H484">
        <f t="shared" si="81"/>
        <v>1756.25</v>
      </c>
      <c r="I484" s="6">
        <f t="shared" si="82"/>
        <v>3</v>
      </c>
      <c r="J484" s="100">
        <v>6</v>
      </c>
      <c r="K484" s="62">
        <v>0</v>
      </c>
      <c r="L484" s="6">
        <f>$L482+L483</f>
        <v>1.5</v>
      </c>
      <c r="M484" s="6">
        <f t="shared" ref="M484:M493" si="92">M483+K484</f>
        <v>0</v>
      </c>
      <c r="N484" s="71">
        <v>0</v>
      </c>
      <c r="O484" t="e">
        <f t="shared" si="84"/>
        <v>#DIV/0!</v>
      </c>
      <c r="P484" s="71">
        <v>0</v>
      </c>
      <c r="Q484" t="e">
        <f t="shared" si="85"/>
        <v>#DIV/0!</v>
      </c>
      <c r="R484" s="71">
        <v>0</v>
      </c>
      <c r="S484" s="6" t="e">
        <f t="shared" si="86"/>
        <v>#DIV/0!</v>
      </c>
    </row>
    <row r="485" spans="1:19" x14ac:dyDescent="0.2">
      <c r="A485" s="36" t="s">
        <v>31</v>
      </c>
      <c r="B485" s="6" t="s">
        <v>154</v>
      </c>
      <c r="C485" s="71">
        <v>7025</v>
      </c>
      <c r="D485" s="6">
        <f>(C485/12)*4</f>
        <v>2341.6666666666665</v>
      </c>
      <c r="E485" s="62">
        <v>0</v>
      </c>
      <c r="F485" s="6">
        <f>SUM(E482:E485)</f>
        <v>0</v>
      </c>
      <c r="G485" s="35" t="str">
        <f t="shared" si="83"/>
        <v>Farol Vermelho</v>
      </c>
      <c r="H485">
        <f t="shared" si="81"/>
        <v>2341.6666666666665</v>
      </c>
      <c r="I485" s="6">
        <f t="shared" si="82"/>
        <v>4</v>
      </c>
      <c r="J485" s="100">
        <v>6</v>
      </c>
      <c r="K485" s="62">
        <v>0</v>
      </c>
      <c r="L485" s="6">
        <f>$L482+L484</f>
        <v>2</v>
      </c>
      <c r="M485" s="6">
        <f t="shared" si="92"/>
        <v>0</v>
      </c>
      <c r="N485" s="71">
        <v>0</v>
      </c>
      <c r="O485" t="e">
        <f t="shared" si="84"/>
        <v>#DIV/0!</v>
      </c>
      <c r="P485" s="71">
        <v>0</v>
      </c>
      <c r="Q485" t="e">
        <f t="shared" si="85"/>
        <v>#DIV/0!</v>
      </c>
      <c r="R485" s="71">
        <v>0</v>
      </c>
      <c r="S485" s="6" t="e">
        <f t="shared" si="86"/>
        <v>#DIV/0!</v>
      </c>
    </row>
    <row r="486" spans="1:19" x14ac:dyDescent="0.2">
      <c r="A486" s="36" t="s">
        <v>31</v>
      </c>
      <c r="B486" s="6" t="s">
        <v>155</v>
      </c>
      <c r="C486" s="71">
        <v>7025</v>
      </c>
      <c r="D486" s="6">
        <f>(C486/12)*5</f>
        <v>2927.083333333333</v>
      </c>
      <c r="E486" s="62">
        <v>0</v>
      </c>
      <c r="F486" s="6">
        <f>SUM(E482:E486)</f>
        <v>0</v>
      </c>
      <c r="G486" s="35" t="str">
        <f t="shared" si="83"/>
        <v>Farol Vermelho</v>
      </c>
      <c r="H486">
        <f t="shared" ref="H486:H549" si="93">IF(D486-F486&lt;0,0,D486-F486)</f>
        <v>2927.083333333333</v>
      </c>
      <c r="I486" s="6">
        <f t="shared" ref="I486:I549" si="94">_xlfn.IFS(B486="Janeiro",1,B486="Fevereiro",2,B486="Março",3,B486="Abril",4,B486="Maio",5,B486="Junho",6,B486="Julho",7,B486="Agosto",8,B486="Setembro",9,B486="Outubro",10,B486="Novembro",11,B486="Dezembro",12,TRUE,0)</f>
        <v>5</v>
      </c>
      <c r="J486" s="100">
        <v>6</v>
      </c>
      <c r="K486" s="62">
        <v>0</v>
      </c>
      <c r="L486" s="6">
        <f>L482+L485</f>
        <v>2.5</v>
      </c>
      <c r="M486" s="6">
        <f t="shared" si="92"/>
        <v>0</v>
      </c>
      <c r="N486" s="71">
        <v>0</v>
      </c>
      <c r="O486" t="e">
        <f t="shared" si="84"/>
        <v>#DIV/0!</v>
      </c>
      <c r="P486" s="71">
        <v>0</v>
      </c>
      <c r="Q486" t="e">
        <f t="shared" si="85"/>
        <v>#DIV/0!</v>
      </c>
      <c r="R486" s="71">
        <v>0</v>
      </c>
      <c r="S486" s="6" t="e">
        <f t="shared" si="86"/>
        <v>#DIV/0!</v>
      </c>
    </row>
    <row r="487" spans="1:19" x14ac:dyDescent="0.2">
      <c r="A487" s="36" t="s">
        <v>31</v>
      </c>
      <c r="B487" s="6" t="s">
        <v>156</v>
      </c>
      <c r="C487" s="71">
        <v>7025</v>
      </c>
      <c r="D487" s="6">
        <f>(C487/12)*6</f>
        <v>3512.5</v>
      </c>
      <c r="E487" s="62">
        <v>977.4</v>
      </c>
      <c r="F487" s="6">
        <f>SUM(E482:E487)</f>
        <v>977.4</v>
      </c>
      <c r="G487" s="35" t="str">
        <f t="shared" ref="G487:G550" si="95">_xlfn.IFS(F487&gt;D487,"Farol Verde",F487&gt;=D487*0.85,"Farol Amarelo",F487&lt;D487*0.85,"Farol Vermelho","Verdadeiro",0)</f>
        <v>Farol Vermelho</v>
      </c>
      <c r="H487">
        <f t="shared" si="93"/>
        <v>2535.1</v>
      </c>
      <c r="I487" s="6">
        <f t="shared" si="94"/>
        <v>6</v>
      </c>
      <c r="J487" s="100">
        <v>6</v>
      </c>
      <c r="K487" s="62">
        <v>1</v>
      </c>
      <c r="L487" s="6">
        <f>$L482+L486</f>
        <v>3</v>
      </c>
      <c r="M487" s="6">
        <f t="shared" si="92"/>
        <v>1</v>
      </c>
      <c r="N487" s="71">
        <v>4</v>
      </c>
      <c r="O487">
        <f t="shared" ref="O487:O550" si="96">P487/N487</f>
        <v>1</v>
      </c>
      <c r="P487" s="71">
        <v>4</v>
      </c>
      <c r="Q487">
        <f t="shared" ref="Q487:Q550" si="97">R487/P487</f>
        <v>0.25</v>
      </c>
      <c r="R487" s="71">
        <v>1</v>
      </c>
      <c r="S487" s="6">
        <f t="shared" ref="S487:S550" si="98">R487/N487</f>
        <v>0.25</v>
      </c>
    </row>
    <row r="488" spans="1:19" x14ac:dyDescent="0.2">
      <c r="A488" s="36" t="s">
        <v>31</v>
      </c>
      <c r="B488" s="6" t="s">
        <v>157</v>
      </c>
      <c r="C488" s="71">
        <v>7025</v>
      </c>
      <c r="D488" s="6">
        <f>(C488/12)*7</f>
        <v>4097.9166666666661</v>
      </c>
      <c r="E488" s="62">
        <v>0</v>
      </c>
      <c r="F488" s="6">
        <f>SUM(E482:E488)</f>
        <v>977.4</v>
      </c>
      <c r="G488" s="35" t="str">
        <f t="shared" si="95"/>
        <v>Farol Vermelho</v>
      </c>
      <c r="H488">
        <f t="shared" si="93"/>
        <v>3120.516666666666</v>
      </c>
      <c r="I488" s="6">
        <f t="shared" si="94"/>
        <v>7</v>
      </c>
      <c r="J488" s="100">
        <v>6</v>
      </c>
      <c r="K488" s="62">
        <v>0</v>
      </c>
      <c r="L488" s="6">
        <f>$L482+L487</f>
        <v>3.5</v>
      </c>
      <c r="M488" s="6">
        <f t="shared" si="92"/>
        <v>1</v>
      </c>
      <c r="N488" s="71"/>
      <c r="O488" t="e">
        <f t="shared" si="96"/>
        <v>#DIV/0!</v>
      </c>
      <c r="P488" s="71"/>
      <c r="Q488" t="e">
        <f t="shared" si="97"/>
        <v>#DIV/0!</v>
      </c>
      <c r="R488" s="71"/>
      <c r="S488" s="6" t="e">
        <f t="shared" si="98"/>
        <v>#DIV/0!</v>
      </c>
    </row>
    <row r="489" spans="1:19" x14ac:dyDescent="0.2">
      <c r="A489" s="36" t="s">
        <v>31</v>
      </c>
      <c r="B489" s="6" t="s">
        <v>158</v>
      </c>
      <c r="C489" s="71">
        <v>7025</v>
      </c>
      <c r="D489" s="6">
        <f>(C489/12)*8</f>
        <v>4683.333333333333</v>
      </c>
      <c r="E489" s="62">
        <v>0</v>
      </c>
      <c r="F489" s="6">
        <f>SUM(E482:E489)</f>
        <v>977.4</v>
      </c>
      <c r="G489" s="35" t="str">
        <f t="shared" si="95"/>
        <v>Farol Vermelho</v>
      </c>
      <c r="H489">
        <f t="shared" si="93"/>
        <v>3705.9333333333329</v>
      </c>
      <c r="I489" s="6">
        <f t="shared" si="94"/>
        <v>8</v>
      </c>
      <c r="J489" s="100">
        <v>6</v>
      </c>
      <c r="K489" s="62"/>
      <c r="L489" s="6">
        <f>L482+L488</f>
        <v>4</v>
      </c>
      <c r="M489" s="6">
        <f t="shared" si="92"/>
        <v>1</v>
      </c>
      <c r="N489" s="71"/>
      <c r="O489" t="e">
        <f t="shared" si="96"/>
        <v>#DIV/0!</v>
      </c>
      <c r="P489" s="71"/>
      <c r="Q489" t="e">
        <f t="shared" si="97"/>
        <v>#DIV/0!</v>
      </c>
      <c r="R489" s="71"/>
      <c r="S489" s="6" t="e">
        <f t="shared" si="98"/>
        <v>#DIV/0!</v>
      </c>
    </row>
    <row r="490" spans="1:19" x14ac:dyDescent="0.2">
      <c r="A490" s="36" t="s">
        <v>31</v>
      </c>
      <c r="B490" s="6" t="s">
        <v>159</v>
      </c>
      <c r="C490" s="71">
        <v>7025</v>
      </c>
      <c r="D490" s="6">
        <f>(C490/12)*9</f>
        <v>5268.75</v>
      </c>
      <c r="E490" s="62">
        <v>0</v>
      </c>
      <c r="F490" s="6">
        <f>SUM(E482:E490)</f>
        <v>977.4</v>
      </c>
      <c r="G490" s="35" t="str">
        <f t="shared" si="95"/>
        <v>Farol Vermelho</v>
      </c>
      <c r="H490">
        <f t="shared" si="93"/>
        <v>4291.3500000000004</v>
      </c>
      <c r="I490" s="6">
        <f t="shared" si="94"/>
        <v>9</v>
      </c>
      <c r="J490" s="100">
        <v>6</v>
      </c>
      <c r="K490" s="62"/>
      <c r="L490" s="6">
        <f>$L482+L489</f>
        <v>4.5</v>
      </c>
      <c r="M490" s="6">
        <f t="shared" si="92"/>
        <v>1</v>
      </c>
      <c r="N490" s="71"/>
      <c r="O490" t="e">
        <f t="shared" si="96"/>
        <v>#DIV/0!</v>
      </c>
      <c r="P490" s="71"/>
      <c r="Q490" t="e">
        <f t="shared" si="97"/>
        <v>#DIV/0!</v>
      </c>
      <c r="R490" s="71"/>
      <c r="S490" s="6" t="e">
        <f t="shared" si="98"/>
        <v>#DIV/0!</v>
      </c>
    </row>
    <row r="491" spans="1:19" x14ac:dyDescent="0.2">
      <c r="A491" s="36" t="s">
        <v>31</v>
      </c>
      <c r="B491" s="6" t="s">
        <v>160</v>
      </c>
      <c r="C491" s="71">
        <v>7025</v>
      </c>
      <c r="D491" s="6">
        <f>(C491/12)*10</f>
        <v>5854.1666666666661</v>
      </c>
      <c r="E491" s="62">
        <v>0</v>
      </c>
      <c r="F491" s="6">
        <f>SUM(E482:E491)</f>
        <v>977.4</v>
      </c>
      <c r="G491" s="35" t="str">
        <f t="shared" si="95"/>
        <v>Farol Vermelho</v>
      </c>
      <c r="H491">
        <f t="shared" si="93"/>
        <v>4876.7666666666664</v>
      </c>
      <c r="I491" s="6">
        <f t="shared" si="94"/>
        <v>10</v>
      </c>
      <c r="J491" s="100">
        <v>6</v>
      </c>
      <c r="K491" s="62"/>
      <c r="L491" s="6">
        <f>$L482+L490</f>
        <v>5</v>
      </c>
      <c r="M491" s="6">
        <f t="shared" si="92"/>
        <v>1</v>
      </c>
      <c r="N491" s="71"/>
      <c r="O491" t="e">
        <f t="shared" si="96"/>
        <v>#DIV/0!</v>
      </c>
      <c r="P491" s="71"/>
      <c r="Q491" t="e">
        <f t="shared" si="97"/>
        <v>#DIV/0!</v>
      </c>
      <c r="R491" s="71"/>
      <c r="S491" s="6" t="e">
        <f t="shared" si="98"/>
        <v>#DIV/0!</v>
      </c>
    </row>
    <row r="492" spans="1:19" x14ac:dyDescent="0.2">
      <c r="A492" s="36" t="s">
        <v>31</v>
      </c>
      <c r="B492" s="6" t="s">
        <v>161</v>
      </c>
      <c r="C492" s="71">
        <v>7025</v>
      </c>
      <c r="D492" s="6">
        <f>(C492/12)*11</f>
        <v>6439.583333333333</v>
      </c>
      <c r="E492" s="62">
        <v>0</v>
      </c>
      <c r="F492" s="6">
        <f>SUM(E482:E492)</f>
        <v>977.4</v>
      </c>
      <c r="G492" s="35" t="str">
        <f t="shared" si="95"/>
        <v>Farol Vermelho</v>
      </c>
      <c r="H492">
        <f t="shared" si="93"/>
        <v>5462.1833333333334</v>
      </c>
      <c r="I492" s="6">
        <f t="shared" si="94"/>
        <v>11</v>
      </c>
      <c r="J492" s="100">
        <v>6</v>
      </c>
      <c r="K492" s="62"/>
      <c r="L492" s="6">
        <f>L482+L491</f>
        <v>5.5</v>
      </c>
      <c r="M492" s="6">
        <f t="shared" si="92"/>
        <v>1</v>
      </c>
      <c r="N492" s="71"/>
      <c r="O492" t="e">
        <f t="shared" si="96"/>
        <v>#DIV/0!</v>
      </c>
      <c r="P492" s="71"/>
      <c r="Q492" t="e">
        <f t="shared" si="97"/>
        <v>#DIV/0!</v>
      </c>
      <c r="R492" s="71"/>
      <c r="S492" s="6" t="e">
        <f t="shared" si="98"/>
        <v>#DIV/0!</v>
      </c>
    </row>
    <row r="493" spans="1:19" x14ac:dyDescent="0.2">
      <c r="A493" s="36" t="s">
        <v>31</v>
      </c>
      <c r="B493" s="6" t="s">
        <v>162</v>
      </c>
      <c r="C493" s="71">
        <v>7025</v>
      </c>
      <c r="D493" s="6">
        <f>(C493/12)*12</f>
        <v>7025</v>
      </c>
      <c r="E493" s="62">
        <v>0</v>
      </c>
      <c r="F493" s="6">
        <f>SUM(E482:E493)</f>
        <v>977.4</v>
      </c>
      <c r="G493" s="35" t="str">
        <f t="shared" si="95"/>
        <v>Farol Vermelho</v>
      </c>
      <c r="H493">
        <f t="shared" si="93"/>
        <v>6047.6</v>
      </c>
      <c r="I493" s="6">
        <f t="shared" si="94"/>
        <v>12</v>
      </c>
      <c r="J493" s="100">
        <v>6</v>
      </c>
      <c r="K493" s="62"/>
      <c r="L493" s="6">
        <f>$L482+L492</f>
        <v>6</v>
      </c>
      <c r="M493" s="6">
        <f t="shared" si="92"/>
        <v>1</v>
      </c>
      <c r="N493" s="71"/>
      <c r="O493" t="e">
        <f t="shared" si="96"/>
        <v>#DIV/0!</v>
      </c>
      <c r="P493" s="71"/>
      <c r="Q493" t="e">
        <f t="shared" si="97"/>
        <v>#DIV/0!</v>
      </c>
      <c r="R493" s="71"/>
      <c r="S493" s="6" t="e">
        <f t="shared" si="98"/>
        <v>#DIV/0!</v>
      </c>
    </row>
    <row r="494" spans="1:19" x14ac:dyDescent="0.2">
      <c r="A494" s="36" t="s">
        <v>143</v>
      </c>
      <c r="B494" s="6" t="s">
        <v>151</v>
      </c>
      <c r="C494" s="71">
        <v>60000</v>
      </c>
      <c r="D494" s="6">
        <f>(C494/12)*1</f>
        <v>5000</v>
      </c>
      <c r="E494" s="62">
        <v>1800</v>
      </c>
      <c r="F494" s="6">
        <f>E494</f>
        <v>1800</v>
      </c>
      <c r="G494" s="35" t="str">
        <f t="shared" si="95"/>
        <v>Farol Vermelho</v>
      </c>
      <c r="H494">
        <f t="shared" si="93"/>
        <v>3200</v>
      </c>
      <c r="I494" s="6">
        <f t="shared" si="94"/>
        <v>1</v>
      </c>
      <c r="J494" s="100">
        <v>13</v>
      </c>
      <c r="K494" s="62">
        <v>1</v>
      </c>
      <c r="L494" s="6">
        <f>J494/12</f>
        <v>1.0833333333333333</v>
      </c>
      <c r="M494" s="6">
        <f>K494</f>
        <v>1</v>
      </c>
      <c r="N494" s="71">
        <v>0</v>
      </c>
      <c r="O494" t="e">
        <f t="shared" si="96"/>
        <v>#DIV/0!</v>
      </c>
      <c r="P494" s="71">
        <v>0</v>
      </c>
      <c r="Q494" t="e">
        <f t="shared" si="97"/>
        <v>#DIV/0!</v>
      </c>
      <c r="R494" s="71">
        <v>0</v>
      </c>
      <c r="S494" s="6" t="e">
        <f t="shared" si="98"/>
        <v>#DIV/0!</v>
      </c>
    </row>
    <row r="495" spans="1:19" x14ac:dyDescent="0.2">
      <c r="A495" s="36" t="s">
        <v>143</v>
      </c>
      <c r="B495" s="6" t="s">
        <v>152</v>
      </c>
      <c r="C495" s="71">
        <v>60000</v>
      </c>
      <c r="D495" s="6">
        <f>(C495/12)*2</f>
        <v>10000</v>
      </c>
      <c r="E495" s="62">
        <v>8300</v>
      </c>
      <c r="F495" s="6">
        <f>SUM(E494:E495)</f>
        <v>10100</v>
      </c>
      <c r="G495" s="35" t="str">
        <f t="shared" si="95"/>
        <v>Farol Verde</v>
      </c>
      <c r="H495">
        <f t="shared" si="93"/>
        <v>0</v>
      </c>
      <c r="I495" s="6">
        <f t="shared" si="94"/>
        <v>2</v>
      </c>
      <c r="J495" s="100">
        <v>13</v>
      </c>
      <c r="K495" s="62">
        <v>3</v>
      </c>
      <c r="L495" s="6">
        <f>L494+L494</f>
        <v>2.1666666666666665</v>
      </c>
      <c r="M495" s="6">
        <f>M494+K495</f>
        <v>4</v>
      </c>
      <c r="N495" s="71">
        <v>0</v>
      </c>
      <c r="O495" t="e">
        <f t="shared" si="96"/>
        <v>#DIV/0!</v>
      </c>
      <c r="P495" s="71">
        <v>0</v>
      </c>
      <c r="Q495" t="e">
        <f t="shared" si="97"/>
        <v>#DIV/0!</v>
      </c>
      <c r="R495" s="71">
        <v>0</v>
      </c>
      <c r="S495" s="6" t="e">
        <f t="shared" si="98"/>
        <v>#DIV/0!</v>
      </c>
    </row>
    <row r="496" spans="1:19" x14ac:dyDescent="0.2">
      <c r="A496" s="36" t="s">
        <v>143</v>
      </c>
      <c r="B496" s="6" t="s">
        <v>153</v>
      </c>
      <c r="C496" s="71">
        <v>60000</v>
      </c>
      <c r="D496" s="6">
        <f>(C496/12)*3</f>
        <v>15000</v>
      </c>
      <c r="E496" s="62">
        <v>6750</v>
      </c>
      <c r="F496" s="6">
        <f>SUM(E494:E496)</f>
        <v>16850</v>
      </c>
      <c r="G496" s="35" t="str">
        <f t="shared" si="95"/>
        <v>Farol Verde</v>
      </c>
      <c r="H496">
        <f t="shared" si="93"/>
        <v>0</v>
      </c>
      <c r="I496" s="6">
        <f t="shared" si="94"/>
        <v>3</v>
      </c>
      <c r="J496" s="100">
        <v>13</v>
      </c>
      <c r="K496" s="62">
        <v>2</v>
      </c>
      <c r="L496" s="6">
        <f>$L494+L495</f>
        <v>3.25</v>
      </c>
      <c r="M496" s="6">
        <f t="shared" ref="M496:M505" si="99">M495+K496</f>
        <v>6</v>
      </c>
      <c r="N496" s="71">
        <v>0</v>
      </c>
      <c r="O496" t="e">
        <f t="shared" si="96"/>
        <v>#DIV/0!</v>
      </c>
      <c r="P496" s="71">
        <v>0</v>
      </c>
      <c r="Q496" t="e">
        <f t="shared" si="97"/>
        <v>#DIV/0!</v>
      </c>
      <c r="R496" s="71">
        <v>0</v>
      </c>
      <c r="S496" s="6" t="e">
        <f t="shared" si="98"/>
        <v>#DIV/0!</v>
      </c>
    </row>
    <row r="497" spans="1:19" x14ac:dyDescent="0.2">
      <c r="A497" s="36" t="s">
        <v>143</v>
      </c>
      <c r="B497" s="6" t="s">
        <v>154</v>
      </c>
      <c r="C497" s="71">
        <v>60000</v>
      </c>
      <c r="D497" s="6">
        <f>(C497/12)*4</f>
        <v>20000</v>
      </c>
      <c r="E497" s="62">
        <v>2150</v>
      </c>
      <c r="F497" s="6">
        <f>SUM(E494:E497)</f>
        <v>19000</v>
      </c>
      <c r="G497" s="35" t="str">
        <f t="shared" si="95"/>
        <v>Farol Amarelo</v>
      </c>
      <c r="H497">
        <f t="shared" si="93"/>
        <v>1000</v>
      </c>
      <c r="I497" s="6">
        <f t="shared" si="94"/>
        <v>4</v>
      </c>
      <c r="J497" s="100">
        <v>13</v>
      </c>
      <c r="K497" s="62">
        <v>1</v>
      </c>
      <c r="L497" s="6">
        <f>$L494+L496</f>
        <v>4.333333333333333</v>
      </c>
      <c r="M497" s="6">
        <f t="shared" si="99"/>
        <v>7</v>
      </c>
      <c r="N497" s="71">
        <v>0</v>
      </c>
      <c r="O497" t="e">
        <f t="shared" si="96"/>
        <v>#DIV/0!</v>
      </c>
      <c r="P497" s="71">
        <v>0</v>
      </c>
      <c r="Q497" t="e">
        <f t="shared" si="97"/>
        <v>#DIV/0!</v>
      </c>
      <c r="R497" s="71">
        <v>0</v>
      </c>
      <c r="S497" s="6" t="e">
        <f t="shared" si="98"/>
        <v>#DIV/0!</v>
      </c>
    </row>
    <row r="498" spans="1:19" x14ac:dyDescent="0.2">
      <c r="A498" s="36" t="s">
        <v>143</v>
      </c>
      <c r="B498" s="6" t="s">
        <v>155</v>
      </c>
      <c r="C498" s="71">
        <v>60000</v>
      </c>
      <c r="D498" s="6">
        <f>(C498/12)*5</f>
        <v>25000</v>
      </c>
      <c r="E498" s="62">
        <v>5000</v>
      </c>
      <c r="F498" s="6">
        <f>SUM(E494:E498)</f>
        <v>24000</v>
      </c>
      <c r="G498" s="35" t="str">
        <f t="shared" si="95"/>
        <v>Farol Amarelo</v>
      </c>
      <c r="H498">
        <f t="shared" si="93"/>
        <v>1000</v>
      </c>
      <c r="I498" s="6">
        <f t="shared" si="94"/>
        <v>5</v>
      </c>
      <c r="J498" s="100">
        <v>13</v>
      </c>
      <c r="K498" s="62">
        <v>1</v>
      </c>
      <c r="L498" s="6">
        <f>L494+L497</f>
        <v>5.4166666666666661</v>
      </c>
      <c r="M498" s="6">
        <f t="shared" si="99"/>
        <v>8</v>
      </c>
      <c r="N498" s="71">
        <v>7</v>
      </c>
      <c r="O498">
        <f t="shared" si="96"/>
        <v>0.42857142857142855</v>
      </c>
      <c r="P498" s="71">
        <v>3</v>
      </c>
      <c r="Q498">
        <f t="shared" si="97"/>
        <v>0.33333333333333331</v>
      </c>
      <c r="R498" s="71">
        <v>1</v>
      </c>
      <c r="S498" s="6">
        <f t="shared" si="98"/>
        <v>0.14285714285714285</v>
      </c>
    </row>
    <row r="499" spans="1:19" x14ac:dyDescent="0.2">
      <c r="A499" s="36" t="s">
        <v>143</v>
      </c>
      <c r="B499" s="6" t="s">
        <v>156</v>
      </c>
      <c r="C499" s="71">
        <v>60000</v>
      </c>
      <c r="D499" s="6">
        <f>(C499/12)*6</f>
        <v>30000</v>
      </c>
      <c r="E499" s="62">
        <v>3570</v>
      </c>
      <c r="F499" s="6">
        <f>SUM(E494:E499)</f>
        <v>27570</v>
      </c>
      <c r="G499" s="35" t="str">
        <f t="shared" si="95"/>
        <v>Farol Amarelo</v>
      </c>
      <c r="H499">
        <f t="shared" si="93"/>
        <v>2430</v>
      </c>
      <c r="I499" s="6">
        <f t="shared" si="94"/>
        <v>6</v>
      </c>
      <c r="J499" s="100">
        <v>13</v>
      </c>
      <c r="K499" s="62">
        <v>2</v>
      </c>
      <c r="L499" s="6">
        <f>$L494+L498</f>
        <v>6.4999999999999991</v>
      </c>
      <c r="M499" s="6">
        <f t="shared" si="99"/>
        <v>10</v>
      </c>
      <c r="N499" s="71">
        <v>14</v>
      </c>
      <c r="O499">
        <f t="shared" si="96"/>
        <v>0.14285714285714285</v>
      </c>
      <c r="P499" s="71">
        <v>2</v>
      </c>
      <c r="Q499">
        <f t="shared" si="97"/>
        <v>1</v>
      </c>
      <c r="R499" s="71">
        <v>2</v>
      </c>
      <c r="S499" s="6">
        <f t="shared" si="98"/>
        <v>0.14285714285714285</v>
      </c>
    </row>
    <row r="500" spans="1:19" x14ac:dyDescent="0.2">
      <c r="A500" s="36" t="s">
        <v>143</v>
      </c>
      <c r="B500" s="6" t="s">
        <v>157</v>
      </c>
      <c r="C500" s="71">
        <v>60000</v>
      </c>
      <c r="D500" s="6">
        <f>(C500/12)*7</f>
        <v>35000</v>
      </c>
      <c r="E500" s="62">
        <v>5000</v>
      </c>
      <c r="F500" s="6">
        <f>SUM(E494:E500)</f>
        <v>32570</v>
      </c>
      <c r="G500" s="35" t="str">
        <f t="shared" si="95"/>
        <v>Farol Amarelo</v>
      </c>
      <c r="H500">
        <f t="shared" si="93"/>
        <v>2430</v>
      </c>
      <c r="I500" s="6">
        <f t="shared" si="94"/>
        <v>7</v>
      </c>
      <c r="J500" s="100">
        <v>13</v>
      </c>
      <c r="K500" s="62">
        <v>2</v>
      </c>
      <c r="L500" s="6">
        <f>$L494+L499</f>
        <v>7.5833333333333321</v>
      </c>
      <c r="M500" s="6">
        <f t="shared" si="99"/>
        <v>12</v>
      </c>
      <c r="N500" s="71"/>
      <c r="O500" t="e">
        <f t="shared" si="96"/>
        <v>#DIV/0!</v>
      </c>
      <c r="P500" s="71"/>
      <c r="Q500" t="e">
        <f t="shared" si="97"/>
        <v>#DIV/0!</v>
      </c>
      <c r="R500" s="71"/>
      <c r="S500" s="6" t="e">
        <f t="shared" si="98"/>
        <v>#DIV/0!</v>
      </c>
    </row>
    <row r="501" spans="1:19" x14ac:dyDescent="0.2">
      <c r="A501" s="36" t="s">
        <v>143</v>
      </c>
      <c r="B501" s="6" t="s">
        <v>158</v>
      </c>
      <c r="C501" s="71">
        <v>60000</v>
      </c>
      <c r="D501" s="6">
        <f>(C501/12)*8</f>
        <v>40000</v>
      </c>
      <c r="E501" s="62">
        <v>0</v>
      </c>
      <c r="F501" s="6">
        <f>SUM(E494:E501)</f>
        <v>32570</v>
      </c>
      <c r="G501" s="35" t="str">
        <f t="shared" si="95"/>
        <v>Farol Vermelho</v>
      </c>
      <c r="H501">
        <f t="shared" si="93"/>
        <v>7430</v>
      </c>
      <c r="I501" s="6">
        <f t="shared" si="94"/>
        <v>8</v>
      </c>
      <c r="J501" s="100">
        <v>13</v>
      </c>
      <c r="K501" s="62"/>
      <c r="L501" s="6">
        <f>L494+L500</f>
        <v>8.6666666666666661</v>
      </c>
      <c r="M501" s="6">
        <f t="shared" si="99"/>
        <v>12</v>
      </c>
      <c r="N501" s="71"/>
      <c r="O501" t="e">
        <f t="shared" si="96"/>
        <v>#DIV/0!</v>
      </c>
      <c r="P501" s="71"/>
      <c r="Q501" t="e">
        <f t="shared" si="97"/>
        <v>#DIV/0!</v>
      </c>
      <c r="R501" s="71"/>
      <c r="S501" s="6" t="e">
        <f t="shared" si="98"/>
        <v>#DIV/0!</v>
      </c>
    </row>
    <row r="502" spans="1:19" x14ac:dyDescent="0.2">
      <c r="A502" s="36" t="s">
        <v>143</v>
      </c>
      <c r="B502" s="6" t="s">
        <v>159</v>
      </c>
      <c r="C502" s="71">
        <v>60000</v>
      </c>
      <c r="D502" s="6">
        <f>(C502/12)*9</f>
        <v>45000</v>
      </c>
      <c r="E502" s="62">
        <v>0</v>
      </c>
      <c r="F502" s="6">
        <f>SUM(E494:E502)</f>
        <v>32570</v>
      </c>
      <c r="G502" s="35" t="str">
        <f t="shared" si="95"/>
        <v>Farol Vermelho</v>
      </c>
      <c r="H502">
        <f t="shared" si="93"/>
        <v>12430</v>
      </c>
      <c r="I502" s="6">
        <f t="shared" si="94"/>
        <v>9</v>
      </c>
      <c r="J502" s="100">
        <v>13</v>
      </c>
      <c r="K502" s="62"/>
      <c r="L502" s="6">
        <f>$L494+L501</f>
        <v>9.75</v>
      </c>
      <c r="M502" s="6">
        <f t="shared" si="99"/>
        <v>12</v>
      </c>
      <c r="N502" s="71"/>
      <c r="O502" t="e">
        <f t="shared" si="96"/>
        <v>#DIV/0!</v>
      </c>
      <c r="P502" s="71"/>
      <c r="Q502" t="e">
        <f t="shared" si="97"/>
        <v>#DIV/0!</v>
      </c>
      <c r="R502" s="71"/>
      <c r="S502" s="6" t="e">
        <f t="shared" si="98"/>
        <v>#DIV/0!</v>
      </c>
    </row>
    <row r="503" spans="1:19" x14ac:dyDescent="0.2">
      <c r="A503" s="36" t="s">
        <v>143</v>
      </c>
      <c r="B503" s="6" t="s">
        <v>160</v>
      </c>
      <c r="C503" s="71">
        <v>60000</v>
      </c>
      <c r="D503" s="6">
        <f>(C503/12)*10</f>
        <v>50000</v>
      </c>
      <c r="E503" s="62">
        <v>0</v>
      </c>
      <c r="F503" s="6">
        <f>SUM(E494:E503)</f>
        <v>32570</v>
      </c>
      <c r="G503" s="35" t="str">
        <f t="shared" si="95"/>
        <v>Farol Vermelho</v>
      </c>
      <c r="H503">
        <f t="shared" si="93"/>
        <v>17430</v>
      </c>
      <c r="I503" s="6">
        <f t="shared" si="94"/>
        <v>10</v>
      </c>
      <c r="J503" s="100">
        <v>13</v>
      </c>
      <c r="K503" s="62"/>
      <c r="L503" s="6">
        <f>$L494+L502</f>
        <v>10.833333333333334</v>
      </c>
      <c r="M503" s="6">
        <f t="shared" si="99"/>
        <v>12</v>
      </c>
      <c r="N503" s="71"/>
      <c r="O503" t="e">
        <f t="shared" si="96"/>
        <v>#DIV/0!</v>
      </c>
      <c r="P503" s="71"/>
      <c r="Q503" t="e">
        <f t="shared" si="97"/>
        <v>#DIV/0!</v>
      </c>
      <c r="R503" s="71"/>
      <c r="S503" s="6" t="e">
        <f t="shared" si="98"/>
        <v>#DIV/0!</v>
      </c>
    </row>
    <row r="504" spans="1:19" x14ac:dyDescent="0.2">
      <c r="A504" s="36" t="s">
        <v>143</v>
      </c>
      <c r="B504" s="6" t="s">
        <v>161</v>
      </c>
      <c r="C504" s="71">
        <v>60000</v>
      </c>
      <c r="D504" s="6">
        <f>(C504/12)*11</f>
        <v>55000</v>
      </c>
      <c r="E504" s="62">
        <v>0</v>
      </c>
      <c r="F504" s="6">
        <f>SUM(E494:E504)</f>
        <v>32570</v>
      </c>
      <c r="G504" s="35" t="str">
        <f t="shared" si="95"/>
        <v>Farol Vermelho</v>
      </c>
      <c r="H504">
        <f t="shared" si="93"/>
        <v>22430</v>
      </c>
      <c r="I504" s="6">
        <f t="shared" si="94"/>
        <v>11</v>
      </c>
      <c r="J504" s="100">
        <v>13</v>
      </c>
      <c r="K504" s="62"/>
      <c r="L504" s="6">
        <f>L494+L503</f>
        <v>11.916666666666668</v>
      </c>
      <c r="M504" s="6">
        <f t="shared" si="99"/>
        <v>12</v>
      </c>
      <c r="N504" s="71"/>
      <c r="O504" t="e">
        <f t="shared" si="96"/>
        <v>#DIV/0!</v>
      </c>
      <c r="P504" s="71"/>
      <c r="Q504" t="e">
        <f t="shared" si="97"/>
        <v>#DIV/0!</v>
      </c>
      <c r="R504" s="71"/>
      <c r="S504" s="6" t="e">
        <f t="shared" si="98"/>
        <v>#DIV/0!</v>
      </c>
    </row>
    <row r="505" spans="1:19" x14ac:dyDescent="0.2">
      <c r="A505" s="36" t="s">
        <v>143</v>
      </c>
      <c r="B505" s="6" t="s">
        <v>162</v>
      </c>
      <c r="C505" s="71">
        <v>60000</v>
      </c>
      <c r="D505" s="6">
        <f>(C505/12)*12</f>
        <v>60000</v>
      </c>
      <c r="E505" s="62">
        <v>0</v>
      </c>
      <c r="F505" s="6">
        <f>SUM(E494:E505)</f>
        <v>32570</v>
      </c>
      <c r="G505" s="35" t="str">
        <f t="shared" si="95"/>
        <v>Farol Vermelho</v>
      </c>
      <c r="H505">
        <f t="shared" si="93"/>
        <v>27430</v>
      </c>
      <c r="I505" s="6">
        <f t="shared" si="94"/>
        <v>12</v>
      </c>
      <c r="J505" s="100">
        <v>13</v>
      </c>
      <c r="K505" s="62"/>
      <c r="L505" s="6">
        <f>$L494+L504</f>
        <v>13.000000000000002</v>
      </c>
      <c r="M505" s="6">
        <f t="shared" si="99"/>
        <v>12</v>
      </c>
      <c r="N505" s="71"/>
      <c r="O505" t="e">
        <f t="shared" si="96"/>
        <v>#DIV/0!</v>
      </c>
      <c r="P505" s="71"/>
      <c r="Q505" t="e">
        <f t="shared" si="97"/>
        <v>#DIV/0!</v>
      </c>
      <c r="R505" s="71"/>
      <c r="S505" s="6" t="e">
        <f t="shared" si="98"/>
        <v>#DIV/0!</v>
      </c>
    </row>
    <row r="506" spans="1:19" x14ac:dyDescent="0.2">
      <c r="A506" s="36" t="s">
        <v>70</v>
      </c>
      <c r="B506" s="6" t="s">
        <v>151</v>
      </c>
      <c r="C506" s="71">
        <v>6000</v>
      </c>
      <c r="D506" s="6">
        <f>(C506/12)*1</f>
        <v>500</v>
      </c>
      <c r="E506" s="62">
        <v>1400</v>
      </c>
      <c r="F506" s="6">
        <f>E506</f>
        <v>1400</v>
      </c>
      <c r="G506" s="35" t="str">
        <f t="shared" si="95"/>
        <v>Farol Verde</v>
      </c>
      <c r="H506">
        <f t="shared" si="93"/>
        <v>0</v>
      </c>
      <c r="I506" s="6">
        <f t="shared" si="94"/>
        <v>1</v>
      </c>
      <c r="J506" s="100">
        <v>6</v>
      </c>
      <c r="K506" s="62">
        <v>1</v>
      </c>
      <c r="L506" s="6">
        <f>J506/12</f>
        <v>0.5</v>
      </c>
      <c r="M506" s="6">
        <f>K506</f>
        <v>1</v>
      </c>
      <c r="N506" s="71">
        <v>0</v>
      </c>
      <c r="O506" t="e">
        <f t="shared" si="96"/>
        <v>#DIV/0!</v>
      </c>
      <c r="P506" s="71">
        <v>0</v>
      </c>
      <c r="Q506" t="e">
        <f t="shared" si="97"/>
        <v>#DIV/0!</v>
      </c>
      <c r="R506" s="71">
        <v>0</v>
      </c>
      <c r="S506" s="6" t="e">
        <f t="shared" si="98"/>
        <v>#DIV/0!</v>
      </c>
    </row>
    <row r="507" spans="1:19" x14ac:dyDescent="0.2">
      <c r="A507" s="36" t="s">
        <v>70</v>
      </c>
      <c r="B507" s="6" t="s">
        <v>152</v>
      </c>
      <c r="C507" s="71">
        <v>6000</v>
      </c>
      <c r="D507" s="6">
        <f>(C507/12)*2</f>
        <v>1000</v>
      </c>
      <c r="E507" s="62">
        <v>0</v>
      </c>
      <c r="F507" s="6">
        <f>SUM(E506:E507)</f>
        <v>1400</v>
      </c>
      <c r="G507" s="35" t="str">
        <f t="shared" si="95"/>
        <v>Farol Verde</v>
      </c>
      <c r="H507">
        <f t="shared" si="93"/>
        <v>0</v>
      </c>
      <c r="I507" s="6">
        <f t="shared" si="94"/>
        <v>2</v>
      </c>
      <c r="J507" s="100">
        <v>6</v>
      </c>
      <c r="K507" s="62">
        <v>0</v>
      </c>
      <c r="L507" s="6">
        <f>L506+L506</f>
        <v>1</v>
      </c>
      <c r="M507" s="6">
        <f>M506+K507</f>
        <v>1</v>
      </c>
      <c r="N507" s="71">
        <v>0</v>
      </c>
      <c r="O507" t="e">
        <f t="shared" si="96"/>
        <v>#DIV/0!</v>
      </c>
      <c r="P507" s="71">
        <v>0</v>
      </c>
      <c r="Q507" t="e">
        <f t="shared" si="97"/>
        <v>#DIV/0!</v>
      </c>
      <c r="R507" s="71">
        <v>0</v>
      </c>
      <c r="S507" s="6" t="e">
        <f t="shared" si="98"/>
        <v>#DIV/0!</v>
      </c>
    </row>
    <row r="508" spans="1:19" x14ac:dyDescent="0.2">
      <c r="A508" s="36" t="s">
        <v>70</v>
      </c>
      <c r="B508" s="6" t="s">
        <v>153</v>
      </c>
      <c r="C508" s="71">
        <v>6000</v>
      </c>
      <c r="D508" s="6">
        <f>(C508/12)*3</f>
        <v>1500</v>
      </c>
      <c r="E508" s="62">
        <v>0</v>
      </c>
      <c r="F508" s="6">
        <f>SUM(E506:E508)</f>
        <v>1400</v>
      </c>
      <c r="G508" s="35" t="str">
        <f t="shared" si="95"/>
        <v>Farol Amarelo</v>
      </c>
      <c r="H508">
        <f t="shared" si="93"/>
        <v>100</v>
      </c>
      <c r="I508" s="6">
        <f t="shared" si="94"/>
        <v>3</v>
      </c>
      <c r="J508" s="100">
        <v>6</v>
      </c>
      <c r="K508" s="62">
        <v>0</v>
      </c>
      <c r="L508" s="6">
        <f>$L506+L507</f>
        <v>1.5</v>
      </c>
      <c r="M508" s="6">
        <f t="shared" ref="M508:M517" si="100">M507+K508</f>
        <v>1</v>
      </c>
      <c r="N508" s="71">
        <v>0</v>
      </c>
      <c r="O508" t="e">
        <f t="shared" si="96"/>
        <v>#DIV/0!</v>
      </c>
      <c r="P508" s="71">
        <v>0</v>
      </c>
      <c r="Q508" t="e">
        <f t="shared" si="97"/>
        <v>#DIV/0!</v>
      </c>
      <c r="R508" s="71">
        <v>0</v>
      </c>
      <c r="S508" s="6" t="e">
        <f t="shared" si="98"/>
        <v>#DIV/0!</v>
      </c>
    </row>
    <row r="509" spans="1:19" x14ac:dyDescent="0.2">
      <c r="A509" s="36" t="s">
        <v>70</v>
      </c>
      <c r="B509" s="6" t="s">
        <v>154</v>
      </c>
      <c r="C509" s="71">
        <v>6000</v>
      </c>
      <c r="D509" s="6">
        <f>(C509/12)*4</f>
        <v>2000</v>
      </c>
      <c r="E509" s="62">
        <v>0</v>
      </c>
      <c r="F509" s="6">
        <f>SUM(E506:E509)</f>
        <v>1400</v>
      </c>
      <c r="G509" s="35" t="str">
        <f t="shared" si="95"/>
        <v>Farol Vermelho</v>
      </c>
      <c r="H509">
        <f t="shared" si="93"/>
        <v>600</v>
      </c>
      <c r="I509" s="6">
        <f t="shared" si="94"/>
        <v>4</v>
      </c>
      <c r="J509" s="100">
        <v>6</v>
      </c>
      <c r="K509" s="62">
        <v>0</v>
      </c>
      <c r="L509" s="6">
        <f>$L506+L508</f>
        <v>2</v>
      </c>
      <c r="M509" s="6">
        <f t="shared" si="100"/>
        <v>1</v>
      </c>
      <c r="N509" s="71">
        <v>0</v>
      </c>
      <c r="O509" t="e">
        <f t="shared" si="96"/>
        <v>#DIV/0!</v>
      </c>
      <c r="P509" s="71">
        <v>0</v>
      </c>
      <c r="Q509" t="e">
        <f t="shared" si="97"/>
        <v>#DIV/0!</v>
      </c>
      <c r="R509" s="71">
        <v>0</v>
      </c>
      <c r="S509" s="6" t="e">
        <f t="shared" si="98"/>
        <v>#DIV/0!</v>
      </c>
    </row>
    <row r="510" spans="1:19" x14ac:dyDescent="0.2">
      <c r="A510" s="36" t="s">
        <v>70</v>
      </c>
      <c r="B510" s="6" t="s">
        <v>155</v>
      </c>
      <c r="C510" s="71">
        <v>6000</v>
      </c>
      <c r="D510" s="6">
        <f>(C510/12)*5</f>
        <v>2500</v>
      </c>
      <c r="E510" s="62">
        <v>4300</v>
      </c>
      <c r="F510" s="6">
        <f>SUM(E506:E510)</f>
        <v>5700</v>
      </c>
      <c r="G510" s="35" t="str">
        <f t="shared" si="95"/>
        <v>Farol Verde</v>
      </c>
      <c r="H510">
        <f t="shared" si="93"/>
        <v>0</v>
      </c>
      <c r="I510" s="6">
        <f t="shared" si="94"/>
        <v>5</v>
      </c>
      <c r="J510" s="100">
        <v>6</v>
      </c>
      <c r="K510" s="62">
        <v>2</v>
      </c>
      <c r="L510" s="6">
        <f>L506+L509</f>
        <v>2.5</v>
      </c>
      <c r="M510" s="6">
        <f t="shared" si="100"/>
        <v>3</v>
      </c>
      <c r="N510" s="71">
        <v>10</v>
      </c>
      <c r="O510">
        <f t="shared" si="96"/>
        <v>0.5</v>
      </c>
      <c r="P510" s="71">
        <v>5</v>
      </c>
      <c r="Q510">
        <f t="shared" si="97"/>
        <v>0.4</v>
      </c>
      <c r="R510" s="71">
        <v>2</v>
      </c>
      <c r="S510" s="6">
        <f t="shared" si="98"/>
        <v>0.2</v>
      </c>
    </row>
    <row r="511" spans="1:19" x14ac:dyDescent="0.2">
      <c r="A511" s="36" t="s">
        <v>70</v>
      </c>
      <c r="B511" s="6" t="s">
        <v>156</v>
      </c>
      <c r="C511" s="71">
        <v>6000</v>
      </c>
      <c r="D511" s="6">
        <f>(C511/12)*6</f>
        <v>3000</v>
      </c>
      <c r="E511" s="62">
        <v>0</v>
      </c>
      <c r="F511" s="6">
        <f>SUM(E506:E511)</f>
        <v>5700</v>
      </c>
      <c r="G511" s="35" t="str">
        <f t="shared" si="95"/>
        <v>Farol Verde</v>
      </c>
      <c r="H511">
        <f t="shared" si="93"/>
        <v>0</v>
      </c>
      <c r="I511" s="6">
        <f t="shared" si="94"/>
        <v>6</v>
      </c>
      <c r="J511" s="100">
        <v>6</v>
      </c>
      <c r="K511" s="62">
        <v>0</v>
      </c>
      <c r="L511" s="6">
        <f>$L506+L510</f>
        <v>3</v>
      </c>
      <c r="M511" s="6">
        <f t="shared" si="100"/>
        <v>3</v>
      </c>
      <c r="N511" s="71">
        <v>5</v>
      </c>
      <c r="O511">
        <f t="shared" si="96"/>
        <v>1</v>
      </c>
      <c r="P511" s="71">
        <v>5</v>
      </c>
      <c r="Q511">
        <f t="shared" si="97"/>
        <v>0.2</v>
      </c>
      <c r="R511" s="71">
        <v>1</v>
      </c>
      <c r="S511" s="6">
        <f t="shared" si="98"/>
        <v>0.2</v>
      </c>
    </row>
    <row r="512" spans="1:19" x14ac:dyDescent="0.2">
      <c r="A512" s="36" t="s">
        <v>70</v>
      </c>
      <c r="B512" s="6" t="s">
        <v>157</v>
      </c>
      <c r="C512" s="71">
        <v>6000</v>
      </c>
      <c r="D512" s="6">
        <f>(C512/12)*7</f>
        <v>3500</v>
      </c>
      <c r="E512" s="62">
        <v>1500</v>
      </c>
      <c r="F512" s="6">
        <f>SUM(E506:E512)</f>
        <v>7200</v>
      </c>
      <c r="G512" s="35" t="str">
        <f t="shared" si="95"/>
        <v>Farol Verde</v>
      </c>
      <c r="H512">
        <f t="shared" si="93"/>
        <v>0</v>
      </c>
      <c r="I512" s="6">
        <f t="shared" si="94"/>
        <v>7</v>
      </c>
      <c r="J512" s="100">
        <v>6</v>
      </c>
      <c r="K512" s="62">
        <v>1</v>
      </c>
      <c r="L512" s="6">
        <f>$L506+L511</f>
        <v>3.5</v>
      </c>
      <c r="M512" s="6">
        <f t="shared" si="100"/>
        <v>4</v>
      </c>
      <c r="N512" s="71"/>
      <c r="O512" t="e">
        <f t="shared" si="96"/>
        <v>#DIV/0!</v>
      </c>
      <c r="P512" s="71"/>
      <c r="Q512" t="e">
        <f t="shared" si="97"/>
        <v>#DIV/0!</v>
      </c>
      <c r="R512" s="71"/>
      <c r="S512" s="6" t="e">
        <f t="shared" si="98"/>
        <v>#DIV/0!</v>
      </c>
    </row>
    <row r="513" spans="1:19" x14ac:dyDescent="0.2">
      <c r="A513" s="36" t="s">
        <v>70</v>
      </c>
      <c r="B513" s="6" t="s">
        <v>158</v>
      </c>
      <c r="C513" s="71">
        <v>6000</v>
      </c>
      <c r="D513" s="6">
        <f>(C513/12)*8</f>
        <v>4000</v>
      </c>
      <c r="E513" s="62">
        <v>0</v>
      </c>
      <c r="F513" s="6">
        <f>SUM(E506:E513)</f>
        <v>7200</v>
      </c>
      <c r="G513" s="35" t="str">
        <f t="shared" si="95"/>
        <v>Farol Verde</v>
      </c>
      <c r="H513">
        <f t="shared" si="93"/>
        <v>0</v>
      </c>
      <c r="I513" s="6">
        <f t="shared" si="94"/>
        <v>8</v>
      </c>
      <c r="J513" s="100">
        <v>6</v>
      </c>
      <c r="K513" s="62"/>
      <c r="L513" s="6">
        <f>L506+L512</f>
        <v>4</v>
      </c>
      <c r="M513" s="6">
        <f t="shared" si="100"/>
        <v>4</v>
      </c>
      <c r="N513" s="71"/>
      <c r="O513" t="e">
        <f t="shared" si="96"/>
        <v>#DIV/0!</v>
      </c>
      <c r="P513" s="71"/>
      <c r="Q513" t="e">
        <f t="shared" si="97"/>
        <v>#DIV/0!</v>
      </c>
      <c r="R513" s="71"/>
      <c r="S513" s="6" t="e">
        <f t="shared" si="98"/>
        <v>#DIV/0!</v>
      </c>
    </row>
    <row r="514" spans="1:19" x14ac:dyDescent="0.2">
      <c r="A514" s="36" t="s">
        <v>70</v>
      </c>
      <c r="B514" s="6" t="s">
        <v>159</v>
      </c>
      <c r="C514" s="71">
        <v>6000</v>
      </c>
      <c r="D514" s="6">
        <f>(C514/12)*9</f>
        <v>4500</v>
      </c>
      <c r="E514" s="62">
        <v>0</v>
      </c>
      <c r="F514" s="6">
        <f>SUM(E506:E514)</f>
        <v>7200</v>
      </c>
      <c r="G514" s="35" t="str">
        <f t="shared" si="95"/>
        <v>Farol Verde</v>
      </c>
      <c r="H514">
        <f t="shared" si="93"/>
        <v>0</v>
      </c>
      <c r="I514" s="6">
        <f t="shared" si="94"/>
        <v>9</v>
      </c>
      <c r="J514" s="100">
        <v>6</v>
      </c>
      <c r="K514" s="62"/>
      <c r="L514" s="6">
        <f>$L506+L513</f>
        <v>4.5</v>
      </c>
      <c r="M514" s="6">
        <f t="shared" si="100"/>
        <v>4</v>
      </c>
      <c r="N514" s="71"/>
      <c r="O514" t="e">
        <f t="shared" si="96"/>
        <v>#DIV/0!</v>
      </c>
      <c r="P514" s="71"/>
      <c r="Q514" t="e">
        <f t="shared" si="97"/>
        <v>#DIV/0!</v>
      </c>
      <c r="R514" s="71"/>
      <c r="S514" s="6" t="e">
        <f t="shared" si="98"/>
        <v>#DIV/0!</v>
      </c>
    </row>
    <row r="515" spans="1:19" x14ac:dyDescent="0.2">
      <c r="A515" s="36" t="s">
        <v>70</v>
      </c>
      <c r="B515" s="6" t="s">
        <v>160</v>
      </c>
      <c r="C515" s="71">
        <v>6000</v>
      </c>
      <c r="D515" s="6">
        <f>(C515/12)*10</f>
        <v>5000</v>
      </c>
      <c r="E515" s="62">
        <v>0</v>
      </c>
      <c r="F515" s="6">
        <f>SUM(E506:E515)</f>
        <v>7200</v>
      </c>
      <c r="G515" s="35" t="str">
        <f t="shared" si="95"/>
        <v>Farol Verde</v>
      </c>
      <c r="H515">
        <f t="shared" si="93"/>
        <v>0</v>
      </c>
      <c r="I515" s="6">
        <f t="shared" si="94"/>
        <v>10</v>
      </c>
      <c r="J515" s="100">
        <v>6</v>
      </c>
      <c r="K515" s="62"/>
      <c r="L515" s="6">
        <f>$L506+L514</f>
        <v>5</v>
      </c>
      <c r="M515" s="6">
        <f t="shared" si="100"/>
        <v>4</v>
      </c>
      <c r="N515" s="71"/>
      <c r="O515" t="e">
        <f t="shared" si="96"/>
        <v>#DIV/0!</v>
      </c>
      <c r="P515" s="71"/>
      <c r="Q515" t="e">
        <f t="shared" si="97"/>
        <v>#DIV/0!</v>
      </c>
      <c r="R515" s="71"/>
      <c r="S515" s="6" t="e">
        <f t="shared" si="98"/>
        <v>#DIV/0!</v>
      </c>
    </row>
    <row r="516" spans="1:19" x14ac:dyDescent="0.2">
      <c r="A516" s="36" t="s">
        <v>70</v>
      </c>
      <c r="B516" s="6" t="s">
        <v>161</v>
      </c>
      <c r="C516" s="71">
        <v>6000</v>
      </c>
      <c r="D516" s="6">
        <f>(C516/12)*11</f>
        <v>5500</v>
      </c>
      <c r="E516" s="62">
        <v>0</v>
      </c>
      <c r="F516" s="6">
        <f>SUM(E506:E516)</f>
        <v>7200</v>
      </c>
      <c r="G516" s="35" t="str">
        <f t="shared" si="95"/>
        <v>Farol Verde</v>
      </c>
      <c r="H516">
        <f t="shared" si="93"/>
        <v>0</v>
      </c>
      <c r="I516" s="6">
        <f t="shared" si="94"/>
        <v>11</v>
      </c>
      <c r="J516" s="100">
        <v>6</v>
      </c>
      <c r="K516" s="62"/>
      <c r="L516" s="6">
        <f>L506+L515</f>
        <v>5.5</v>
      </c>
      <c r="M516" s="6">
        <f t="shared" si="100"/>
        <v>4</v>
      </c>
      <c r="N516" s="71"/>
      <c r="O516" t="e">
        <f t="shared" si="96"/>
        <v>#DIV/0!</v>
      </c>
      <c r="P516" s="71"/>
      <c r="Q516" t="e">
        <f t="shared" si="97"/>
        <v>#DIV/0!</v>
      </c>
      <c r="R516" s="71"/>
      <c r="S516" s="6" t="e">
        <f t="shared" si="98"/>
        <v>#DIV/0!</v>
      </c>
    </row>
    <row r="517" spans="1:19" x14ac:dyDescent="0.2">
      <c r="A517" s="36" t="s">
        <v>70</v>
      </c>
      <c r="B517" s="6" t="s">
        <v>162</v>
      </c>
      <c r="C517" s="71">
        <v>6000</v>
      </c>
      <c r="D517" s="6">
        <f>(C517/12)*12</f>
        <v>6000</v>
      </c>
      <c r="E517" s="62">
        <v>0</v>
      </c>
      <c r="F517" s="6">
        <f>SUM(E506:E517)</f>
        <v>7200</v>
      </c>
      <c r="G517" s="35" t="str">
        <f t="shared" si="95"/>
        <v>Farol Verde</v>
      </c>
      <c r="H517">
        <f t="shared" si="93"/>
        <v>0</v>
      </c>
      <c r="I517" s="6">
        <f t="shared" si="94"/>
        <v>12</v>
      </c>
      <c r="J517" s="100">
        <v>6</v>
      </c>
      <c r="K517" s="62"/>
      <c r="L517" s="6">
        <f>$L506+L516</f>
        <v>6</v>
      </c>
      <c r="M517" s="6">
        <f t="shared" si="100"/>
        <v>4</v>
      </c>
      <c r="N517" s="71"/>
      <c r="O517" t="e">
        <f t="shared" si="96"/>
        <v>#DIV/0!</v>
      </c>
      <c r="P517" s="71"/>
      <c r="Q517" t="e">
        <f t="shared" si="97"/>
        <v>#DIV/0!</v>
      </c>
      <c r="R517" s="71"/>
      <c r="S517" s="6" t="e">
        <f t="shared" si="98"/>
        <v>#DIV/0!</v>
      </c>
    </row>
    <row r="518" spans="1:19" x14ac:dyDescent="0.2">
      <c r="A518" s="36" t="s">
        <v>80</v>
      </c>
      <c r="B518" s="6" t="s">
        <v>151</v>
      </c>
      <c r="C518" s="71">
        <v>6510</v>
      </c>
      <c r="D518" s="6">
        <f>(C518/12)*1</f>
        <v>542.5</v>
      </c>
      <c r="E518" s="62">
        <v>0</v>
      </c>
      <c r="F518" s="6">
        <f>E518</f>
        <v>0</v>
      </c>
      <c r="G518" s="35" t="str">
        <f t="shared" si="95"/>
        <v>Farol Vermelho</v>
      </c>
      <c r="H518">
        <f t="shared" si="93"/>
        <v>542.5</v>
      </c>
      <c r="I518" s="6">
        <f t="shared" si="94"/>
        <v>1</v>
      </c>
      <c r="J518" s="100">
        <v>2</v>
      </c>
      <c r="K518" s="62">
        <v>0</v>
      </c>
      <c r="L518" s="6">
        <f>J518/12</f>
        <v>0.16666666666666666</v>
      </c>
      <c r="M518" s="6">
        <f>K518</f>
        <v>0</v>
      </c>
      <c r="N518" s="71">
        <v>0</v>
      </c>
      <c r="O518" t="e">
        <f t="shared" si="96"/>
        <v>#DIV/0!</v>
      </c>
      <c r="P518" s="71">
        <v>0</v>
      </c>
      <c r="Q518" t="e">
        <f t="shared" si="97"/>
        <v>#DIV/0!</v>
      </c>
      <c r="R518" s="71">
        <v>0</v>
      </c>
      <c r="S518" s="6" t="e">
        <f t="shared" si="98"/>
        <v>#DIV/0!</v>
      </c>
    </row>
    <row r="519" spans="1:19" x14ac:dyDescent="0.2">
      <c r="A519" s="36" t="s">
        <v>80</v>
      </c>
      <c r="B519" s="6" t="s">
        <v>152</v>
      </c>
      <c r="C519" s="71">
        <v>6510</v>
      </c>
      <c r="D519" s="6">
        <f>(C519/12)*2</f>
        <v>1085</v>
      </c>
      <c r="E519" s="62">
        <v>0</v>
      </c>
      <c r="F519" s="6">
        <f>SUM(E518:E519)</f>
        <v>0</v>
      </c>
      <c r="G519" s="35" t="str">
        <f t="shared" si="95"/>
        <v>Farol Vermelho</v>
      </c>
      <c r="H519">
        <f t="shared" si="93"/>
        <v>1085</v>
      </c>
      <c r="I519" s="6">
        <f t="shared" si="94"/>
        <v>2</v>
      </c>
      <c r="J519" s="100">
        <v>2</v>
      </c>
      <c r="K519" s="62">
        <v>0</v>
      </c>
      <c r="L519" s="6">
        <f>L518+L518</f>
        <v>0.33333333333333331</v>
      </c>
      <c r="M519" s="6">
        <f>M518+K519</f>
        <v>0</v>
      </c>
      <c r="N519" s="71">
        <v>0</v>
      </c>
      <c r="O519" t="e">
        <f t="shared" si="96"/>
        <v>#DIV/0!</v>
      </c>
      <c r="P519" s="71">
        <v>0</v>
      </c>
      <c r="Q519" t="e">
        <f t="shared" si="97"/>
        <v>#DIV/0!</v>
      </c>
      <c r="R519" s="71">
        <v>0</v>
      </c>
      <c r="S519" s="6" t="e">
        <f t="shared" si="98"/>
        <v>#DIV/0!</v>
      </c>
    </row>
    <row r="520" spans="1:19" x14ac:dyDescent="0.2">
      <c r="A520" s="36" t="s">
        <v>80</v>
      </c>
      <c r="B520" s="6" t="s">
        <v>153</v>
      </c>
      <c r="C520" s="71">
        <v>6510</v>
      </c>
      <c r="D520" s="6">
        <f>(C520/12)*3</f>
        <v>1627.5</v>
      </c>
      <c r="E520" s="62">
        <v>0</v>
      </c>
      <c r="F520" s="6">
        <f>SUM(E518:E520)</f>
        <v>0</v>
      </c>
      <c r="G520" s="35" t="str">
        <f t="shared" si="95"/>
        <v>Farol Vermelho</v>
      </c>
      <c r="H520">
        <f t="shared" si="93"/>
        <v>1627.5</v>
      </c>
      <c r="I520" s="6">
        <f t="shared" si="94"/>
        <v>3</v>
      </c>
      <c r="J520" s="100">
        <v>2</v>
      </c>
      <c r="K520" s="62">
        <v>0</v>
      </c>
      <c r="L520" s="6">
        <f>$L518+L519</f>
        <v>0.5</v>
      </c>
      <c r="M520" s="6">
        <f t="shared" ref="M520:M529" si="101">M519+K520</f>
        <v>0</v>
      </c>
      <c r="N520" s="71">
        <v>0</v>
      </c>
      <c r="O520" t="e">
        <f t="shared" si="96"/>
        <v>#DIV/0!</v>
      </c>
      <c r="P520" s="71">
        <v>0</v>
      </c>
      <c r="Q520" t="e">
        <f t="shared" si="97"/>
        <v>#DIV/0!</v>
      </c>
      <c r="R520" s="71">
        <v>0</v>
      </c>
      <c r="S520" s="6" t="e">
        <f t="shared" si="98"/>
        <v>#DIV/0!</v>
      </c>
    </row>
    <row r="521" spans="1:19" x14ac:dyDescent="0.2">
      <c r="A521" s="36" t="s">
        <v>80</v>
      </c>
      <c r="B521" s="6" t="s">
        <v>154</v>
      </c>
      <c r="C521" s="71">
        <v>6510</v>
      </c>
      <c r="D521" s="6">
        <f>(C521/12)*4</f>
        <v>2170</v>
      </c>
      <c r="E521" s="62">
        <v>0</v>
      </c>
      <c r="F521" s="6">
        <f>SUM(E518:E521)</f>
        <v>0</v>
      </c>
      <c r="G521" s="35" t="str">
        <f t="shared" si="95"/>
        <v>Farol Vermelho</v>
      </c>
      <c r="H521">
        <f t="shared" si="93"/>
        <v>2170</v>
      </c>
      <c r="I521" s="6">
        <f t="shared" si="94"/>
        <v>4</v>
      </c>
      <c r="J521" s="100">
        <v>2</v>
      </c>
      <c r="K521" s="62">
        <v>0</v>
      </c>
      <c r="L521" s="6">
        <f>$L518+L520</f>
        <v>0.66666666666666663</v>
      </c>
      <c r="M521" s="6">
        <f t="shared" si="101"/>
        <v>0</v>
      </c>
      <c r="N521" s="71">
        <v>0</v>
      </c>
      <c r="O521" t="e">
        <f t="shared" si="96"/>
        <v>#DIV/0!</v>
      </c>
      <c r="P521" s="71">
        <v>0</v>
      </c>
      <c r="Q521" t="e">
        <f t="shared" si="97"/>
        <v>#DIV/0!</v>
      </c>
      <c r="R521" s="71">
        <v>0</v>
      </c>
      <c r="S521" s="6" t="e">
        <f t="shared" si="98"/>
        <v>#DIV/0!</v>
      </c>
    </row>
    <row r="522" spans="1:19" x14ac:dyDescent="0.2">
      <c r="A522" s="36" t="s">
        <v>80</v>
      </c>
      <c r="B522" s="6" t="s">
        <v>155</v>
      </c>
      <c r="C522" s="71">
        <v>6510</v>
      </c>
      <c r="D522" s="6">
        <f>(C522/12)*5</f>
        <v>2712.5</v>
      </c>
      <c r="E522" s="62">
        <v>0</v>
      </c>
      <c r="F522" s="6">
        <f>SUM(E518:E522)</f>
        <v>0</v>
      </c>
      <c r="G522" s="35" t="str">
        <f t="shared" si="95"/>
        <v>Farol Vermelho</v>
      </c>
      <c r="H522">
        <f t="shared" si="93"/>
        <v>2712.5</v>
      </c>
      <c r="I522" s="6">
        <f t="shared" si="94"/>
        <v>5</v>
      </c>
      <c r="J522" s="100">
        <v>2</v>
      </c>
      <c r="K522" s="62">
        <v>0</v>
      </c>
      <c r="L522" s="6">
        <f>L518+L521</f>
        <v>0.83333333333333326</v>
      </c>
      <c r="M522" s="6">
        <f t="shared" si="101"/>
        <v>0</v>
      </c>
      <c r="N522" s="71">
        <v>10</v>
      </c>
      <c r="O522">
        <f t="shared" si="96"/>
        <v>0.3</v>
      </c>
      <c r="P522" s="71">
        <v>3</v>
      </c>
      <c r="Q522">
        <f t="shared" si="97"/>
        <v>0</v>
      </c>
      <c r="R522" s="71">
        <v>0</v>
      </c>
      <c r="S522" s="6">
        <f t="shared" si="98"/>
        <v>0</v>
      </c>
    </row>
    <row r="523" spans="1:19" x14ac:dyDescent="0.2">
      <c r="A523" s="36" t="s">
        <v>80</v>
      </c>
      <c r="B523" s="6" t="s">
        <v>156</v>
      </c>
      <c r="C523" s="71">
        <v>6510</v>
      </c>
      <c r="D523" s="6">
        <f>(C523/12)*6</f>
        <v>3255</v>
      </c>
      <c r="E523" s="62">
        <v>0</v>
      </c>
      <c r="F523" s="6">
        <f>SUM(E518:E523)</f>
        <v>0</v>
      </c>
      <c r="G523" s="35" t="str">
        <f t="shared" si="95"/>
        <v>Farol Vermelho</v>
      </c>
      <c r="H523">
        <f t="shared" si="93"/>
        <v>3255</v>
      </c>
      <c r="I523" s="6">
        <f t="shared" si="94"/>
        <v>6</v>
      </c>
      <c r="J523" s="100">
        <v>2</v>
      </c>
      <c r="K523" s="62">
        <v>0</v>
      </c>
      <c r="L523" s="6">
        <f>$L518+L522</f>
        <v>0.99999999999999989</v>
      </c>
      <c r="M523" s="6">
        <f t="shared" si="101"/>
        <v>0</v>
      </c>
      <c r="N523" s="71">
        <v>5</v>
      </c>
      <c r="O523">
        <f t="shared" si="96"/>
        <v>0.4</v>
      </c>
      <c r="P523" s="71">
        <v>2</v>
      </c>
      <c r="Q523">
        <f t="shared" si="97"/>
        <v>0.5</v>
      </c>
      <c r="R523" s="71">
        <v>1</v>
      </c>
      <c r="S523" s="6">
        <f t="shared" si="98"/>
        <v>0.2</v>
      </c>
    </row>
    <row r="524" spans="1:19" x14ac:dyDescent="0.2">
      <c r="A524" s="36" t="s">
        <v>80</v>
      </c>
      <c r="B524" s="6" t="s">
        <v>157</v>
      </c>
      <c r="C524" s="71">
        <v>6510</v>
      </c>
      <c r="D524" s="6">
        <f>(C524/12)*7</f>
        <v>3797.5</v>
      </c>
      <c r="E524" s="62">
        <v>860</v>
      </c>
      <c r="F524" s="6">
        <f>SUM(E518:E524)</f>
        <v>860</v>
      </c>
      <c r="G524" s="35" t="str">
        <f t="shared" si="95"/>
        <v>Farol Vermelho</v>
      </c>
      <c r="H524">
        <f t="shared" si="93"/>
        <v>2937.5</v>
      </c>
      <c r="I524" s="6">
        <f t="shared" si="94"/>
        <v>7</v>
      </c>
      <c r="J524" s="100">
        <v>2</v>
      </c>
      <c r="K524" s="62">
        <v>2</v>
      </c>
      <c r="L524" s="6">
        <f>$L518+L523</f>
        <v>1.1666666666666665</v>
      </c>
      <c r="M524" s="6">
        <f t="shared" si="101"/>
        <v>2</v>
      </c>
      <c r="N524" s="71"/>
      <c r="O524" t="e">
        <f t="shared" si="96"/>
        <v>#DIV/0!</v>
      </c>
      <c r="P524" s="71"/>
      <c r="Q524" t="e">
        <f t="shared" si="97"/>
        <v>#DIV/0!</v>
      </c>
      <c r="R524" s="71"/>
      <c r="S524" s="6" t="e">
        <f t="shared" si="98"/>
        <v>#DIV/0!</v>
      </c>
    </row>
    <row r="525" spans="1:19" x14ac:dyDescent="0.2">
      <c r="A525" s="36" t="s">
        <v>80</v>
      </c>
      <c r="B525" s="6" t="s">
        <v>158</v>
      </c>
      <c r="C525" s="71">
        <v>6510</v>
      </c>
      <c r="D525" s="6">
        <f>(C525/12)*8</f>
        <v>4340</v>
      </c>
      <c r="E525" s="62">
        <v>0</v>
      </c>
      <c r="F525" s="6">
        <f>SUM(E518:E525)</f>
        <v>860</v>
      </c>
      <c r="G525" s="35" t="str">
        <f t="shared" si="95"/>
        <v>Farol Vermelho</v>
      </c>
      <c r="H525">
        <f t="shared" si="93"/>
        <v>3480</v>
      </c>
      <c r="I525" s="6">
        <f t="shared" si="94"/>
        <v>8</v>
      </c>
      <c r="J525" s="100">
        <v>2</v>
      </c>
      <c r="K525" s="62"/>
      <c r="L525" s="6">
        <f>L518+L524</f>
        <v>1.3333333333333333</v>
      </c>
      <c r="M525" s="6">
        <f t="shared" si="101"/>
        <v>2</v>
      </c>
      <c r="N525" s="71"/>
      <c r="O525" t="e">
        <f t="shared" si="96"/>
        <v>#DIV/0!</v>
      </c>
      <c r="P525" s="71"/>
      <c r="Q525" t="e">
        <f t="shared" si="97"/>
        <v>#DIV/0!</v>
      </c>
      <c r="R525" s="71"/>
      <c r="S525" s="6" t="e">
        <f t="shared" si="98"/>
        <v>#DIV/0!</v>
      </c>
    </row>
    <row r="526" spans="1:19" x14ac:dyDescent="0.2">
      <c r="A526" s="36" t="s">
        <v>80</v>
      </c>
      <c r="B526" s="6" t="s">
        <v>159</v>
      </c>
      <c r="C526" s="71">
        <v>6510</v>
      </c>
      <c r="D526" s="6">
        <f>(C526/12)*9</f>
        <v>4882.5</v>
      </c>
      <c r="E526" s="62">
        <v>0</v>
      </c>
      <c r="F526" s="6">
        <f>SUM(E518:E526)</f>
        <v>860</v>
      </c>
      <c r="G526" s="35" t="str">
        <f t="shared" si="95"/>
        <v>Farol Vermelho</v>
      </c>
      <c r="H526">
        <f t="shared" si="93"/>
        <v>4022.5</v>
      </c>
      <c r="I526" s="6">
        <f t="shared" si="94"/>
        <v>9</v>
      </c>
      <c r="J526" s="100">
        <v>2</v>
      </c>
      <c r="K526" s="62"/>
      <c r="L526" s="6">
        <f>$L518+L525</f>
        <v>1.5</v>
      </c>
      <c r="M526" s="6">
        <f t="shared" si="101"/>
        <v>2</v>
      </c>
      <c r="N526" s="71"/>
      <c r="O526" t="e">
        <f t="shared" si="96"/>
        <v>#DIV/0!</v>
      </c>
      <c r="P526" s="71"/>
      <c r="Q526" t="e">
        <f t="shared" si="97"/>
        <v>#DIV/0!</v>
      </c>
      <c r="R526" s="71"/>
      <c r="S526" s="6" t="e">
        <f t="shared" si="98"/>
        <v>#DIV/0!</v>
      </c>
    </row>
    <row r="527" spans="1:19" x14ac:dyDescent="0.2">
      <c r="A527" s="36" t="s">
        <v>80</v>
      </c>
      <c r="B527" s="6" t="s">
        <v>160</v>
      </c>
      <c r="C527" s="71">
        <v>6510</v>
      </c>
      <c r="D527" s="6">
        <f>(C527/12)*10</f>
        <v>5425</v>
      </c>
      <c r="E527" s="62">
        <v>0</v>
      </c>
      <c r="F527" s="6">
        <f>SUM(E518:E527)</f>
        <v>860</v>
      </c>
      <c r="G527" s="35" t="str">
        <f t="shared" si="95"/>
        <v>Farol Vermelho</v>
      </c>
      <c r="H527">
        <f t="shared" si="93"/>
        <v>4565</v>
      </c>
      <c r="I527" s="6">
        <f t="shared" si="94"/>
        <v>10</v>
      </c>
      <c r="J527" s="100">
        <v>2</v>
      </c>
      <c r="K527" s="62"/>
      <c r="L527" s="6">
        <f>$L518+L526</f>
        <v>1.6666666666666667</v>
      </c>
      <c r="M527" s="6">
        <f t="shared" si="101"/>
        <v>2</v>
      </c>
      <c r="N527" s="71"/>
      <c r="O527" t="e">
        <f t="shared" si="96"/>
        <v>#DIV/0!</v>
      </c>
      <c r="P527" s="71"/>
      <c r="Q527" t="e">
        <f t="shared" si="97"/>
        <v>#DIV/0!</v>
      </c>
      <c r="R527" s="71"/>
      <c r="S527" s="6" t="e">
        <f t="shared" si="98"/>
        <v>#DIV/0!</v>
      </c>
    </row>
    <row r="528" spans="1:19" x14ac:dyDescent="0.2">
      <c r="A528" s="36" t="s">
        <v>80</v>
      </c>
      <c r="B528" s="6" t="s">
        <v>161</v>
      </c>
      <c r="C528" s="71">
        <v>6510</v>
      </c>
      <c r="D528" s="6">
        <f>(C528/12)*11</f>
        <v>5967.5</v>
      </c>
      <c r="E528" s="62">
        <v>0</v>
      </c>
      <c r="F528" s="6">
        <f>SUM(E518:E528)</f>
        <v>860</v>
      </c>
      <c r="G528" s="35" t="str">
        <f t="shared" si="95"/>
        <v>Farol Vermelho</v>
      </c>
      <c r="H528">
        <f t="shared" si="93"/>
        <v>5107.5</v>
      </c>
      <c r="I528" s="6">
        <f t="shared" si="94"/>
        <v>11</v>
      </c>
      <c r="J528" s="100">
        <v>2</v>
      </c>
      <c r="K528" s="62"/>
      <c r="L528" s="6">
        <f>L518+L527</f>
        <v>1.8333333333333335</v>
      </c>
      <c r="M528" s="6">
        <f t="shared" si="101"/>
        <v>2</v>
      </c>
      <c r="N528" s="71"/>
      <c r="O528" t="e">
        <f t="shared" si="96"/>
        <v>#DIV/0!</v>
      </c>
      <c r="P528" s="71"/>
      <c r="Q528" t="e">
        <f t="shared" si="97"/>
        <v>#DIV/0!</v>
      </c>
      <c r="R528" s="71"/>
      <c r="S528" s="6" t="e">
        <f t="shared" si="98"/>
        <v>#DIV/0!</v>
      </c>
    </row>
    <row r="529" spans="1:19" x14ac:dyDescent="0.2">
      <c r="A529" s="36" t="s">
        <v>80</v>
      </c>
      <c r="B529" s="6" t="s">
        <v>162</v>
      </c>
      <c r="C529" s="71">
        <v>6510</v>
      </c>
      <c r="D529" s="6">
        <f>(C529/12)*12</f>
        <v>6510</v>
      </c>
      <c r="E529" s="62">
        <v>0</v>
      </c>
      <c r="F529" s="6">
        <f>SUM(E518:E529)</f>
        <v>860</v>
      </c>
      <c r="G529" s="35" t="str">
        <f t="shared" si="95"/>
        <v>Farol Vermelho</v>
      </c>
      <c r="H529">
        <f t="shared" si="93"/>
        <v>5650</v>
      </c>
      <c r="I529" s="6">
        <f t="shared" si="94"/>
        <v>12</v>
      </c>
      <c r="J529" s="100">
        <v>2</v>
      </c>
      <c r="K529" s="62"/>
      <c r="L529" s="6">
        <f>$L518+L528</f>
        <v>2</v>
      </c>
      <c r="M529" s="6">
        <f t="shared" si="101"/>
        <v>2</v>
      </c>
      <c r="N529" s="71"/>
      <c r="O529" t="e">
        <f t="shared" si="96"/>
        <v>#DIV/0!</v>
      </c>
      <c r="P529" s="71"/>
      <c r="Q529" t="e">
        <f t="shared" si="97"/>
        <v>#DIV/0!</v>
      </c>
      <c r="R529" s="71"/>
      <c r="S529" s="6" t="e">
        <f t="shared" si="98"/>
        <v>#DIV/0!</v>
      </c>
    </row>
    <row r="530" spans="1:19" x14ac:dyDescent="0.2">
      <c r="A530" s="36" t="s">
        <v>77</v>
      </c>
      <c r="B530" s="6" t="s">
        <v>151</v>
      </c>
      <c r="C530" s="71">
        <v>5400</v>
      </c>
      <c r="D530" s="6">
        <f>(C530/12)*1</f>
        <v>450</v>
      </c>
      <c r="E530" s="62">
        <v>400</v>
      </c>
      <c r="F530" s="6">
        <f>E530</f>
        <v>400</v>
      </c>
      <c r="G530" s="35" t="str">
        <f t="shared" si="95"/>
        <v>Farol Amarelo</v>
      </c>
      <c r="H530">
        <f t="shared" si="93"/>
        <v>50</v>
      </c>
      <c r="I530" s="6">
        <f t="shared" si="94"/>
        <v>1</v>
      </c>
      <c r="J530" s="100">
        <v>8</v>
      </c>
      <c r="K530" s="62">
        <v>1</v>
      </c>
      <c r="L530" s="6">
        <f>J530/12</f>
        <v>0.66666666666666663</v>
      </c>
      <c r="M530" s="6">
        <f>K530</f>
        <v>1</v>
      </c>
      <c r="N530" s="71">
        <v>0</v>
      </c>
      <c r="O530" t="e">
        <f t="shared" si="96"/>
        <v>#DIV/0!</v>
      </c>
      <c r="P530" s="71">
        <v>0</v>
      </c>
      <c r="Q530" t="e">
        <f t="shared" si="97"/>
        <v>#DIV/0!</v>
      </c>
      <c r="R530" s="71">
        <v>0</v>
      </c>
      <c r="S530" s="6" t="e">
        <f t="shared" si="98"/>
        <v>#DIV/0!</v>
      </c>
    </row>
    <row r="531" spans="1:19" x14ac:dyDescent="0.2">
      <c r="A531" s="36" t="s">
        <v>77</v>
      </c>
      <c r="B531" s="6" t="s">
        <v>152</v>
      </c>
      <c r="C531" s="71">
        <v>5400</v>
      </c>
      <c r="D531" s="6">
        <f>(C531/12)*2</f>
        <v>900</v>
      </c>
      <c r="E531" s="62">
        <v>0</v>
      </c>
      <c r="F531" s="6">
        <f>SUM(E530:E531)</f>
        <v>400</v>
      </c>
      <c r="G531" s="35" t="str">
        <f t="shared" si="95"/>
        <v>Farol Vermelho</v>
      </c>
      <c r="H531">
        <f t="shared" si="93"/>
        <v>500</v>
      </c>
      <c r="I531" s="6">
        <f t="shared" si="94"/>
        <v>2</v>
      </c>
      <c r="J531" s="100">
        <v>8</v>
      </c>
      <c r="K531" s="62">
        <v>0</v>
      </c>
      <c r="L531" s="6">
        <f>L530+L530</f>
        <v>1.3333333333333333</v>
      </c>
      <c r="M531" s="6">
        <f>M530+K531</f>
        <v>1</v>
      </c>
      <c r="N531" s="71">
        <v>0</v>
      </c>
      <c r="O531" t="e">
        <f t="shared" si="96"/>
        <v>#DIV/0!</v>
      </c>
      <c r="P531" s="71">
        <v>0</v>
      </c>
      <c r="Q531" t="e">
        <f t="shared" si="97"/>
        <v>#DIV/0!</v>
      </c>
      <c r="R531" s="71">
        <v>0</v>
      </c>
      <c r="S531" s="6" t="e">
        <f t="shared" si="98"/>
        <v>#DIV/0!</v>
      </c>
    </row>
    <row r="532" spans="1:19" x14ac:dyDescent="0.2">
      <c r="A532" s="36" t="s">
        <v>77</v>
      </c>
      <c r="B532" s="6" t="s">
        <v>153</v>
      </c>
      <c r="C532" s="71">
        <v>5400</v>
      </c>
      <c r="D532" s="6">
        <f>(C532/12)*3</f>
        <v>1350</v>
      </c>
      <c r="E532" s="62">
        <v>0</v>
      </c>
      <c r="F532" s="6">
        <f>SUM(E530:E532)</f>
        <v>400</v>
      </c>
      <c r="G532" s="35" t="str">
        <f t="shared" si="95"/>
        <v>Farol Vermelho</v>
      </c>
      <c r="H532">
        <f t="shared" si="93"/>
        <v>950</v>
      </c>
      <c r="I532" s="6">
        <f t="shared" si="94"/>
        <v>3</v>
      </c>
      <c r="J532" s="100">
        <v>8</v>
      </c>
      <c r="K532" s="62">
        <v>0</v>
      </c>
      <c r="L532" s="6">
        <f>$L530+L531</f>
        <v>2</v>
      </c>
      <c r="M532" s="6">
        <f t="shared" ref="M532:M541" si="102">M531+K532</f>
        <v>1</v>
      </c>
      <c r="N532" s="71">
        <v>0</v>
      </c>
      <c r="O532" t="e">
        <f t="shared" si="96"/>
        <v>#DIV/0!</v>
      </c>
      <c r="P532" s="71">
        <v>0</v>
      </c>
      <c r="Q532" t="e">
        <f t="shared" si="97"/>
        <v>#DIV/0!</v>
      </c>
      <c r="R532" s="71">
        <v>0</v>
      </c>
      <c r="S532" s="6" t="e">
        <f t="shared" si="98"/>
        <v>#DIV/0!</v>
      </c>
    </row>
    <row r="533" spans="1:19" x14ac:dyDescent="0.2">
      <c r="A533" s="36" t="s">
        <v>77</v>
      </c>
      <c r="B533" s="6" t="s">
        <v>154</v>
      </c>
      <c r="C533" s="71">
        <v>5400</v>
      </c>
      <c r="D533" s="6">
        <f>(C533/12)*4</f>
        <v>1800</v>
      </c>
      <c r="E533" s="62">
        <v>200</v>
      </c>
      <c r="F533" s="6">
        <f>SUM(E530:E533)</f>
        <v>600</v>
      </c>
      <c r="G533" s="35" t="str">
        <f t="shared" si="95"/>
        <v>Farol Vermelho</v>
      </c>
      <c r="H533">
        <f t="shared" si="93"/>
        <v>1200</v>
      </c>
      <c r="I533" s="6">
        <f t="shared" si="94"/>
        <v>4</v>
      </c>
      <c r="J533" s="100">
        <v>8</v>
      </c>
      <c r="K533" s="62">
        <v>1</v>
      </c>
      <c r="L533" s="6">
        <f>$L530+L532</f>
        <v>2.6666666666666665</v>
      </c>
      <c r="M533" s="6">
        <f t="shared" si="102"/>
        <v>2</v>
      </c>
      <c r="N533" s="71">
        <v>0</v>
      </c>
      <c r="O533" t="e">
        <f t="shared" si="96"/>
        <v>#DIV/0!</v>
      </c>
      <c r="P533" s="71">
        <v>0</v>
      </c>
      <c r="Q533" t="e">
        <f t="shared" si="97"/>
        <v>#DIV/0!</v>
      </c>
      <c r="R533" s="71">
        <v>0</v>
      </c>
      <c r="S533" s="6" t="e">
        <f t="shared" si="98"/>
        <v>#DIV/0!</v>
      </c>
    </row>
    <row r="534" spans="1:19" x14ac:dyDescent="0.2">
      <c r="A534" s="36" t="s">
        <v>77</v>
      </c>
      <c r="B534" s="6" t="s">
        <v>155</v>
      </c>
      <c r="C534" s="71">
        <v>5400</v>
      </c>
      <c r="D534" s="6">
        <f>(C534/12)*5</f>
        <v>2250</v>
      </c>
      <c r="E534" s="62">
        <v>0</v>
      </c>
      <c r="F534" s="6">
        <f>SUM(E530:E534)</f>
        <v>600</v>
      </c>
      <c r="G534" s="35" t="str">
        <f t="shared" si="95"/>
        <v>Farol Vermelho</v>
      </c>
      <c r="H534">
        <f t="shared" si="93"/>
        <v>1650</v>
      </c>
      <c r="I534" s="6">
        <f t="shared" si="94"/>
        <v>5</v>
      </c>
      <c r="J534" s="100">
        <v>8</v>
      </c>
      <c r="K534" s="62">
        <v>0</v>
      </c>
      <c r="L534" s="6">
        <f>L530+L533</f>
        <v>3.333333333333333</v>
      </c>
      <c r="M534" s="6">
        <f t="shared" si="102"/>
        <v>2</v>
      </c>
      <c r="N534" s="71">
        <v>4</v>
      </c>
      <c r="O534">
        <f t="shared" si="96"/>
        <v>0.5</v>
      </c>
      <c r="P534" s="71">
        <v>2</v>
      </c>
      <c r="Q534">
        <f t="shared" si="97"/>
        <v>0</v>
      </c>
      <c r="R534" s="71">
        <v>0</v>
      </c>
      <c r="S534" s="6">
        <f t="shared" si="98"/>
        <v>0</v>
      </c>
    </row>
    <row r="535" spans="1:19" x14ac:dyDescent="0.2">
      <c r="A535" s="36" t="s">
        <v>77</v>
      </c>
      <c r="B535" s="6" t="s">
        <v>156</v>
      </c>
      <c r="C535" s="71">
        <v>5400</v>
      </c>
      <c r="D535" s="6">
        <f>(C535/12)*6</f>
        <v>2700</v>
      </c>
      <c r="E535" s="62">
        <v>0</v>
      </c>
      <c r="F535" s="6">
        <f>SUM(E530:E535)</f>
        <v>600</v>
      </c>
      <c r="G535" s="35" t="str">
        <f t="shared" si="95"/>
        <v>Farol Vermelho</v>
      </c>
      <c r="H535">
        <f t="shared" si="93"/>
        <v>2100</v>
      </c>
      <c r="I535" s="6">
        <f t="shared" si="94"/>
        <v>6</v>
      </c>
      <c r="J535" s="100">
        <v>8</v>
      </c>
      <c r="K535" s="62">
        <v>0</v>
      </c>
      <c r="L535" s="6">
        <f>$L530+L534</f>
        <v>3.9999999999999996</v>
      </c>
      <c r="M535" s="6">
        <f t="shared" si="102"/>
        <v>2</v>
      </c>
      <c r="N535" s="71"/>
      <c r="O535" t="e">
        <f t="shared" si="96"/>
        <v>#DIV/0!</v>
      </c>
      <c r="P535" s="71"/>
      <c r="Q535" t="e">
        <f t="shared" si="97"/>
        <v>#DIV/0!</v>
      </c>
      <c r="R535" s="71"/>
      <c r="S535" s="6" t="e">
        <f t="shared" si="98"/>
        <v>#DIV/0!</v>
      </c>
    </row>
    <row r="536" spans="1:19" x14ac:dyDescent="0.2">
      <c r="A536" s="36" t="s">
        <v>77</v>
      </c>
      <c r="B536" s="6" t="s">
        <v>157</v>
      </c>
      <c r="C536" s="71">
        <v>5400</v>
      </c>
      <c r="D536" s="6">
        <f>(C536/12)*7</f>
        <v>3150</v>
      </c>
      <c r="E536" s="62">
        <v>0</v>
      </c>
      <c r="F536" s="6">
        <f>SUM(E530:E536)</f>
        <v>600</v>
      </c>
      <c r="G536" s="35" t="str">
        <f t="shared" si="95"/>
        <v>Farol Vermelho</v>
      </c>
      <c r="H536">
        <f t="shared" si="93"/>
        <v>2550</v>
      </c>
      <c r="I536" s="6">
        <f t="shared" si="94"/>
        <v>7</v>
      </c>
      <c r="J536" s="100">
        <v>8</v>
      </c>
      <c r="K536" s="62">
        <v>0</v>
      </c>
      <c r="L536" s="6">
        <f>$L530+L535</f>
        <v>4.6666666666666661</v>
      </c>
      <c r="M536" s="6">
        <f t="shared" si="102"/>
        <v>2</v>
      </c>
      <c r="N536" s="71"/>
      <c r="O536" t="e">
        <f t="shared" si="96"/>
        <v>#DIV/0!</v>
      </c>
      <c r="P536" s="71"/>
      <c r="Q536" t="e">
        <f t="shared" si="97"/>
        <v>#DIV/0!</v>
      </c>
      <c r="R536" s="71"/>
      <c r="S536" s="6" t="e">
        <f t="shared" si="98"/>
        <v>#DIV/0!</v>
      </c>
    </row>
    <row r="537" spans="1:19" x14ac:dyDescent="0.2">
      <c r="A537" s="36" t="s">
        <v>77</v>
      </c>
      <c r="B537" s="6" t="s">
        <v>158</v>
      </c>
      <c r="C537" s="71">
        <v>5400</v>
      </c>
      <c r="D537" s="6">
        <f>(C537/12)*8</f>
        <v>3600</v>
      </c>
      <c r="E537" s="62">
        <v>0</v>
      </c>
      <c r="F537" s="6">
        <f>SUM(E530:E537)</f>
        <v>600</v>
      </c>
      <c r="G537" s="35" t="str">
        <f t="shared" si="95"/>
        <v>Farol Vermelho</v>
      </c>
      <c r="H537">
        <f t="shared" si="93"/>
        <v>3000</v>
      </c>
      <c r="I537" s="6">
        <f t="shared" si="94"/>
        <v>8</v>
      </c>
      <c r="J537" s="100">
        <v>8</v>
      </c>
      <c r="K537" s="62"/>
      <c r="L537" s="6">
        <f>L530+L536</f>
        <v>5.333333333333333</v>
      </c>
      <c r="M537" s="6">
        <f t="shared" si="102"/>
        <v>2</v>
      </c>
      <c r="N537" s="71"/>
      <c r="O537" t="e">
        <f t="shared" si="96"/>
        <v>#DIV/0!</v>
      </c>
      <c r="P537" s="71"/>
      <c r="Q537" t="e">
        <f t="shared" si="97"/>
        <v>#DIV/0!</v>
      </c>
      <c r="R537" s="71"/>
      <c r="S537" s="6" t="e">
        <f t="shared" si="98"/>
        <v>#DIV/0!</v>
      </c>
    </row>
    <row r="538" spans="1:19" x14ac:dyDescent="0.2">
      <c r="A538" s="36" t="s">
        <v>77</v>
      </c>
      <c r="B538" s="6" t="s">
        <v>159</v>
      </c>
      <c r="C538" s="71">
        <v>5400</v>
      </c>
      <c r="D538" s="6">
        <f>(C538/12)*9</f>
        <v>4050</v>
      </c>
      <c r="E538" s="62">
        <v>0</v>
      </c>
      <c r="F538" s="6">
        <f>SUM(E530:E538)</f>
        <v>600</v>
      </c>
      <c r="G538" s="35" t="str">
        <f t="shared" si="95"/>
        <v>Farol Vermelho</v>
      </c>
      <c r="H538">
        <f t="shared" si="93"/>
        <v>3450</v>
      </c>
      <c r="I538" s="6">
        <f t="shared" si="94"/>
        <v>9</v>
      </c>
      <c r="J538" s="100">
        <v>8</v>
      </c>
      <c r="K538" s="62"/>
      <c r="L538" s="6">
        <f>$L530+L537</f>
        <v>6</v>
      </c>
      <c r="M538" s="6">
        <f t="shared" si="102"/>
        <v>2</v>
      </c>
      <c r="N538" s="71"/>
      <c r="O538" t="e">
        <f t="shared" si="96"/>
        <v>#DIV/0!</v>
      </c>
      <c r="P538" s="71"/>
      <c r="Q538" t="e">
        <f t="shared" si="97"/>
        <v>#DIV/0!</v>
      </c>
      <c r="R538" s="71"/>
      <c r="S538" s="6" t="e">
        <f t="shared" si="98"/>
        <v>#DIV/0!</v>
      </c>
    </row>
    <row r="539" spans="1:19" x14ac:dyDescent="0.2">
      <c r="A539" s="36" t="s">
        <v>77</v>
      </c>
      <c r="B539" s="6" t="s">
        <v>160</v>
      </c>
      <c r="C539" s="71">
        <v>5400</v>
      </c>
      <c r="D539" s="6">
        <f>(C539/12)*10</f>
        <v>4500</v>
      </c>
      <c r="E539" s="62">
        <v>0</v>
      </c>
      <c r="F539" s="6">
        <f>SUM(E530:E539)</f>
        <v>600</v>
      </c>
      <c r="G539" s="35" t="str">
        <f t="shared" si="95"/>
        <v>Farol Vermelho</v>
      </c>
      <c r="H539">
        <f t="shared" si="93"/>
        <v>3900</v>
      </c>
      <c r="I539" s="6">
        <f t="shared" si="94"/>
        <v>10</v>
      </c>
      <c r="J539" s="100">
        <v>8</v>
      </c>
      <c r="K539" s="62"/>
      <c r="L539" s="6">
        <f>$L530+L538</f>
        <v>6.666666666666667</v>
      </c>
      <c r="M539" s="6">
        <f t="shared" si="102"/>
        <v>2</v>
      </c>
      <c r="N539" s="71"/>
      <c r="O539" t="e">
        <f t="shared" si="96"/>
        <v>#DIV/0!</v>
      </c>
      <c r="P539" s="71"/>
      <c r="Q539" t="e">
        <f t="shared" si="97"/>
        <v>#DIV/0!</v>
      </c>
      <c r="R539" s="71"/>
      <c r="S539" s="6" t="e">
        <f t="shared" si="98"/>
        <v>#DIV/0!</v>
      </c>
    </row>
    <row r="540" spans="1:19" x14ac:dyDescent="0.2">
      <c r="A540" s="36" t="s">
        <v>77</v>
      </c>
      <c r="B540" s="6" t="s">
        <v>161</v>
      </c>
      <c r="C540" s="71">
        <v>5400</v>
      </c>
      <c r="D540" s="6">
        <f>(C540/12)*11</f>
        <v>4950</v>
      </c>
      <c r="E540" s="62">
        <v>0</v>
      </c>
      <c r="F540" s="6">
        <f>SUM(E530:E540)</f>
        <v>600</v>
      </c>
      <c r="G540" s="35" t="str">
        <f t="shared" si="95"/>
        <v>Farol Vermelho</v>
      </c>
      <c r="H540">
        <f t="shared" si="93"/>
        <v>4350</v>
      </c>
      <c r="I540" s="6">
        <f t="shared" si="94"/>
        <v>11</v>
      </c>
      <c r="J540" s="100">
        <v>8</v>
      </c>
      <c r="K540" s="62"/>
      <c r="L540" s="6">
        <f>L530+L539</f>
        <v>7.3333333333333339</v>
      </c>
      <c r="M540" s="6">
        <f t="shared" si="102"/>
        <v>2</v>
      </c>
      <c r="N540" s="71"/>
      <c r="O540" t="e">
        <f t="shared" si="96"/>
        <v>#DIV/0!</v>
      </c>
      <c r="P540" s="71"/>
      <c r="Q540" t="e">
        <f t="shared" si="97"/>
        <v>#DIV/0!</v>
      </c>
      <c r="R540" s="71"/>
      <c r="S540" s="6" t="e">
        <f t="shared" si="98"/>
        <v>#DIV/0!</v>
      </c>
    </row>
    <row r="541" spans="1:19" x14ac:dyDescent="0.2">
      <c r="A541" s="36" t="s">
        <v>77</v>
      </c>
      <c r="B541" s="6" t="s">
        <v>162</v>
      </c>
      <c r="C541" s="71">
        <v>5400</v>
      </c>
      <c r="D541" s="6">
        <f>(C541/12)*12</f>
        <v>5400</v>
      </c>
      <c r="E541" s="62">
        <v>0</v>
      </c>
      <c r="F541" s="6">
        <f>SUM(E530:E541)</f>
        <v>600</v>
      </c>
      <c r="G541" s="35" t="str">
        <f t="shared" si="95"/>
        <v>Farol Vermelho</v>
      </c>
      <c r="H541">
        <f t="shared" si="93"/>
        <v>4800</v>
      </c>
      <c r="I541" s="6">
        <f t="shared" si="94"/>
        <v>12</v>
      </c>
      <c r="J541" s="100">
        <v>8</v>
      </c>
      <c r="K541" s="62"/>
      <c r="L541" s="6">
        <f>$L530+L540</f>
        <v>8</v>
      </c>
      <c r="M541" s="6">
        <f t="shared" si="102"/>
        <v>2</v>
      </c>
      <c r="N541" s="71"/>
      <c r="O541" t="e">
        <f t="shared" si="96"/>
        <v>#DIV/0!</v>
      </c>
      <c r="P541" s="71"/>
      <c r="Q541" t="e">
        <f t="shared" si="97"/>
        <v>#DIV/0!</v>
      </c>
      <c r="R541" s="71"/>
      <c r="S541" s="6" t="e">
        <f t="shared" si="98"/>
        <v>#DIV/0!</v>
      </c>
    </row>
    <row r="542" spans="1:19" x14ac:dyDescent="0.2">
      <c r="A542" s="36" t="s">
        <v>52</v>
      </c>
      <c r="B542" s="6" t="s">
        <v>151</v>
      </c>
      <c r="C542" s="71">
        <v>6600</v>
      </c>
      <c r="D542" s="6">
        <f>(C542/12)*1</f>
        <v>550</v>
      </c>
      <c r="E542" s="62">
        <v>0</v>
      </c>
      <c r="F542" s="6">
        <f>E542</f>
        <v>0</v>
      </c>
      <c r="G542" s="35" t="str">
        <f t="shared" si="95"/>
        <v>Farol Vermelho</v>
      </c>
      <c r="H542">
        <f t="shared" si="93"/>
        <v>550</v>
      </c>
      <c r="I542" s="6">
        <f t="shared" si="94"/>
        <v>1</v>
      </c>
      <c r="J542" s="100">
        <v>8</v>
      </c>
      <c r="K542" s="62">
        <v>0</v>
      </c>
      <c r="L542" s="6">
        <f>J542/12</f>
        <v>0.66666666666666663</v>
      </c>
      <c r="M542" s="6">
        <f>K542</f>
        <v>0</v>
      </c>
      <c r="N542" s="71">
        <v>0</v>
      </c>
      <c r="O542" t="e">
        <f t="shared" si="96"/>
        <v>#DIV/0!</v>
      </c>
      <c r="P542" s="71">
        <v>0</v>
      </c>
      <c r="Q542" t="e">
        <f t="shared" si="97"/>
        <v>#DIV/0!</v>
      </c>
      <c r="R542" s="71">
        <v>0</v>
      </c>
      <c r="S542" s="6" t="e">
        <f t="shared" si="98"/>
        <v>#DIV/0!</v>
      </c>
    </row>
    <row r="543" spans="1:19" x14ac:dyDescent="0.2">
      <c r="A543" s="36" t="s">
        <v>52</v>
      </c>
      <c r="B543" s="6" t="s">
        <v>152</v>
      </c>
      <c r="C543" s="71">
        <v>6600</v>
      </c>
      <c r="D543" s="6">
        <f>(C543/12)*2</f>
        <v>1100</v>
      </c>
      <c r="E543" s="62">
        <v>0</v>
      </c>
      <c r="F543" s="6">
        <f>SUM(E542:E543)</f>
        <v>0</v>
      </c>
      <c r="G543" s="35" t="str">
        <f t="shared" si="95"/>
        <v>Farol Vermelho</v>
      </c>
      <c r="H543">
        <f t="shared" si="93"/>
        <v>1100</v>
      </c>
      <c r="I543" s="6">
        <f t="shared" si="94"/>
        <v>2</v>
      </c>
      <c r="J543" s="100">
        <v>8</v>
      </c>
      <c r="K543" s="62">
        <v>0</v>
      </c>
      <c r="L543" s="6">
        <f>L542+L542</f>
        <v>1.3333333333333333</v>
      </c>
      <c r="M543" s="6">
        <f>M542+K543</f>
        <v>0</v>
      </c>
      <c r="N543" s="71">
        <v>0</v>
      </c>
      <c r="O543" t="e">
        <f t="shared" si="96"/>
        <v>#DIV/0!</v>
      </c>
      <c r="P543" s="71">
        <v>0</v>
      </c>
      <c r="Q543" t="e">
        <f t="shared" si="97"/>
        <v>#DIV/0!</v>
      </c>
      <c r="R543" s="71">
        <v>0</v>
      </c>
      <c r="S543" s="6" t="e">
        <f t="shared" si="98"/>
        <v>#DIV/0!</v>
      </c>
    </row>
    <row r="544" spans="1:19" x14ac:dyDescent="0.2">
      <c r="A544" s="36" t="s">
        <v>52</v>
      </c>
      <c r="B544" s="6" t="s">
        <v>153</v>
      </c>
      <c r="C544" s="71">
        <v>6600</v>
      </c>
      <c r="D544" s="6">
        <f>(C544/12)*3</f>
        <v>1650</v>
      </c>
      <c r="E544" s="62">
        <v>4300</v>
      </c>
      <c r="F544" s="6">
        <f>SUM(E542:E544)</f>
        <v>4300</v>
      </c>
      <c r="G544" s="35" t="str">
        <f t="shared" si="95"/>
        <v>Farol Verde</v>
      </c>
      <c r="H544">
        <f t="shared" si="93"/>
        <v>0</v>
      </c>
      <c r="I544" s="6">
        <f t="shared" si="94"/>
        <v>3</v>
      </c>
      <c r="J544" s="100">
        <v>8</v>
      </c>
      <c r="K544" s="62">
        <v>2</v>
      </c>
      <c r="L544" s="6">
        <f>$L542+L543</f>
        <v>2</v>
      </c>
      <c r="M544" s="6">
        <f t="shared" ref="M544:M553" si="103">M543+K544</f>
        <v>2</v>
      </c>
      <c r="N544" s="71">
        <v>0</v>
      </c>
      <c r="O544" t="e">
        <f t="shared" si="96"/>
        <v>#DIV/0!</v>
      </c>
      <c r="P544" s="71">
        <v>0</v>
      </c>
      <c r="Q544" t="e">
        <f t="shared" si="97"/>
        <v>#DIV/0!</v>
      </c>
      <c r="R544" s="71">
        <v>0</v>
      </c>
      <c r="S544" s="6" t="e">
        <f t="shared" si="98"/>
        <v>#DIV/0!</v>
      </c>
    </row>
    <row r="545" spans="1:19" x14ac:dyDescent="0.2">
      <c r="A545" s="36" t="s">
        <v>52</v>
      </c>
      <c r="B545" s="6" t="s">
        <v>154</v>
      </c>
      <c r="C545" s="71">
        <v>6600</v>
      </c>
      <c r="D545" s="6">
        <f>(C545/12)*4</f>
        <v>2200</v>
      </c>
      <c r="E545" s="62">
        <v>0</v>
      </c>
      <c r="F545" s="6">
        <f>SUM(E542:E545)</f>
        <v>4300</v>
      </c>
      <c r="G545" s="35" t="str">
        <f t="shared" si="95"/>
        <v>Farol Verde</v>
      </c>
      <c r="H545">
        <f t="shared" si="93"/>
        <v>0</v>
      </c>
      <c r="I545" s="6">
        <f t="shared" si="94"/>
        <v>4</v>
      </c>
      <c r="J545" s="100">
        <v>8</v>
      </c>
      <c r="K545" s="62">
        <v>0</v>
      </c>
      <c r="L545" s="6">
        <f>$L542+L544</f>
        <v>2.6666666666666665</v>
      </c>
      <c r="M545" s="6">
        <f t="shared" si="103"/>
        <v>2</v>
      </c>
      <c r="N545" s="71">
        <v>0</v>
      </c>
      <c r="O545" t="e">
        <f t="shared" si="96"/>
        <v>#DIV/0!</v>
      </c>
      <c r="P545" s="71">
        <v>0</v>
      </c>
      <c r="Q545" t="e">
        <f t="shared" si="97"/>
        <v>#DIV/0!</v>
      </c>
      <c r="R545" s="71">
        <v>0</v>
      </c>
      <c r="S545" s="6" t="e">
        <f t="shared" si="98"/>
        <v>#DIV/0!</v>
      </c>
    </row>
    <row r="546" spans="1:19" x14ac:dyDescent="0.2">
      <c r="A546" s="36" t="s">
        <v>52</v>
      </c>
      <c r="B546" s="6" t="s">
        <v>155</v>
      </c>
      <c r="C546" s="71">
        <v>6600</v>
      </c>
      <c r="D546" s="6">
        <f>(C546/12)*5</f>
        <v>2750</v>
      </c>
      <c r="E546" s="62">
        <v>0</v>
      </c>
      <c r="F546" s="6">
        <f>SUM(E542:E546)</f>
        <v>4300</v>
      </c>
      <c r="G546" s="35" t="str">
        <f t="shared" si="95"/>
        <v>Farol Verde</v>
      </c>
      <c r="H546">
        <f t="shared" si="93"/>
        <v>0</v>
      </c>
      <c r="I546" s="6">
        <f t="shared" si="94"/>
        <v>5</v>
      </c>
      <c r="J546" s="100">
        <v>8</v>
      </c>
      <c r="K546" s="62">
        <v>0</v>
      </c>
      <c r="L546" s="6">
        <f>L542+L545</f>
        <v>3.333333333333333</v>
      </c>
      <c r="M546" s="6">
        <f t="shared" si="103"/>
        <v>2</v>
      </c>
      <c r="N546" s="71">
        <v>0</v>
      </c>
      <c r="O546" t="e">
        <f t="shared" si="96"/>
        <v>#DIV/0!</v>
      </c>
      <c r="P546" s="71">
        <v>0</v>
      </c>
      <c r="Q546" t="e">
        <f t="shared" si="97"/>
        <v>#DIV/0!</v>
      </c>
      <c r="R546" s="71">
        <v>0</v>
      </c>
      <c r="S546" s="6" t="e">
        <f t="shared" si="98"/>
        <v>#DIV/0!</v>
      </c>
    </row>
    <row r="547" spans="1:19" x14ac:dyDescent="0.2">
      <c r="A547" s="36" t="s">
        <v>52</v>
      </c>
      <c r="B547" s="6" t="s">
        <v>156</v>
      </c>
      <c r="C547" s="71">
        <v>6600</v>
      </c>
      <c r="D547" s="6">
        <f>(C547/12)*6</f>
        <v>3300</v>
      </c>
      <c r="E547" s="62">
        <v>0</v>
      </c>
      <c r="F547" s="6">
        <f>SUM(E542:E547)</f>
        <v>4300</v>
      </c>
      <c r="G547" s="35" t="str">
        <f t="shared" si="95"/>
        <v>Farol Verde</v>
      </c>
      <c r="H547">
        <f t="shared" si="93"/>
        <v>0</v>
      </c>
      <c r="I547" s="6">
        <f t="shared" si="94"/>
        <v>6</v>
      </c>
      <c r="J547" s="100">
        <v>8</v>
      </c>
      <c r="K547" s="62">
        <v>0</v>
      </c>
      <c r="L547" s="6">
        <f>$L542+L546</f>
        <v>3.9999999999999996</v>
      </c>
      <c r="M547" s="6">
        <f t="shared" si="103"/>
        <v>2</v>
      </c>
      <c r="N547" s="71"/>
      <c r="O547" t="e">
        <f t="shared" si="96"/>
        <v>#DIV/0!</v>
      </c>
      <c r="P547" s="71"/>
      <c r="Q547" t="e">
        <f t="shared" si="97"/>
        <v>#DIV/0!</v>
      </c>
      <c r="R547" s="71"/>
      <c r="S547" s="6" t="e">
        <f t="shared" si="98"/>
        <v>#DIV/0!</v>
      </c>
    </row>
    <row r="548" spans="1:19" x14ac:dyDescent="0.2">
      <c r="A548" s="36" t="s">
        <v>52</v>
      </c>
      <c r="B548" s="6" t="s">
        <v>157</v>
      </c>
      <c r="C548" s="71">
        <v>6600</v>
      </c>
      <c r="D548" s="6">
        <f>(C548/12)*7</f>
        <v>3850</v>
      </c>
      <c r="E548" s="62">
        <v>0</v>
      </c>
      <c r="F548" s="6">
        <f>SUM(E542:E548)</f>
        <v>4300</v>
      </c>
      <c r="G548" s="35" t="str">
        <f t="shared" si="95"/>
        <v>Farol Verde</v>
      </c>
      <c r="H548">
        <f t="shared" si="93"/>
        <v>0</v>
      </c>
      <c r="I548" s="6">
        <f t="shared" si="94"/>
        <v>7</v>
      </c>
      <c r="J548" s="100">
        <v>8</v>
      </c>
      <c r="K548" s="62">
        <v>0</v>
      </c>
      <c r="L548" s="6">
        <f>$L542+L547</f>
        <v>4.6666666666666661</v>
      </c>
      <c r="M548" s="6">
        <f t="shared" si="103"/>
        <v>2</v>
      </c>
      <c r="N548" s="71"/>
      <c r="O548" t="e">
        <f t="shared" si="96"/>
        <v>#DIV/0!</v>
      </c>
      <c r="P548" s="71"/>
      <c r="Q548" t="e">
        <f t="shared" si="97"/>
        <v>#DIV/0!</v>
      </c>
      <c r="R548" s="71"/>
      <c r="S548" s="6" t="e">
        <f t="shared" si="98"/>
        <v>#DIV/0!</v>
      </c>
    </row>
    <row r="549" spans="1:19" x14ac:dyDescent="0.2">
      <c r="A549" s="36" t="s">
        <v>52</v>
      </c>
      <c r="B549" s="6" t="s">
        <v>158</v>
      </c>
      <c r="C549" s="71">
        <v>6600</v>
      </c>
      <c r="D549" s="6">
        <f>(C549/12)*8</f>
        <v>4400</v>
      </c>
      <c r="E549" s="62">
        <v>0</v>
      </c>
      <c r="F549" s="6">
        <f>SUM(E542:E549)</f>
        <v>4300</v>
      </c>
      <c r="G549" s="35" t="str">
        <f t="shared" si="95"/>
        <v>Farol Amarelo</v>
      </c>
      <c r="H549">
        <f t="shared" si="93"/>
        <v>100</v>
      </c>
      <c r="I549" s="6">
        <f t="shared" si="94"/>
        <v>8</v>
      </c>
      <c r="J549" s="100">
        <v>8</v>
      </c>
      <c r="K549" s="62"/>
      <c r="L549" s="6">
        <f>L542+L548</f>
        <v>5.333333333333333</v>
      </c>
      <c r="M549" s="6">
        <f t="shared" si="103"/>
        <v>2</v>
      </c>
      <c r="N549" s="71"/>
      <c r="O549" t="e">
        <f t="shared" si="96"/>
        <v>#DIV/0!</v>
      </c>
      <c r="P549" s="71"/>
      <c r="Q549" t="e">
        <f t="shared" si="97"/>
        <v>#DIV/0!</v>
      </c>
      <c r="R549" s="71"/>
      <c r="S549" s="6" t="e">
        <f t="shared" si="98"/>
        <v>#DIV/0!</v>
      </c>
    </row>
    <row r="550" spans="1:19" x14ac:dyDescent="0.2">
      <c r="A550" s="36" t="s">
        <v>52</v>
      </c>
      <c r="B550" s="6" t="s">
        <v>159</v>
      </c>
      <c r="C550" s="71">
        <v>6600</v>
      </c>
      <c r="D550" s="6">
        <f>(C550/12)*9</f>
        <v>4950</v>
      </c>
      <c r="E550" s="62">
        <v>0</v>
      </c>
      <c r="F550" s="6">
        <f>SUM(E542:E550)</f>
        <v>4300</v>
      </c>
      <c r="G550" s="35" t="str">
        <f t="shared" si="95"/>
        <v>Farol Amarelo</v>
      </c>
      <c r="H550">
        <f t="shared" ref="H550:H625" si="104">IF(D550-F550&lt;0,0,D550-F550)</f>
        <v>650</v>
      </c>
      <c r="I550" s="6">
        <f t="shared" ref="I550:I625" si="105">_xlfn.IFS(B550="Janeiro",1,B550="Fevereiro",2,B550="Março",3,B550="Abril",4,B550="Maio",5,B550="Junho",6,B550="Julho",7,B550="Agosto",8,B550="Setembro",9,B550="Outubro",10,B550="Novembro",11,B550="Dezembro",12,TRUE,0)</f>
        <v>9</v>
      </c>
      <c r="J550" s="100">
        <v>8</v>
      </c>
      <c r="K550" s="62"/>
      <c r="L550" s="6">
        <f>$L542+L549</f>
        <v>6</v>
      </c>
      <c r="M550" s="6">
        <f t="shared" si="103"/>
        <v>2</v>
      </c>
      <c r="N550" s="71"/>
      <c r="O550" t="e">
        <f t="shared" si="96"/>
        <v>#DIV/0!</v>
      </c>
      <c r="P550" s="71"/>
      <c r="Q550" t="e">
        <f t="shared" si="97"/>
        <v>#DIV/0!</v>
      </c>
      <c r="R550" s="71"/>
      <c r="S550" s="6" t="e">
        <f t="shared" si="98"/>
        <v>#DIV/0!</v>
      </c>
    </row>
    <row r="551" spans="1:19" x14ac:dyDescent="0.2">
      <c r="A551" s="36" t="s">
        <v>52</v>
      </c>
      <c r="B551" s="6" t="s">
        <v>160</v>
      </c>
      <c r="C551" s="71">
        <v>6600</v>
      </c>
      <c r="D551" s="6">
        <f>(C551/12)*10</f>
        <v>5500</v>
      </c>
      <c r="E551" s="62">
        <v>0</v>
      </c>
      <c r="F551" s="6">
        <f>SUM(E542:E551)</f>
        <v>4300</v>
      </c>
      <c r="G551" s="35" t="str">
        <f t="shared" ref="G551:G626" si="106">_xlfn.IFS(F551&gt;D551,"Farol Verde",F551&gt;=D551*0.85,"Farol Amarelo",F551&lt;D551*0.85,"Farol Vermelho","Verdadeiro",0)</f>
        <v>Farol Vermelho</v>
      </c>
      <c r="H551">
        <f t="shared" si="104"/>
        <v>1200</v>
      </c>
      <c r="I551" s="6">
        <f t="shared" si="105"/>
        <v>10</v>
      </c>
      <c r="J551" s="100">
        <v>8</v>
      </c>
      <c r="K551" s="62"/>
      <c r="L551" s="6">
        <f>$L542+L550</f>
        <v>6.666666666666667</v>
      </c>
      <c r="M551" s="6">
        <f t="shared" si="103"/>
        <v>2</v>
      </c>
      <c r="N551" s="71"/>
      <c r="O551" t="e">
        <f t="shared" ref="O551:O626" si="107">P551/N551</f>
        <v>#DIV/0!</v>
      </c>
      <c r="P551" s="71"/>
      <c r="Q551" t="e">
        <f t="shared" ref="Q551:Q626" si="108">R551/P551</f>
        <v>#DIV/0!</v>
      </c>
      <c r="R551" s="71"/>
      <c r="S551" s="6" t="e">
        <f t="shared" ref="S551:S626" si="109">R551/N551</f>
        <v>#DIV/0!</v>
      </c>
    </row>
    <row r="552" spans="1:19" x14ac:dyDescent="0.2">
      <c r="A552" s="36" t="s">
        <v>52</v>
      </c>
      <c r="B552" s="6" t="s">
        <v>161</v>
      </c>
      <c r="C552" s="71">
        <v>6600</v>
      </c>
      <c r="D552" s="6">
        <f>(C552/12)*11</f>
        <v>6050</v>
      </c>
      <c r="E552" s="62">
        <v>0</v>
      </c>
      <c r="F552" s="6">
        <f>SUM(E542:E552)</f>
        <v>4300</v>
      </c>
      <c r="G552" s="35" t="str">
        <f t="shared" si="106"/>
        <v>Farol Vermelho</v>
      </c>
      <c r="H552">
        <f t="shared" si="104"/>
        <v>1750</v>
      </c>
      <c r="I552" s="6">
        <f t="shared" si="105"/>
        <v>11</v>
      </c>
      <c r="J552" s="100">
        <v>8</v>
      </c>
      <c r="K552" s="62"/>
      <c r="L552" s="6">
        <f>L542+L551</f>
        <v>7.3333333333333339</v>
      </c>
      <c r="M552" s="6">
        <f t="shared" si="103"/>
        <v>2</v>
      </c>
      <c r="N552" s="71"/>
      <c r="O552" t="e">
        <f t="shared" si="107"/>
        <v>#DIV/0!</v>
      </c>
      <c r="P552" s="71"/>
      <c r="Q552" t="e">
        <f t="shared" si="108"/>
        <v>#DIV/0!</v>
      </c>
      <c r="R552" s="71"/>
      <c r="S552" s="6" t="e">
        <f t="shared" si="109"/>
        <v>#DIV/0!</v>
      </c>
    </row>
    <row r="553" spans="1:19" x14ac:dyDescent="0.2">
      <c r="A553" s="36" t="s">
        <v>52</v>
      </c>
      <c r="B553" s="6" t="s">
        <v>162</v>
      </c>
      <c r="C553" s="71">
        <v>6600</v>
      </c>
      <c r="D553" s="6">
        <f>(C553/12)*12</f>
        <v>6600</v>
      </c>
      <c r="E553" s="62">
        <v>0</v>
      </c>
      <c r="F553" s="6">
        <f>SUM(E542:E553)</f>
        <v>4300</v>
      </c>
      <c r="G553" s="35" t="str">
        <f t="shared" si="106"/>
        <v>Farol Vermelho</v>
      </c>
      <c r="H553">
        <f t="shared" si="104"/>
        <v>2300</v>
      </c>
      <c r="I553" s="6">
        <f t="shared" si="105"/>
        <v>12</v>
      </c>
      <c r="J553" s="100">
        <v>8</v>
      </c>
      <c r="K553" s="62"/>
      <c r="L553" s="6">
        <f>$L542+L552</f>
        <v>8</v>
      </c>
      <c r="M553" s="6">
        <f t="shared" si="103"/>
        <v>2</v>
      </c>
      <c r="N553" s="71"/>
      <c r="O553" t="e">
        <f t="shared" si="107"/>
        <v>#DIV/0!</v>
      </c>
      <c r="P553" s="71"/>
      <c r="Q553" t="e">
        <f t="shared" si="108"/>
        <v>#DIV/0!</v>
      </c>
      <c r="R553" s="71"/>
      <c r="S553" s="6" t="e">
        <f t="shared" si="109"/>
        <v>#DIV/0!</v>
      </c>
    </row>
    <row r="554" spans="1:19" x14ac:dyDescent="0.2">
      <c r="A554" s="36" t="s">
        <v>105</v>
      </c>
      <c r="B554" s="6" t="s">
        <v>151</v>
      </c>
      <c r="C554" s="71">
        <v>12330</v>
      </c>
      <c r="D554" s="6">
        <f>(C554/12)*1</f>
        <v>1027.5</v>
      </c>
      <c r="E554" s="62">
        <v>0</v>
      </c>
      <c r="F554" s="6">
        <f>E554</f>
        <v>0</v>
      </c>
      <c r="G554" s="35" t="str">
        <f t="shared" si="106"/>
        <v>Farol Vermelho</v>
      </c>
      <c r="H554">
        <f t="shared" si="104"/>
        <v>1027.5</v>
      </c>
      <c r="I554" s="6">
        <f t="shared" si="105"/>
        <v>1</v>
      </c>
      <c r="J554" s="100">
        <v>10</v>
      </c>
      <c r="K554" s="62">
        <v>0</v>
      </c>
      <c r="L554" s="6">
        <f>J554/12</f>
        <v>0.83333333333333337</v>
      </c>
      <c r="M554" s="6">
        <f>K554</f>
        <v>0</v>
      </c>
      <c r="N554" s="71">
        <v>0</v>
      </c>
      <c r="O554" t="e">
        <f t="shared" si="107"/>
        <v>#DIV/0!</v>
      </c>
      <c r="P554" s="71">
        <v>0</v>
      </c>
      <c r="Q554" t="e">
        <f t="shared" si="108"/>
        <v>#DIV/0!</v>
      </c>
      <c r="R554" s="71">
        <v>0</v>
      </c>
      <c r="S554" s="6" t="e">
        <f t="shared" si="109"/>
        <v>#DIV/0!</v>
      </c>
    </row>
    <row r="555" spans="1:19" x14ac:dyDescent="0.2">
      <c r="A555" s="36" t="s">
        <v>105</v>
      </c>
      <c r="B555" s="6" t="s">
        <v>152</v>
      </c>
      <c r="C555" s="71">
        <v>12330</v>
      </c>
      <c r="D555" s="6">
        <f>(C555/12)*2</f>
        <v>2055</v>
      </c>
      <c r="E555" s="62">
        <v>0</v>
      </c>
      <c r="F555" s="6">
        <f>SUM(E554:E555)</f>
        <v>0</v>
      </c>
      <c r="G555" s="35" t="str">
        <f t="shared" si="106"/>
        <v>Farol Vermelho</v>
      </c>
      <c r="H555">
        <f t="shared" si="104"/>
        <v>2055</v>
      </c>
      <c r="I555" s="6">
        <f t="shared" si="105"/>
        <v>2</v>
      </c>
      <c r="J555" s="100">
        <v>10</v>
      </c>
      <c r="K555" s="62">
        <v>0</v>
      </c>
      <c r="L555" s="6">
        <f>L554+L554</f>
        <v>1.6666666666666667</v>
      </c>
      <c r="M555" s="6">
        <f>M554+K555</f>
        <v>0</v>
      </c>
      <c r="N555" s="71">
        <v>0</v>
      </c>
      <c r="O555" t="e">
        <f t="shared" si="107"/>
        <v>#DIV/0!</v>
      </c>
      <c r="P555" s="71">
        <v>0</v>
      </c>
      <c r="Q555" t="e">
        <f t="shared" si="108"/>
        <v>#DIV/0!</v>
      </c>
      <c r="R555" s="71">
        <v>0</v>
      </c>
      <c r="S555" s="6" t="e">
        <f t="shared" si="109"/>
        <v>#DIV/0!</v>
      </c>
    </row>
    <row r="556" spans="1:19" x14ac:dyDescent="0.2">
      <c r="A556" s="36" t="s">
        <v>105</v>
      </c>
      <c r="B556" s="6" t="s">
        <v>153</v>
      </c>
      <c r="C556" s="71">
        <v>12330</v>
      </c>
      <c r="D556" s="6">
        <f>(C556/12)*3</f>
        <v>3082.5</v>
      </c>
      <c r="E556" s="62">
        <v>0</v>
      </c>
      <c r="F556" s="6">
        <f>SUM(E554:E556)</f>
        <v>0</v>
      </c>
      <c r="G556" s="35" t="str">
        <f t="shared" si="106"/>
        <v>Farol Vermelho</v>
      </c>
      <c r="H556">
        <f t="shared" si="104"/>
        <v>3082.5</v>
      </c>
      <c r="I556" s="6">
        <f t="shared" si="105"/>
        <v>3</v>
      </c>
      <c r="J556" s="100">
        <v>10</v>
      </c>
      <c r="K556" s="62">
        <v>0</v>
      </c>
      <c r="L556" s="6">
        <f>$L554+L555</f>
        <v>2.5</v>
      </c>
      <c r="M556" s="6">
        <f t="shared" ref="M556:M565" si="110">M555+K556</f>
        <v>0</v>
      </c>
      <c r="N556" s="71">
        <v>0</v>
      </c>
      <c r="O556" t="e">
        <f t="shared" si="107"/>
        <v>#DIV/0!</v>
      </c>
      <c r="P556" s="71">
        <v>0</v>
      </c>
      <c r="Q556" t="e">
        <f t="shared" si="108"/>
        <v>#DIV/0!</v>
      </c>
      <c r="R556" s="71">
        <v>0</v>
      </c>
      <c r="S556" s="6" t="e">
        <f t="shared" si="109"/>
        <v>#DIV/0!</v>
      </c>
    </row>
    <row r="557" spans="1:19" x14ac:dyDescent="0.2">
      <c r="A557" s="36" t="s">
        <v>105</v>
      </c>
      <c r="B557" s="6" t="s">
        <v>154</v>
      </c>
      <c r="C557" s="71">
        <v>12330</v>
      </c>
      <c r="D557" s="6">
        <f>(C557/12)*4</f>
        <v>4110</v>
      </c>
      <c r="E557" s="62">
        <v>0</v>
      </c>
      <c r="F557" s="6">
        <f>SUM(E554:E557)</f>
        <v>0</v>
      </c>
      <c r="G557" s="35" t="str">
        <f t="shared" si="106"/>
        <v>Farol Vermelho</v>
      </c>
      <c r="H557">
        <f t="shared" si="104"/>
        <v>4110</v>
      </c>
      <c r="I557" s="6">
        <f t="shared" si="105"/>
        <v>4</v>
      </c>
      <c r="J557" s="100">
        <v>10</v>
      </c>
      <c r="K557" s="62">
        <v>0</v>
      </c>
      <c r="L557" s="6">
        <f>$L554+L556</f>
        <v>3.3333333333333335</v>
      </c>
      <c r="M557" s="6">
        <f t="shared" si="110"/>
        <v>0</v>
      </c>
      <c r="N557" s="71">
        <v>0</v>
      </c>
      <c r="O557" t="e">
        <f t="shared" si="107"/>
        <v>#DIV/0!</v>
      </c>
      <c r="P557" s="71">
        <v>0</v>
      </c>
      <c r="Q557" t="e">
        <f t="shared" si="108"/>
        <v>#DIV/0!</v>
      </c>
      <c r="R557" s="71">
        <v>0</v>
      </c>
      <c r="S557" s="6" t="e">
        <f t="shared" si="109"/>
        <v>#DIV/0!</v>
      </c>
    </row>
    <row r="558" spans="1:19" x14ac:dyDescent="0.2">
      <c r="A558" s="36" t="s">
        <v>105</v>
      </c>
      <c r="B558" s="6" t="s">
        <v>155</v>
      </c>
      <c r="C558" s="71">
        <v>12330</v>
      </c>
      <c r="D558" s="6">
        <f>(C558/12)*5</f>
        <v>5137.5</v>
      </c>
      <c r="E558" s="62">
        <v>0</v>
      </c>
      <c r="F558" s="6">
        <f>SUM(E554:E558)</f>
        <v>0</v>
      </c>
      <c r="G558" s="35" t="str">
        <f t="shared" si="106"/>
        <v>Farol Vermelho</v>
      </c>
      <c r="H558">
        <f t="shared" si="104"/>
        <v>5137.5</v>
      </c>
      <c r="I558" s="6">
        <f t="shared" si="105"/>
        <v>5</v>
      </c>
      <c r="J558" s="100">
        <v>10</v>
      </c>
      <c r="K558" s="62">
        <v>0</v>
      </c>
      <c r="L558" s="6">
        <f>L554+L557</f>
        <v>4.166666666666667</v>
      </c>
      <c r="M558" s="6">
        <f t="shared" si="110"/>
        <v>0</v>
      </c>
      <c r="N558" s="71">
        <v>0</v>
      </c>
      <c r="O558" t="e">
        <f t="shared" si="107"/>
        <v>#DIV/0!</v>
      </c>
      <c r="P558" s="71">
        <v>0</v>
      </c>
      <c r="Q558" t="e">
        <f t="shared" si="108"/>
        <v>#DIV/0!</v>
      </c>
      <c r="R558" s="71">
        <v>0</v>
      </c>
      <c r="S558" s="6" t="e">
        <f t="shared" si="109"/>
        <v>#DIV/0!</v>
      </c>
    </row>
    <row r="559" spans="1:19" x14ac:dyDescent="0.2">
      <c r="A559" s="36" t="s">
        <v>105</v>
      </c>
      <c r="B559" s="6" t="s">
        <v>156</v>
      </c>
      <c r="C559" s="71">
        <v>12330</v>
      </c>
      <c r="D559" s="6">
        <f>(C559/12)*6</f>
        <v>6165</v>
      </c>
      <c r="E559" s="62">
        <v>0</v>
      </c>
      <c r="F559" s="6">
        <f>SUM(E554:E559)</f>
        <v>0</v>
      </c>
      <c r="G559" s="35" t="str">
        <f t="shared" si="106"/>
        <v>Farol Vermelho</v>
      </c>
      <c r="H559">
        <f t="shared" si="104"/>
        <v>6165</v>
      </c>
      <c r="I559" s="6">
        <f t="shared" si="105"/>
        <v>6</v>
      </c>
      <c r="J559" s="100">
        <v>10</v>
      </c>
      <c r="K559" s="62">
        <v>0</v>
      </c>
      <c r="L559" s="6">
        <f>$L554+L558</f>
        <v>5</v>
      </c>
      <c r="M559" s="6">
        <f t="shared" si="110"/>
        <v>0</v>
      </c>
      <c r="N559" s="71"/>
      <c r="O559" t="e">
        <f t="shared" si="107"/>
        <v>#DIV/0!</v>
      </c>
      <c r="P559" s="71"/>
      <c r="Q559" t="e">
        <f t="shared" si="108"/>
        <v>#DIV/0!</v>
      </c>
      <c r="R559" s="71"/>
      <c r="S559" s="6" t="e">
        <f t="shared" si="109"/>
        <v>#DIV/0!</v>
      </c>
    </row>
    <row r="560" spans="1:19" x14ac:dyDescent="0.2">
      <c r="A560" s="36" t="s">
        <v>105</v>
      </c>
      <c r="B560" s="6" t="s">
        <v>157</v>
      </c>
      <c r="C560" s="71">
        <v>12330</v>
      </c>
      <c r="D560" s="6">
        <f>(C560/12)*7</f>
        <v>7192.5</v>
      </c>
      <c r="E560" s="62">
        <v>0</v>
      </c>
      <c r="F560" s="6">
        <f>SUM(E554:E560)</f>
        <v>0</v>
      </c>
      <c r="G560" s="35" t="str">
        <f t="shared" si="106"/>
        <v>Farol Vermelho</v>
      </c>
      <c r="H560">
        <f t="shared" si="104"/>
        <v>7192.5</v>
      </c>
      <c r="I560" s="6">
        <f t="shared" si="105"/>
        <v>7</v>
      </c>
      <c r="J560" s="100">
        <v>10</v>
      </c>
      <c r="K560" s="62">
        <v>0</v>
      </c>
      <c r="L560" s="6">
        <f>$L554+L559</f>
        <v>5.833333333333333</v>
      </c>
      <c r="M560" s="6">
        <f t="shared" si="110"/>
        <v>0</v>
      </c>
      <c r="N560" s="71"/>
      <c r="O560" t="e">
        <f t="shared" si="107"/>
        <v>#DIV/0!</v>
      </c>
      <c r="P560" s="71"/>
      <c r="Q560" t="e">
        <f t="shared" si="108"/>
        <v>#DIV/0!</v>
      </c>
      <c r="R560" s="71"/>
      <c r="S560" s="6" t="e">
        <f t="shared" si="109"/>
        <v>#DIV/0!</v>
      </c>
    </row>
    <row r="561" spans="1:19" x14ac:dyDescent="0.2">
      <c r="A561" s="36" t="s">
        <v>105</v>
      </c>
      <c r="B561" s="6" t="s">
        <v>158</v>
      </c>
      <c r="C561" s="71">
        <v>12330</v>
      </c>
      <c r="D561" s="6">
        <f>(C561/12)*8</f>
        <v>8220</v>
      </c>
      <c r="E561" s="62">
        <v>0</v>
      </c>
      <c r="F561" s="6">
        <f>SUM(E554:E561)</f>
        <v>0</v>
      </c>
      <c r="G561" s="35" t="str">
        <f t="shared" si="106"/>
        <v>Farol Vermelho</v>
      </c>
      <c r="H561">
        <f t="shared" si="104"/>
        <v>8220</v>
      </c>
      <c r="I561" s="6">
        <f t="shared" si="105"/>
        <v>8</v>
      </c>
      <c r="J561" s="100">
        <v>10</v>
      </c>
      <c r="K561" s="62"/>
      <c r="L561" s="6">
        <f>L554+L560</f>
        <v>6.6666666666666661</v>
      </c>
      <c r="M561" s="6">
        <f t="shared" si="110"/>
        <v>0</v>
      </c>
      <c r="N561" s="71"/>
      <c r="O561" t="e">
        <f t="shared" si="107"/>
        <v>#DIV/0!</v>
      </c>
      <c r="P561" s="71"/>
      <c r="Q561" t="e">
        <f t="shared" si="108"/>
        <v>#DIV/0!</v>
      </c>
      <c r="R561" s="71"/>
      <c r="S561" s="6" t="e">
        <f t="shared" si="109"/>
        <v>#DIV/0!</v>
      </c>
    </row>
    <row r="562" spans="1:19" x14ac:dyDescent="0.2">
      <c r="A562" s="36" t="s">
        <v>105</v>
      </c>
      <c r="B562" s="6" t="s">
        <v>159</v>
      </c>
      <c r="C562" s="71">
        <v>12330</v>
      </c>
      <c r="D562" s="6">
        <f>(C562/12)*9</f>
        <v>9247.5</v>
      </c>
      <c r="E562" s="62">
        <v>0</v>
      </c>
      <c r="F562" s="6">
        <f>SUM(E554:E562)</f>
        <v>0</v>
      </c>
      <c r="G562" s="35" t="str">
        <f t="shared" si="106"/>
        <v>Farol Vermelho</v>
      </c>
      <c r="H562">
        <f t="shared" si="104"/>
        <v>9247.5</v>
      </c>
      <c r="I562" s="6">
        <f t="shared" si="105"/>
        <v>9</v>
      </c>
      <c r="J562" s="100">
        <v>10</v>
      </c>
      <c r="K562" s="62"/>
      <c r="L562" s="6">
        <f>$L554+L561</f>
        <v>7.4999999999999991</v>
      </c>
      <c r="M562" s="6">
        <f t="shared" si="110"/>
        <v>0</v>
      </c>
      <c r="N562" s="71"/>
      <c r="O562" t="e">
        <f t="shared" si="107"/>
        <v>#DIV/0!</v>
      </c>
      <c r="P562" s="71"/>
      <c r="Q562" t="e">
        <f t="shared" si="108"/>
        <v>#DIV/0!</v>
      </c>
      <c r="R562" s="71"/>
      <c r="S562" s="6" t="e">
        <f t="shared" si="109"/>
        <v>#DIV/0!</v>
      </c>
    </row>
    <row r="563" spans="1:19" x14ac:dyDescent="0.2">
      <c r="A563" s="36" t="s">
        <v>105</v>
      </c>
      <c r="B563" s="6" t="s">
        <v>160</v>
      </c>
      <c r="C563" s="71">
        <v>12330</v>
      </c>
      <c r="D563" s="6">
        <f>(C563/12)*10</f>
        <v>10275</v>
      </c>
      <c r="E563" s="62">
        <v>0</v>
      </c>
      <c r="F563" s="6">
        <f>SUM(E554:E563)</f>
        <v>0</v>
      </c>
      <c r="G563" s="35" t="str">
        <f t="shared" si="106"/>
        <v>Farol Vermelho</v>
      </c>
      <c r="H563">
        <f t="shared" si="104"/>
        <v>10275</v>
      </c>
      <c r="I563" s="6">
        <f t="shared" si="105"/>
        <v>10</v>
      </c>
      <c r="J563" s="100">
        <v>10</v>
      </c>
      <c r="K563" s="62"/>
      <c r="L563" s="6">
        <f>$L554+L562</f>
        <v>8.3333333333333321</v>
      </c>
      <c r="M563" s="6">
        <f t="shared" si="110"/>
        <v>0</v>
      </c>
      <c r="N563" s="71"/>
      <c r="O563" t="e">
        <f t="shared" si="107"/>
        <v>#DIV/0!</v>
      </c>
      <c r="P563" s="71"/>
      <c r="Q563" t="e">
        <f t="shared" si="108"/>
        <v>#DIV/0!</v>
      </c>
      <c r="R563" s="71"/>
      <c r="S563" s="6" t="e">
        <f t="shared" si="109"/>
        <v>#DIV/0!</v>
      </c>
    </row>
    <row r="564" spans="1:19" x14ac:dyDescent="0.2">
      <c r="A564" s="36" t="s">
        <v>105</v>
      </c>
      <c r="B564" s="6" t="s">
        <v>161</v>
      </c>
      <c r="C564" s="71">
        <v>12330</v>
      </c>
      <c r="D564" s="6">
        <f>(C564/12)*11</f>
        <v>11302.5</v>
      </c>
      <c r="E564" s="62">
        <v>0</v>
      </c>
      <c r="F564" s="6">
        <f>SUM(E554:E564)</f>
        <v>0</v>
      </c>
      <c r="G564" s="35" t="str">
        <f t="shared" si="106"/>
        <v>Farol Vermelho</v>
      </c>
      <c r="H564">
        <f t="shared" si="104"/>
        <v>11302.5</v>
      </c>
      <c r="I564" s="6">
        <f t="shared" si="105"/>
        <v>11</v>
      </c>
      <c r="J564" s="100">
        <v>10</v>
      </c>
      <c r="K564" s="62"/>
      <c r="L564" s="6">
        <f>L554+L563</f>
        <v>9.1666666666666661</v>
      </c>
      <c r="M564" s="6">
        <f t="shared" si="110"/>
        <v>0</v>
      </c>
      <c r="N564" s="71"/>
      <c r="O564" t="e">
        <f t="shared" si="107"/>
        <v>#DIV/0!</v>
      </c>
      <c r="P564" s="71"/>
      <c r="Q564" t="e">
        <f t="shared" si="108"/>
        <v>#DIV/0!</v>
      </c>
      <c r="R564" s="71"/>
      <c r="S564" s="6" t="e">
        <f t="shared" si="109"/>
        <v>#DIV/0!</v>
      </c>
    </row>
    <row r="565" spans="1:19" x14ac:dyDescent="0.2">
      <c r="A565" s="36" t="s">
        <v>105</v>
      </c>
      <c r="B565" s="6" t="s">
        <v>162</v>
      </c>
      <c r="C565" s="71">
        <v>12330</v>
      </c>
      <c r="D565" s="6">
        <f>(C565/12)*12</f>
        <v>12330</v>
      </c>
      <c r="E565" s="62">
        <v>0</v>
      </c>
      <c r="F565" s="6">
        <f>SUM(E554:E565)</f>
        <v>0</v>
      </c>
      <c r="G565" s="35" t="str">
        <f t="shared" si="106"/>
        <v>Farol Vermelho</v>
      </c>
      <c r="H565">
        <f t="shared" si="104"/>
        <v>12330</v>
      </c>
      <c r="I565" s="6">
        <f t="shared" si="105"/>
        <v>12</v>
      </c>
      <c r="J565" s="100">
        <v>10</v>
      </c>
      <c r="K565" s="62"/>
      <c r="L565" s="6">
        <f>$L554+L564</f>
        <v>10</v>
      </c>
      <c r="M565" s="6">
        <f t="shared" si="110"/>
        <v>0</v>
      </c>
      <c r="N565" s="71"/>
      <c r="O565" t="e">
        <f t="shared" si="107"/>
        <v>#DIV/0!</v>
      </c>
      <c r="P565" s="71"/>
      <c r="Q565" t="e">
        <f t="shared" si="108"/>
        <v>#DIV/0!</v>
      </c>
      <c r="R565" s="71"/>
      <c r="S565" s="6" t="e">
        <f t="shared" si="109"/>
        <v>#DIV/0!</v>
      </c>
    </row>
    <row r="566" spans="1:19" x14ac:dyDescent="0.2">
      <c r="A566" s="36" t="s">
        <v>98</v>
      </c>
      <c r="B566" s="6" t="s">
        <v>151</v>
      </c>
      <c r="C566" s="71">
        <v>270000</v>
      </c>
      <c r="D566" s="6">
        <f>(C566/12)*1</f>
        <v>22500</v>
      </c>
      <c r="E566" s="62">
        <v>37403.699999999997</v>
      </c>
      <c r="F566" s="6">
        <f>E566</f>
        <v>37403.699999999997</v>
      </c>
      <c r="G566" s="35" t="str">
        <f t="shared" si="106"/>
        <v>Farol Verde</v>
      </c>
      <c r="H566">
        <f t="shared" si="104"/>
        <v>0</v>
      </c>
      <c r="I566" s="6">
        <f t="shared" si="105"/>
        <v>1</v>
      </c>
      <c r="J566" s="100">
        <v>34</v>
      </c>
      <c r="K566" s="62">
        <v>6</v>
      </c>
      <c r="L566" s="6">
        <f>J566/12</f>
        <v>2.8333333333333335</v>
      </c>
      <c r="M566" s="6">
        <f>K566</f>
        <v>6</v>
      </c>
      <c r="N566" s="71">
        <v>0</v>
      </c>
      <c r="O566" t="e">
        <f t="shared" si="107"/>
        <v>#DIV/0!</v>
      </c>
      <c r="P566" s="71">
        <v>0</v>
      </c>
      <c r="Q566" t="e">
        <f t="shared" si="108"/>
        <v>#DIV/0!</v>
      </c>
      <c r="R566" s="71">
        <v>0</v>
      </c>
      <c r="S566" s="6" t="e">
        <f t="shared" si="109"/>
        <v>#DIV/0!</v>
      </c>
    </row>
    <row r="567" spans="1:19" x14ac:dyDescent="0.2">
      <c r="A567" s="36" t="s">
        <v>98</v>
      </c>
      <c r="B567" s="6" t="s">
        <v>152</v>
      </c>
      <c r="C567" s="71">
        <v>270000</v>
      </c>
      <c r="D567" s="6">
        <f>(C567/12)*2</f>
        <v>45000</v>
      </c>
      <c r="E567" s="62">
        <v>23492.28</v>
      </c>
      <c r="F567" s="6">
        <f>SUM(E566:E567)</f>
        <v>60895.979999999996</v>
      </c>
      <c r="G567" s="35" t="str">
        <f t="shared" si="106"/>
        <v>Farol Verde</v>
      </c>
      <c r="H567">
        <f t="shared" si="104"/>
        <v>0</v>
      </c>
      <c r="I567" s="6">
        <f t="shared" si="105"/>
        <v>2</v>
      </c>
      <c r="J567" s="100">
        <v>34</v>
      </c>
      <c r="K567" s="62">
        <v>3</v>
      </c>
      <c r="L567" s="6">
        <f>L566+L566</f>
        <v>5.666666666666667</v>
      </c>
      <c r="M567" s="6">
        <f>M566+K567</f>
        <v>9</v>
      </c>
      <c r="N567" s="71">
        <v>0</v>
      </c>
      <c r="O567" t="e">
        <f t="shared" si="107"/>
        <v>#DIV/0!</v>
      </c>
      <c r="P567" s="71">
        <v>0</v>
      </c>
      <c r="Q567" t="e">
        <f t="shared" si="108"/>
        <v>#DIV/0!</v>
      </c>
      <c r="R567" s="71">
        <v>0</v>
      </c>
      <c r="S567" s="6" t="e">
        <f t="shared" si="109"/>
        <v>#DIV/0!</v>
      </c>
    </row>
    <row r="568" spans="1:19" x14ac:dyDescent="0.2">
      <c r="A568" s="36" t="s">
        <v>98</v>
      </c>
      <c r="B568" s="6" t="s">
        <v>153</v>
      </c>
      <c r="C568" s="71">
        <v>270000</v>
      </c>
      <c r="D568" s="6">
        <f>(C568/12)*3</f>
        <v>67500</v>
      </c>
      <c r="E568" s="62">
        <v>20720.93</v>
      </c>
      <c r="F568" s="6">
        <f>SUM(E566:E568)</f>
        <v>81616.91</v>
      </c>
      <c r="G568" s="35" t="str">
        <f t="shared" si="106"/>
        <v>Farol Verde</v>
      </c>
      <c r="H568">
        <f t="shared" si="104"/>
        <v>0</v>
      </c>
      <c r="I568" s="6">
        <f t="shared" si="105"/>
        <v>3</v>
      </c>
      <c r="J568" s="100">
        <v>34</v>
      </c>
      <c r="K568" s="62">
        <v>3</v>
      </c>
      <c r="L568" s="6">
        <f>$L566+L567</f>
        <v>8.5</v>
      </c>
      <c r="M568" s="6">
        <f t="shared" ref="M568:M577" si="111">M567+K568</f>
        <v>12</v>
      </c>
      <c r="N568" s="71">
        <v>0</v>
      </c>
      <c r="O568" t="e">
        <f t="shared" si="107"/>
        <v>#DIV/0!</v>
      </c>
      <c r="P568" s="71">
        <v>0</v>
      </c>
      <c r="Q568" t="e">
        <f t="shared" si="108"/>
        <v>#DIV/0!</v>
      </c>
      <c r="R568" s="71">
        <v>0</v>
      </c>
      <c r="S568" s="6" t="e">
        <f t="shared" si="109"/>
        <v>#DIV/0!</v>
      </c>
    </row>
    <row r="569" spans="1:19" x14ac:dyDescent="0.2">
      <c r="A569" s="36" t="s">
        <v>98</v>
      </c>
      <c r="B569" s="6" t="s">
        <v>154</v>
      </c>
      <c r="C569" s="71">
        <v>270000</v>
      </c>
      <c r="D569" s="6">
        <f>(C569/12)*4</f>
        <v>90000</v>
      </c>
      <c r="E569" s="62">
        <v>210</v>
      </c>
      <c r="F569" s="6">
        <f>SUM(E566:E569)</f>
        <v>81826.91</v>
      </c>
      <c r="G569" s="35" t="str">
        <f t="shared" si="106"/>
        <v>Farol Amarelo</v>
      </c>
      <c r="H569">
        <f t="shared" si="104"/>
        <v>8173.0899999999965</v>
      </c>
      <c r="I569" s="6">
        <f t="shared" si="105"/>
        <v>4</v>
      </c>
      <c r="J569" s="100">
        <v>34</v>
      </c>
      <c r="K569" s="62">
        <v>1</v>
      </c>
      <c r="L569" s="6">
        <f>$L566+L568</f>
        <v>11.333333333333334</v>
      </c>
      <c r="M569" s="6">
        <f t="shared" si="111"/>
        <v>13</v>
      </c>
      <c r="N569" s="71">
        <v>0</v>
      </c>
      <c r="O569" t="e">
        <f t="shared" si="107"/>
        <v>#DIV/0!</v>
      </c>
      <c r="P569" s="71">
        <v>0</v>
      </c>
      <c r="Q569" t="e">
        <f t="shared" si="108"/>
        <v>#DIV/0!</v>
      </c>
      <c r="R569" s="71">
        <v>0</v>
      </c>
      <c r="S569" s="6" t="e">
        <f t="shared" si="109"/>
        <v>#DIV/0!</v>
      </c>
    </row>
    <row r="570" spans="1:19" x14ac:dyDescent="0.2">
      <c r="A570" s="36" t="s">
        <v>98</v>
      </c>
      <c r="B570" s="6" t="s">
        <v>155</v>
      </c>
      <c r="C570" s="71">
        <v>270000</v>
      </c>
      <c r="D570" s="6">
        <f>(C570/12)*5</f>
        <v>112500</v>
      </c>
      <c r="E570" s="62">
        <v>48429.14</v>
      </c>
      <c r="F570" s="6">
        <f>SUM(E566:E570)</f>
        <v>130256.05</v>
      </c>
      <c r="G570" s="35" t="str">
        <f t="shared" si="106"/>
        <v>Farol Verde</v>
      </c>
      <c r="H570">
        <f t="shared" si="104"/>
        <v>0</v>
      </c>
      <c r="I570" s="6">
        <f t="shared" si="105"/>
        <v>5</v>
      </c>
      <c r="J570" s="100">
        <v>34</v>
      </c>
      <c r="K570" s="62">
        <v>8</v>
      </c>
      <c r="L570" s="6">
        <f>L566+L569</f>
        <v>14.166666666666668</v>
      </c>
      <c r="M570" s="6">
        <f t="shared" si="111"/>
        <v>21</v>
      </c>
      <c r="N570" s="71">
        <v>4</v>
      </c>
      <c r="O570">
        <f t="shared" si="107"/>
        <v>1</v>
      </c>
      <c r="P570" s="71">
        <v>4</v>
      </c>
      <c r="Q570">
        <f t="shared" si="108"/>
        <v>0.5</v>
      </c>
      <c r="R570" s="71">
        <v>2</v>
      </c>
      <c r="S570" s="6">
        <f t="shared" si="109"/>
        <v>0.5</v>
      </c>
    </row>
    <row r="571" spans="1:19" x14ac:dyDescent="0.2">
      <c r="A571" s="36" t="s">
        <v>98</v>
      </c>
      <c r="B571" s="6" t="s">
        <v>156</v>
      </c>
      <c r="C571" s="71">
        <v>270000</v>
      </c>
      <c r="D571" s="6">
        <f>(C571/12)*6</f>
        <v>135000</v>
      </c>
      <c r="E571" s="62">
        <v>32150.959999999999</v>
      </c>
      <c r="F571" s="6">
        <f>SUM(E566:E571)</f>
        <v>162407.01</v>
      </c>
      <c r="G571" s="35" t="str">
        <f t="shared" si="106"/>
        <v>Farol Verde</v>
      </c>
      <c r="H571">
        <f t="shared" si="104"/>
        <v>0</v>
      </c>
      <c r="I571" s="6">
        <f t="shared" si="105"/>
        <v>6</v>
      </c>
      <c r="J571" s="100">
        <v>34</v>
      </c>
      <c r="K571" s="62">
        <v>6</v>
      </c>
      <c r="L571" s="6">
        <f>$L566+L570</f>
        <v>17</v>
      </c>
      <c r="M571" s="6">
        <f t="shared" si="111"/>
        <v>27</v>
      </c>
      <c r="N571" s="71">
        <v>12</v>
      </c>
      <c r="O571">
        <f t="shared" si="107"/>
        <v>0.75</v>
      </c>
      <c r="P571" s="71">
        <v>9</v>
      </c>
      <c r="Q571">
        <f t="shared" si="108"/>
        <v>0.44444444444444442</v>
      </c>
      <c r="R571" s="71">
        <v>4</v>
      </c>
      <c r="S571" s="6">
        <f t="shared" si="109"/>
        <v>0.33333333333333331</v>
      </c>
    </row>
    <row r="572" spans="1:19" x14ac:dyDescent="0.2">
      <c r="A572" s="36" t="s">
        <v>98</v>
      </c>
      <c r="B572" s="6" t="s">
        <v>157</v>
      </c>
      <c r="C572" s="71">
        <v>270000</v>
      </c>
      <c r="D572" s="6">
        <f>(C572/12)*7</f>
        <v>157500</v>
      </c>
      <c r="E572" s="62">
        <v>30316.53</v>
      </c>
      <c r="F572" s="6">
        <f>SUM(E566:E572)</f>
        <v>192723.54</v>
      </c>
      <c r="G572" s="35" t="str">
        <f t="shared" si="106"/>
        <v>Farol Verde</v>
      </c>
      <c r="H572">
        <f t="shared" si="104"/>
        <v>0</v>
      </c>
      <c r="I572" s="6">
        <f t="shared" si="105"/>
        <v>7</v>
      </c>
      <c r="J572" s="100">
        <v>34</v>
      </c>
      <c r="K572" s="62">
        <v>8</v>
      </c>
      <c r="L572" s="6">
        <f>$L566+L571</f>
        <v>19.833333333333332</v>
      </c>
      <c r="M572" s="6">
        <f t="shared" si="111"/>
        <v>35</v>
      </c>
      <c r="N572" s="71"/>
      <c r="O572" t="e">
        <f t="shared" si="107"/>
        <v>#DIV/0!</v>
      </c>
      <c r="P572" s="71"/>
      <c r="Q572" t="e">
        <f t="shared" si="108"/>
        <v>#DIV/0!</v>
      </c>
      <c r="R572" s="71"/>
      <c r="S572" s="6" t="e">
        <f t="shared" si="109"/>
        <v>#DIV/0!</v>
      </c>
    </row>
    <row r="573" spans="1:19" x14ac:dyDescent="0.2">
      <c r="A573" s="36" t="s">
        <v>98</v>
      </c>
      <c r="B573" s="6" t="s">
        <v>158</v>
      </c>
      <c r="C573" s="71">
        <v>270000</v>
      </c>
      <c r="D573" s="6">
        <f>(C573/12)*8</f>
        <v>180000</v>
      </c>
      <c r="E573" s="62">
        <v>0</v>
      </c>
      <c r="F573" s="6">
        <f>SUM(E566:E573)</f>
        <v>192723.54</v>
      </c>
      <c r="G573" s="35" t="str">
        <f t="shared" si="106"/>
        <v>Farol Verde</v>
      </c>
      <c r="H573">
        <f t="shared" si="104"/>
        <v>0</v>
      </c>
      <c r="I573" s="6">
        <f t="shared" si="105"/>
        <v>8</v>
      </c>
      <c r="J573" s="100">
        <v>34</v>
      </c>
      <c r="K573" s="62"/>
      <c r="L573" s="6">
        <f>L566+L572</f>
        <v>22.666666666666664</v>
      </c>
      <c r="M573" s="6">
        <f t="shared" si="111"/>
        <v>35</v>
      </c>
      <c r="N573" s="71"/>
      <c r="O573" t="e">
        <f t="shared" si="107"/>
        <v>#DIV/0!</v>
      </c>
      <c r="P573" s="71"/>
      <c r="Q573" t="e">
        <f t="shared" si="108"/>
        <v>#DIV/0!</v>
      </c>
      <c r="R573" s="71"/>
      <c r="S573" s="6" t="e">
        <f t="shared" si="109"/>
        <v>#DIV/0!</v>
      </c>
    </row>
    <row r="574" spans="1:19" x14ac:dyDescent="0.2">
      <c r="A574" s="36" t="s">
        <v>98</v>
      </c>
      <c r="B574" s="6" t="s">
        <v>159</v>
      </c>
      <c r="C574" s="71">
        <v>270000</v>
      </c>
      <c r="D574" s="6">
        <f>(C574/12)*9</f>
        <v>202500</v>
      </c>
      <c r="E574" s="62">
        <v>0</v>
      </c>
      <c r="F574" s="6">
        <f>SUM(E566:E574)</f>
        <v>192723.54</v>
      </c>
      <c r="G574" s="35" t="str">
        <f t="shared" si="106"/>
        <v>Farol Amarelo</v>
      </c>
      <c r="H574">
        <f t="shared" si="104"/>
        <v>9776.4599999999919</v>
      </c>
      <c r="I574" s="6">
        <f t="shared" si="105"/>
        <v>9</v>
      </c>
      <c r="J574" s="100">
        <v>34</v>
      </c>
      <c r="K574" s="62"/>
      <c r="L574" s="6">
        <f>$L566+L573</f>
        <v>25.499999999999996</v>
      </c>
      <c r="M574" s="6">
        <f t="shared" si="111"/>
        <v>35</v>
      </c>
      <c r="N574" s="71"/>
      <c r="O574" t="e">
        <f t="shared" si="107"/>
        <v>#DIV/0!</v>
      </c>
      <c r="P574" s="71"/>
      <c r="Q574" t="e">
        <f t="shared" si="108"/>
        <v>#DIV/0!</v>
      </c>
      <c r="R574" s="71"/>
      <c r="S574" s="6" t="e">
        <f t="shared" si="109"/>
        <v>#DIV/0!</v>
      </c>
    </row>
    <row r="575" spans="1:19" x14ac:dyDescent="0.2">
      <c r="A575" s="36" t="s">
        <v>98</v>
      </c>
      <c r="B575" s="6" t="s">
        <v>160</v>
      </c>
      <c r="C575" s="71">
        <v>270000</v>
      </c>
      <c r="D575" s="6">
        <f>(C575/12)*10</f>
        <v>225000</v>
      </c>
      <c r="E575" s="62">
        <v>0</v>
      </c>
      <c r="F575" s="6">
        <f>SUM(E566:E575)</f>
        <v>192723.54</v>
      </c>
      <c r="G575" s="35" t="str">
        <f t="shared" si="106"/>
        <v>Farol Amarelo</v>
      </c>
      <c r="H575">
        <f t="shared" si="104"/>
        <v>32276.459999999992</v>
      </c>
      <c r="I575" s="6">
        <f t="shared" si="105"/>
        <v>10</v>
      </c>
      <c r="J575" s="100">
        <v>34</v>
      </c>
      <c r="K575" s="62"/>
      <c r="L575" s="6">
        <f>$L566+L574</f>
        <v>28.333333333333329</v>
      </c>
      <c r="M575" s="6">
        <f t="shared" si="111"/>
        <v>35</v>
      </c>
      <c r="N575" s="71"/>
      <c r="O575" t="e">
        <f t="shared" si="107"/>
        <v>#DIV/0!</v>
      </c>
      <c r="P575" s="71"/>
      <c r="Q575" t="e">
        <f t="shared" si="108"/>
        <v>#DIV/0!</v>
      </c>
      <c r="R575" s="71"/>
      <c r="S575" s="6" t="e">
        <f t="shared" si="109"/>
        <v>#DIV/0!</v>
      </c>
    </row>
    <row r="576" spans="1:19" x14ac:dyDescent="0.2">
      <c r="A576" s="36" t="s">
        <v>98</v>
      </c>
      <c r="B576" s="6" t="s">
        <v>161</v>
      </c>
      <c r="C576" s="71">
        <v>270000</v>
      </c>
      <c r="D576" s="6">
        <f>(C576/12)*11</f>
        <v>247500</v>
      </c>
      <c r="E576" s="62">
        <v>0</v>
      </c>
      <c r="F576" s="6">
        <f>SUM(E566:E576)</f>
        <v>192723.54</v>
      </c>
      <c r="G576" s="35" t="str">
        <f t="shared" si="106"/>
        <v>Farol Vermelho</v>
      </c>
      <c r="H576">
        <f t="shared" si="104"/>
        <v>54776.459999999992</v>
      </c>
      <c r="I576" s="6">
        <f t="shared" si="105"/>
        <v>11</v>
      </c>
      <c r="J576" s="100">
        <v>34</v>
      </c>
      <c r="K576" s="62"/>
      <c r="L576" s="6">
        <f>L566+L575</f>
        <v>31.166666666666661</v>
      </c>
      <c r="M576" s="6">
        <f t="shared" si="111"/>
        <v>35</v>
      </c>
      <c r="N576" s="71"/>
      <c r="O576" t="e">
        <f t="shared" si="107"/>
        <v>#DIV/0!</v>
      </c>
      <c r="P576" s="71"/>
      <c r="Q576" t="e">
        <f t="shared" si="108"/>
        <v>#DIV/0!</v>
      </c>
      <c r="R576" s="71"/>
      <c r="S576" s="6" t="e">
        <f t="shared" si="109"/>
        <v>#DIV/0!</v>
      </c>
    </row>
    <row r="577" spans="1:19" x14ac:dyDescent="0.2">
      <c r="A577" s="36" t="s">
        <v>98</v>
      </c>
      <c r="B577" s="6" t="s">
        <v>162</v>
      </c>
      <c r="C577" s="71">
        <v>270000</v>
      </c>
      <c r="D577" s="6">
        <f>(C577/12)*12</f>
        <v>270000</v>
      </c>
      <c r="E577" s="62">
        <v>0</v>
      </c>
      <c r="F577" s="6">
        <f>SUM(E566:E577)</f>
        <v>192723.54</v>
      </c>
      <c r="G577" s="35" t="str">
        <f t="shared" si="106"/>
        <v>Farol Vermelho</v>
      </c>
      <c r="H577">
        <f t="shared" si="104"/>
        <v>77276.459999999992</v>
      </c>
      <c r="I577" s="6">
        <f t="shared" si="105"/>
        <v>12</v>
      </c>
      <c r="J577" s="100">
        <v>34</v>
      </c>
      <c r="K577" s="62"/>
      <c r="L577" s="6">
        <f>$L566+L576</f>
        <v>33.999999999999993</v>
      </c>
      <c r="M577" s="6">
        <f t="shared" si="111"/>
        <v>35</v>
      </c>
      <c r="N577" s="71"/>
      <c r="O577" t="e">
        <f t="shared" si="107"/>
        <v>#DIV/0!</v>
      </c>
      <c r="P577" s="71"/>
      <c r="Q577" t="e">
        <f t="shared" si="108"/>
        <v>#DIV/0!</v>
      </c>
      <c r="R577" s="71"/>
      <c r="S577" s="6" t="e">
        <f t="shared" si="109"/>
        <v>#DIV/0!</v>
      </c>
    </row>
    <row r="578" spans="1:19" x14ac:dyDescent="0.2">
      <c r="A578" s="36" t="s">
        <v>109</v>
      </c>
      <c r="B578" s="6" t="s">
        <v>151</v>
      </c>
      <c r="C578" s="71">
        <v>6600</v>
      </c>
      <c r="D578" s="6">
        <f>(C578/12)*1</f>
        <v>550</v>
      </c>
      <c r="E578" s="62">
        <v>0</v>
      </c>
      <c r="F578" s="6">
        <f>E578</f>
        <v>0</v>
      </c>
      <c r="G578" s="35" t="str">
        <f t="shared" si="106"/>
        <v>Farol Vermelho</v>
      </c>
      <c r="H578">
        <f t="shared" si="104"/>
        <v>550</v>
      </c>
      <c r="I578" s="6">
        <f t="shared" si="105"/>
        <v>1</v>
      </c>
      <c r="J578" s="100">
        <v>2</v>
      </c>
      <c r="K578" s="62">
        <v>0</v>
      </c>
      <c r="L578" s="6">
        <f>J578/12</f>
        <v>0.16666666666666666</v>
      </c>
      <c r="M578" s="6">
        <f>K578</f>
        <v>0</v>
      </c>
      <c r="N578" s="71">
        <v>0</v>
      </c>
      <c r="O578" t="e">
        <f t="shared" si="107"/>
        <v>#DIV/0!</v>
      </c>
      <c r="P578" s="71">
        <v>0</v>
      </c>
      <c r="Q578" t="e">
        <f t="shared" si="108"/>
        <v>#DIV/0!</v>
      </c>
      <c r="R578" s="71">
        <v>0</v>
      </c>
      <c r="S578" s="6" t="e">
        <f t="shared" si="109"/>
        <v>#DIV/0!</v>
      </c>
    </row>
    <row r="579" spans="1:19" x14ac:dyDescent="0.2">
      <c r="A579" s="36" t="s">
        <v>109</v>
      </c>
      <c r="B579" s="6" t="s">
        <v>152</v>
      </c>
      <c r="C579" s="71">
        <v>6600</v>
      </c>
      <c r="D579" s="6">
        <f>(C579/12)*2</f>
        <v>1100</v>
      </c>
      <c r="E579" s="62">
        <v>0</v>
      </c>
      <c r="F579" s="6">
        <f>SUM(E578:E579)</f>
        <v>0</v>
      </c>
      <c r="G579" s="35" t="str">
        <f t="shared" si="106"/>
        <v>Farol Vermelho</v>
      </c>
      <c r="H579">
        <f t="shared" si="104"/>
        <v>1100</v>
      </c>
      <c r="I579" s="6">
        <f t="shared" si="105"/>
        <v>2</v>
      </c>
      <c r="J579" s="100">
        <v>2</v>
      </c>
      <c r="K579" s="62">
        <v>0</v>
      </c>
      <c r="L579" s="6">
        <f>L578+L578</f>
        <v>0.33333333333333331</v>
      </c>
      <c r="M579" s="6">
        <f>M578+K579</f>
        <v>0</v>
      </c>
      <c r="N579" s="71">
        <v>0</v>
      </c>
      <c r="O579" t="e">
        <f t="shared" si="107"/>
        <v>#DIV/0!</v>
      </c>
      <c r="P579" s="71">
        <v>0</v>
      </c>
      <c r="Q579" t="e">
        <f t="shared" si="108"/>
        <v>#DIV/0!</v>
      </c>
      <c r="R579" s="71">
        <v>0</v>
      </c>
      <c r="S579" s="6" t="e">
        <f t="shared" si="109"/>
        <v>#DIV/0!</v>
      </c>
    </row>
    <row r="580" spans="1:19" x14ac:dyDescent="0.2">
      <c r="A580" s="36" t="s">
        <v>109</v>
      </c>
      <c r="B580" s="6" t="s">
        <v>153</v>
      </c>
      <c r="C580" s="71">
        <v>6600</v>
      </c>
      <c r="D580" s="6">
        <f>(C580/12)*3</f>
        <v>1650</v>
      </c>
      <c r="E580" s="62">
        <v>0</v>
      </c>
      <c r="F580" s="6">
        <f>SUM(E578:E580)</f>
        <v>0</v>
      </c>
      <c r="G580" s="35" t="str">
        <f t="shared" si="106"/>
        <v>Farol Vermelho</v>
      </c>
      <c r="H580">
        <f t="shared" si="104"/>
        <v>1650</v>
      </c>
      <c r="I580" s="6">
        <f t="shared" si="105"/>
        <v>3</v>
      </c>
      <c r="J580" s="100">
        <v>2</v>
      </c>
      <c r="K580" s="62">
        <v>0</v>
      </c>
      <c r="L580" s="6">
        <f>$L578+L579</f>
        <v>0.5</v>
      </c>
      <c r="M580" s="6">
        <f t="shared" ref="M580:M589" si="112">M579+K580</f>
        <v>0</v>
      </c>
      <c r="N580" s="71">
        <v>0</v>
      </c>
      <c r="O580" t="e">
        <f t="shared" si="107"/>
        <v>#DIV/0!</v>
      </c>
      <c r="P580" s="71">
        <v>0</v>
      </c>
      <c r="Q580" t="e">
        <f t="shared" si="108"/>
        <v>#DIV/0!</v>
      </c>
      <c r="R580" s="71">
        <v>0</v>
      </c>
      <c r="S580" s="6" t="e">
        <f t="shared" si="109"/>
        <v>#DIV/0!</v>
      </c>
    </row>
    <row r="581" spans="1:19" x14ac:dyDescent="0.2">
      <c r="A581" s="36" t="s">
        <v>109</v>
      </c>
      <c r="B581" s="6" t="s">
        <v>154</v>
      </c>
      <c r="C581" s="71">
        <v>6600</v>
      </c>
      <c r="D581" s="6">
        <f>(C581/12)*4</f>
        <v>2200</v>
      </c>
      <c r="E581" s="62">
        <v>0</v>
      </c>
      <c r="F581" s="6">
        <f>SUM(E578:E581)</f>
        <v>0</v>
      </c>
      <c r="G581" s="35" t="str">
        <f t="shared" si="106"/>
        <v>Farol Vermelho</v>
      </c>
      <c r="H581">
        <f t="shared" si="104"/>
        <v>2200</v>
      </c>
      <c r="I581" s="6">
        <f t="shared" si="105"/>
        <v>4</v>
      </c>
      <c r="J581" s="100">
        <v>2</v>
      </c>
      <c r="K581" s="62">
        <v>0</v>
      </c>
      <c r="L581" s="6">
        <f>$L578+L580</f>
        <v>0.66666666666666663</v>
      </c>
      <c r="M581" s="6">
        <f t="shared" si="112"/>
        <v>0</v>
      </c>
      <c r="N581" s="71">
        <v>0</v>
      </c>
      <c r="O581" t="e">
        <f t="shared" si="107"/>
        <v>#DIV/0!</v>
      </c>
      <c r="P581" s="71">
        <v>0</v>
      </c>
      <c r="Q581" t="e">
        <f t="shared" si="108"/>
        <v>#DIV/0!</v>
      </c>
      <c r="R581" s="71">
        <v>0</v>
      </c>
      <c r="S581" s="6" t="e">
        <f t="shared" si="109"/>
        <v>#DIV/0!</v>
      </c>
    </row>
    <row r="582" spans="1:19" x14ac:dyDescent="0.2">
      <c r="A582" s="36" t="s">
        <v>109</v>
      </c>
      <c r="B582" s="6" t="s">
        <v>155</v>
      </c>
      <c r="C582" s="71">
        <v>6600</v>
      </c>
      <c r="D582" s="6">
        <f>(C582/12)*5</f>
        <v>2750</v>
      </c>
      <c r="E582" s="62">
        <v>0</v>
      </c>
      <c r="F582" s="6">
        <f>SUM(E578:E582)</f>
        <v>0</v>
      </c>
      <c r="G582" s="35" t="str">
        <f t="shared" si="106"/>
        <v>Farol Vermelho</v>
      </c>
      <c r="H582">
        <f t="shared" si="104"/>
        <v>2750</v>
      </c>
      <c r="I582" s="6">
        <f t="shared" si="105"/>
        <v>5</v>
      </c>
      <c r="J582" s="100">
        <v>2</v>
      </c>
      <c r="K582" s="62">
        <v>0</v>
      </c>
      <c r="L582" s="6">
        <f>L578+L581</f>
        <v>0.83333333333333326</v>
      </c>
      <c r="M582" s="6">
        <f t="shared" si="112"/>
        <v>0</v>
      </c>
      <c r="N582" s="71">
        <v>0</v>
      </c>
      <c r="O582" t="e">
        <f t="shared" si="107"/>
        <v>#DIV/0!</v>
      </c>
      <c r="P582" s="71">
        <v>0</v>
      </c>
      <c r="Q582" t="e">
        <f t="shared" si="108"/>
        <v>#DIV/0!</v>
      </c>
      <c r="R582" s="71">
        <v>0</v>
      </c>
      <c r="S582" s="6" t="e">
        <f t="shared" si="109"/>
        <v>#DIV/0!</v>
      </c>
    </row>
    <row r="583" spans="1:19" x14ac:dyDescent="0.2">
      <c r="A583" s="36" t="s">
        <v>109</v>
      </c>
      <c r="B583" s="6" t="s">
        <v>156</v>
      </c>
      <c r="C583" s="71">
        <v>6600</v>
      </c>
      <c r="D583" s="6">
        <f>(C583/12)*6</f>
        <v>3300</v>
      </c>
      <c r="E583" s="62">
        <v>0</v>
      </c>
      <c r="F583" s="6">
        <f>SUM(E578:E583)</f>
        <v>0</v>
      </c>
      <c r="G583" s="35" t="str">
        <f t="shared" si="106"/>
        <v>Farol Vermelho</v>
      </c>
      <c r="H583">
        <f t="shared" si="104"/>
        <v>3300</v>
      </c>
      <c r="I583" s="6">
        <f t="shared" si="105"/>
        <v>6</v>
      </c>
      <c r="J583" s="100">
        <v>2</v>
      </c>
      <c r="K583" s="62">
        <v>0</v>
      </c>
      <c r="L583" s="6">
        <f>$L578+L582</f>
        <v>0.99999999999999989</v>
      </c>
      <c r="M583" s="6">
        <f t="shared" si="112"/>
        <v>0</v>
      </c>
      <c r="N583" s="71">
        <v>0</v>
      </c>
      <c r="O583" t="e">
        <f t="shared" si="107"/>
        <v>#DIV/0!</v>
      </c>
      <c r="P583" s="71">
        <v>0</v>
      </c>
      <c r="Q583" t="e">
        <f t="shared" si="108"/>
        <v>#DIV/0!</v>
      </c>
      <c r="R583" s="71">
        <v>0</v>
      </c>
      <c r="S583" s="6" t="e">
        <f t="shared" si="109"/>
        <v>#DIV/0!</v>
      </c>
    </row>
    <row r="584" spans="1:19" x14ac:dyDescent="0.2">
      <c r="A584" s="36" t="s">
        <v>109</v>
      </c>
      <c r="B584" s="6" t="s">
        <v>157</v>
      </c>
      <c r="C584" s="71">
        <v>6600</v>
      </c>
      <c r="D584" s="6">
        <f>(C584/12)*7</f>
        <v>3850</v>
      </c>
      <c r="E584" s="62">
        <v>0</v>
      </c>
      <c r="F584" s="6">
        <f>SUM(E578:E584)</f>
        <v>0</v>
      </c>
      <c r="G584" s="35" t="str">
        <f t="shared" si="106"/>
        <v>Farol Vermelho</v>
      </c>
      <c r="H584">
        <f t="shared" si="104"/>
        <v>3850</v>
      </c>
      <c r="I584" s="6">
        <f t="shared" si="105"/>
        <v>7</v>
      </c>
      <c r="J584" s="100">
        <v>2</v>
      </c>
      <c r="K584" s="62">
        <v>0</v>
      </c>
      <c r="L584" s="6">
        <f>$L578+L583</f>
        <v>1.1666666666666665</v>
      </c>
      <c r="M584" s="6">
        <f t="shared" si="112"/>
        <v>0</v>
      </c>
      <c r="N584" s="71"/>
      <c r="O584" t="e">
        <f t="shared" si="107"/>
        <v>#DIV/0!</v>
      </c>
      <c r="P584" s="71"/>
      <c r="Q584" t="e">
        <f t="shared" si="108"/>
        <v>#DIV/0!</v>
      </c>
      <c r="R584" s="71"/>
      <c r="S584" s="6" t="e">
        <f t="shared" si="109"/>
        <v>#DIV/0!</v>
      </c>
    </row>
    <row r="585" spans="1:19" x14ac:dyDescent="0.2">
      <c r="A585" s="36" t="s">
        <v>109</v>
      </c>
      <c r="B585" s="6" t="s">
        <v>158</v>
      </c>
      <c r="C585" s="71">
        <v>6600</v>
      </c>
      <c r="D585" s="6">
        <f>(C585/12)*8</f>
        <v>4400</v>
      </c>
      <c r="E585" s="62">
        <v>0</v>
      </c>
      <c r="F585" s="6">
        <f>SUM(E578:E585)</f>
        <v>0</v>
      </c>
      <c r="G585" s="35" t="str">
        <f t="shared" si="106"/>
        <v>Farol Vermelho</v>
      </c>
      <c r="H585">
        <f t="shared" si="104"/>
        <v>4400</v>
      </c>
      <c r="I585" s="6">
        <f t="shared" si="105"/>
        <v>8</v>
      </c>
      <c r="J585" s="100">
        <v>2</v>
      </c>
      <c r="K585" s="62"/>
      <c r="L585" s="6">
        <f>L578+L584</f>
        <v>1.3333333333333333</v>
      </c>
      <c r="M585" s="6">
        <f t="shared" si="112"/>
        <v>0</v>
      </c>
      <c r="N585" s="71"/>
      <c r="O585" t="e">
        <f t="shared" si="107"/>
        <v>#DIV/0!</v>
      </c>
      <c r="P585" s="71"/>
      <c r="Q585" t="e">
        <f t="shared" si="108"/>
        <v>#DIV/0!</v>
      </c>
      <c r="R585" s="71"/>
      <c r="S585" s="6" t="e">
        <f t="shared" si="109"/>
        <v>#DIV/0!</v>
      </c>
    </row>
    <row r="586" spans="1:19" x14ac:dyDescent="0.2">
      <c r="A586" s="36" t="s">
        <v>109</v>
      </c>
      <c r="B586" s="6" t="s">
        <v>159</v>
      </c>
      <c r="C586" s="71">
        <v>6600</v>
      </c>
      <c r="D586" s="6">
        <f>(C586/12)*9</f>
        <v>4950</v>
      </c>
      <c r="E586" s="62">
        <v>0</v>
      </c>
      <c r="F586" s="6">
        <f>SUM(E578:E586)</f>
        <v>0</v>
      </c>
      <c r="G586" s="35" t="str">
        <f t="shared" si="106"/>
        <v>Farol Vermelho</v>
      </c>
      <c r="H586">
        <f t="shared" si="104"/>
        <v>4950</v>
      </c>
      <c r="I586" s="6">
        <f t="shared" si="105"/>
        <v>9</v>
      </c>
      <c r="J586" s="100">
        <v>2</v>
      </c>
      <c r="K586" s="62"/>
      <c r="L586" s="6">
        <f>$L578+L585</f>
        <v>1.5</v>
      </c>
      <c r="M586" s="6">
        <f t="shared" si="112"/>
        <v>0</v>
      </c>
      <c r="N586" s="71"/>
      <c r="O586" t="e">
        <f t="shared" si="107"/>
        <v>#DIV/0!</v>
      </c>
      <c r="P586" s="71"/>
      <c r="Q586" t="e">
        <f t="shared" si="108"/>
        <v>#DIV/0!</v>
      </c>
      <c r="R586" s="71"/>
      <c r="S586" s="6" t="e">
        <f t="shared" si="109"/>
        <v>#DIV/0!</v>
      </c>
    </row>
    <row r="587" spans="1:19" x14ac:dyDescent="0.2">
      <c r="A587" s="36" t="s">
        <v>109</v>
      </c>
      <c r="B587" s="6" t="s">
        <v>160</v>
      </c>
      <c r="C587" s="71">
        <v>6600</v>
      </c>
      <c r="D587" s="6">
        <f>(C587/12)*10</f>
        <v>5500</v>
      </c>
      <c r="E587" s="62">
        <v>0</v>
      </c>
      <c r="F587" s="6">
        <f>SUM(E578:E587)</f>
        <v>0</v>
      </c>
      <c r="G587" s="35" t="str">
        <f t="shared" si="106"/>
        <v>Farol Vermelho</v>
      </c>
      <c r="H587">
        <f t="shared" si="104"/>
        <v>5500</v>
      </c>
      <c r="I587" s="6">
        <f t="shared" si="105"/>
        <v>10</v>
      </c>
      <c r="J587" s="100">
        <v>2</v>
      </c>
      <c r="K587" s="62"/>
      <c r="L587" s="6">
        <f>$L578+L586</f>
        <v>1.6666666666666667</v>
      </c>
      <c r="M587" s="6">
        <f t="shared" si="112"/>
        <v>0</v>
      </c>
      <c r="N587" s="71"/>
      <c r="O587" t="e">
        <f t="shared" si="107"/>
        <v>#DIV/0!</v>
      </c>
      <c r="P587" s="71"/>
      <c r="Q587" t="e">
        <f t="shared" si="108"/>
        <v>#DIV/0!</v>
      </c>
      <c r="R587" s="71"/>
      <c r="S587" s="6" t="e">
        <f t="shared" si="109"/>
        <v>#DIV/0!</v>
      </c>
    </row>
    <row r="588" spans="1:19" x14ac:dyDescent="0.2">
      <c r="A588" s="36" t="s">
        <v>109</v>
      </c>
      <c r="B588" s="6" t="s">
        <v>161</v>
      </c>
      <c r="C588" s="71">
        <v>6600</v>
      </c>
      <c r="D588" s="6">
        <f>(C588/12)*11</f>
        <v>6050</v>
      </c>
      <c r="E588" s="62">
        <v>0</v>
      </c>
      <c r="F588" s="6">
        <f>SUM(E578:E588)</f>
        <v>0</v>
      </c>
      <c r="G588" s="35" t="str">
        <f t="shared" si="106"/>
        <v>Farol Vermelho</v>
      </c>
      <c r="H588">
        <f t="shared" si="104"/>
        <v>6050</v>
      </c>
      <c r="I588" s="6">
        <f t="shared" si="105"/>
        <v>11</v>
      </c>
      <c r="J588" s="100">
        <v>2</v>
      </c>
      <c r="K588" s="62"/>
      <c r="L588" s="6">
        <f>L578+L587</f>
        <v>1.8333333333333335</v>
      </c>
      <c r="M588" s="6">
        <f t="shared" si="112"/>
        <v>0</v>
      </c>
      <c r="N588" s="71"/>
      <c r="O588" t="e">
        <f t="shared" si="107"/>
        <v>#DIV/0!</v>
      </c>
      <c r="P588" s="71"/>
      <c r="Q588" t="e">
        <f t="shared" si="108"/>
        <v>#DIV/0!</v>
      </c>
      <c r="R588" s="71"/>
      <c r="S588" s="6" t="e">
        <f t="shared" si="109"/>
        <v>#DIV/0!</v>
      </c>
    </row>
    <row r="589" spans="1:19" x14ac:dyDescent="0.2">
      <c r="A589" s="36" t="s">
        <v>109</v>
      </c>
      <c r="B589" s="6" t="s">
        <v>162</v>
      </c>
      <c r="C589" s="71">
        <v>6600</v>
      </c>
      <c r="D589" s="6">
        <f>(C589/12)*12</f>
        <v>6600</v>
      </c>
      <c r="E589" s="62">
        <v>0</v>
      </c>
      <c r="F589" s="6">
        <f>SUM(E578:E589)</f>
        <v>0</v>
      </c>
      <c r="G589" s="35" t="str">
        <f t="shared" si="106"/>
        <v>Farol Vermelho</v>
      </c>
      <c r="H589">
        <f t="shared" si="104"/>
        <v>6600</v>
      </c>
      <c r="I589" s="6">
        <f t="shared" si="105"/>
        <v>12</v>
      </c>
      <c r="J589" s="101">
        <v>2</v>
      </c>
      <c r="K589" s="62"/>
      <c r="L589" s="6">
        <f>$L578+L588</f>
        <v>2</v>
      </c>
      <c r="M589" s="6">
        <f t="shared" si="112"/>
        <v>0</v>
      </c>
      <c r="N589" s="71"/>
      <c r="O589" t="e">
        <f t="shared" si="107"/>
        <v>#DIV/0!</v>
      </c>
      <c r="P589" s="71"/>
      <c r="Q589" t="e">
        <f t="shared" si="108"/>
        <v>#DIV/0!</v>
      </c>
      <c r="R589" s="71"/>
      <c r="S589" s="6" t="e">
        <f t="shared" si="109"/>
        <v>#DIV/0!</v>
      </c>
    </row>
    <row r="590" spans="1:19" x14ac:dyDescent="0.2">
      <c r="A590" s="36" t="s">
        <v>111</v>
      </c>
      <c r="B590" s="6" t="s">
        <v>151</v>
      </c>
      <c r="C590" s="71">
        <v>0</v>
      </c>
      <c r="D590" s="6">
        <f>(C590/12)*1</f>
        <v>0</v>
      </c>
      <c r="E590" s="62">
        <v>0</v>
      </c>
      <c r="F590" s="6">
        <f>E590</f>
        <v>0</v>
      </c>
      <c r="G590" s="35" t="str">
        <f t="shared" si="106"/>
        <v>Farol Amarelo</v>
      </c>
      <c r="H590">
        <f t="shared" ref="H590:H601" si="113">IF(D590-F590&lt;0,0,D590-F590)</f>
        <v>0</v>
      </c>
      <c r="I590" s="6">
        <f t="shared" ref="I590:I601" si="114">_xlfn.IFS(B590="Janeiro",1,B590="Fevereiro",2,B590="Março",3,B590="Abril",4,B590="Maio",5,B590="Junho",6,B590="Julho",7,B590="Agosto",8,B590="Setembro",9,B590="Outubro",10,B590="Novembro",11,B590="Dezembro",12,TRUE,0)</f>
        <v>1</v>
      </c>
      <c r="J590" s="101">
        <v>0</v>
      </c>
      <c r="K590" s="62">
        <v>0</v>
      </c>
      <c r="L590" s="6">
        <f>J590/12</f>
        <v>0</v>
      </c>
      <c r="M590" s="6">
        <f>K590</f>
        <v>0</v>
      </c>
      <c r="N590" s="71">
        <v>0</v>
      </c>
      <c r="O590" t="e">
        <f t="shared" si="107"/>
        <v>#DIV/0!</v>
      </c>
      <c r="P590" s="71">
        <v>0</v>
      </c>
      <c r="Q590" t="e">
        <f t="shared" si="108"/>
        <v>#DIV/0!</v>
      </c>
      <c r="R590" s="71">
        <v>0</v>
      </c>
      <c r="S590" s="6" t="e">
        <f t="shared" si="109"/>
        <v>#DIV/0!</v>
      </c>
    </row>
    <row r="591" spans="1:19" x14ac:dyDescent="0.2">
      <c r="A591" s="36" t="s">
        <v>111</v>
      </c>
      <c r="B591" s="6" t="s">
        <v>152</v>
      </c>
      <c r="C591" s="71">
        <v>0</v>
      </c>
      <c r="D591" s="6">
        <f>(C591/12)*2</f>
        <v>0</v>
      </c>
      <c r="E591" s="62">
        <v>0</v>
      </c>
      <c r="F591" s="6">
        <f>SUM(E590:E591)</f>
        <v>0</v>
      </c>
      <c r="G591" s="35" t="str">
        <f t="shared" si="106"/>
        <v>Farol Amarelo</v>
      </c>
      <c r="H591">
        <f t="shared" si="113"/>
        <v>0</v>
      </c>
      <c r="I591" s="6">
        <f t="shared" si="114"/>
        <v>2</v>
      </c>
      <c r="J591" s="101">
        <v>0</v>
      </c>
      <c r="K591" s="62">
        <v>0</v>
      </c>
      <c r="L591" s="6">
        <f>L590+L590</f>
        <v>0</v>
      </c>
      <c r="M591" s="6">
        <f>M590+K591</f>
        <v>0</v>
      </c>
      <c r="N591" s="71">
        <v>0</v>
      </c>
      <c r="O591" t="e">
        <f t="shared" si="107"/>
        <v>#DIV/0!</v>
      </c>
      <c r="P591" s="71">
        <v>0</v>
      </c>
      <c r="Q591" t="e">
        <f t="shared" si="108"/>
        <v>#DIV/0!</v>
      </c>
      <c r="R591" s="71">
        <v>0</v>
      </c>
      <c r="S591" s="6" t="e">
        <f t="shared" si="109"/>
        <v>#DIV/0!</v>
      </c>
    </row>
    <row r="592" spans="1:19" x14ac:dyDescent="0.2">
      <c r="A592" s="36" t="s">
        <v>111</v>
      </c>
      <c r="B592" s="6" t="s">
        <v>153</v>
      </c>
      <c r="C592" s="71">
        <v>0</v>
      </c>
      <c r="D592" s="6">
        <f>(C592/12)*3</f>
        <v>0</v>
      </c>
      <c r="E592" s="62">
        <v>0</v>
      </c>
      <c r="F592" s="6">
        <f>SUM(E590:E592)</f>
        <v>0</v>
      </c>
      <c r="G592" s="35" t="str">
        <f t="shared" si="106"/>
        <v>Farol Amarelo</v>
      </c>
      <c r="H592">
        <f t="shared" si="113"/>
        <v>0</v>
      </c>
      <c r="I592" s="6">
        <f t="shared" si="114"/>
        <v>3</v>
      </c>
      <c r="J592" s="101">
        <v>0</v>
      </c>
      <c r="K592" s="62">
        <v>0</v>
      </c>
      <c r="L592" s="6">
        <f>$L590+L591</f>
        <v>0</v>
      </c>
      <c r="M592" s="6">
        <f t="shared" ref="M592:M601" si="115">M591+K592</f>
        <v>0</v>
      </c>
      <c r="N592" s="71">
        <v>0</v>
      </c>
      <c r="O592" t="e">
        <f t="shared" si="107"/>
        <v>#DIV/0!</v>
      </c>
      <c r="P592" s="71">
        <v>0</v>
      </c>
      <c r="Q592" t="e">
        <f t="shared" si="108"/>
        <v>#DIV/0!</v>
      </c>
      <c r="R592" s="71">
        <v>0</v>
      </c>
      <c r="S592" s="6" t="e">
        <f t="shared" si="109"/>
        <v>#DIV/0!</v>
      </c>
    </row>
    <row r="593" spans="1:19" x14ac:dyDescent="0.2">
      <c r="A593" s="36" t="s">
        <v>111</v>
      </c>
      <c r="B593" s="6" t="s">
        <v>154</v>
      </c>
      <c r="C593" s="71">
        <v>0</v>
      </c>
      <c r="D593" s="6">
        <f>(C593/12)*4</f>
        <v>0</v>
      </c>
      <c r="E593" s="62">
        <v>1200</v>
      </c>
      <c r="F593" s="6">
        <f>SUM(E590:E593)</f>
        <v>1200</v>
      </c>
      <c r="G593" s="35" t="str">
        <f t="shared" si="106"/>
        <v>Farol Verde</v>
      </c>
      <c r="H593">
        <f t="shared" si="113"/>
        <v>0</v>
      </c>
      <c r="I593" s="6">
        <f t="shared" si="114"/>
        <v>4</v>
      </c>
      <c r="J593" s="101">
        <v>0</v>
      </c>
      <c r="K593" s="62">
        <v>1</v>
      </c>
      <c r="L593" s="6">
        <f>$L590+L592</f>
        <v>0</v>
      </c>
      <c r="M593" s="6">
        <f t="shared" si="115"/>
        <v>1</v>
      </c>
      <c r="N593" s="71">
        <v>0</v>
      </c>
      <c r="O593" t="e">
        <f t="shared" si="107"/>
        <v>#DIV/0!</v>
      </c>
      <c r="P593" s="71">
        <v>0</v>
      </c>
      <c r="Q593" t="e">
        <f t="shared" si="108"/>
        <v>#DIV/0!</v>
      </c>
      <c r="R593" s="71">
        <v>0</v>
      </c>
      <c r="S593" s="6" t="e">
        <f t="shared" si="109"/>
        <v>#DIV/0!</v>
      </c>
    </row>
    <row r="594" spans="1:19" x14ac:dyDescent="0.2">
      <c r="A594" s="36" t="s">
        <v>111</v>
      </c>
      <c r="B594" s="6" t="s">
        <v>155</v>
      </c>
      <c r="C594" s="71">
        <v>0</v>
      </c>
      <c r="D594" s="6">
        <f>(C594/12)*5</f>
        <v>0</v>
      </c>
      <c r="E594" s="62">
        <v>3045</v>
      </c>
      <c r="F594" s="6">
        <f>SUM(E590:E594)</f>
        <v>4245</v>
      </c>
      <c r="G594" s="35" t="str">
        <f t="shared" si="106"/>
        <v>Farol Verde</v>
      </c>
      <c r="H594">
        <f t="shared" si="113"/>
        <v>0</v>
      </c>
      <c r="I594" s="6">
        <f t="shared" si="114"/>
        <v>5</v>
      </c>
      <c r="J594" s="101">
        <v>0</v>
      </c>
      <c r="K594" s="62">
        <v>1</v>
      </c>
      <c r="L594" s="6">
        <f>L590+L593</f>
        <v>0</v>
      </c>
      <c r="M594" s="6">
        <f t="shared" si="115"/>
        <v>2</v>
      </c>
      <c r="N594" s="71">
        <v>0</v>
      </c>
      <c r="O594" t="e">
        <f t="shared" si="107"/>
        <v>#DIV/0!</v>
      </c>
      <c r="P594" s="71">
        <v>0</v>
      </c>
      <c r="Q594" t="e">
        <f t="shared" si="108"/>
        <v>#DIV/0!</v>
      </c>
      <c r="R594" s="71">
        <v>0</v>
      </c>
      <c r="S594" s="6" t="e">
        <f t="shared" si="109"/>
        <v>#DIV/0!</v>
      </c>
    </row>
    <row r="595" spans="1:19" x14ac:dyDescent="0.2">
      <c r="A595" s="36" t="s">
        <v>111</v>
      </c>
      <c r="B595" s="6" t="s">
        <v>156</v>
      </c>
      <c r="C595" s="71">
        <v>0</v>
      </c>
      <c r="D595" s="6">
        <f>(C595/12)*6</f>
        <v>0</v>
      </c>
      <c r="E595" s="62">
        <v>2174.89</v>
      </c>
      <c r="F595" s="6">
        <f>SUM(E590:E595)</f>
        <v>6419.8899999999994</v>
      </c>
      <c r="G595" s="35" t="str">
        <f t="shared" si="106"/>
        <v>Farol Verde</v>
      </c>
      <c r="H595">
        <f t="shared" si="113"/>
        <v>0</v>
      </c>
      <c r="I595" s="6">
        <f t="shared" si="114"/>
        <v>6</v>
      </c>
      <c r="J595" s="101">
        <v>0</v>
      </c>
      <c r="K595" s="62">
        <v>2</v>
      </c>
      <c r="L595" s="6">
        <f>$L590+L594</f>
        <v>0</v>
      </c>
      <c r="M595" s="6">
        <f t="shared" si="115"/>
        <v>4</v>
      </c>
      <c r="N595" s="71">
        <v>10</v>
      </c>
      <c r="O595">
        <f t="shared" si="107"/>
        <v>0.3</v>
      </c>
      <c r="P595" s="71">
        <v>3</v>
      </c>
      <c r="Q595">
        <f t="shared" si="108"/>
        <v>0</v>
      </c>
      <c r="R595" s="71">
        <v>0</v>
      </c>
      <c r="S595" s="6">
        <f t="shared" si="109"/>
        <v>0</v>
      </c>
    </row>
    <row r="596" spans="1:19" x14ac:dyDescent="0.2">
      <c r="A596" s="36" t="s">
        <v>111</v>
      </c>
      <c r="B596" s="6" t="s">
        <v>157</v>
      </c>
      <c r="C596" s="71">
        <v>0</v>
      </c>
      <c r="D596" s="6">
        <f>(C596/12)*7</f>
        <v>0</v>
      </c>
      <c r="E596" s="62">
        <v>1</v>
      </c>
      <c r="F596" s="6">
        <f>SUM(E590:E596)</f>
        <v>6420.8899999999994</v>
      </c>
      <c r="G596" s="35" t="str">
        <f t="shared" si="106"/>
        <v>Farol Verde</v>
      </c>
      <c r="H596">
        <f t="shared" si="113"/>
        <v>0</v>
      </c>
      <c r="I596" s="6">
        <f t="shared" si="114"/>
        <v>7</v>
      </c>
      <c r="J596" s="101">
        <v>0</v>
      </c>
      <c r="K596" s="62">
        <v>1</v>
      </c>
      <c r="L596" s="6">
        <f>$L590+L595</f>
        <v>0</v>
      </c>
      <c r="M596" s="6">
        <f t="shared" si="115"/>
        <v>5</v>
      </c>
      <c r="N596" s="71"/>
      <c r="O596" t="e">
        <f t="shared" si="107"/>
        <v>#DIV/0!</v>
      </c>
      <c r="P596" s="71"/>
      <c r="Q596" t="e">
        <f t="shared" si="108"/>
        <v>#DIV/0!</v>
      </c>
      <c r="R596" s="71"/>
      <c r="S596" s="6" t="e">
        <f t="shared" si="109"/>
        <v>#DIV/0!</v>
      </c>
    </row>
    <row r="597" spans="1:19" x14ac:dyDescent="0.2">
      <c r="A597" s="36" t="s">
        <v>111</v>
      </c>
      <c r="B597" s="6" t="s">
        <v>158</v>
      </c>
      <c r="C597" s="71">
        <v>0</v>
      </c>
      <c r="D597" s="6">
        <f>(C597/12)*8</f>
        <v>0</v>
      </c>
      <c r="E597" s="62"/>
      <c r="F597" s="6">
        <f>SUM(E590:E597)</f>
        <v>6420.8899999999994</v>
      </c>
      <c r="G597" s="35" t="str">
        <f t="shared" si="106"/>
        <v>Farol Verde</v>
      </c>
      <c r="H597">
        <f t="shared" si="113"/>
        <v>0</v>
      </c>
      <c r="I597" s="6">
        <f t="shared" si="114"/>
        <v>8</v>
      </c>
      <c r="J597" s="101">
        <v>0</v>
      </c>
      <c r="K597" s="62"/>
      <c r="L597" s="6">
        <f>L590+L596</f>
        <v>0</v>
      </c>
      <c r="M597" s="6">
        <f t="shared" si="115"/>
        <v>5</v>
      </c>
      <c r="N597" s="71"/>
      <c r="O597" t="e">
        <f t="shared" si="107"/>
        <v>#DIV/0!</v>
      </c>
      <c r="P597" s="71"/>
      <c r="Q597" t="e">
        <f t="shared" si="108"/>
        <v>#DIV/0!</v>
      </c>
      <c r="R597" s="71"/>
      <c r="S597" s="6" t="e">
        <f t="shared" si="109"/>
        <v>#DIV/0!</v>
      </c>
    </row>
    <row r="598" spans="1:19" x14ac:dyDescent="0.2">
      <c r="A598" s="36" t="s">
        <v>111</v>
      </c>
      <c r="B598" s="6" t="s">
        <v>159</v>
      </c>
      <c r="C598" s="71">
        <v>0</v>
      </c>
      <c r="D598" s="6">
        <f>(C598/12)*9</f>
        <v>0</v>
      </c>
      <c r="E598" s="62"/>
      <c r="F598" s="6">
        <f>SUM(E590:E598)</f>
        <v>6420.8899999999994</v>
      </c>
      <c r="G598" s="35" t="str">
        <f t="shared" si="106"/>
        <v>Farol Verde</v>
      </c>
      <c r="H598">
        <f t="shared" si="113"/>
        <v>0</v>
      </c>
      <c r="I598" s="6">
        <f t="shared" si="114"/>
        <v>9</v>
      </c>
      <c r="J598" s="101">
        <v>0</v>
      </c>
      <c r="K598" s="62"/>
      <c r="L598" s="6">
        <f>$L590+L597</f>
        <v>0</v>
      </c>
      <c r="M598" s="6">
        <f t="shared" si="115"/>
        <v>5</v>
      </c>
      <c r="N598" s="71"/>
      <c r="O598" t="e">
        <f t="shared" si="107"/>
        <v>#DIV/0!</v>
      </c>
      <c r="P598" s="71"/>
      <c r="Q598" t="e">
        <f t="shared" si="108"/>
        <v>#DIV/0!</v>
      </c>
      <c r="R598" s="71"/>
      <c r="S598" s="6" t="e">
        <f t="shared" si="109"/>
        <v>#DIV/0!</v>
      </c>
    </row>
    <row r="599" spans="1:19" x14ac:dyDescent="0.2">
      <c r="A599" s="36" t="s">
        <v>111</v>
      </c>
      <c r="B599" s="6" t="s">
        <v>160</v>
      </c>
      <c r="C599" s="71">
        <v>0</v>
      </c>
      <c r="D599" s="6">
        <f>(C599/12)*10</f>
        <v>0</v>
      </c>
      <c r="E599" s="62"/>
      <c r="F599" s="6">
        <f>SUM(E590:E599)</f>
        <v>6420.8899999999994</v>
      </c>
      <c r="G599" s="35" t="str">
        <f t="shared" si="106"/>
        <v>Farol Verde</v>
      </c>
      <c r="H599">
        <f t="shared" si="113"/>
        <v>0</v>
      </c>
      <c r="I599" s="6">
        <f t="shared" si="114"/>
        <v>10</v>
      </c>
      <c r="J599" s="101">
        <v>0</v>
      </c>
      <c r="K599" s="62"/>
      <c r="L599" s="6">
        <f>$L590+L598</f>
        <v>0</v>
      </c>
      <c r="M599" s="6">
        <f t="shared" si="115"/>
        <v>5</v>
      </c>
      <c r="N599" s="71"/>
      <c r="O599" t="e">
        <f t="shared" si="107"/>
        <v>#DIV/0!</v>
      </c>
      <c r="P599" s="71"/>
      <c r="Q599" t="e">
        <f t="shared" si="108"/>
        <v>#DIV/0!</v>
      </c>
      <c r="R599" s="71"/>
      <c r="S599" s="6" t="e">
        <f t="shared" si="109"/>
        <v>#DIV/0!</v>
      </c>
    </row>
    <row r="600" spans="1:19" x14ac:dyDescent="0.2">
      <c r="A600" s="36" t="s">
        <v>111</v>
      </c>
      <c r="B600" s="6" t="s">
        <v>161</v>
      </c>
      <c r="C600" s="71">
        <v>0</v>
      </c>
      <c r="D600" s="6">
        <f>(C600/12)*11</f>
        <v>0</v>
      </c>
      <c r="E600" s="62"/>
      <c r="F600" s="6">
        <f>SUM(E590:E600)</f>
        <v>6420.8899999999994</v>
      </c>
      <c r="G600" s="35" t="str">
        <f t="shared" si="106"/>
        <v>Farol Verde</v>
      </c>
      <c r="H600">
        <f t="shared" si="113"/>
        <v>0</v>
      </c>
      <c r="I600" s="6">
        <f t="shared" si="114"/>
        <v>11</v>
      </c>
      <c r="J600" s="101">
        <v>0</v>
      </c>
      <c r="K600" s="62"/>
      <c r="L600" s="6">
        <f>L590+L599</f>
        <v>0</v>
      </c>
      <c r="M600" s="6">
        <f t="shared" si="115"/>
        <v>5</v>
      </c>
      <c r="N600" s="71"/>
      <c r="O600" t="e">
        <f t="shared" si="107"/>
        <v>#DIV/0!</v>
      </c>
      <c r="P600" s="71"/>
      <c r="Q600" t="e">
        <f t="shared" si="108"/>
        <v>#DIV/0!</v>
      </c>
      <c r="R600" s="71"/>
      <c r="S600" s="6" t="e">
        <f t="shared" si="109"/>
        <v>#DIV/0!</v>
      </c>
    </row>
    <row r="601" spans="1:19" x14ac:dyDescent="0.2">
      <c r="A601" s="36" t="s">
        <v>111</v>
      </c>
      <c r="B601" s="6" t="s">
        <v>162</v>
      </c>
      <c r="C601" s="71">
        <v>0</v>
      </c>
      <c r="D601" s="6">
        <f>(C601/12)*12</f>
        <v>0</v>
      </c>
      <c r="E601" s="62"/>
      <c r="F601" s="6">
        <f>SUM(E590:E601)</f>
        <v>6420.8899999999994</v>
      </c>
      <c r="G601" s="35" t="str">
        <f t="shared" si="106"/>
        <v>Farol Verde</v>
      </c>
      <c r="H601">
        <f t="shared" si="113"/>
        <v>0</v>
      </c>
      <c r="I601" s="6">
        <f t="shared" si="114"/>
        <v>12</v>
      </c>
      <c r="J601" s="101">
        <v>0</v>
      </c>
      <c r="K601" s="62"/>
      <c r="L601" s="6">
        <f>$L590+L600</f>
        <v>0</v>
      </c>
      <c r="M601" s="6">
        <f t="shared" si="115"/>
        <v>5</v>
      </c>
      <c r="N601" s="71"/>
      <c r="O601" t="e">
        <f t="shared" si="107"/>
        <v>#DIV/0!</v>
      </c>
      <c r="P601" s="71"/>
      <c r="Q601" t="e">
        <f t="shared" si="108"/>
        <v>#DIV/0!</v>
      </c>
      <c r="R601" s="71"/>
      <c r="S601" s="6" t="e">
        <f t="shared" si="109"/>
        <v>#DIV/0!</v>
      </c>
    </row>
    <row r="602" spans="1:19" x14ac:dyDescent="0.2">
      <c r="A602" s="36" t="s">
        <v>96</v>
      </c>
      <c r="B602" s="6" t="s">
        <v>151</v>
      </c>
      <c r="C602" s="71">
        <v>30000</v>
      </c>
      <c r="D602" s="6">
        <f>(C602/12)*1</f>
        <v>2500</v>
      </c>
      <c r="E602" s="62">
        <v>0</v>
      </c>
      <c r="F602" s="6">
        <f>E602</f>
        <v>0</v>
      </c>
      <c r="G602" s="35" t="str">
        <f t="shared" si="106"/>
        <v>Farol Vermelho</v>
      </c>
      <c r="H602">
        <f t="shared" si="104"/>
        <v>2500</v>
      </c>
      <c r="I602" s="6">
        <f t="shared" si="105"/>
        <v>1</v>
      </c>
      <c r="J602" s="100">
        <v>12</v>
      </c>
      <c r="K602" s="62">
        <v>0</v>
      </c>
      <c r="L602" s="6">
        <f>J602/12</f>
        <v>1</v>
      </c>
      <c r="M602" s="6">
        <f>K602</f>
        <v>0</v>
      </c>
      <c r="N602" s="71">
        <v>0</v>
      </c>
      <c r="O602" t="e">
        <f t="shared" si="107"/>
        <v>#DIV/0!</v>
      </c>
      <c r="P602" s="71">
        <v>0</v>
      </c>
      <c r="Q602" t="e">
        <f t="shared" si="108"/>
        <v>#DIV/0!</v>
      </c>
      <c r="R602" s="71">
        <v>0</v>
      </c>
      <c r="S602" s="6" t="e">
        <f t="shared" si="109"/>
        <v>#DIV/0!</v>
      </c>
    </row>
    <row r="603" spans="1:19" x14ac:dyDescent="0.2">
      <c r="A603" s="36" t="s">
        <v>96</v>
      </c>
      <c r="B603" s="6" t="s">
        <v>152</v>
      </c>
      <c r="C603" s="71">
        <v>30000</v>
      </c>
      <c r="D603" s="6">
        <f>(C603/12)*2</f>
        <v>5000</v>
      </c>
      <c r="E603" s="62">
        <v>0</v>
      </c>
      <c r="F603" s="6">
        <f>SUM(E602:E603)</f>
        <v>0</v>
      </c>
      <c r="G603" s="35" t="str">
        <f t="shared" si="106"/>
        <v>Farol Vermelho</v>
      </c>
      <c r="H603">
        <f t="shared" si="104"/>
        <v>5000</v>
      </c>
      <c r="I603" s="6">
        <f t="shared" si="105"/>
        <v>2</v>
      </c>
      <c r="J603" s="100">
        <v>12</v>
      </c>
      <c r="K603" s="62">
        <v>0</v>
      </c>
      <c r="L603" s="6">
        <f>L602+L602</f>
        <v>2</v>
      </c>
      <c r="M603" s="6">
        <f>M602+K603</f>
        <v>0</v>
      </c>
      <c r="N603" s="71">
        <v>0</v>
      </c>
      <c r="O603" t="e">
        <f t="shared" si="107"/>
        <v>#DIV/0!</v>
      </c>
      <c r="P603" s="71">
        <v>0</v>
      </c>
      <c r="Q603" t="e">
        <f t="shared" si="108"/>
        <v>#DIV/0!</v>
      </c>
      <c r="R603" s="71">
        <v>0</v>
      </c>
      <c r="S603" s="6" t="e">
        <f t="shared" si="109"/>
        <v>#DIV/0!</v>
      </c>
    </row>
    <row r="604" spans="1:19" x14ac:dyDescent="0.2">
      <c r="A604" s="36" t="s">
        <v>96</v>
      </c>
      <c r="B604" s="6" t="s">
        <v>153</v>
      </c>
      <c r="C604" s="71">
        <v>30000</v>
      </c>
      <c r="D604" s="6">
        <f>(C604/12)*3</f>
        <v>7500</v>
      </c>
      <c r="E604" s="62">
        <v>0</v>
      </c>
      <c r="F604" s="6">
        <f>SUM(E602:E604)</f>
        <v>0</v>
      </c>
      <c r="G604" s="35" t="str">
        <f t="shared" si="106"/>
        <v>Farol Vermelho</v>
      </c>
      <c r="H604">
        <f t="shared" si="104"/>
        <v>7500</v>
      </c>
      <c r="I604" s="6">
        <f t="shared" si="105"/>
        <v>3</v>
      </c>
      <c r="J604" s="100">
        <v>12</v>
      </c>
      <c r="K604" s="62">
        <v>0</v>
      </c>
      <c r="L604" s="6">
        <f>$L602+L603</f>
        <v>3</v>
      </c>
      <c r="M604" s="6">
        <f t="shared" ref="M604:M613" si="116">M603+K604</f>
        <v>0</v>
      </c>
      <c r="N604" s="71">
        <v>0</v>
      </c>
      <c r="O604" t="e">
        <f t="shared" si="107"/>
        <v>#DIV/0!</v>
      </c>
      <c r="P604" s="71">
        <v>0</v>
      </c>
      <c r="Q604" t="e">
        <f t="shared" si="108"/>
        <v>#DIV/0!</v>
      </c>
      <c r="R604" s="71">
        <v>0</v>
      </c>
      <c r="S604" s="6" t="e">
        <f t="shared" si="109"/>
        <v>#DIV/0!</v>
      </c>
    </row>
    <row r="605" spans="1:19" x14ac:dyDescent="0.2">
      <c r="A605" s="36" t="s">
        <v>96</v>
      </c>
      <c r="B605" s="6" t="s">
        <v>154</v>
      </c>
      <c r="C605" s="71">
        <v>30000</v>
      </c>
      <c r="D605" s="6">
        <f>(C605/12)*4</f>
        <v>10000</v>
      </c>
      <c r="E605" s="62">
        <v>0</v>
      </c>
      <c r="F605" s="6">
        <f>SUM(E602:E605)</f>
        <v>0</v>
      </c>
      <c r="G605" s="35" t="str">
        <f t="shared" si="106"/>
        <v>Farol Vermelho</v>
      </c>
      <c r="H605">
        <f t="shared" si="104"/>
        <v>10000</v>
      </c>
      <c r="I605" s="6">
        <f t="shared" si="105"/>
        <v>4</v>
      </c>
      <c r="J605" s="100">
        <v>12</v>
      </c>
      <c r="K605" s="62">
        <v>0</v>
      </c>
      <c r="L605" s="6">
        <f>$L602+L604</f>
        <v>4</v>
      </c>
      <c r="M605" s="6">
        <f t="shared" si="116"/>
        <v>0</v>
      </c>
      <c r="N605" s="71">
        <v>0</v>
      </c>
      <c r="O605" t="e">
        <f t="shared" si="107"/>
        <v>#DIV/0!</v>
      </c>
      <c r="P605" s="71">
        <v>0</v>
      </c>
      <c r="Q605" t="e">
        <f t="shared" si="108"/>
        <v>#DIV/0!</v>
      </c>
      <c r="R605" s="71">
        <v>0</v>
      </c>
      <c r="S605" s="6" t="e">
        <f t="shared" si="109"/>
        <v>#DIV/0!</v>
      </c>
    </row>
    <row r="606" spans="1:19" x14ac:dyDescent="0.2">
      <c r="A606" s="36" t="s">
        <v>96</v>
      </c>
      <c r="B606" s="6" t="s">
        <v>155</v>
      </c>
      <c r="C606" s="71">
        <v>30000</v>
      </c>
      <c r="D606" s="6">
        <f>(C606/12)*5</f>
        <v>12500</v>
      </c>
      <c r="E606" s="62">
        <v>5640</v>
      </c>
      <c r="F606" s="6">
        <f>SUM(E602:E606)</f>
        <v>5640</v>
      </c>
      <c r="G606" s="35" t="str">
        <f t="shared" si="106"/>
        <v>Farol Vermelho</v>
      </c>
      <c r="H606">
        <f t="shared" si="104"/>
        <v>6860</v>
      </c>
      <c r="I606" s="6">
        <f t="shared" si="105"/>
        <v>5</v>
      </c>
      <c r="J606" s="100">
        <v>12</v>
      </c>
      <c r="K606" s="62">
        <v>3</v>
      </c>
      <c r="L606" s="6">
        <f>L602+L605</f>
        <v>5</v>
      </c>
      <c r="M606" s="6">
        <f t="shared" si="116"/>
        <v>3</v>
      </c>
      <c r="N606" s="71">
        <v>0</v>
      </c>
      <c r="O606" t="e">
        <f t="shared" si="107"/>
        <v>#DIV/0!</v>
      </c>
      <c r="P606" s="71">
        <v>0</v>
      </c>
      <c r="Q606" t="e">
        <f t="shared" si="108"/>
        <v>#DIV/0!</v>
      </c>
      <c r="R606" s="71">
        <v>0</v>
      </c>
      <c r="S606" s="6" t="e">
        <f t="shared" si="109"/>
        <v>#DIV/0!</v>
      </c>
    </row>
    <row r="607" spans="1:19" x14ac:dyDescent="0.2">
      <c r="A607" s="36" t="s">
        <v>96</v>
      </c>
      <c r="B607" s="6" t="s">
        <v>156</v>
      </c>
      <c r="C607" s="71">
        <v>30000</v>
      </c>
      <c r="D607" s="6">
        <f>(C607/12)*6</f>
        <v>15000</v>
      </c>
      <c r="E607" s="62">
        <v>0</v>
      </c>
      <c r="F607" s="6">
        <f>SUM(E602:E607)</f>
        <v>5640</v>
      </c>
      <c r="G607" s="35" t="str">
        <f t="shared" si="106"/>
        <v>Farol Vermelho</v>
      </c>
      <c r="H607">
        <f t="shared" si="104"/>
        <v>9360</v>
      </c>
      <c r="I607" s="6">
        <f t="shared" si="105"/>
        <v>6</v>
      </c>
      <c r="J607" s="100">
        <v>12</v>
      </c>
      <c r="K607" s="62">
        <v>0</v>
      </c>
      <c r="L607" s="6">
        <f>$L602+L606</f>
        <v>6</v>
      </c>
      <c r="M607" s="6">
        <f t="shared" si="116"/>
        <v>3</v>
      </c>
      <c r="N607" s="71"/>
      <c r="O607" t="e">
        <f t="shared" si="107"/>
        <v>#DIV/0!</v>
      </c>
      <c r="P607" s="71"/>
      <c r="Q607" t="e">
        <f t="shared" si="108"/>
        <v>#DIV/0!</v>
      </c>
      <c r="R607" s="71"/>
      <c r="S607" s="6" t="e">
        <f t="shared" si="109"/>
        <v>#DIV/0!</v>
      </c>
    </row>
    <row r="608" spans="1:19" x14ac:dyDescent="0.2">
      <c r="A608" s="36" t="s">
        <v>96</v>
      </c>
      <c r="B608" s="6" t="s">
        <v>157</v>
      </c>
      <c r="C608" s="71">
        <v>30000</v>
      </c>
      <c r="D608" s="6">
        <f>(C608/12)*7</f>
        <v>17500</v>
      </c>
      <c r="E608" s="62">
        <v>0</v>
      </c>
      <c r="F608" s="6">
        <f>SUM(E602:E608)</f>
        <v>5640</v>
      </c>
      <c r="G608" s="35" t="str">
        <f t="shared" si="106"/>
        <v>Farol Vermelho</v>
      </c>
      <c r="H608">
        <f t="shared" si="104"/>
        <v>11860</v>
      </c>
      <c r="I608" s="6">
        <f t="shared" si="105"/>
        <v>7</v>
      </c>
      <c r="J608" s="100">
        <v>12</v>
      </c>
      <c r="K608" s="62">
        <v>0</v>
      </c>
      <c r="L608" s="6">
        <f>$L602+L607</f>
        <v>7</v>
      </c>
      <c r="M608" s="6">
        <f t="shared" si="116"/>
        <v>3</v>
      </c>
      <c r="N608" s="71"/>
      <c r="O608" t="e">
        <f t="shared" si="107"/>
        <v>#DIV/0!</v>
      </c>
      <c r="P608" s="71"/>
      <c r="Q608" t="e">
        <f t="shared" si="108"/>
        <v>#DIV/0!</v>
      </c>
      <c r="R608" s="71"/>
      <c r="S608" s="6" t="e">
        <f t="shared" si="109"/>
        <v>#DIV/0!</v>
      </c>
    </row>
    <row r="609" spans="1:19" x14ac:dyDescent="0.2">
      <c r="A609" s="36" t="s">
        <v>96</v>
      </c>
      <c r="B609" s="6" t="s">
        <v>158</v>
      </c>
      <c r="C609" s="71">
        <v>30000</v>
      </c>
      <c r="D609" s="6">
        <f>(C609/12)*8</f>
        <v>20000</v>
      </c>
      <c r="E609" s="62">
        <v>0</v>
      </c>
      <c r="F609" s="6">
        <f>SUM(E602:E609)</f>
        <v>5640</v>
      </c>
      <c r="G609" s="35" t="str">
        <f t="shared" si="106"/>
        <v>Farol Vermelho</v>
      </c>
      <c r="H609">
        <f t="shared" si="104"/>
        <v>14360</v>
      </c>
      <c r="I609" s="6">
        <f t="shared" si="105"/>
        <v>8</v>
      </c>
      <c r="J609" s="100">
        <v>12</v>
      </c>
      <c r="K609" s="62"/>
      <c r="L609" s="6">
        <f>L602+L608</f>
        <v>8</v>
      </c>
      <c r="M609" s="6">
        <f t="shared" si="116"/>
        <v>3</v>
      </c>
      <c r="N609" s="71"/>
      <c r="O609" t="e">
        <f t="shared" si="107"/>
        <v>#DIV/0!</v>
      </c>
      <c r="P609" s="71"/>
      <c r="Q609" t="e">
        <f t="shared" si="108"/>
        <v>#DIV/0!</v>
      </c>
      <c r="R609" s="71"/>
      <c r="S609" s="6" t="e">
        <f t="shared" si="109"/>
        <v>#DIV/0!</v>
      </c>
    </row>
    <row r="610" spans="1:19" x14ac:dyDescent="0.2">
      <c r="A610" s="36" t="s">
        <v>96</v>
      </c>
      <c r="B610" s="6" t="s">
        <v>159</v>
      </c>
      <c r="C610" s="71">
        <v>30000</v>
      </c>
      <c r="D610" s="6">
        <f>(C610/12)*9</f>
        <v>22500</v>
      </c>
      <c r="E610" s="62">
        <v>0</v>
      </c>
      <c r="F610" s="6">
        <f>SUM(E602:E610)</f>
        <v>5640</v>
      </c>
      <c r="G610" s="35" t="str">
        <f t="shared" si="106"/>
        <v>Farol Vermelho</v>
      </c>
      <c r="H610">
        <f t="shared" si="104"/>
        <v>16860</v>
      </c>
      <c r="I610" s="6">
        <f t="shared" si="105"/>
        <v>9</v>
      </c>
      <c r="J610" s="100">
        <v>12</v>
      </c>
      <c r="K610" s="62"/>
      <c r="L610" s="6">
        <f>$L602+L609</f>
        <v>9</v>
      </c>
      <c r="M610" s="6">
        <f t="shared" si="116"/>
        <v>3</v>
      </c>
      <c r="N610" s="71"/>
      <c r="O610" t="e">
        <f t="shared" si="107"/>
        <v>#DIV/0!</v>
      </c>
      <c r="P610" s="71"/>
      <c r="Q610" t="e">
        <f t="shared" si="108"/>
        <v>#DIV/0!</v>
      </c>
      <c r="R610" s="71"/>
      <c r="S610" s="6" t="e">
        <f t="shared" si="109"/>
        <v>#DIV/0!</v>
      </c>
    </row>
    <row r="611" spans="1:19" x14ac:dyDescent="0.2">
      <c r="A611" s="36" t="s">
        <v>96</v>
      </c>
      <c r="B611" s="6" t="s">
        <v>160</v>
      </c>
      <c r="C611" s="71">
        <v>30000</v>
      </c>
      <c r="D611" s="6">
        <f>(C611/12)*10</f>
        <v>25000</v>
      </c>
      <c r="E611" s="62">
        <v>0</v>
      </c>
      <c r="F611" s="6">
        <f>SUM(E602:E611)</f>
        <v>5640</v>
      </c>
      <c r="G611" s="35" t="str">
        <f t="shared" si="106"/>
        <v>Farol Vermelho</v>
      </c>
      <c r="H611">
        <f t="shared" si="104"/>
        <v>19360</v>
      </c>
      <c r="I611" s="6">
        <f t="shared" si="105"/>
        <v>10</v>
      </c>
      <c r="J611" s="100">
        <v>12</v>
      </c>
      <c r="K611" s="62"/>
      <c r="L611" s="6">
        <f>$L602+L610</f>
        <v>10</v>
      </c>
      <c r="M611" s="6">
        <f t="shared" si="116"/>
        <v>3</v>
      </c>
      <c r="N611" s="71"/>
      <c r="O611" t="e">
        <f t="shared" si="107"/>
        <v>#DIV/0!</v>
      </c>
      <c r="P611" s="71"/>
      <c r="Q611" t="e">
        <f t="shared" si="108"/>
        <v>#DIV/0!</v>
      </c>
      <c r="R611" s="71"/>
      <c r="S611" s="6" t="e">
        <f t="shared" si="109"/>
        <v>#DIV/0!</v>
      </c>
    </row>
    <row r="612" spans="1:19" x14ac:dyDescent="0.2">
      <c r="A612" s="36" t="s">
        <v>96</v>
      </c>
      <c r="B612" s="6" t="s">
        <v>161</v>
      </c>
      <c r="C612" s="71">
        <v>30000</v>
      </c>
      <c r="D612" s="6">
        <f>(C612/12)*11</f>
        <v>27500</v>
      </c>
      <c r="E612" s="62">
        <v>0</v>
      </c>
      <c r="F612" s="6">
        <f>SUM(E602:E612)</f>
        <v>5640</v>
      </c>
      <c r="G612" s="35" t="str">
        <f t="shared" si="106"/>
        <v>Farol Vermelho</v>
      </c>
      <c r="H612">
        <f t="shared" si="104"/>
        <v>21860</v>
      </c>
      <c r="I612" s="6">
        <f t="shared" si="105"/>
        <v>11</v>
      </c>
      <c r="J612" s="100">
        <v>12</v>
      </c>
      <c r="K612" s="62"/>
      <c r="L612" s="6">
        <f>L602+L611</f>
        <v>11</v>
      </c>
      <c r="M612" s="6">
        <f t="shared" si="116"/>
        <v>3</v>
      </c>
      <c r="N612" s="71"/>
      <c r="O612" t="e">
        <f t="shared" si="107"/>
        <v>#DIV/0!</v>
      </c>
      <c r="P612" s="71"/>
      <c r="Q612" t="e">
        <f t="shared" si="108"/>
        <v>#DIV/0!</v>
      </c>
      <c r="R612" s="71"/>
      <c r="S612" s="6" t="e">
        <f t="shared" si="109"/>
        <v>#DIV/0!</v>
      </c>
    </row>
    <row r="613" spans="1:19" x14ac:dyDescent="0.2">
      <c r="A613" s="36" t="s">
        <v>96</v>
      </c>
      <c r="B613" s="6" t="s">
        <v>162</v>
      </c>
      <c r="C613" s="71">
        <v>30000</v>
      </c>
      <c r="D613" s="6">
        <f>(C613/12)*12</f>
        <v>30000</v>
      </c>
      <c r="E613" s="62">
        <v>0</v>
      </c>
      <c r="F613" s="6">
        <f>SUM(E602:E613)</f>
        <v>5640</v>
      </c>
      <c r="G613" s="35" t="str">
        <f t="shared" si="106"/>
        <v>Farol Vermelho</v>
      </c>
      <c r="H613">
        <f t="shared" si="104"/>
        <v>24360</v>
      </c>
      <c r="I613" s="6">
        <f t="shared" si="105"/>
        <v>12</v>
      </c>
      <c r="J613" s="100">
        <v>12</v>
      </c>
      <c r="K613" s="62"/>
      <c r="L613" s="6">
        <f>$L602+L612</f>
        <v>12</v>
      </c>
      <c r="M613" s="6">
        <f t="shared" si="116"/>
        <v>3</v>
      </c>
      <c r="N613" s="71"/>
      <c r="O613" t="e">
        <f t="shared" si="107"/>
        <v>#DIV/0!</v>
      </c>
      <c r="P613" s="71"/>
      <c r="Q613" t="e">
        <f t="shared" si="108"/>
        <v>#DIV/0!</v>
      </c>
      <c r="R613" s="71"/>
      <c r="S613" s="6" t="e">
        <f t="shared" si="109"/>
        <v>#DIV/0!</v>
      </c>
    </row>
    <row r="614" spans="1:19" x14ac:dyDescent="0.2">
      <c r="A614" s="36" t="s">
        <v>66</v>
      </c>
      <c r="B614" s="6" t="s">
        <v>151</v>
      </c>
      <c r="C614" s="71">
        <v>7000</v>
      </c>
      <c r="D614" s="6">
        <f>(C614/12)*1</f>
        <v>583.33333333333337</v>
      </c>
      <c r="E614" s="62">
        <v>0</v>
      </c>
      <c r="F614" s="6">
        <f>E614</f>
        <v>0</v>
      </c>
      <c r="G614" s="35" t="str">
        <f t="shared" si="106"/>
        <v>Farol Vermelho</v>
      </c>
      <c r="H614">
        <f t="shared" si="104"/>
        <v>583.33333333333337</v>
      </c>
      <c r="I614" s="6">
        <f t="shared" si="105"/>
        <v>1</v>
      </c>
      <c r="J614" s="100">
        <v>10</v>
      </c>
      <c r="K614" s="62">
        <v>0</v>
      </c>
      <c r="L614" s="6">
        <f>J614/12</f>
        <v>0.83333333333333337</v>
      </c>
      <c r="M614" s="6">
        <f>K614</f>
        <v>0</v>
      </c>
      <c r="N614" s="71">
        <v>0</v>
      </c>
      <c r="O614" t="e">
        <f t="shared" si="107"/>
        <v>#DIV/0!</v>
      </c>
      <c r="P614" s="71">
        <v>0</v>
      </c>
      <c r="Q614" t="e">
        <f t="shared" si="108"/>
        <v>#DIV/0!</v>
      </c>
      <c r="R614" s="71">
        <v>0</v>
      </c>
      <c r="S614" s="6" t="e">
        <f t="shared" si="109"/>
        <v>#DIV/0!</v>
      </c>
    </row>
    <row r="615" spans="1:19" x14ac:dyDescent="0.2">
      <c r="A615" s="36" t="s">
        <v>66</v>
      </c>
      <c r="B615" s="6" t="s">
        <v>152</v>
      </c>
      <c r="C615" s="71">
        <v>7000</v>
      </c>
      <c r="D615" s="6">
        <f>(C615/12)*2</f>
        <v>1166.6666666666667</v>
      </c>
      <c r="E615" s="62">
        <v>3420</v>
      </c>
      <c r="F615" s="6">
        <f>SUM(E614:E615)</f>
        <v>3420</v>
      </c>
      <c r="G615" s="35" t="str">
        <f t="shared" si="106"/>
        <v>Farol Verde</v>
      </c>
      <c r="H615">
        <f t="shared" si="104"/>
        <v>0</v>
      </c>
      <c r="I615" s="6">
        <f t="shared" si="105"/>
        <v>2</v>
      </c>
      <c r="J615" s="100">
        <v>10</v>
      </c>
      <c r="K615" s="62">
        <v>1</v>
      </c>
      <c r="L615" s="6">
        <f>L614+L614</f>
        <v>1.6666666666666667</v>
      </c>
      <c r="M615" s="6">
        <f>M614+K615</f>
        <v>1</v>
      </c>
      <c r="N615" s="71">
        <v>0</v>
      </c>
      <c r="O615" t="e">
        <f t="shared" si="107"/>
        <v>#DIV/0!</v>
      </c>
      <c r="P615" s="71">
        <v>0</v>
      </c>
      <c r="Q615" t="e">
        <f t="shared" si="108"/>
        <v>#DIV/0!</v>
      </c>
      <c r="R615" s="71">
        <v>0</v>
      </c>
      <c r="S615" s="6" t="e">
        <f t="shared" si="109"/>
        <v>#DIV/0!</v>
      </c>
    </row>
    <row r="616" spans="1:19" x14ac:dyDescent="0.2">
      <c r="A616" s="36" t="s">
        <v>66</v>
      </c>
      <c r="B616" s="6" t="s">
        <v>153</v>
      </c>
      <c r="C616" s="71">
        <v>7000</v>
      </c>
      <c r="D616" s="6">
        <f>(C616/12)*3</f>
        <v>1750</v>
      </c>
      <c r="E616" s="62">
        <v>0</v>
      </c>
      <c r="F616" s="6">
        <f>SUM(E614:E616)</f>
        <v>3420</v>
      </c>
      <c r="G616" s="35" t="str">
        <f t="shared" si="106"/>
        <v>Farol Verde</v>
      </c>
      <c r="H616">
        <f t="shared" si="104"/>
        <v>0</v>
      </c>
      <c r="I616" s="6">
        <f t="shared" si="105"/>
        <v>3</v>
      </c>
      <c r="J616" s="100">
        <v>10</v>
      </c>
      <c r="K616" s="62">
        <v>0</v>
      </c>
      <c r="L616" s="6">
        <f>$L614+L615</f>
        <v>2.5</v>
      </c>
      <c r="M616" s="6">
        <f t="shared" ref="M616:M625" si="117">M615+K616</f>
        <v>1</v>
      </c>
      <c r="N616" s="71">
        <v>0</v>
      </c>
      <c r="O616" t="e">
        <f t="shared" si="107"/>
        <v>#DIV/0!</v>
      </c>
      <c r="P616" s="71">
        <v>0</v>
      </c>
      <c r="Q616" t="e">
        <f t="shared" si="108"/>
        <v>#DIV/0!</v>
      </c>
      <c r="R616" s="71">
        <v>0</v>
      </c>
      <c r="S616" s="6" t="e">
        <f t="shared" si="109"/>
        <v>#DIV/0!</v>
      </c>
    </row>
    <row r="617" spans="1:19" x14ac:dyDescent="0.2">
      <c r="A617" s="36" t="s">
        <v>66</v>
      </c>
      <c r="B617" s="6" t="s">
        <v>154</v>
      </c>
      <c r="C617" s="71">
        <v>7000</v>
      </c>
      <c r="D617" s="6">
        <f>(C617/12)*4</f>
        <v>2333.3333333333335</v>
      </c>
      <c r="E617" s="62">
        <v>0</v>
      </c>
      <c r="F617" s="6">
        <f>SUM(E614:E617)</f>
        <v>3420</v>
      </c>
      <c r="G617" s="35" t="str">
        <f t="shared" si="106"/>
        <v>Farol Verde</v>
      </c>
      <c r="H617">
        <f t="shared" si="104"/>
        <v>0</v>
      </c>
      <c r="I617" s="6">
        <f t="shared" si="105"/>
        <v>4</v>
      </c>
      <c r="J617" s="100">
        <v>10</v>
      </c>
      <c r="K617" s="62">
        <v>0</v>
      </c>
      <c r="L617" s="6">
        <f>$L614+L616</f>
        <v>3.3333333333333335</v>
      </c>
      <c r="M617" s="6">
        <f t="shared" si="117"/>
        <v>1</v>
      </c>
      <c r="N617" s="71">
        <v>0</v>
      </c>
      <c r="O617" t="e">
        <f t="shared" si="107"/>
        <v>#DIV/0!</v>
      </c>
      <c r="P617" s="71">
        <v>0</v>
      </c>
      <c r="Q617" t="e">
        <f t="shared" si="108"/>
        <v>#DIV/0!</v>
      </c>
      <c r="R617" s="71">
        <v>0</v>
      </c>
      <c r="S617" s="6" t="e">
        <f t="shared" si="109"/>
        <v>#DIV/0!</v>
      </c>
    </row>
    <row r="618" spans="1:19" x14ac:dyDescent="0.2">
      <c r="A618" s="36" t="s">
        <v>66</v>
      </c>
      <c r="B618" s="6" t="s">
        <v>155</v>
      </c>
      <c r="C618" s="71">
        <v>7000</v>
      </c>
      <c r="D618" s="6">
        <f>(C618/12)*5</f>
        <v>2916.666666666667</v>
      </c>
      <c r="E618" s="62">
        <v>0</v>
      </c>
      <c r="F618" s="6">
        <f>SUM(E614:E618)</f>
        <v>3420</v>
      </c>
      <c r="G618" s="35" t="str">
        <f t="shared" si="106"/>
        <v>Farol Verde</v>
      </c>
      <c r="H618">
        <f t="shared" si="104"/>
        <v>0</v>
      </c>
      <c r="I618" s="6">
        <f t="shared" si="105"/>
        <v>5</v>
      </c>
      <c r="J618" s="100">
        <v>10</v>
      </c>
      <c r="K618" s="62">
        <v>0</v>
      </c>
      <c r="L618" s="6">
        <f>L614+L617</f>
        <v>4.166666666666667</v>
      </c>
      <c r="M618" s="6">
        <f t="shared" si="117"/>
        <v>1</v>
      </c>
      <c r="N618" s="71">
        <v>0</v>
      </c>
      <c r="O618" t="e">
        <f t="shared" si="107"/>
        <v>#DIV/0!</v>
      </c>
      <c r="P618" s="71">
        <v>0</v>
      </c>
      <c r="Q618" t="e">
        <f t="shared" si="108"/>
        <v>#DIV/0!</v>
      </c>
      <c r="R618" s="71">
        <v>0</v>
      </c>
      <c r="S618" s="6" t="e">
        <f t="shared" si="109"/>
        <v>#DIV/0!</v>
      </c>
    </row>
    <row r="619" spans="1:19" x14ac:dyDescent="0.2">
      <c r="A619" s="36" t="s">
        <v>66</v>
      </c>
      <c r="B619" s="6" t="s">
        <v>156</v>
      </c>
      <c r="C619" s="71">
        <v>7000</v>
      </c>
      <c r="D619" s="6">
        <f>(C619/12)*6</f>
        <v>3500</v>
      </c>
      <c r="E619" s="62">
        <v>1920</v>
      </c>
      <c r="F619" s="6">
        <f>SUM(E614:E619)</f>
        <v>5340</v>
      </c>
      <c r="G619" s="35" t="str">
        <f t="shared" si="106"/>
        <v>Farol Verde</v>
      </c>
      <c r="H619">
        <f t="shared" si="104"/>
        <v>0</v>
      </c>
      <c r="I619" s="6">
        <f t="shared" si="105"/>
        <v>6</v>
      </c>
      <c r="J619" s="100">
        <v>10</v>
      </c>
      <c r="K619" s="62">
        <v>6</v>
      </c>
      <c r="L619" s="6">
        <f>$L614+L618</f>
        <v>5</v>
      </c>
      <c r="M619" s="6">
        <f t="shared" si="117"/>
        <v>7</v>
      </c>
      <c r="N619" s="71"/>
      <c r="O619" t="e">
        <f t="shared" si="107"/>
        <v>#DIV/0!</v>
      </c>
      <c r="P619" s="71"/>
      <c r="Q619" t="e">
        <f t="shared" si="108"/>
        <v>#DIV/0!</v>
      </c>
      <c r="R619" s="71"/>
      <c r="S619" s="6" t="e">
        <f t="shared" si="109"/>
        <v>#DIV/0!</v>
      </c>
    </row>
    <row r="620" spans="1:19" x14ac:dyDescent="0.2">
      <c r="A620" s="36" t="s">
        <v>66</v>
      </c>
      <c r="B620" s="6" t="s">
        <v>157</v>
      </c>
      <c r="C620" s="71">
        <v>7000</v>
      </c>
      <c r="D620" s="6">
        <f>(C620/12)*7</f>
        <v>4083.3333333333335</v>
      </c>
      <c r="E620" s="62">
        <v>0</v>
      </c>
      <c r="F620" s="6">
        <f>SUM(E614:E620)</f>
        <v>5340</v>
      </c>
      <c r="G620" s="35" t="str">
        <f t="shared" si="106"/>
        <v>Farol Verde</v>
      </c>
      <c r="H620">
        <f t="shared" si="104"/>
        <v>0</v>
      </c>
      <c r="I620" s="6">
        <f t="shared" si="105"/>
        <v>7</v>
      </c>
      <c r="J620" s="100">
        <v>10</v>
      </c>
      <c r="K620" s="62">
        <v>0</v>
      </c>
      <c r="L620" s="6">
        <f>$L614+L619</f>
        <v>5.833333333333333</v>
      </c>
      <c r="M620" s="6">
        <f t="shared" si="117"/>
        <v>7</v>
      </c>
      <c r="N620" s="71"/>
      <c r="O620" t="e">
        <f t="shared" si="107"/>
        <v>#DIV/0!</v>
      </c>
      <c r="P620" s="71"/>
      <c r="Q620" t="e">
        <f t="shared" si="108"/>
        <v>#DIV/0!</v>
      </c>
      <c r="R620" s="71"/>
      <c r="S620" s="6" t="e">
        <f t="shared" si="109"/>
        <v>#DIV/0!</v>
      </c>
    </row>
    <row r="621" spans="1:19" x14ac:dyDescent="0.2">
      <c r="A621" s="36" t="s">
        <v>66</v>
      </c>
      <c r="B621" s="6" t="s">
        <v>158</v>
      </c>
      <c r="C621" s="71">
        <v>7000</v>
      </c>
      <c r="D621" s="6">
        <f>(C621/12)*8</f>
        <v>4666.666666666667</v>
      </c>
      <c r="E621" s="62">
        <v>0</v>
      </c>
      <c r="F621" s="6">
        <f>SUM(E614:E621)</f>
        <v>5340</v>
      </c>
      <c r="G621" s="35" t="str">
        <f t="shared" si="106"/>
        <v>Farol Verde</v>
      </c>
      <c r="H621">
        <f t="shared" si="104"/>
        <v>0</v>
      </c>
      <c r="I621" s="6">
        <f t="shared" si="105"/>
        <v>8</v>
      </c>
      <c r="J621" s="100">
        <v>10</v>
      </c>
      <c r="K621" s="62"/>
      <c r="L621" s="6">
        <f>L614+L620</f>
        <v>6.6666666666666661</v>
      </c>
      <c r="M621" s="6">
        <f t="shared" si="117"/>
        <v>7</v>
      </c>
      <c r="N621" s="71"/>
      <c r="O621" t="e">
        <f t="shared" si="107"/>
        <v>#DIV/0!</v>
      </c>
      <c r="P621" s="71"/>
      <c r="Q621" t="e">
        <f t="shared" si="108"/>
        <v>#DIV/0!</v>
      </c>
      <c r="R621" s="71"/>
      <c r="S621" s="6" t="e">
        <f t="shared" si="109"/>
        <v>#DIV/0!</v>
      </c>
    </row>
    <row r="622" spans="1:19" x14ac:dyDescent="0.2">
      <c r="A622" s="36" t="s">
        <v>66</v>
      </c>
      <c r="B622" s="6" t="s">
        <v>159</v>
      </c>
      <c r="C622" s="71">
        <v>7000</v>
      </c>
      <c r="D622" s="6">
        <f>(C622/12)*9</f>
        <v>5250</v>
      </c>
      <c r="E622" s="62">
        <v>0</v>
      </c>
      <c r="F622" s="6">
        <f>SUM(E614:E622)</f>
        <v>5340</v>
      </c>
      <c r="G622" s="35" t="str">
        <f t="shared" si="106"/>
        <v>Farol Verde</v>
      </c>
      <c r="H622">
        <f t="shared" si="104"/>
        <v>0</v>
      </c>
      <c r="I622" s="6">
        <f t="shared" si="105"/>
        <v>9</v>
      </c>
      <c r="J622" s="100">
        <v>10</v>
      </c>
      <c r="K622" s="62"/>
      <c r="L622" s="6">
        <f>$L614+L621</f>
        <v>7.4999999999999991</v>
      </c>
      <c r="M622" s="6">
        <f t="shared" si="117"/>
        <v>7</v>
      </c>
      <c r="N622" s="71"/>
      <c r="O622" t="e">
        <f t="shared" si="107"/>
        <v>#DIV/0!</v>
      </c>
      <c r="P622" s="71"/>
      <c r="Q622" t="e">
        <f t="shared" si="108"/>
        <v>#DIV/0!</v>
      </c>
      <c r="R622" s="71"/>
      <c r="S622" s="6" t="e">
        <f t="shared" si="109"/>
        <v>#DIV/0!</v>
      </c>
    </row>
    <row r="623" spans="1:19" x14ac:dyDescent="0.2">
      <c r="A623" s="36" t="s">
        <v>66</v>
      </c>
      <c r="B623" s="6" t="s">
        <v>160</v>
      </c>
      <c r="C623" s="71">
        <v>7000</v>
      </c>
      <c r="D623" s="6">
        <f>(C623/12)*10</f>
        <v>5833.3333333333339</v>
      </c>
      <c r="E623" s="62">
        <v>0</v>
      </c>
      <c r="F623" s="6">
        <f>SUM(E614:E623)</f>
        <v>5340</v>
      </c>
      <c r="G623" s="35" t="str">
        <f t="shared" si="106"/>
        <v>Farol Amarelo</v>
      </c>
      <c r="H623">
        <f t="shared" si="104"/>
        <v>493.33333333333394</v>
      </c>
      <c r="I623" s="6">
        <f t="shared" si="105"/>
        <v>10</v>
      </c>
      <c r="J623" s="100">
        <v>10</v>
      </c>
      <c r="K623" s="62"/>
      <c r="L623" s="6">
        <f>$L614+L622</f>
        <v>8.3333333333333321</v>
      </c>
      <c r="M623" s="6">
        <f t="shared" si="117"/>
        <v>7</v>
      </c>
      <c r="N623" s="71"/>
      <c r="O623" t="e">
        <f t="shared" si="107"/>
        <v>#DIV/0!</v>
      </c>
      <c r="P623" s="71"/>
      <c r="Q623" t="e">
        <f t="shared" si="108"/>
        <v>#DIV/0!</v>
      </c>
      <c r="R623" s="71"/>
      <c r="S623" s="6" t="e">
        <f t="shared" si="109"/>
        <v>#DIV/0!</v>
      </c>
    </row>
    <row r="624" spans="1:19" x14ac:dyDescent="0.2">
      <c r="A624" s="36" t="s">
        <v>66</v>
      </c>
      <c r="B624" s="6" t="s">
        <v>161</v>
      </c>
      <c r="C624" s="71">
        <v>7000</v>
      </c>
      <c r="D624" s="6">
        <f>(C624/12)*11</f>
        <v>6416.666666666667</v>
      </c>
      <c r="E624" s="62">
        <v>0</v>
      </c>
      <c r="F624" s="6">
        <f>SUM(E614:E624)</f>
        <v>5340</v>
      </c>
      <c r="G624" s="35" t="str">
        <f t="shared" si="106"/>
        <v>Farol Vermelho</v>
      </c>
      <c r="H624">
        <f t="shared" si="104"/>
        <v>1076.666666666667</v>
      </c>
      <c r="I624" s="6">
        <f t="shared" si="105"/>
        <v>11</v>
      </c>
      <c r="J624" s="100">
        <v>10</v>
      </c>
      <c r="K624" s="62"/>
      <c r="L624" s="6">
        <f>L614+L623</f>
        <v>9.1666666666666661</v>
      </c>
      <c r="M624" s="6">
        <f t="shared" si="117"/>
        <v>7</v>
      </c>
      <c r="N624" s="71"/>
      <c r="O624" t="e">
        <f t="shared" si="107"/>
        <v>#DIV/0!</v>
      </c>
      <c r="P624" s="71"/>
      <c r="Q624" t="e">
        <f t="shared" si="108"/>
        <v>#DIV/0!</v>
      </c>
      <c r="R624" s="71"/>
      <c r="S624" s="6" t="e">
        <f t="shared" si="109"/>
        <v>#DIV/0!</v>
      </c>
    </row>
    <row r="625" spans="1:19" x14ac:dyDescent="0.2">
      <c r="A625" s="36" t="s">
        <v>66</v>
      </c>
      <c r="B625" s="6" t="s">
        <v>162</v>
      </c>
      <c r="C625" s="71">
        <v>7000</v>
      </c>
      <c r="D625" s="6">
        <f>(C625/12)*12</f>
        <v>7000</v>
      </c>
      <c r="E625" s="62">
        <v>0</v>
      </c>
      <c r="F625" s="6">
        <f>SUM(E614:E625)</f>
        <v>5340</v>
      </c>
      <c r="G625" s="35" t="str">
        <f t="shared" si="106"/>
        <v>Farol Vermelho</v>
      </c>
      <c r="H625">
        <f t="shared" si="104"/>
        <v>1660</v>
      </c>
      <c r="I625" s="6">
        <f t="shared" si="105"/>
        <v>12</v>
      </c>
      <c r="J625" s="100">
        <v>10</v>
      </c>
      <c r="K625" s="62"/>
      <c r="L625" s="6">
        <f>$L614+L624</f>
        <v>10</v>
      </c>
      <c r="M625" s="6">
        <f t="shared" si="117"/>
        <v>7</v>
      </c>
      <c r="N625" s="71"/>
      <c r="O625" t="e">
        <f t="shared" si="107"/>
        <v>#DIV/0!</v>
      </c>
      <c r="P625" s="71"/>
      <c r="Q625" t="e">
        <f t="shared" si="108"/>
        <v>#DIV/0!</v>
      </c>
      <c r="R625" s="71"/>
      <c r="S625" s="6" t="e">
        <f t="shared" si="109"/>
        <v>#DIV/0!</v>
      </c>
    </row>
    <row r="626" spans="1:19" x14ac:dyDescent="0.2">
      <c r="A626" s="36" t="s">
        <v>146</v>
      </c>
      <c r="B626" s="6" t="s">
        <v>151</v>
      </c>
      <c r="C626" s="71">
        <v>12000</v>
      </c>
      <c r="D626" s="6">
        <f>(C626/12)*1</f>
        <v>1000</v>
      </c>
      <c r="E626" s="62">
        <v>0</v>
      </c>
      <c r="F626" s="6">
        <f>E626</f>
        <v>0</v>
      </c>
      <c r="G626" s="35" t="str">
        <f t="shared" si="106"/>
        <v>Farol Vermelho</v>
      </c>
      <c r="H626">
        <f t="shared" ref="H626:H701" si="118">IF(D626-F626&lt;0,0,D626-F626)</f>
        <v>1000</v>
      </c>
      <c r="I626" s="6">
        <f t="shared" ref="I626:I701" si="119">_xlfn.IFS(B626="Janeiro",1,B626="Fevereiro",2,B626="Março",3,B626="Abril",4,B626="Maio",5,B626="Junho",6,B626="Julho",7,B626="Agosto",8,B626="Setembro",9,B626="Outubro",10,B626="Novembro",11,B626="Dezembro",12,TRUE,0)</f>
        <v>1</v>
      </c>
      <c r="J626" s="100">
        <v>15</v>
      </c>
      <c r="K626" s="62">
        <v>0</v>
      </c>
      <c r="L626" s="6">
        <f>J626/12</f>
        <v>1.25</v>
      </c>
      <c r="M626" s="6">
        <f>K626</f>
        <v>0</v>
      </c>
      <c r="N626" s="71">
        <v>0</v>
      </c>
      <c r="O626" t="e">
        <f t="shared" si="107"/>
        <v>#DIV/0!</v>
      </c>
      <c r="P626" s="71">
        <v>0</v>
      </c>
      <c r="Q626" t="e">
        <f t="shared" si="108"/>
        <v>#DIV/0!</v>
      </c>
      <c r="R626" s="71">
        <v>0</v>
      </c>
      <c r="S626" s="6" t="e">
        <f t="shared" si="109"/>
        <v>#DIV/0!</v>
      </c>
    </row>
    <row r="627" spans="1:19" x14ac:dyDescent="0.2">
      <c r="A627" s="36" t="s">
        <v>146</v>
      </c>
      <c r="B627" s="6" t="s">
        <v>152</v>
      </c>
      <c r="C627" s="71">
        <v>12000</v>
      </c>
      <c r="D627" s="6">
        <f>(C627/12)*2</f>
        <v>2000</v>
      </c>
      <c r="E627" s="62">
        <v>0</v>
      </c>
      <c r="F627" s="6">
        <f>SUM(E626:E627)</f>
        <v>0</v>
      </c>
      <c r="G627" s="35" t="str">
        <f t="shared" ref="G627:G702" si="120">_xlfn.IFS(F627&gt;D627,"Farol Verde",F627&gt;=D627*0.85,"Farol Amarelo",F627&lt;D627*0.85,"Farol Vermelho","Verdadeiro",0)</f>
        <v>Farol Vermelho</v>
      </c>
      <c r="H627">
        <f t="shared" si="118"/>
        <v>2000</v>
      </c>
      <c r="I627" s="6">
        <f t="shared" si="119"/>
        <v>2</v>
      </c>
      <c r="J627" s="100">
        <v>15</v>
      </c>
      <c r="K627" s="62">
        <v>0</v>
      </c>
      <c r="L627" s="6">
        <f>L626+L626</f>
        <v>2.5</v>
      </c>
      <c r="M627" s="6">
        <f>M626+K627</f>
        <v>0</v>
      </c>
      <c r="N627" s="71">
        <v>0</v>
      </c>
      <c r="O627" t="e">
        <f t="shared" ref="O627:O702" si="121">P627/N627</f>
        <v>#DIV/0!</v>
      </c>
      <c r="P627" s="71">
        <v>0</v>
      </c>
      <c r="Q627" t="e">
        <f t="shared" ref="Q627:Q702" si="122">R627/P627</f>
        <v>#DIV/0!</v>
      </c>
      <c r="R627" s="71">
        <v>0</v>
      </c>
      <c r="S627" s="6" t="e">
        <f t="shared" ref="S627:S702" si="123">R627/N627</f>
        <v>#DIV/0!</v>
      </c>
    </row>
    <row r="628" spans="1:19" x14ac:dyDescent="0.2">
      <c r="A628" s="36" t="s">
        <v>146</v>
      </c>
      <c r="B628" s="6" t="s">
        <v>153</v>
      </c>
      <c r="C628" s="71">
        <v>12000</v>
      </c>
      <c r="D628" s="6">
        <f>(C628/12)*3</f>
        <v>3000</v>
      </c>
      <c r="E628" s="62">
        <v>0</v>
      </c>
      <c r="F628" s="6">
        <f>SUM(E626:E628)</f>
        <v>0</v>
      </c>
      <c r="G628" s="35" t="str">
        <f t="shared" si="120"/>
        <v>Farol Vermelho</v>
      </c>
      <c r="H628">
        <f t="shared" si="118"/>
        <v>3000</v>
      </c>
      <c r="I628" s="6">
        <f t="shared" si="119"/>
        <v>3</v>
      </c>
      <c r="J628" s="100">
        <v>15</v>
      </c>
      <c r="K628" s="62">
        <v>0</v>
      </c>
      <c r="L628" s="6">
        <f>$L626+L627</f>
        <v>3.75</v>
      </c>
      <c r="M628" s="6">
        <f t="shared" ref="M628:M637" si="124">M627+K628</f>
        <v>0</v>
      </c>
      <c r="N628" s="71">
        <v>0</v>
      </c>
      <c r="O628" t="e">
        <f t="shared" si="121"/>
        <v>#DIV/0!</v>
      </c>
      <c r="P628" s="71">
        <v>0</v>
      </c>
      <c r="Q628" t="e">
        <f t="shared" si="122"/>
        <v>#DIV/0!</v>
      </c>
      <c r="R628" s="71">
        <v>0</v>
      </c>
      <c r="S628" s="6" t="e">
        <f t="shared" si="123"/>
        <v>#DIV/0!</v>
      </c>
    </row>
    <row r="629" spans="1:19" x14ac:dyDescent="0.2">
      <c r="A629" s="36" t="s">
        <v>146</v>
      </c>
      <c r="B629" s="6" t="s">
        <v>154</v>
      </c>
      <c r="C629" s="71">
        <v>12000</v>
      </c>
      <c r="D629" s="6">
        <f>(C629/12)*4</f>
        <v>4000</v>
      </c>
      <c r="E629" s="62">
        <v>2216.9499999999998</v>
      </c>
      <c r="F629" s="6">
        <f>SUM(E626:E629)</f>
        <v>2216.9499999999998</v>
      </c>
      <c r="G629" s="35" t="str">
        <f t="shared" si="120"/>
        <v>Farol Vermelho</v>
      </c>
      <c r="H629">
        <f t="shared" si="118"/>
        <v>1783.0500000000002</v>
      </c>
      <c r="I629" s="6">
        <f t="shared" si="119"/>
        <v>4</v>
      </c>
      <c r="J629" s="100">
        <v>15</v>
      </c>
      <c r="K629" s="62">
        <v>6</v>
      </c>
      <c r="L629" s="6">
        <f>$L626+L628</f>
        <v>5</v>
      </c>
      <c r="M629" s="6">
        <f t="shared" si="124"/>
        <v>6</v>
      </c>
      <c r="N629" s="71">
        <v>0</v>
      </c>
      <c r="O629" t="e">
        <f t="shared" si="121"/>
        <v>#DIV/0!</v>
      </c>
      <c r="P629" s="71">
        <v>0</v>
      </c>
      <c r="Q629" t="e">
        <f t="shared" si="122"/>
        <v>#DIV/0!</v>
      </c>
      <c r="R629" s="71">
        <v>0</v>
      </c>
      <c r="S629" s="6" t="e">
        <f t="shared" si="123"/>
        <v>#DIV/0!</v>
      </c>
    </row>
    <row r="630" spans="1:19" x14ac:dyDescent="0.2">
      <c r="A630" s="36" t="s">
        <v>146</v>
      </c>
      <c r="B630" s="6" t="s">
        <v>155</v>
      </c>
      <c r="C630" s="71">
        <v>12000</v>
      </c>
      <c r="D630" s="6">
        <f>(C630/12)*5</f>
        <v>5000</v>
      </c>
      <c r="E630" s="62">
        <v>1000</v>
      </c>
      <c r="F630" s="6">
        <f>SUM(E626:E630)</f>
        <v>3216.95</v>
      </c>
      <c r="G630" s="35" t="str">
        <f t="shared" si="120"/>
        <v>Farol Vermelho</v>
      </c>
      <c r="H630">
        <f t="shared" si="118"/>
        <v>1783.0500000000002</v>
      </c>
      <c r="I630" s="6">
        <f t="shared" si="119"/>
        <v>5</v>
      </c>
      <c r="J630" s="100">
        <v>15</v>
      </c>
      <c r="K630" s="62">
        <v>2</v>
      </c>
      <c r="L630" s="6">
        <f>L626+L629</f>
        <v>6.25</v>
      </c>
      <c r="M630" s="6">
        <f t="shared" si="124"/>
        <v>8</v>
      </c>
      <c r="N630" s="71">
        <v>0</v>
      </c>
      <c r="O630" t="e">
        <f t="shared" si="121"/>
        <v>#DIV/0!</v>
      </c>
      <c r="P630" s="71">
        <v>0</v>
      </c>
      <c r="Q630" t="e">
        <f t="shared" si="122"/>
        <v>#DIV/0!</v>
      </c>
      <c r="R630" s="71">
        <v>0</v>
      </c>
      <c r="S630" s="6" t="e">
        <f t="shared" si="123"/>
        <v>#DIV/0!</v>
      </c>
    </row>
    <row r="631" spans="1:19" x14ac:dyDescent="0.2">
      <c r="A631" s="36" t="s">
        <v>146</v>
      </c>
      <c r="B631" s="6" t="s">
        <v>156</v>
      </c>
      <c r="C631" s="71">
        <v>12000</v>
      </c>
      <c r="D631" s="6">
        <f>(C631/12)*6</f>
        <v>6000</v>
      </c>
      <c r="E631" s="62">
        <v>2550</v>
      </c>
      <c r="F631" s="6">
        <f>SUM(E626:E631)</f>
        <v>5766.95</v>
      </c>
      <c r="G631" s="35" t="str">
        <f t="shared" si="120"/>
        <v>Farol Amarelo</v>
      </c>
      <c r="H631">
        <f t="shared" si="118"/>
        <v>233.05000000000018</v>
      </c>
      <c r="I631" s="6">
        <f t="shared" si="119"/>
        <v>6</v>
      </c>
      <c r="J631" s="100">
        <v>15</v>
      </c>
      <c r="K631" s="62">
        <v>5</v>
      </c>
      <c r="L631" s="6">
        <f>$L626+L630</f>
        <v>7.5</v>
      </c>
      <c r="M631" s="6">
        <f t="shared" si="124"/>
        <v>13</v>
      </c>
      <c r="N631" s="71"/>
      <c r="O631" t="e">
        <f t="shared" si="121"/>
        <v>#DIV/0!</v>
      </c>
      <c r="P631" s="71"/>
      <c r="Q631" t="e">
        <f t="shared" si="122"/>
        <v>#DIV/0!</v>
      </c>
      <c r="R631" s="71"/>
      <c r="S631" s="6" t="e">
        <f t="shared" si="123"/>
        <v>#DIV/0!</v>
      </c>
    </row>
    <row r="632" spans="1:19" x14ac:dyDescent="0.2">
      <c r="A632" s="36" t="s">
        <v>146</v>
      </c>
      <c r="B632" s="6" t="s">
        <v>157</v>
      </c>
      <c r="C632" s="71">
        <v>12000</v>
      </c>
      <c r="D632" s="6">
        <f>(C632/12)*7</f>
        <v>7000</v>
      </c>
      <c r="E632" s="62">
        <v>0</v>
      </c>
      <c r="F632" s="6">
        <f>SUM(E626:E632)</f>
        <v>5766.95</v>
      </c>
      <c r="G632" s="35" t="str">
        <f t="shared" si="120"/>
        <v>Farol Vermelho</v>
      </c>
      <c r="H632">
        <f t="shared" si="118"/>
        <v>1233.0500000000002</v>
      </c>
      <c r="I632" s="6">
        <f t="shared" si="119"/>
        <v>7</v>
      </c>
      <c r="J632" s="100">
        <v>15</v>
      </c>
      <c r="K632" s="62">
        <v>0</v>
      </c>
      <c r="L632" s="6">
        <f>$L626+L631</f>
        <v>8.75</v>
      </c>
      <c r="M632" s="6">
        <f t="shared" si="124"/>
        <v>13</v>
      </c>
      <c r="N632" s="71"/>
      <c r="O632" t="e">
        <f t="shared" si="121"/>
        <v>#DIV/0!</v>
      </c>
      <c r="P632" s="71"/>
      <c r="Q632" t="e">
        <f t="shared" si="122"/>
        <v>#DIV/0!</v>
      </c>
      <c r="R632" s="71"/>
      <c r="S632" s="6" t="e">
        <f t="shared" si="123"/>
        <v>#DIV/0!</v>
      </c>
    </row>
    <row r="633" spans="1:19" x14ac:dyDescent="0.2">
      <c r="A633" s="36" t="s">
        <v>146</v>
      </c>
      <c r="B633" s="6" t="s">
        <v>158</v>
      </c>
      <c r="C633" s="71">
        <v>12000</v>
      </c>
      <c r="D633" s="6">
        <f>(C633/12)*8</f>
        <v>8000</v>
      </c>
      <c r="E633" s="62">
        <v>0</v>
      </c>
      <c r="F633" s="6">
        <f>SUM(E626:E633)</f>
        <v>5766.95</v>
      </c>
      <c r="G633" s="35" t="str">
        <f t="shared" si="120"/>
        <v>Farol Vermelho</v>
      </c>
      <c r="H633">
        <f t="shared" si="118"/>
        <v>2233.0500000000002</v>
      </c>
      <c r="I633" s="6">
        <f t="shared" si="119"/>
        <v>8</v>
      </c>
      <c r="J633" s="100">
        <v>15</v>
      </c>
      <c r="K633" s="62"/>
      <c r="L633" s="6">
        <f>L626+L632</f>
        <v>10</v>
      </c>
      <c r="M633" s="6">
        <f t="shared" si="124"/>
        <v>13</v>
      </c>
      <c r="N633" s="71"/>
      <c r="O633" t="e">
        <f t="shared" si="121"/>
        <v>#DIV/0!</v>
      </c>
      <c r="P633" s="71"/>
      <c r="Q633" t="e">
        <f t="shared" si="122"/>
        <v>#DIV/0!</v>
      </c>
      <c r="R633" s="71"/>
      <c r="S633" s="6" t="e">
        <f t="shared" si="123"/>
        <v>#DIV/0!</v>
      </c>
    </row>
    <row r="634" spans="1:19" x14ac:dyDescent="0.2">
      <c r="A634" s="36" t="s">
        <v>146</v>
      </c>
      <c r="B634" s="6" t="s">
        <v>159</v>
      </c>
      <c r="C634" s="71">
        <v>12000</v>
      </c>
      <c r="D634" s="6">
        <f>(C634/12)*9</f>
        <v>9000</v>
      </c>
      <c r="E634" s="62">
        <v>0</v>
      </c>
      <c r="F634" s="6">
        <f>SUM(E626:E634)</f>
        <v>5766.95</v>
      </c>
      <c r="G634" s="35" t="str">
        <f t="shared" si="120"/>
        <v>Farol Vermelho</v>
      </c>
      <c r="H634">
        <f t="shared" si="118"/>
        <v>3233.05</v>
      </c>
      <c r="I634" s="6">
        <f t="shared" si="119"/>
        <v>9</v>
      </c>
      <c r="J634" s="100">
        <v>15</v>
      </c>
      <c r="K634" s="62"/>
      <c r="L634" s="6">
        <f>$L626+L633</f>
        <v>11.25</v>
      </c>
      <c r="M634" s="6">
        <f t="shared" si="124"/>
        <v>13</v>
      </c>
      <c r="N634" s="71"/>
      <c r="O634" t="e">
        <f t="shared" si="121"/>
        <v>#DIV/0!</v>
      </c>
      <c r="P634" s="71"/>
      <c r="Q634" t="e">
        <f t="shared" si="122"/>
        <v>#DIV/0!</v>
      </c>
      <c r="R634" s="71"/>
      <c r="S634" s="6" t="e">
        <f t="shared" si="123"/>
        <v>#DIV/0!</v>
      </c>
    </row>
    <row r="635" spans="1:19" x14ac:dyDescent="0.2">
      <c r="A635" s="36" t="s">
        <v>146</v>
      </c>
      <c r="B635" s="6" t="s">
        <v>160</v>
      </c>
      <c r="C635" s="71">
        <v>12000</v>
      </c>
      <c r="D635" s="6">
        <f>(C635/12)*10</f>
        <v>10000</v>
      </c>
      <c r="E635" s="62">
        <v>0</v>
      </c>
      <c r="F635" s="6">
        <f>SUM(E626:E635)</f>
        <v>5766.95</v>
      </c>
      <c r="G635" s="35" t="str">
        <f t="shared" si="120"/>
        <v>Farol Vermelho</v>
      </c>
      <c r="H635">
        <f t="shared" si="118"/>
        <v>4233.05</v>
      </c>
      <c r="I635" s="6">
        <f t="shared" si="119"/>
        <v>10</v>
      </c>
      <c r="J635" s="100">
        <v>15</v>
      </c>
      <c r="K635" s="62"/>
      <c r="L635" s="6">
        <f>$L626+L634</f>
        <v>12.5</v>
      </c>
      <c r="M635" s="6">
        <f t="shared" si="124"/>
        <v>13</v>
      </c>
      <c r="N635" s="71"/>
      <c r="O635" t="e">
        <f t="shared" si="121"/>
        <v>#DIV/0!</v>
      </c>
      <c r="P635" s="71"/>
      <c r="Q635" t="e">
        <f t="shared" si="122"/>
        <v>#DIV/0!</v>
      </c>
      <c r="R635" s="71"/>
      <c r="S635" s="6" t="e">
        <f t="shared" si="123"/>
        <v>#DIV/0!</v>
      </c>
    </row>
    <row r="636" spans="1:19" x14ac:dyDescent="0.2">
      <c r="A636" s="36" t="s">
        <v>146</v>
      </c>
      <c r="B636" s="6" t="s">
        <v>161</v>
      </c>
      <c r="C636" s="71">
        <v>12000</v>
      </c>
      <c r="D636" s="6">
        <f>(C636/12)*11</f>
        <v>11000</v>
      </c>
      <c r="E636" s="62">
        <v>0</v>
      </c>
      <c r="F636" s="6">
        <f>SUM(E626:E636)</f>
        <v>5766.95</v>
      </c>
      <c r="G636" s="35" t="str">
        <f t="shared" si="120"/>
        <v>Farol Vermelho</v>
      </c>
      <c r="H636">
        <f t="shared" si="118"/>
        <v>5233.05</v>
      </c>
      <c r="I636" s="6">
        <f t="shared" si="119"/>
        <v>11</v>
      </c>
      <c r="J636" s="100">
        <v>15</v>
      </c>
      <c r="K636" s="62"/>
      <c r="L636" s="6">
        <f>L626+L635</f>
        <v>13.75</v>
      </c>
      <c r="M636" s="6">
        <f t="shared" si="124"/>
        <v>13</v>
      </c>
      <c r="N636" s="71"/>
      <c r="O636" t="e">
        <f t="shared" si="121"/>
        <v>#DIV/0!</v>
      </c>
      <c r="P636" s="71"/>
      <c r="Q636" t="e">
        <f t="shared" si="122"/>
        <v>#DIV/0!</v>
      </c>
      <c r="R636" s="71"/>
      <c r="S636" s="6" t="e">
        <f t="shared" si="123"/>
        <v>#DIV/0!</v>
      </c>
    </row>
    <row r="637" spans="1:19" x14ac:dyDescent="0.2">
      <c r="A637" s="36" t="s">
        <v>146</v>
      </c>
      <c r="B637" s="6" t="s">
        <v>162</v>
      </c>
      <c r="C637" s="71">
        <v>12000</v>
      </c>
      <c r="D637" s="6">
        <f>(C637/12)*12</f>
        <v>12000</v>
      </c>
      <c r="E637" s="62">
        <v>0</v>
      </c>
      <c r="F637" s="6">
        <f>SUM(E626:E637)</f>
        <v>5766.95</v>
      </c>
      <c r="G637" s="35" t="str">
        <f t="shared" si="120"/>
        <v>Farol Vermelho</v>
      </c>
      <c r="H637">
        <f t="shared" si="118"/>
        <v>6233.05</v>
      </c>
      <c r="I637" s="6">
        <f t="shared" si="119"/>
        <v>12</v>
      </c>
      <c r="J637" s="100">
        <v>15</v>
      </c>
      <c r="K637" s="62"/>
      <c r="L637" s="6">
        <f>$L626+L636</f>
        <v>15</v>
      </c>
      <c r="M637" s="6">
        <f t="shared" si="124"/>
        <v>13</v>
      </c>
      <c r="N637" s="71"/>
      <c r="O637" t="e">
        <f t="shared" si="121"/>
        <v>#DIV/0!</v>
      </c>
      <c r="P637" s="71"/>
      <c r="Q637" t="e">
        <f t="shared" si="122"/>
        <v>#DIV/0!</v>
      </c>
      <c r="R637" s="71"/>
      <c r="S637" s="6" t="e">
        <f t="shared" si="123"/>
        <v>#DIV/0!</v>
      </c>
    </row>
    <row r="638" spans="1:19" x14ac:dyDescent="0.2">
      <c r="A638" s="36" t="s">
        <v>131</v>
      </c>
      <c r="B638" s="6" t="s">
        <v>151</v>
      </c>
      <c r="C638" s="71">
        <v>16000</v>
      </c>
      <c r="D638" s="6">
        <f>(C638/12)*1</f>
        <v>1333.3333333333333</v>
      </c>
      <c r="E638" s="62">
        <v>1600</v>
      </c>
      <c r="F638" s="6">
        <f>E638</f>
        <v>1600</v>
      </c>
      <c r="G638" s="35" t="str">
        <f t="shared" si="120"/>
        <v>Farol Verde</v>
      </c>
      <c r="H638">
        <f t="shared" si="118"/>
        <v>0</v>
      </c>
      <c r="I638" s="6">
        <f t="shared" si="119"/>
        <v>1</v>
      </c>
      <c r="J638" s="100">
        <v>10</v>
      </c>
      <c r="K638" s="62">
        <v>1</v>
      </c>
      <c r="L638" s="6">
        <f>J638/12</f>
        <v>0.83333333333333337</v>
      </c>
      <c r="M638" s="6">
        <f>K638</f>
        <v>1</v>
      </c>
      <c r="N638" s="71">
        <v>0</v>
      </c>
      <c r="O638" t="e">
        <f t="shared" si="121"/>
        <v>#DIV/0!</v>
      </c>
      <c r="P638" s="71">
        <v>0</v>
      </c>
      <c r="Q638" t="e">
        <f t="shared" si="122"/>
        <v>#DIV/0!</v>
      </c>
      <c r="R638" s="71">
        <v>0</v>
      </c>
      <c r="S638" s="6" t="e">
        <f t="shared" si="123"/>
        <v>#DIV/0!</v>
      </c>
    </row>
    <row r="639" spans="1:19" x14ac:dyDescent="0.2">
      <c r="A639" s="36" t="s">
        <v>131</v>
      </c>
      <c r="B639" s="6" t="s">
        <v>152</v>
      </c>
      <c r="C639" s="71">
        <v>16000</v>
      </c>
      <c r="D639" s="6">
        <f>(C639/12)*2</f>
        <v>2666.6666666666665</v>
      </c>
      <c r="E639" s="62">
        <v>2600</v>
      </c>
      <c r="F639" s="6">
        <f>SUM(E638:E639)</f>
        <v>4200</v>
      </c>
      <c r="G639" s="35" t="str">
        <f t="shared" si="120"/>
        <v>Farol Verde</v>
      </c>
      <c r="H639">
        <f t="shared" si="118"/>
        <v>0</v>
      </c>
      <c r="I639" s="6">
        <f t="shared" si="119"/>
        <v>2</v>
      </c>
      <c r="J639" s="100">
        <v>10</v>
      </c>
      <c r="K639" s="62">
        <v>2</v>
      </c>
      <c r="L639" s="6">
        <f>L638+L638</f>
        <v>1.6666666666666667</v>
      </c>
      <c r="M639" s="6">
        <f>M638+K639</f>
        <v>3</v>
      </c>
      <c r="N639" s="71">
        <v>0</v>
      </c>
      <c r="O639" t="e">
        <f t="shared" si="121"/>
        <v>#DIV/0!</v>
      </c>
      <c r="P639" s="71">
        <v>0</v>
      </c>
      <c r="Q639" t="e">
        <f t="shared" si="122"/>
        <v>#DIV/0!</v>
      </c>
      <c r="R639" s="71">
        <v>0</v>
      </c>
      <c r="S639" s="6" t="e">
        <f t="shared" si="123"/>
        <v>#DIV/0!</v>
      </c>
    </row>
    <row r="640" spans="1:19" x14ac:dyDescent="0.2">
      <c r="A640" s="36" t="s">
        <v>131</v>
      </c>
      <c r="B640" s="6" t="s">
        <v>153</v>
      </c>
      <c r="C640" s="71">
        <v>16000</v>
      </c>
      <c r="D640" s="6">
        <f>(C640/12)*3</f>
        <v>4000</v>
      </c>
      <c r="E640" s="62">
        <v>1500</v>
      </c>
      <c r="F640" s="6">
        <f>SUM(E638:E640)</f>
        <v>5700</v>
      </c>
      <c r="G640" s="35" t="str">
        <f t="shared" si="120"/>
        <v>Farol Verde</v>
      </c>
      <c r="H640">
        <f t="shared" si="118"/>
        <v>0</v>
      </c>
      <c r="I640" s="6">
        <f t="shared" si="119"/>
        <v>3</v>
      </c>
      <c r="J640" s="100">
        <v>10</v>
      </c>
      <c r="K640" s="62">
        <v>1</v>
      </c>
      <c r="L640" s="6">
        <f>$L638+L639</f>
        <v>2.5</v>
      </c>
      <c r="M640" s="6">
        <f t="shared" ref="M640:M649" si="125">M639+K640</f>
        <v>4</v>
      </c>
      <c r="N640" s="71">
        <v>0</v>
      </c>
      <c r="O640" t="e">
        <f t="shared" si="121"/>
        <v>#DIV/0!</v>
      </c>
      <c r="P640" s="71">
        <v>0</v>
      </c>
      <c r="Q640" t="e">
        <f t="shared" si="122"/>
        <v>#DIV/0!</v>
      </c>
      <c r="R640" s="71">
        <v>0</v>
      </c>
      <c r="S640" s="6" t="e">
        <f t="shared" si="123"/>
        <v>#DIV/0!</v>
      </c>
    </row>
    <row r="641" spans="1:19" x14ac:dyDescent="0.2">
      <c r="A641" s="36" t="s">
        <v>131</v>
      </c>
      <c r="B641" s="6" t="s">
        <v>154</v>
      </c>
      <c r="C641" s="71">
        <v>16000</v>
      </c>
      <c r="D641" s="6">
        <f>(C641/12)*4</f>
        <v>5333.333333333333</v>
      </c>
      <c r="E641" s="62">
        <v>0</v>
      </c>
      <c r="F641" s="6">
        <f>SUM(E638:E641)</f>
        <v>5700</v>
      </c>
      <c r="G641" s="35" t="str">
        <f t="shared" si="120"/>
        <v>Farol Verde</v>
      </c>
      <c r="H641">
        <f t="shared" si="118"/>
        <v>0</v>
      </c>
      <c r="I641" s="6">
        <f t="shared" si="119"/>
        <v>4</v>
      </c>
      <c r="J641" s="100">
        <v>10</v>
      </c>
      <c r="K641" s="62">
        <v>0</v>
      </c>
      <c r="L641" s="6">
        <f>$L638+L640</f>
        <v>3.3333333333333335</v>
      </c>
      <c r="M641" s="6">
        <f t="shared" si="125"/>
        <v>4</v>
      </c>
      <c r="N641" s="71">
        <v>0</v>
      </c>
      <c r="O641" t="e">
        <f t="shared" si="121"/>
        <v>#DIV/0!</v>
      </c>
      <c r="P641" s="71">
        <v>0</v>
      </c>
      <c r="Q641" t="e">
        <f t="shared" si="122"/>
        <v>#DIV/0!</v>
      </c>
      <c r="R641" s="71">
        <v>0</v>
      </c>
      <c r="S641" s="6" t="e">
        <f t="shared" si="123"/>
        <v>#DIV/0!</v>
      </c>
    </row>
    <row r="642" spans="1:19" x14ac:dyDescent="0.2">
      <c r="A642" s="36" t="s">
        <v>131</v>
      </c>
      <c r="B642" s="6" t="s">
        <v>155</v>
      </c>
      <c r="C642" s="71">
        <v>16000</v>
      </c>
      <c r="D642" s="6">
        <f>(C642/12)*5</f>
        <v>6666.6666666666661</v>
      </c>
      <c r="E642" s="62">
        <v>5500</v>
      </c>
      <c r="F642" s="6">
        <f>SUM(E638:E642)</f>
        <v>11200</v>
      </c>
      <c r="G642" s="35" t="str">
        <f t="shared" si="120"/>
        <v>Farol Verde</v>
      </c>
      <c r="H642">
        <f t="shared" si="118"/>
        <v>0</v>
      </c>
      <c r="I642" s="6">
        <f t="shared" si="119"/>
        <v>5</v>
      </c>
      <c r="J642" s="100">
        <v>10</v>
      </c>
      <c r="K642" s="62">
        <v>2</v>
      </c>
      <c r="L642" s="6">
        <f>L638+L641</f>
        <v>4.166666666666667</v>
      </c>
      <c r="M642" s="6">
        <f t="shared" si="125"/>
        <v>6</v>
      </c>
      <c r="N642" s="71">
        <v>3</v>
      </c>
      <c r="O642">
        <f t="shared" si="121"/>
        <v>1</v>
      </c>
      <c r="P642" s="71">
        <v>3</v>
      </c>
      <c r="Q642">
        <f t="shared" si="122"/>
        <v>0.33333333333333331</v>
      </c>
      <c r="R642" s="71">
        <v>1</v>
      </c>
      <c r="S642" s="6">
        <f t="shared" si="123"/>
        <v>0.33333333333333331</v>
      </c>
    </row>
    <row r="643" spans="1:19" x14ac:dyDescent="0.2">
      <c r="A643" s="36" t="s">
        <v>131</v>
      </c>
      <c r="B643" s="6" t="s">
        <v>156</v>
      </c>
      <c r="C643" s="71">
        <v>16000</v>
      </c>
      <c r="D643" s="6">
        <f>(C643/12)*6</f>
        <v>8000</v>
      </c>
      <c r="E643" s="62">
        <v>0</v>
      </c>
      <c r="F643" s="6">
        <f>SUM(E638:E643)</f>
        <v>11200</v>
      </c>
      <c r="G643" s="35" t="str">
        <f t="shared" si="120"/>
        <v>Farol Verde</v>
      </c>
      <c r="H643">
        <f t="shared" si="118"/>
        <v>0</v>
      </c>
      <c r="I643" s="6">
        <f t="shared" si="119"/>
        <v>6</v>
      </c>
      <c r="J643" s="100">
        <v>10</v>
      </c>
      <c r="K643" s="62">
        <v>0</v>
      </c>
      <c r="L643" s="6">
        <f>$L638+L642</f>
        <v>5</v>
      </c>
      <c r="M643" s="6">
        <f t="shared" si="125"/>
        <v>6</v>
      </c>
      <c r="N643" s="71">
        <v>3</v>
      </c>
      <c r="O643">
        <f t="shared" si="121"/>
        <v>0.66666666666666663</v>
      </c>
      <c r="P643" s="71">
        <v>2</v>
      </c>
      <c r="Q643">
        <f t="shared" si="122"/>
        <v>0</v>
      </c>
      <c r="R643" s="71">
        <v>0</v>
      </c>
      <c r="S643" s="6">
        <f t="shared" si="123"/>
        <v>0</v>
      </c>
    </row>
    <row r="644" spans="1:19" x14ac:dyDescent="0.2">
      <c r="A644" s="36" t="s">
        <v>131</v>
      </c>
      <c r="B644" s="6" t="s">
        <v>157</v>
      </c>
      <c r="C644" s="71">
        <v>16000</v>
      </c>
      <c r="D644" s="6">
        <f>(C644/12)*7</f>
        <v>9333.3333333333321</v>
      </c>
      <c r="E644" s="62">
        <v>0</v>
      </c>
      <c r="F644" s="6">
        <f>SUM(E638:E644)</f>
        <v>11200</v>
      </c>
      <c r="G644" s="35" t="str">
        <f t="shared" si="120"/>
        <v>Farol Verde</v>
      </c>
      <c r="H644">
        <f t="shared" si="118"/>
        <v>0</v>
      </c>
      <c r="I644" s="6">
        <f t="shared" si="119"/>
        <v>7</v>
      </c>
      <c r="J644" s="100">
        <v>10</v>
      </c>
      <c r="K644" s="62">
        <v>0</v>
      </c>
      <c r="L644" s="6">
        <f>$L638+L643</f>
        <v>5.833333333333333</v>
      </c>
      <c r="M644" s="6">
        <f t="shared" si="125"/>
        <v>6</v>
      </c>
      <c r="N644" s="71"/>
      <c r="O644" t="e">
        <f t="shared" si="121"/>
        <v>#DIV/0!</v>
      </c>
      <c r="P644" s="71"/>
      <c r="Q644" t="e">
        <f t="shared" si="122"/>
        <v>#DIV/0!</v>
      </c>
      <c r="R644" s="71"/>
      <c r="S644" s="6" t="e">
        <f t="shared" si="123"/>
        <v>#DIV/0!</v>
      </c>
    </row>
    <row r="645" spans="1:19" x14ac:dyDescent="0.2">
      <c r="A645" s="36" t="s">
        <v>131</v>
      </c>
      <c r="B645" s="6" t="s">
        <v>158</v>
      </c>
      <c r="C645" s="71">
        <v>16000</v>
      </c>
      <c r="D645" s="6">
        <f>(C645/12)*8</f>
        <v>10666.666666666666</v>
      </c>
      <c r="E645" s="62">
        <v>0</v>
      </c>
      <c r="F645" s="6">
        <f>SUM(E638:E645)</f>
        <v>11200</v>
      </c>
      <c r="G645" s="35" t="str">
        <f t="shared" si="120"/>
        <v>Farol Verde</v>
      </c>
      <c r="H645">
        <f t="shared" si="118"/>
        <v>0</v>
      </c>
      <c r="I645" s="6">
        <f t="shared" si="119"/>
        <v>8</v>
      </c>
      <c r="J645" s="100">
        <v>10</v>
      </c>
      <c r="K645" s="62"/>
      <c r="L645" s="6">
        <f>L638+L644</f>
        <v>6.6666666666666661</v>
      </c>
      <c r="M645" s="6">
        <f t="shared" si="125"/>
        <v>6</v>
      </c>
      <c r="N645" s="71"/>
      <c r="O645" t="e">
        <f t="shared" si="121"/>
        <v>#DIV/0!</v>
      </c>
      <c r="P645" s="71"/>
      <c r="Q645" t="e">
        <f t="shared" si="122"/>
        <v>#DIV/0!</v>
      </c>
      <c r="R645" s="71"/>
      <c r="S645" s="6" t="e">
        <f t="shared" si="123"/>
        <v>#DIV/0!</v>
      </c>
    </row>
    <row r="646" spans="1:19" x14ac:dyDescent="0.2">
      <c r="A646" s="36" t="s">
        <v>131</v>
      </c>
      <c r="B646" s="6" t="s">
        <v>159</v>
      </c>
      <c r="C646" s="71">
        <v>16000</v>
      </c>
      <c r="D646" s="6">
        <f>(C646/12)*9</f>
        <v>12000</v>
      </c>
      <c r="E646" s="62">
        <v>0</v>
      </c>
      <c r="F646" s="6">
        <f>SUM(E638:E646)</f>
        <v>11200</v>
      </c>
      <c r="G646" s="35" t="str">
        <f t="shared" si="120"/>
        <v>Farol Amarelo</v>
      </c>
      <c r="H646">
        <f t="shared" si="118"/>
        <v>800</v>
      </c>
      <c r="I646" s="6">
        <f t="shared" si="119"/>
        <v>9</v>
      </c>
      <c r="J646" s="100">
        <v>10</v>
      </c>
      <c r="K646" s="62"/>
      <c r="L646" s="6">
        <f>$L638+L645</f>
        <v>7.4999999999999991</v>
      </c>
      <c r="M646" s="6">
        <f t="shared" si="125"/>
        <v>6</v>
      </c>
      <c r="N646" s="71"/>
      <c r="O646" t="e">
        <f t="shared" si="121"/>
        <v>#DIV/0!</v>
      </c>
      <c r="P646" s="71"/>
      <c r="Q646" t="e">
        <f t="shared" si="122"/>
        <v>#DIV/0!</v>
      </c>
      <c r="R646" s="71"/>
      <c r="S646" s="6" t="e">
        <f t="shared" si="123"/>
        <v>#DIV/0!</v>
      </c>
    </row>
    <row r="647" spans="1:19" x14ac:dyDescent="0.2">
      <c r="A647" s="36" t="s">
        <v>131</v>
      </c>
      <c r="B647" s="6" t="s">
        <v>160</v>
      </c>
      <c r="C647" s="71">
        <v>16000</v>
      </c>
      <c r="D647" s="6">
        <f>(C647/12)*10</f>
        <v>13333.333333333332</v>
      </c>
      <c r="E647" s="62">
        <v>0</v>
      </c>
      <c r="F647" s="6">
        <f>SUM(E638:E647)</f>
        <v>11200</v>
      </c>
      <c r="G647" s="35" t="str">
        <f t="shared" si="120"/>
        <v>Farol Vermelho</v>
      </c>
      <c r="H647">
        <f t="shared" si="118"/>
        <v>2133.3333333333321</v>
      </c>
      <c r="I647" s="6">
        <f t="shared" si="119"/>
        <v>10</v>
      </c>
      <c r="J647" s="100">
        <v>10</v>
      </c>
      <c r="K647" s="62"/>
      <c r="L647" s="6">
        <f>$L638+L646</f>
        <v>8.3333333333333321</v>
      </c>
      <c r="M647" s="6">
        <f t="shared" si="125"/>
        <v>6</v>
      </c>
      <c r="N647" s="71"/>
      <c r="O647" t="e">
        <f t="shared" si="121"/>
        <v>#DIV/0!</v>
      </c>
      <c r="P647" s="71"/>
      <c r="Q647" t="e">
        <f t="shared" si="122"/>
        <v>#DIV/0!</v>
      </c>
      <c r="R647" s="71"/>
      <c r="S647" s="6" t="e">
        <f t="shared" si="123"/>
        <v>#DIV/0!</v>
      </c>
    </row>
    <row r="648" spans="1:19" x14ac:dyDescent="0.2">
      <c r="A648" s="36" t="s">
        <v>131</v>
      </c>
      <c r="B648" s="6" t="s">
        <v>161</v>
      </c>
      <c r="C648" s="71">
        <v>16000</v>
      </c>
      <c r="D648" s="6">
        <f>(C648/12)*11</f>
        <v>14666.666666666666</v>
      </c>
      <c r="E648" s="62">
        <v>0</v>
      </c>
      <c r="F648" s="6">
        <f>SUM(E638:E648)</f>
        <v>11200</v>
      </c>
      <c r="G648" s="35" t="str">
        <f t="shared" si="120"/>
        <v>Farol Vermelho</v>
      </c>
      <c r="H648">
        <f t="shared" si="118"/>
        <v>3466.6666666666661</v>
      </c>
      <c r="I648" s="6">
        <f t="shared" si="119"/>
        <v>11</v>
      </c>
      <c r="J648" s="100">
        <v>10</v>
      </c>
      <c r="K648" s="62"/>
      <c r="L648" s="6">
        <f>L638+L647</f>
        <v>9.1666666666666661</v>
      </c>
      <c r="M648" s="6">
        <f t="shared" si="125"/>
        <v>6</v>
      </c>
      <c r="N648" s="71"/>
      <c r="O648" t="e">
        <f t="shared" si="121"/>
        <v>#DIV/0!</v>
      </c>
      <c r="P648" s="71"/>
      <c r="Q648" t="e">
        <f t="shared" si="122"/>
        <v>#DIV/0!</v>
      </c>
      <c r="R648" s="71"/>
      <c r="S648" s="6" t="e">
        <f t="shared" si="123"/>
        <v>#DIV/0!</v>
      </c>
    </row>
    <row r="649" spans="1:19" x14ac:dyDescent="0.2">
      <c r="A649" s="36" t="s">
        <v>131</v>
      </c>
      <c r="B649" s="6" t="s">
        <v>162</v>
      </c>
      <c r="C649" s="71">
        <v>16000</v>
      </c>
      <c r="D649" s="6">
        <f>(C649/12)*12</f>
        <v>16000</v>
      </c>
      <c r="E649" s="62">
        <v>0</v>
      </c>
      <c r="F649" s="6">
        <f>SUM(E638:E649)</f>
        <v>11200</v>
      </c>
      <c r="G649" s="35" t="str">
        <f t="shared" si="120"/>
        <v>Farol Vermelho</v>
      </c>
      <c r="H649">
        <f t="shared" si="118"/>
        <v>4800</v>
      </c>
      <c r="I649" s="6">
        <f t="shared" si="119"/>
        <v>12</v>
      </c>
      <c r="J649" s="100">
        <v>10</v>
      </c>
      <c r="K649" s="62"/>
      <c r="L649" s="6">
        <f>$L638+L648</f>
        <v>10</v>
      </c>
      <c r="M649" s="6">
        <f t="shared" si="125"/>
        <v>6</v>
      </c>
      <c r="N649" s="71"/>
      <c r="O649" t="e">
        <f t="shared" si="121"/>
        <v>#DIV/0!</v>
      </c>
      <c r="P649" s="71"/>
      <c r="Q649" t="e">
        <f t="shared" si="122"/>
        <v>#DIV/0!</v>
      </c>
      <c r="R649" s="71"/>
      <c r="S649" s="6" t="e">
        <f t="shared" si="123"/>
        <v>#DIV/0!</v>
      </c>
    </row>
    <row r="650" spans="1:19" x14ac:dyDescent="0.2">
      <c r="A650" s="36" t="s">
        <v>302</v>
      </c>
      <c r="B650" s="6" t="s">
        <v>151</v>
      </c>
      <c r="C650" s="71">
        <v>0</v>
      </c>
      <c r="D650" s="6">
        <f>(C650/12)*1</f>
        <v>0</v>
      </c>
      <c r="E650" s="71">
        <v>0</v>
      </c>
      <c r="F650" s="6">
        <f>E650</f>
        <v>0</v>
      </c>
      <c r="G650" s="35" t="str">
        <f t="shared" ref="G650:G661" si="126">_xlfn.IFS(F650&gt;D650,"Farol Verde",F650&gt;=D650*0.85,"Farol Amarelo",F650&lt;D650*0.85,"Farol Vermelho","Verdadeiro",0)</f>
        <v>Farol Amarelo</v>
      </c>
      <c r="H650">
        <f t="shared" ref="H650:H661" si="127">IF(D650-F650&lt;0,0,D650-F650)</f>
        <v>0</v>
      </c>
      <c r="I650" s="6">
        <f t="shared" ref="I650:I661" si="128">_xlfn.IFS(B650="Janeiro",1,B650="Fevereiro",2,B650="Março",3,B650="Abril",4,B650="Maio",5,B650="Junho",6,B650="Julho",7,B650="Agosto",8,B650="Setembro",9,B650="Outubro",10,B650="Novembro",11,B650="Dezembro",12,TRUE,0)</f>
        <v>1</v>
      </c>
      <c r="J650" s="71">
        <v>0</v>
      </c>
      <c r="K650" s="71">
        <v>0</v>
      </c>
      <c r="L650" s="6">
        <f>J650/12</f>
        <v>0</v>
      </c>
      <c r="M650" s="6">
        <f>K650</f>
        <v>0</v>
      </c>
      <c r="N650" s="71">
        <v>0</v>
      </c>
      <c r="O650" t="e">
        <f t="shared" si="121"/>
        <v>#DIV/0!</v>
      </c>
      <c r="P650" s="71">
        <v>0</v>
      </c>
      <c r="Q650" t="e">
        <f t="shared" si="122"/>
        <v>#DIV/0!</v>
      </c>
      <c r="R650" s="71">
        <v>0</v>
      </c>
      <c r="S650" s="6" t="e">
        <f t="shared" si="123"/>
        <v>#DIV/0!</v>
      </c>
    </row>
    <row r="651" spans="1:19" x14ac:dyDescent="0.2">
      <c r="A651" s="36" t="s">
        <v>302</v>
      </c>
      <c r="B651" s="6" t="s">
        <v>152</v>
      </c>
      <c r="C651" s="71">
        <v>0</v>
      </c>
      <c r="D651" s="6">
        <f>(C651/12)*2</f>
        <v>0</v>
      </c>
      <c r="E651" s="71">
        <v>0</v>
      </c>
      <c r="F651" s="6">
        <f>SUM(E650:E651)</f>
        <v>0</v>
      </c>
      <c r="G651" s="35" t="str">
        <f t="shared" si="126"/>
        <v>Farol Amarelo</v>
      </c>
      <c r="H651">
        <f t="shared" si="127"/>
        <v>0</v>
      </c>
      <c r="I651" s="6">
        <f t="shared" si="128"/>
        <v>2</v>
      </c>
      <c r="J651" s="71">
        <v>0</v>
      </c>
      <c r="K651" s="71">
        <v>0</v>
      </c>
      <c r="L651" s="6">
        <f>L650+L650</f>
        <v>0</v>
      </c>
      <c r="M651" s="6">
        <f>M650+K651</f>
        <v>0</v>
      </c>
      <c r="N651" s="71">
        <v>0</v>
      </c>
      <c r="O651" t="e">
        <f t="shared" si="121"/>
        <v>#DIV/0!</v>
      </c>
      <c r="P651" s="71">
        <v>0</v>
      </c>
      <c r="Q651" t="e">
        <f t="shared" si="122"/>
        <v>#DIV/0!</v>
      </c>
      <c r="R651" s="71">
        <v>0</v>
      </c>
      <c r="S651" s="6" t="e">
        <f t="shared" si="123"/>
        <v>#DIV/0!</v>
      </c>
    </row>
    <row r="652" spans="1:19" x14ac:dyDescent="0.2">
      <c r="A652" s="36" t="s">
        <v>302</v>
      </c>
      <c r="B652" s="6" t="s">
        <v>153</v>
      </c>
      <c r="C652" s="71">
        <v>0</v>
      </c>
      <c r="D652" s="6">
        <f>(C652/12)*3</f>
        <v>0</v>
      </c>
      <c r="E652" s="71">
        <v>0</v>
      </c>
      <c r="F652" s="6">
        <f>SUM(E650:E652)</f>
        <v>0</v>
      </c>
      <c r="G652" s="35" t="str">
        <f t="shared" si="126"/>
        <v>Farol Amarelo</v>
      </c>
      <c r="H652">
        <f t="shared" si="127"/>
        <v>0</v>
      </c>
      <c r="I652" s="6">
        <f t="shared" si="128"/>
        <v>3</v>
      </c>
      <c r="J652" s="71">
        <v>0</v>
      </c>
      <c r="K652" s="71">
        <v>0</v>
      </c>
      <c r="L652" s="6">
        <f>$L650+L651</f>
        <v>0</v>
      </c>
      <c r="M652" s="6">
        <f t="shared" ref="M652:M661" si="129">M651+K652</f>
        <v>0</v>
      </c>
      <c r="N652" s="71">
        <v>0</v>
      </c>
      <c r="O652" t="e">
        <f t="shared" si="121"/>
        <v>#DIV/0!</v>
      </c>
      <c r="P652" s="71">
        <v>0</v>
      </c>
      <c r="Q652" t="e">
        <f t="shared" si="122"/>
        <v>#DIV/0!</v>
      </c>
      <c r="R652" s="71">
        <v>0</v>
      </c>
      <c r="S652" s="6" t="e">
        <f t="shared" si="123"/>
        <v>#DIV/0!</v>
      </c>
    </row>
    <row r="653" spans="1:19" x14ac:dyDescent="0.2">
      <c r="A653" s="36" t="s">
        <v>302</v>
      </c>
      <c r="B653" s="6" t="s">
        <v>154</v>
      </c>
      <c r="C653" s="71">
        <v>0</v>
      </c>
      <c r="D653" s="6">
        <f>(C653/12)*4</f>
        <v>0</v>
      </c>
      <c r="E653" s="71">
        <v>0</v>
      </c>
      <c r="F653" s="6">
        <f>SUM(E650:E653)</f>
        <v>0</v>
      </c>
      <c r="G653" s="35" t="str">
        <f t="shared" si="126"/>
        <v>Farol Amarelo</v>
      </c>
      <c r="H653">
        <f t="shared" si="127"/>
        <v>0</v>
      </c>
      <c r="I653" s="6">
        <f t="shared" si="128"/>
        <v>4</v>
      </c>
      <c r="J653" s="71">
        <v>0</v>
      </c>
      <c r="K653" s="71">
        <v>0</v>
      </c>
      <c r="L653" s="6">
        <f>$L650+L652</f>
        <v>0</v>
      </c>
      <c r="M653" s="6">
        <f t="shared" si="129"/>
        <v>0</v>
      </c>
      <c r="N653" s="71">
        <v>0</v>
      </c>
      <c r="O653" t="e">
        <f t="shared" si="121"/>
        <v>#DIV/0!</v>
      </c>
      <c r="P653" s="71">
        <v>0</v>
      </c>
      <c r="Q653" t="e">
        <f t="shared" si="122"/>
        <v>#DIV/0!</v>
      </c>
      <c r="R653" s="71">
        <v>0</v>
      </c>
      <c r="S653" s="6" t="e">
        <f t="shared" si="123"/>
        <v>#DIV/0!</v>
      </c>
    </row>
    <row r="654" spans="1:19" x14ac:dyDescent="0.2">
      <c r="A654" s="36" t="s">
        <v>302</v>
      </c>
      <c r="B654" s="6" t="s">
        <v>155</v>
      </c>
      <c r="C654" s="71">
        <v>0</v>
      </c>
      <c r="D654" s="6">
        <f>(C654/12)*5</f>
        <v>0</v>
      </c>
      <c r="E654" s="71">
        <v>0</v>
      </c>
      <c r="F654" s="6">
        <f>SUM(E650:E654)</f>
        <v>0</v>
      </c>
      <c r="G654" s="35" t="str">
        <f t="shared" si="126"/>
        <v>Farol Amarelo</v>
      </c>
      <c r="H654">
        <f t="shared" si="127"/>
        <v>0</v>
      </c>
      <c r="I654" s="6">
        <f t="shared" si="128"/>
        <v>5</v>
      </c>
      <c r="J654" s="71">
        <v>0</v>
      </c>
      <c r="K654" s="71">
        <v>0</v>
      </c>
      <c r="L654" s="6">
        <f>L650+L653</f>
        <v>0</v>
      </c>
      <c r="M654" s="6">
        <f t="shared" si="129"/>
        <v>0</v>
      </c>
      <c r="N654" s="71">
        <v>0</v>
      </c>
      <c r="O654" t="e">
        <f t="shared" si="121"/>
        <v>#DIV/0!</v>
      </c>
      <c r="P654" s="71">
        <v>0</v>
      </c>
      <c r="Q654" t="e">
        <f t="shared" si="122"/>
        <v>#DIV/0!</v>
      </c>
      <c r="R654" s="71">
        <v>0</v>
      </c>
      <c r="S654" s="6" t="e">
        <f t="shared" si="123"/>
        <v>#DIV/0!</v>
      </c>
    </row>
    <row r="655" spans="1:19" x14ac:dyDescent="0.2">
      <c r="A655" s="36" t="s">
        <v>302</v>
      </c>
      <c r="B655" s="6" t="s">
        <v>156</v>
      </c>
      <c r="C655" s="71">
        <v>0</v>
      </c>
      <c r="D655" s="6">
        <f>(C655/12)*6</f>
        <v>0</v>
      </c>
      <c r="E655" s="71">
        <v>0</v>
      </c>
      <c r="F655" s="6">
        <f>SUM(E650:E655)</f>
        <v>0</v>
      </c>
      <c r="G655" s="35" t="str">
        <f t="shared" si="126"/>
        <v>Farol Amarelo</v>
      </c>
      <c r="H655">
        <f t="shared" si="127"/>
        <v>0</v>
      </c>
      <c r="I655" s="6">
        <f t="shared" si="128"/>
        <v>6</v>
      </c>
      <c r="J655" s="71">
        <v>0</v>
      </c>
      <c r="K655" s="71">
        <v>0</v>
      </c>
      <c r="L655" s="6">
        <f>$L650+L654</f>
        <v>0</v>
      </c>
      <c r="M655" s="6">
        <f t="shared" si="129"/>
        <v>0</v>
      </c>
      <c r="N655" s="71">
        <v>0</v>
      </c>
      <c r="O655" t="e">
        <f t="shared" si="121"/>
        <v>#DIV/0!</v>
      </c>
      <c r="P655" s="71">
        <v>0</v>
      </c>
      <c r="Q655" t="e">
        <f t="shared" si="122"/>
        <v>#DIV/0!</v>
      </c>
      <c r="R655" s="71">
        <v>0</v>
      </c>
      <c r="S655" s="6" t="e">
        <f t="shared" si="123"/>
        <v>#DIV/0!</v>
      </c>
    </row>
    <row r="656" spans="1:19" x14ac:dyDescent="0.2">
      <c r="A656" s="36" t="s">
        <v>302</v>
      </c>
      <c r="B656" s="6" t="s">
        <v>157</v>
      </c>
      <c r="C656" s="71">
        <v>0</v>
      </c>
      <c r="D656" s="6">
        <f>(C656/12)*7</f>
        <v>0</v>
      </c>
      <c r="E656" s="71">
        <v>0</v>
      </c>
      <c r="F656" s="6">
        <f>SUM(E650:E656)</f>
        <v>0</v>
      </c>
      <c r="G656" s="35" t="str">
        <f t="shared" si="126"/>
        <v>Farol Amarelo</v>
      </c>
      <c r="H656">
        <f t="shared" si="127"/>
        <v>0</v>
      </c>
      <c r="I656" s="6">
        <f t="shared" si="128"/>
        <v>7</v>
      </c>
      <c r="J656" s="71">
        <v>0</v>
      </c>
      <c r="K656" s="71">
        <v>0</v>
      </c>
      <c r="L656" s="6">
        <f>$L650+L655</f>
        <v>0</v>
      </c>
      <c r="M656" s="6">
        <f t="shared" si="129"/>
        <v>0</v>
      </c>
      <c r="N656" s="71"/>
      <c r="O656" t="e">
        <f t="shared" si="121"/>
        <v>#DIV/0!</v>
      </c>
      <c r="P656" s="71"/>
      <c r="Q656" t="e">
        <f t="shared" si="122"/>
        <v>#DIV/0!</v>
      </c>
      <c r="R656" s="71"/>
      <c r="S656" s="6" t="e">
        <f t="shared" si="123"/>
        <v>#DIV/0!</v>
      </c>
    </row>
    <row r="657" spans="1:19" x14ac:dyDescent="0.2">
      <c r="A657" s="36" t="s">
        <v>302</v>
      </c>
      <c r="B657" s="6" t="s">
        <v>158</v>
      </c>
      <c r="C657" s="71">
        <v>0</v>
      </c>
      <c r="D657" s="6">
        <f>(C657/12)*8</f>
        <v>0</v>
      </c>
      <c r="E657" s="71">
        <v>0</v>
      </c>
      <c r="F657" s="6">
        <f>SUM(E650:E657)</f>
        <v>0</v>
      </c>
      <c r="G657" s="35" t="str">
        <f t="shared" si="126"/>
        <v>Farol Amarelo</v>
      </c>
      <c r="H657">
        <f t="shared" si="127"/>
        <v>0</v>
      </c>
      <c r="I657" s="6">
        <f t="shared" si="128"/>
        <v>8</v>
      </c>
      <c r="J657" s="71">
        <v>0</v>
      </c>
      <c r="K657" s="71">
        <v>0</v>
      </c>
      <c r="L657" s="6">
        <f>L650+L656</f>
        <v>0</v>
      </c>
      <c r="M657" s="6">
        <f t="shared" si="129"/>
        <v>0</v>
      </c>
      <c r="N657" s="71"/>
      <c r="O657" t="e">
        <f t="shared" si="121"/>
        <v>#DIV/0!</v>
      </c>
      <c r="P657" s="71"/>
      <c r="Q657" t="e">
        <f t="shared" si="122"/>
        <v>#DIV/0!</v>
      </c>
      <c r="R657" s="71"/>
      <c r="S657" s="6" t="e">
        <f t="shared" si="123"/>
        <v>#DIV/0!</v>
      </c>
    </row>
    <row r="658" spans="1:19" x14ac:dyDescent="0.2">
      <c r="A658" s="36" t="s">
        <v>302</v>
      </c>
      <c r="B658" s="6" t="s">
        <v>159</v>
      </c>
      <c r="C658" s="71">
        <v>0</v>
      </c>
      <c r="D658" s="6">
        <f>(C658/12)*9</f>
        <v>0</v>
      </c>
      <c r="E658" s="71">
        <v>0</v>
      </c>
      <c r="F658" s="6">
        <f>SUM(E650:E658)</f>
        <v>0</v>
      </c>
      <c r="G658" s="35" t="str">
        <f t="shared" si="126"/>
        <v>Farol Amarelo</v>
      </c>
      <c r="H658">
        <f t="shared" si="127"/>
        <v>0</v>
      </c>
      <c r="I658" s="6">
        <f t="shared" si="128"/>
        <v>9</v>
      </c>
      <c r="J658" s="71">
        <v>0</v>
      </c>
      <c r="K658" s="71">
        <v>0</v>
      </c>
      <c r="L658" s="6">
        <f>$L650+L657</f>
        <v>0</v>
      </c>
      <c r="M658" s="6">
        <f t="shared" si="129"/>
        <v>0</v>
      </c>
      <c r="N658" s="71"/>
      <c r="O658" t="e">
        <f t="shared" si="121"/>
        <v>#DIV/0!</v>
      </c>
      <c r="P658" s="71"/>
      <c r="Q658" t="e">
        <f t="shared" si="122"/>
        <v>#DIV/0!</v>
      </c>
      <c r="R658" s="71"/>
      <c r="S658" s="6" t="e">
        <f t="shared" si="123"/>
        <v>#DIV/0!</v>
      </c>
    </row>
    <row r="659" spans="1:19" x14ac:dyDescent="0.2">
      <c r="A659" s="36" t="s">
        <v>302</v>
      </c>
      <c r="B659" s="6" t="s">
        <v>160</v>
      </c>
      <c r="C659" s="71">
        <v>0</v>
      </c>
      <c r="D659" s="6">
        <f>(C659/12)*10</f>
        <v>0</v>
      </c>
      <c r="E659" s="71">
        <v>0</v>
      </c>
      <c r="F659" s="6">
        <f>SUM(E650:E659)</f>
        <v>0</v>
      </c>
      <c r="G659" s="35" t="str">
        <f t="shared" si="126"/>
        <v>Farol Amarelo</v>
      </c>
      <c r="H659">
        <f t="shared" si="127"/>
        <v>0</v>
      </c>
      <c r="I659" s="6">
        <f t="shared" si="128"/>
        <v>10</v>
      </c>
      <c r="J659" s="71">
        <v>0</v>
      </c>
      <c r="K659" s="71">
        <v>0</v>
      </c>
      <c r="L659" s="6">
        <f>$L650+L658</f>
        <v>0</v>
      </c>
      <c r="M659" s="6">
        <f t="shared" si="129"/>
        <v>0</v>
      </c>
      <c r="N659" s="71"/>
      <c r="O659" t="e">
        <f t="shared" si="121"/>
        <v>#DIV/0!</v>
      </c>
      <c r="P659" s="71"/>
      <c r="Q659" t="e">
        <f t="shared" si="122"/>
        <v>#DIV/0!</v>
      </c>
      <c r="R659" s="71"/>
      <c r="S659" s="6" t="e">
        <f t="shared" si="123"/>
        <v>#DIV/0!</v>
      </c>
    </row>
    <row r="660" spans="1:19" x14ac:dyDescent="0.2">
      <c r="A660" s="36" t="s">
        <v>302</v>
      </c>
      <c r="B660" s="6" t="s">
        <v>161</v>
      </c>
      <c r="C660" s="71">
        <v>0</v>
      </c>
      <c r="D660" s="6">
        <f>(C660/12)*11</f>
        <v>0</v>
      </c>
      <c r="E660" s="71">
        <v>0</v>
      </c>
      <c r="F660" s="6">
        <f>SUM(E650:E660)</f>
        <v>0</v>
      </c>
      <c r="G660" s="35" t="str">
        <f t="shared" si="126"/>
        <v>Farol Amarelo</v>
      </c>
      <c r="H660">
        <f t="shared" si="127"/>
        <v>0</v>
      </c>
      <c r="I660" s="6">
        <f t="shared" si="128"/>
        <v>11</v>
      </c>
      <c r="J660" s="71">
        <v>0</v>
      </c>
      <c r="K660" s="71">
        <v>0</v>
      </c>
      <c r="L660" s="6">
        <f>L650+L659</f>
        <v>0</v>
      </c>
      <c r="M660" s="6">
        <f t="shared" si="129"/>
        <v>0</v>
      </c>
      <c r="N660" s="71"/>
      <c r="O660" t="e">
        <f t="shared" si="121"/>
        <v>#DIV/0!</v>
      </c>
      <c r="P660" s="71"/>
      <c r="Q660" t="e">
        <f t="shared" si="122"/>
        <v>#DIV/0!</v>
      </c>
      <c r="R660" s="71"/>
      <c r="S660" s="6" t="e">
        <f t="shared" si="123"/>
        <v>#DIV/0!</v>
      </c>
    </row>
    <row r="661" spans="1:19" x14ac:dyDescent="0.2">
      <c r="A661" s="36" t="s">
        <v>302</v>
      </c>
      <c r="B661" s="6" t="s">
        <v>162</v>
      </c>
      <c r="C661" s="71">
        <v>0</v>
      </c>
      <c r="D661" s="6">
        <f>(C661/12)*12</f>
        <v>0</v>
      </c>
      <c r="E661" s="71">
        <v>0</v>
      </c>
      <c r="F661" s="6">
        <f>SUM(E650:E661)</f>
        <v>0</v>
      </c>
      <c r="G661" s="35" t="str">
        <f t="shared" si="126"/>
        <v>Farol Amarelo</v>
      </c>
      <c r="H661">
        <f t="shared" si="127"/>
        <v>0</v>
      </c>
      <c r="I661" s="6">
        <f t="shared" si="128"/>
        <v>12</v>
      </c>
      <c r="J661" s="71">
        <v>0</v>
      </c>
      <c r="K661" s="71">
        <v>0</v>
      </c>
      <c r="L661" s="6">
        <f>$L650+L660</f>
        <v>0</v>
      </c>
      <c r="M661" s="6">
        <f t="shared" si="129"/>
        <v>0</v>
      </c>
      <c r="N661" s="71"/>
      <c r="O661" t="e">
        <f t="shared" si="121"/>
        <v>#DIV/0!</v>
      </c>
      <c r="P661" s="71"/>
      <c r="Q661" t="e">
        <f t="shared" si="122"/>
        <v>#DIV/0!</v>
      </c>
      <c r="R661" s="71"/>
      <c r="S661" s="6" t="e">
        <f t="shared" si="123"/>
        <v>#DIV/0!</v>
      </c>
    </row>
    <row r="662" spans="1:19" x14ac:dyDescent="0.2">
      <c r="A662" s="36" t="s">
        <v>42</v>
      </c>
      <c r="B662" s="6" t="s">
        <v>151</v>
      </c>
      <c r="C662" s="71">
        <v>10730.07</v>
      </c>
      <c r="D662" s="6">
        <f>(C662/12)*1</f>
        <v>894.17250000000001</v>
      </c>
      <c r="E662" s="62">
        <v>0</v>
      </c>
      <c r="F662" s="6">
        <f>E662</f>
        <v>0</v>
      </c>
      <c r="G662" s="35" t="str">
        <f t="shared" si="120"/>
        <v>Farol Vermelho</v>
      </c>
      <c r="H662">
        <f t="shared" si="118"/>
        <v>894.17250000000001</v>
      </c>
      <c r="I662" s="6">
        <f t="shared" si="119"/>
        <v>1</v>
      </c>
      <c r="J662" s="100">
        <v>5</v>
      </c>
      <c r="K662" s="62">
        <v>0</v>
      </c>
      <c r="L662" s="6">
        <f>J662/12</f>
        <v>0.41666666666666669</v>
      </c>
      <c r="M662" s="6">
        <f>K662</f>
        <v>0</v>
      </c>
      <c r="N662" s="71">
        <v>0</v>
      </c>
      <c r="O662" t="e">
        <f t="shared" si="121"/>
        <v>#DIV/0!</v>
      </c>
      <c r="P662" s="71">
        <v>0</v>
      </c>
      <c r="Q662" t="e">
        <f t="shared" si="122"/>
        <v>#DIV/0!</v>
      </c>
      <c r="R662" s="71">
        <v>0</v>
      </c>
      <c r="S662" s="6" t="e">
        <f t="shared" si="123"/>
        <v>#DIV/0!</v>
      </c>
    </row>
    <row r="663" spans="1:19" x14ac:dyDescent="0.2">
      <c r="A663" s="36" t="s">
        <v>42</v>
      </c>
      <c r="B663" s="6" t="s">
        <v>152</v>
      </c>
      <c r="C663" s="71">
        <v>10730.07</v>
      </c>
      <c r="D663" s="6">
        <f>(C663/12)*2</f>
        <v>1788.345</v>
      </c>
      <c r="E663" s="62">
        <v>600</v>
      </c>
      <c r="F663" s="6">
        <f>SUM(E662:E663)</f>
        <v>600</v>
      </c>
      <c r="G663" s="35" t="str">
        <f t="shared" si="120"/>
        <v>Farol Vermelho</v>
      </c>
      <c r="H663">
        <f t="shared" si="118"/>
        <v>1188.345</v>
      </c>
      <c r="I663" s="6">
        <f t="shared" si="119"/>
        <v>2</v>
      </c>
      <c r="J663" s="100">
        <v>5</v>
      </c>
      <c r="K663" s="62">
        <v>1</v>
      </c>
      <c r="L663" s="6">
        <f>L662+L662</f>
        <v>0.83333333333333337</v>
      </c>
      <c r="M663" s="6">
        <f>M662+K663</f>
        <v>1</v>
      </c>
      <c r="N663" s="71">
        <v>0</v>
      </c>
      <c r="O663" t="e">
        <f t="shared" si="121"/>
        <v>#DIV/0!</v>
      </c>
      <c r="P663" s="71">
        <v>0</v>
      </c>
      <c r="Q663" t="e">
        <f t="shared" si="122"/>
        <v>#DIV/0!</v>
      </c>
      <c r="R663" s="71">
        <v>0</v>
      </c>
      <c r="S663" s="6" t="e">
        <f t="shared" si="123"/>
        <v>#DIV/0!</v>
      </c>
    </row>
    <row r="664" spans="1:19" x14ac:dyDescent="0.2">
      <c r="A664" s="36" t="s">
        <v>42</v>
      </c>
      <c r="B664" s="6" t="s">
        <v>153</v>
      </c>
      <c r="C664" s="71">
        <v>10730.07</v>
      </c>
      <c r="D664" s="6">
        <f>(C664/12)*3</f>
        <v>2682.5174999999999</v>
      </c>
      <c r="E664" s="62">
        <v>0</v>
      </c>
      <c r="F664" s="6">
        <f>SUM(E662:E664)</f>
        <v>600</v>
      </c>
      <c r="G664" s="35" t="str">
        <f t="shared" si="120"/>
        <v>Farol Vermelho</v>
      </c>
      <c r="H664">
        <f t="shared" si="118"/>
        <v>2082.5174999999999</v>
      </c>
      <c r="I664" s="6">
        <f t="shared" si="119"/>
        <v>3</v>
      </c>
      <c r="J664" s="100">
        <v>5</v>
      </c>
      <c r="K664" s="62">
        <v>0</v>
      </c>
      <c r="L664" s="6">
        <f>$L662+L663</f>
        <v>1.25</v>
      </c>
      <c r="M664" s="6">
        <f t="shared" ref="M664:M673" si="130">M663+K664</f>
        <v>1</v>
      </c>
      <c r="N664" s="71">
        <v>0</v>
      </c>
      <c r="O664" t="e">
        <f t="shared" si="121"/>
        <v>#DIV/0!</v>
      </c>
      <c r="P664" s="71">
        <v>0</v>
      </c>
      <c r="Q664" t="e">
        <f t="shared" si="122"/>
        <v>#DIV/0!</v>
      </c>
      <c r="R664" s="71">
        <v>0</v>
      </c>
      <c r="S664" s="6" t="e">
        <f t="shared" si="123"/>
        <v>#DIV/0!</v>
      </c>
    </row>
    <row r="665" spans="1:19" x14ac:dyDescent="0.2">
      <c r="A665" s="36" t="s">
        <v>42</v>
      </c>
      <c r="B665" s="6" t="s">
        <v>154</v>
      </c>
      <c r="C665" s="71">
        <v>10730.07</v>
      </c>
      <c r="D665" s="6">
        <f>(C665/12)*4</f>
        <v>3576.69</v>
      </c>
      <c r="E665" s="62">
        <v>0</v>
      </c>
      <c r="F665" s="6">
        <f>SUM(E662:E665)</f>
        <v>600</v>
      </c>
      <c r="G665" s="35" t="str">
        <f t="shared" si="120"/>
        <v>Farol Vermelho</v>
      </c>
      <c r="H665">
        <f t="shared" si="118"/>
        <v>2976.69</v>
      </c>
      <c r="I665" s="6">
        <f t="shared" si="119"/>
        <v>4</v>
      </c>
      <c r="J665" s="100">
        <v>5</v>
      </c>
      <c r="K665" s="62">
        <v>0</v>
      </c>
      <c r="L665" s="6">
        <f>$L662+L664</f>
        <v>1.6666666666666667</v>
      </c>
      <c r="M665" s="6">
        <f t="shared" si="130"/>
        <v>1</v>
      </c>
      <c r="N665" s="71">
        <v>0</v>
      </c>
      <c r="O665" t="e">
        <f t="shared" si="121"/>
        <v>#DIV/0!</v>
      </c>
      <c r="P665" s="71">
        <v>0</v>
      </c>
      <c r="Q665" t="e">
        <f t="shared" si="122"/>
        <v>#DIV/0!</v>
      </c>
      <c r="R665" s="71">
        <v>0</v>
      </c>
      <c r="S665" s="6" t="e">
        <f t="shared" si="123"/>
        <v>#DIV/0!</v>
      </c>
    </row>
    <row r="666" spans="1:19" x14ac:dyDescent="0.2">
      <c r="A666" s="36" t="s">
        <v>42</v>
      </c>
      <c r="B666" s="6" t="s">
        <v>155</v>
      </c>
      <c r="C666" s="71">
        <v>10730.07</v>
      </c>
      <c r="D666" s="6">
        <f>(C666/12)*5</f>
        <v>4470.8625000000002</v>
      </c>
      <c r="E666" s="62">
        <v>283.5</v>
      </c>
      <c r="F666" s="6">
        <f>SUM(E662:E666)</f>
        <v>883.5</v>
      </c>
      <c r="G666" s="35" t="str">
        <f t="shared" si="120"/>
        <v>Farol Vermelho</v>
      </c>
      <c r="H666">
        <f t="shared" si="118"/>
        <v>3587.3625000000002</v>
      </c>
      <c r="I666" s="6">
        <f t="shared" si="119"/>
        <v>5</v>
      </c>
      <c r="J666" s="100">
        <v>5</v>
      </c>
      <c r="K666" s="62">
        <v>1</v>
      </c>
      <c r="L666" s="6">
        <f>L662+L665</f>
        <v>2.0833333333333335</v>
      </c>
      <c r="M666" s="6">
        <f t="shared" si="130"/>
        <v>2</v>
      </c>
      <c r="N666" s="71">
        <v>0</v>
      </c>
      <c r="O666" t="e">
        <f t="shared" si="121"/>
        <v>#DIV/0!</v>
      </c>
      <c r="P666" s="71">
        <v>0</v>
      </c>
      <c r="Q666" t="e">
        <f t="shared" si="122"/>
        <v>#DIV/0!</v>
      </c>
      <c r="R666" s="71">
        <v>0</v>
      </c>
      <c r="S666" s="6" t="e">
        <f t="shared" si="123"/>
        <v>#DIV/0!</v>
      </c>
    </row>
    <row r="667" spans="1:19" x14ac:dyDescent="0.2">
      <c r="A667" s="36" t="s">
        <v>42</v>
      </c>
      <c r="B667" s="6" t="s">
        <v>156</v>
      </c>
      <c r="C667" s="71">
        <v>10730.07</v>
      </c>
      <c r="D667" s="6">
        <f>(C667/12)*6</f>
        <v>5365.0349999999999</v>
      </c>
      <c r="E667" s="62">
        <v>0</v>
      </c>
      <c r="F667" s="6">
        <f>SUM(E662:E667)</f>
        <v>883.5</v>
      </c>
      <c r="G667" s="35" t="str">
        <f t="shared" si="120"/>
        <v>Farol Vermelho</v>
      </c>
      <c r="H667">
        <f t="shared" si="118"/>
        <v>4481.5349999999999</v>
      </c>
      <c r="I667" s="6">
        <f t="shared" si="119"/>
        <v>6</v>
      </c>
      <c r="J667" s="100">
        <v>5</v>
      </c>
      <c r="K667" s="62">
        <v>0</v>
      </c>
      <c r="L667" s="6">
        <f>$L662+L666</f>
        <v>2.5</v>
      </c>
      <c r="M667" s="6">
        <f t="shared" si="130"/>
        <v>2</v>
      </c>
      <c r="N667" s="71"/>
      <c r="O667" t="e">
        <f t="shared" si="121"/>
        <v>#DIV/0!</v>
      </c>
      <c r="P667" s="71"/>
      <c r="Q667" t="e">
        <f t="shared" si="122"/>
        <v>#DIV/0!</v>
      </c>
      <c r="R667" s="71"/>
      <c r="S667" s="6" t="e">
        <f t="shared" si="123"/>
        <v>#DIV/0!</v>
      </c>
    </row>
    <row r="668" spans="1:19" x14ac:dyDescent="0.2">
      <c r="A668" s="36" t="s">
        <v>42</v>
      </c>
      <c r="B668" s="6" t="s">
        <v>157</v>
      </c>
      <c r="C668" s="71">
        <v>10730.07</v>
      </c>
      <c r="D668" s="6">
        <f>(C668/12)*7</f>
        <v>6259.2075000000004</v>
      </c>
      <c r="E668" s="62">
        <v>150</v>
      </c>
      <c r="F668" s="6">
        <f>SUM(E662:E668)</f>
        <v>1033.5</v>
      </c>
      <c r="G668" s="35" t="str">
        <f t="shared" si="120"/>
        <v>Farol Vermelho</v>
      </c>
      <c r="H668">
        <f t="shared" si="118"/>
        <v>5225.7075000000004</v>
      </c>
      <c r="I668" s="6">
        <f t="shared" si="119"/>
        <v>7</v>
      </c>
      <c r="J668" s="100">
        <v>5</v>
      </c>
      <c r="K668" s="62">
        <v>1</v>
      </c>
      <c r="L668" s="6">
        <f>$L662+L667</f>
        <v>2.9166666666666665</v>
      </c>
      <c r="M668" s="6">
        <f t="shared" si="130"/>
        <v>3</v>
      </c>
      <c r="N668" s="71"/>
      <c r="O668" t="e">
        <f t="shared" si="121"/>
        <v>#DIV/0!</v>
      </c>
      <c r="P668" s="71"/>
      <c r="Q668" t="e">
        <f t="shared" si="122"/>
        <v>#DIV/0!</v>
      </c>
      <c r="R668" s="71"/>
      <c r="S668" s="6" t="e">
        <f t="shared" si="123"/>
        <v>#DIV/0!</v>
      </c>
    </row>
    <row r="669" spans="1:19" x14ac:dyDescent="0.2">
      <c r="A669" s="36" t="s">
        <v>42</v>
      </c>
      <c r="B669" s="6" t="s">
        <v>158</v>
      </c>
      <c r="C669" s="71">
        <v>10730.07</v>
      </c>
      <c r="D669" s="6">
        <f>(C669/12)*8</f>
        <v>7153.38</v>
      </c>
      <c r="E669" s="62">
        <v>0</v>
      </c>
      <c r="F669" s="6">
        <f>SUM(E662:E669)</f>
        <v>1033.5</v>
      </c>
      <c r="G669" s="35" t="str">
        <f t="shared" si="120"/>
        <v>Farol Vermelho</v>
      </c>
      <c r="H669">
        <f t="shared" si="118"/>
        <v>6119.88</v>
      </c>
      <c r="I669" s="6">
        <f t="shared" si="119"/>
        <v>8</v>
      </c>
      <c r="J669" s="100">
        <v>5</v>
      </c>
      <c r="K669" s="62"/>
      <c r="L669" s="6">
        <f>L662+L668</f>
        <v>3.333333333333333</v>
      </c>
      <c r="M669" s="6">
        <f t="shared" si="130"/>
        <v>3</v>
      </c>
      <c r="N669" s="71"/>
      <c r="O669" t="e">
        <f t="shared" si="121"/>
        <v>#DIV/0!</v>
      </c>
      <c r="P669" s="71"/>
      <c r="Q669" t="e">
        <f t="shared" si="122"/>
        <v>#DIV/0!</v>
      </c>
      <c r="R669" s="71"/>
      <c r="S669" s="6" t="e">
        <f t="shared" si="123"/>
        <v>#DIV/0!</v>
      </c>
    </row>
    <row r="670" spans="1:19" x14ac:dyDescent="0.2">
      <c r="A670" s="36" t="s">
        <v>42</v>
      </c>
      <c r="B670" s="6" t="s">
        <v>159</v>
      </c>
      <c r="C670" s="71">
        <v>10730.07</v>
      </c>
      <c r="D670" s="6">
        <f>(C670/12)*9</f>
        <v>8047.5524999999998</v>
      </c>
      <c r="E670" s="62">
        <v>0</v>
      </c>
      <c r="F670" s="6">
        <f>SUM(E662:E670)</f>
        <v>1033.5</v>
      </c>
      <c r="G670" s="35" t="str">
        <f t="shared" si="120"/>
        <v>Farol Vermelho</v>
      </c>
      <c r="H670">
        <f t="shared" si="118"/>
        <v>7014.0524999999998</v>
      </c>
      <c r="I670" s="6">
        <f t="shared" si="119"/>
        <v>9</v>
      </c>
      <c r="J670" s="100">
        <v>5</v>
      </c>
      <c r="K670" s="62"/>
      <c r="L670" s="6">
        <f>$L662+L669</f>
        <v>3.7499999999999996</v>
      </c>
      <c r="M670" s="6">
        <f t="shared" si="130"/>
        <v>3</v>
      </c>
      <c r="N670" s="71"/>
      <c r="O670" t="e">
        <f t="shared" si="121"/>
        <v>#DIV/0!</v>
      </c>
      <c r="P670" s="71"/>
      <c r="Q670" t="e">
        <f t="shared" si="122"/>
        <v>#DIV/0!</v>
      </c>
      <c r="R670" s="71"/>
      <c r="S670" s="6" t="e">
        <f t="shared" si="123"/>
        <v>#DIV/0!</v>
      </c>
    </row>
    <row r="671" spans="1:19" x14ac:dyDescent="0.2">
      <c r="A671" s="36" t="s">
        <v>42</v>
      </c>
      <c r="B671" s="6" t="s">
        <v>160</v>
      </c>
      <c r="C671" s="71">
        <v>10730.07</v>
      </c>
      <c r="D671" s="6">
        <f>(C671/12)*10</f>
        <v>8941.7250000000004</v>
      </c>
      <c r="E671" s="62">
        <v>0</v>
      </c>
      <c r="F671" s="6">
        <f>SUM(E662:E671)</f>
        <v>1033.5</v>
      </c>
      <c r="G671" s="35" t="str">
        <f t="shared" si="120"/>
        <v>Farol Vermelho</v>
      </c>
      <c r="H671">
        <f t="shared" si="118"/>
        <v>7908.2250000000004</v>
      </c>
      <c r="I671" s="6">
        <f t="shared" si="119"/>
        <v>10</v>
      </c>
      <c r="J671" s="100">
        <v>5</v>
      </c>
      <c r="K671" s="62"/>
      <c r="L671" s="6">
        <f>$L662+L670</f>
        <v>4.1666666666666661</v>
      </c>
      <c r="M671" s="6">
        <f t="shared" si="130"/>
        <v>3</v>
      </c>
      <c r="N671" s="71"/>
      <c r="O671" t="e">
        <f t="shared" si="121"/>
        <v>#DIV/0!</v>
      </c>
      <c r="P671" s="71"/>
      <c r="Q671" t="e">
        <f t="shared" si="122"/>
        <v>#DIV/0!</v>
      </c>
      <c r="R671" s="71"/>
      <c r="S671" s="6" t="e">
        <f t="shared" si="123"/>
        <v>#DIV/0!</v>
      </c>
    </row>
    <row r="672" spans="1:19" x14ac:dyDescent="0.2">
      <c r="A672" s="36" t="s">
        <v>42</v>
      </c>
      <c r="B672" s="6" t="s">
        <v>161</v>
      </c>
      <c r="C672" s="71">
        <v>10730.07</v>
      </c>
      <c r="D672" s="6">
        <f>(C672/12)*11</f>
        <v>9835.8975000000009</v>
      </c>
      <c r="E672" s="62">
        <v>0</v>
      </c>
      <c r="F672" s="6">
        <f>SUM(E662:E672)</f>
        <v>1033.5</v>
      </c>
      <c r="G672" s="35" t="str">
        <f t="shared" si="120"/>
        <v>Farol Vermelho</v>
      </c>
      <c r="H672">
        <f t="shared" si="118"/>
        <v>8802.3975000000009</v>
      </c>
      <c r="I672" s="6">
        <f t="shared" si="119"/>
        <v>11</v>
      </c>
      <c r="J672" s="100">
        <v>5</v>
      </c>
      <c r="K672" s="62"/>
      <c r="L672" s="6">
        <f>L662+L671</f>
        <v>4.583333333333333</v>
      </c>
      <c r="M672" s="6">
        <f t="shared" si="130"/>
        <v>3</v>
      </c>
      <c r="N672" s="71"/>
      <c r="O672" t="e">
        <f t="shared" si="121"/>
        <v>#DIV/0!</v>
      </c>
      <c r="P672" s="71"/>
      <c r="Q672" t="e">
        <f t="shared" si="122"/>
        <v>#DIV/0!</v>
      </c>
      <c r="R672" s="71"/>
      <c r="S672" s="6" t="e">
        <f t="shared" si="123"/>
        <v>#DIV/0!</v>
      </c>
    </row>
    <row r="673" spans="1:19" x14ac:dyDescent="0.2">
      <c r="A673" s="36" t="s">
        <v>42</v>
      </c>
      <c r="B673" s="6" t="s">
        <v>162</v>
      </c>
      <c r="C673" s="71">
        <v>10730.07</v>
      </c>
      <c r="D673" s="6">
        <f>(C673/12)*12</f>
        <v>10730.07</v>
      </c>
      <c r="E673" s="62">
        <v>0</v>
      </c>
      <c r="F673" s="6">
        <f>SUM(E662:E673)</f>
        <v>1033.5</v>
      </c>
      <c r="G673" s="35" t="str">
        <f t="shared" si="120"/>
        <v>Farol Vermelho</v>
      </c>
      <c r="H673">
        <f t="shared" si="118"/>
        <v>9696.57</v>
      </c>
      <c r="I673" s="6">
        <f t="shared" si="119"/>
        <v>12</v>
      </c>
      <c r="J673" s="100">
        <v>5</v>
      </c>
      <c r="K673" s="62"/>
      <c r="L673" s="6">
        <f>$L662+L672</f>
        <v>5</v>
      </c>
      <c r="M673" s="6">
        <f t="shared" si="130"/>
        <v>3</v>
      </c>
      <c r="N673" s="71"/>
      <c r="O673" t="e">
        <f t="shared" si="121"/>
        <v>#DIV/0!</v>
      </c>
      <c r="P673" s="71"/>
      <c r="Q673" t="e">
        <f t="shared" si="122"/>
        <v>#DIV/0!</v>
      </c>
      <c r="R673" s="71"/>
      <c r="S673" s="6" t="e">
        <f t="shared" si="123"/>
        <v>#DIV/0!</v>
      </c>
    </row>
    <row r="674" spans="1:19" x14ac:dyDescent="0.2">
      <c r="A674" s="36" t="s">
        <v>108</v>
      </c>
      <c r="B674" s="6" t="s">
        <v>151</v>
      </c>
      <c r="C674" s="71">
        <v>18000</v>
      </c>
      <c r="D674" s="6">
        <f>(C674/12)*1</f>
        <v>1500</v>
      </c>
      <c r="E674" s="62">
        <v>0</v>
      </c>
      <c r="F674" s="6">
        <f>E674</f>
        <v>0</v>
      </c>
      <c r="G674" s="35" t="str">
        <f t="shared" si="120"/>
        <v>Farol Vermelho</v>
      </c>
      <c r="H674">
        <f t="shared" si="118"/>
        <v>1500</v>
      </c>
      <c r="I674" s="6">
        <f t="shared" si="119"/>
        <v>1</v>
      </c>
      <c r="J674" s="100">
        <v>8</v>
      </c>
      <c r="K674" s="62">
        <v>0</v>
      </c>
      <c r="L674" s="6">
        <f>J674/12</f>
        <v>0.66666666666666663</v>
      </c>
      <c r="M674" s="6">
        <f>K674</f>
        <v>0</v>
      </c>
      <c r="N674" s="71">
        <v>0</v>
      </c>
      <c r="O674" t="e">
        <f t="shared" si="121"/>
        <v>#DIV/0!</v>
      </c>
      <c r="P674" s="71">
        <v>0</v>
      </c>
      <c r="Q674" t="e">
        <f t="shared" si="122"/>
        <v>#DIV/0!</v>
      </c>
      <c r="R674" s="71">
        <v>0</v>
      </c>
      <c r="S674" s="6" t="e">
        <f t="shared" si="123"/>
        <v>#DIV/0!</v>
      </c>
    </row>
    <row r="675" spans="1:19" x14ac:dyDescent="0.2">
      <c r="A675" s="36" t="s">
        <v>108</v>
      </c>
      <c r="B675" s="6" t="s">
        <v>152</v>
      </c>
      <c r="C675" s="71">
        <v>18000</v>
      </c>
      <c r="D675" s="6">
        <f>(C675/12)*2</f>
        <v>3000</v>
      </c>
      <c r="E675" s="62">
        <v>0</v>
      </c>
      <c r="F675" s="6">
        <f>SUM(E674:E675)</f>
        <v>0</v>
      </c>
      <c r="G675" s="35" t="str">
        <f t="shared" si="120"/>
        <v>Farol Vermelho</v>
      </c>
      <c r="H675">
        <f t="shared" si="118"/>
        <v>3000</v>
      </c>
      <c r="I675" s="6">
        <f t="shared" si="119"/>
        <v>2</v>
      </c>
      <c r="J675" s="100">
        <v>8</v>
      </c>
      <c r="K675" s="62">
        <v>0</v>
      </c>
      <c r="L675" s="6">
        <f>L674+L674</f>
        <v>1.3333333333333333</v>
      </c>
      <c r="M675" s="6">
        <f>M674+K675</f>
        <v>0</v>
      </c>
      <c r="N675" s="71">
        <v>0</v>
      </c>
      <c r="O675" t="e">
        <f t="shared" si="121"/>
        <v>#DIV/0!</v>
      </c>
      <c r="P675" s="71">
        <v>0</v>
      </c>
      <c r="Q675" t="e">
        <f t="shared" si="122"/>
        <v>#DIV/0!</v>
      </c>
      <c r="R675" s="71">
        <v>0</v>
      </c>
      <c r="S675" s="6" t="e">
        <f t="shared" si="123"/>
        <v>#DIV/0!</v>
      </c>
    </row>
    <row r="676" spans="1:19" x14ac:dyDescent="0.2">
      <c r="A676" s="36" t="s">
        <v>108</v>
      </c>
      <c r="B676" s="6" t="s">
        <v>153</v>
      </c>
      <c r="C676" s="71">
        <v>18000</v>
      </c>
      <c r="D676" s="6">
        <f>(C676/12)*3</f>
        <v>4500</v>
      </c>
      <c r="E676" s="62">
        <v>0</v>
      </c>
      <c r="F676" s="6">
        <f>SUM(E674:E676)</f>
        <v>0</v>
      </c>
      <c r="G676" s="35" t="str">
        <f t="shared" si="120"/>
        <v>Farol Vermelho</v>
      </c>
      <c r="H676">
        <f t="shared" si="118"/>
        <v>4500</v>
      </c>
      <c r="I676" s="6">
        <f t="shared" si="119"/>
        <v>3</v>
      </c>
      <c r="J676" s="100">
        <v>8</v>
      </c>
      <c r="K676" s="62">
        <v>0</v>
      </c>
      <c r="L676" s="6">
        <f>$L674+L675</f>
        <v>2</v>
      </c>
      <c r="M676" s="6">
        <f t="shared" ref="M676:M685" si="131">M675+K676</f>
        <v>0</v>
      </c>
      <c r="N676" s="71">
        <v>0</v>
      </c>
      <c r="O676" t="e">
        <f t="shared" si="121"/>
        <v>#DIV/0!</v>
      </c>
      <c r="P676" s="71">
        <v>0</v>
      </c>
      <c r="Q676" t="e">
        <f t="shared" si="122"/>
        <v>#DIV/0!</v>
      </c>
      <c r="R676" s="71">
        <v>0</v>
      </c>
      <c r="S676" s="6" t="e">
        <f t="shared" si="123"/>
        <v>#DIV/0!</v>
      </c>
    </row>
    <row r="677" spans="1:19" x14ac:dyDescent="0.2">
      <c r="A677" s="36" t="s">
        <v>108</v>
      </c>
      <c r="B677" s="6" t="s">
        <v>154</v>
      </c>
      <c r="C677" s="71">
        <v>18000</v>
      </c>
      <c r="D677" s="6">
        <f>(C677/12)*4</f>
        <v>6000</v>
      </c>
      <c r="E677" s="62">
        <v>0</v>
      </c>
      <c r="F677" s="6">
        <f>SUM(E674:E677)</f>
        <v>0</v>
      </c>
      <c r="G677" s="35" t="str">
        <f t="shared" si="120"/>
        <v>Farol Vermelho</v>
      </c>
      <c r="H677">
        <f t="shared" si="118"/>
        <v>6000</v>
      </c>
      <c r="I677" s="6">
        <f t="shared" si="119"/>
        <v>4</v>
      </c>
      <c r="J677" s="100">
        <v>8</v>
      </c>
      <c r="K677" s="62">
        <v>0</v>
      </c>
      <c r="L677" s="6">
        <f>$L674+L676</f>
        <v>2.6666666666666665</v>
      </c>
      <c r="M677" s="6">
        <f t="shared" si="131"/>
        <v>0</v>
      </c>
      <c r="N677" s="71">
        <v>0</v>
      </c>
      <c r="O677" t="e">
        <f t="shared" si="121"/>
        <v>#DIV/0!</v>
      </c>
      <c r="P677" s="71">
        <v>0</v>
      </c>
      <c r="Q677" t="e">
        <f t="shared" si="122"/>
        <v>#DIV/0!</v>
      </c>
      <c r="R677" s="71">
        <v>0</v>
      </c>
      <c r="S677" s="6" t="e">
        <f t="shared" si="123"/>
        <v>#DIV/0!</v>
      </c>
    </row>
    <row r="678" spans="1:19" x14ac:dyDescent="0.2">
      <c r="A678" s="36" t="s">
        <v>108</v>
      </c>
      <c r="B678" s="6" t="s">
        <v>155</v>
      </c>
      <c r="C678" s="71">
        <v>18000</v>
      </c>
      <c r="D678" s="6">
        <f>(C678/12)*5</f>
        <v>7500</v>
      </c>
      <c r="E678" s="62">
        <v>0</v>
      </c>
      <c r="F678" s="6">
        <f>SUM(E674:E678)</f>
        <v>0</v>
      </c>
      <c r="G678" s="35" t="str">
        <f t="shared" si="120"/>
        <v>Farol Vermelho</v>
      </c>
      <c r="H678">
        <f t="shared" si="118"/>
        <v>7500</v>
      </c>
      <c r="I678" s="6">
        <f t="shared" si="119"/>
        <v>5</v>
      </c>
      <c r="J678" s="100">
        <v>8</v>
      </c>
      <c r="K678" s="62">
        <v>0</v>
      </c>
      <c r="L678" s="6">
        <f>L674+L677</f>
        <v>3.333333333333333</v>
      </c>
      <c r="M678" s="6">
        <f t="shared" si="131"/>
        <v>0</v>
      </c>
      <c r="N678" s="71">
        <v>0</v>
      </c>
      <c r="O678" t="e">
        <f t="shared" si="121"/>
        <v>#DIV/0!</v>
      </c>
      <c r="P678" s="71">
        <v>0</v>
      </c>
      <c r="Q678" t="e">
        <f t="shared" si="122"/>
        <v>#DIV/0!</v>
      </c>
      <c r="R678" s="71">
        <v>0</v>
      </c>
      <c r="S678" s="6" t="e">
        <f t="shared" si="123"/>
        <v>#DIV/0!</v>
      </c>
    </row>
    <row r="679" spans="1:19" x14ac:dyDescent="0.2">
      <c r="A679" s="36" t="s">
        <v>108</v>
      </c>
      <c r="B679" s="6" t="s">
        <v>156</v>
      </c>
      <c r="C679" s="71">
        <v>18000</v>
      </c>
      <c r="D679" s="6">
        <f>(C679/12)*6</f>
        <v>9000</v>
      </c>
      <c r="E679" s="62">
        <v>0</v>
      </c>
      <c r="F679" s="6">
        <f>SUM(E674:E679)</f>
        <v>0</v>
      </c>
      <c r="G679" s="35" t="str">
        <f t="shared" si="120"/>
        <v>Farol Vermelho</v>
      </c>
      <c r="H679">
        <f t="shared" si="118"/>
        <v>9000</v>
      </c>
      <c r="I679" s="6">
        <f t="shared" si="119"/>
        <v>6</v>
      </c>
      <c r="J679" s="100">
        <v>8</v>
      </c>
      <c r="K679" s="62">
        <v>0</v>
      </c>
      <c r="L679" s="6">
        <f>$L674+L678</f>
        <v>3.9999999999999996</v>
      </c>
      <c r="M679" s="6">
        <f t="shared" si="131"/>
        <v>0</v>
      </c>
      <c r="N679" s="71"/>
      <c r="O679" t="e">
        <f t="shared" si="121"/>
        <v>#DIV/0!</v>
      </c>
      <c r="P679" s="71"/>
      <c r="Q679" t="e">
        <f t="shared" si="122"/>
        <v>#DIV/0!</v>
      </c>
      <c r="R679" s="71"/>
      <c r="S679" s="6" t="e">
        <f t="shared" si="123"/>
        <v>#DIV/0!</v>
      </c>
    </row>
    <row r="680" spans="1:19" x14ac:dyDescent="0.2">
      <c r="A680" s="36" t="s">
        <v>108</v>
      </c>
      <c r="B680" s="6" t="s">
        <v>157</v>
      </c>
      <c r="C680" s="71">
        <v>18000</v>
      </c>
      <c r="D680" s="6">
        <f>(C680/12)*7</f>
        <v>10500</v>
      </c>
      <c r="E680" s="62">
        <v>0</v>
      </c>
      <c r="F680" s="6">
        <f>SUM(E674:E680)</f>
        <v>0</v>
      </c>
      <c r="G680" s="35" t="str">
        <f t="shared" si="120"/>
        <v>Farol Vermelho</v>
      </c>
      <c r="H680">
        <f t="shared" si="118"/>
        <v>10500</v>
      </c>
      <c r="I680" s="6">
        <f t="shared" si="119"/>
        <v>7</v>
      </c>
      <c r="J680" s="100">
        <v>8</v>
      </c>
      <c r="K680" s="62">
        <v>0</v>
      </c>
      <c r="L680" s="6">
        <f>$L674+L679</f>
        <v>4.6666666666666661</v>
      </c>
      <c r="M680" s="6">
        <f t="shared" si="131"/>
        <v>0</v>
      </c>
      <c r="N680" s="71"/>
      <c r="O680" t="e">
        <f t="shared" si="121"/>
        <v>#DIV/0!</v>
      </c>
      <c r="P680" s="71"/>
      <c r="Q680" t="e">
        <f t="shared" si="122"/>
        <v>#DIV/0!</v>
      </c>
      <c r="R680" s="71"/>
      <c r="S680" s="6" t="e">
        <f t="shared" si="123"/>
        <v>#DIV/0!</v>
      </c>
    </row>
    <row r="681" spans="1:19" x14ac:dyDescent="0.2">
      <c r="A681" s="36" t="s">
        <v>108</v>
      </c>
      <c r="B681" s="6" t="s">
        <v>158</v>
      </c>
      <c r="C681" s="71">
        <v>18000</v>
      </c>
      <c r="D681" s="6">
        <f>(C681/12)*8</f>
        <v>12000</v>
      </c>
      <c r="E681" s="62">
        <v>0</v>
      </c>
      <c r="F681" s="6">
        <f>SUM(E674:E681)</f>
        <v>0</v>
      </c>
      <c r="G681" s="35" t="str">
        <f t="shared" si="120"/>
        <v>Farol Vermelho</v>
      </c>
      <c r="H681">
        <f t="shared" si="118"/>
        <v>12000</v>
      </c>
      <c r="I681" s="6">
        <f t="shared" si="119"/>
        <v>8</v>
      </c>
      <c r="J681" s="100">
        <v>8</v>
      </c>
      <c r="K681" s="62"/>
      <c r="L681" s="6">
        <f>L674+L680</f>
        <v>5.333333333333333</v>
      </c>
      <c r="M681" s="6">
        <f t="shared" si="131"/>
        <v>0</v>
      </c>
      <c r="N681" s="71"/>
      <c r="O681" t="e">
        <f t="shared" si="121"/>
        <v>#DIV/0!</v>
      </c>
      <c r="P681" s="71"/>
      <c r="Q681" t="e">
        <f t="shared" si="122"/>
        <v>#DIV/0!</v>
      </c>
      <c r="R681" s="71"/>
      <c r="S681" s="6" t="e">
        <f t="shared" si="123"/>
        <v>#DIV/0!</v>
      </c>
    </row>
    <row r="682" spans="1:19" x14ac:dyDescent="0.2">
      <c r="A682" s="36" t="s">
        <v>108</v>
      </c>
      <c r="B682" s="6" t="s">
        <v>159</v>
      </c>
      <c r="C682" s="71">
        <v>18000</v>
      </c>
      <c r="D682" s="6">
        <f>(C682/12)*9</f>
        <v>13500</v>
      </c>
      <c r="E682" s="62">
        <v>0</v>
      </c>
      <c r="F682" s="6">
        <f>SUM(E674:E682)</f>
        <v>0</v>
      </c>
      <c r="G682" s="35" t="str">
        <f t="shared" si="120"/>
        <v>Farol Vermelho</v>
      </c>
      <c r="H682">
        <f t="shared" si="118"/>
        <v>13500</v>
      </c>
      <c r="I682" s="6">
        <f t="shared" si="119"/>
        <v>9</v>
      </c>
      <c r="J682" s="100">
        <v>8</v>
      </c>
      <c r="K682" s="62"/>
      <c r="L682" s="6">
        <f>$L674+L681</f>
        <v>6</v>
      </c>
      <c r="M682" s="6">
        <f t="shared" si="131"/>
        <v>0</v>
      </c>
      <c r="N682" s="71"/>
      <c r="O682" t="e">
        <f t="shared" si="121"/>
        <v>#DIV/0!</v>
      </c>
      <c r="P682" s="71"/>
      <c r="Q682" t="e">
        <f t="shared" si="122"/>
        <v>#DIV/0!</v>
      </c>
      <c r="R682" s="71"/>
      <c r="S682" s="6" t="e">
        <f t="shared" si="123"/>
        <v>#DIV/0!</v>
      </c>
    </row>
    <row r="683" spans="1:19" x14ac:dyDescent="0.2">
      <c r="A683" s="36" t="s">
        <v>108</v>
      </c>
      <c r="B683" s="6" t="s">
        <v>160</v>
      </c>
      <c r="C683" s="71">
        <v>18000</v>
      </c>
      <c r="D683" s="6">
        <f>(C683/12)*10</f>
        <v>15000</v>
      </c>
      <c r="E683" s="62">
        <v>0</v>
      </c>
      <c r="F683" s="6">
        <f>SUM(E674:E683)</f>
        <v>0</v>
      </c>
      <c r="G683" s="35" t="str">
        <f t="shared" si="120"/>
        <v>Farol Vermelho</v>
      </c>
      <c r="H683">
        <f t="shared" si="118"/>
        <v>15000</v>
      </c>
      <c r="I683" s="6">
        <f t="shared" si="119"/>
        <v>10</v>
      </c>
      <c r="J683" s="100">
        <v>8</v>
      </c>
      <c r="K683" s="62"/>
      <c r="L683" s="6">
        <f>$L674+L682</f>
        <v>6.666666666666667</v>
      </c>
      <c r="M683" s="6">
        <f t="shared" si="131"/>
        <v>0</v>
      </c>
      <c r="N683" s="71"/>
      <c r="O683" t="e">
        <f t="shared" si="121"/>
        <v>#DIV/0!</v>
      </c>
      <c r="P683" s="71"/>
      <c r="Q683" t="e">
        <f t="shared" si="122"/>
        <v>#DIV/0!</v>
      </c>
      <c r="R683" s="71"/>
      <c r="S683" s="6" t="e">
        <f t="shared" si="123"/>
        <v>#DIV/0!</v>
      </c>
    </row>
    <row r="684" spans="1:19" x14ac:dyDescent="0.2">
      <c r="A684" s="36" t="s">
        <v>108</v>
      </c>
      <c r="B684" s="6" t="s">
        <v>161</v>
      </c>
      <c r="C684" s="71">
        <v>18000</v>
      </c>
      <c r="D684" s="6">
        <f>(C684/12)*11</f>
        <v>16500</v>
      </c>
      <c r="E684" s="62">
        <v>0</v>
      </c>
      <c r="F684" s="6">
        <f>SUM(E674:E684)</f>
        <v>0</v>
      </c>
      <c r="G684" s="35" t="str">
        <f t="shared" si="120"/>
        <v>Farol Vermelho</v>
      </c>
      <c r="H684">
        <f t="shared" si="118"/>
        <v>16500</v>
      </c>
      <c r="I684" s="6">
        <f t="shared" si="119"/>
        <v>11</v>
      </c>
      <c r="J684" s="100">
        <v>8</v>
      </c>
      <c r="K684" s="62"/>
      <c r="L684" s="6">
        <f>L674+L683</f>
        <v>7.3333333333333339</v>
      </c>
      <c r="M684" s="6">
        <f t="shared" si="131"/>
        <v>0</v>
      </c>
      <c r="N684" s="71"/>
      <c r="O684" t="e">
        <f t="shared" si="121"/>
        <v>#DIV/0!</v>
      </c>
      <c r="P684" s="71"/>
      <c r="Q684" t="e">
        <f t="shared" si="122"/>
        <v>#DIV/0!</v>
      </c>
      <c r="R684" s="71"/>
      <c r="S684" s="6" t="e">
        <f t="shared" si="123"/>
        <v>#DIV/0!</v>
      </c>
    </row>
    <row r="685" spans="1:19" x14ac:dyDescent="0.2">
      <c r="A685" s="36" t="s">
        <v>108</v>
      </c>
      <c r="B685" s="6" t="s">
        <v>162</v>
      </c>
      <c r="C685" s="71">
        <v>18000</v>
      </c>
      <c r="D685" s="6">
        <f>(C685/12)*12</f>
        <v>18000</v>
      </c>
      <c r="E685" s="62">
        <v>0</v>
      </c>
      <c r="F685" s="6">
        <f>SUM(E674:E685)</f>
        <v>0</v>
      </c>
      <c r="G685" s="35" t="str">
        <f t="shared" si="120"/>
        <v>Farol Vermelho</v>
      </c>
      <c r="H685">
        <f t="shared" si="118"/>
        <v>18000</v>
      </c>
      <c r="I685" s="6">
        <f t="shared" si="119"/>
        <v>12</v>
      </c>
      <c r="J685" s="100">
        <v>8</v>
      </c>
      <c r="K685" s="62"/>
      <c r="L685" s="6">
        <f>$L674+L684</f>
        <v>8</v>
      </c>
      <c r="M685" s="6">
        <f t="shared" si="131"/>
        <v>0</v>
      </c>
      <c r="N685" s="71"/>
      <c r="O685" t="e">
        <f t="shared" si="121"/>
        <v>#DIV/0!</v>
      </c>
      <c r="P685" s="71"/>
      <c r="Q685" t="e">
        <f t="shared" si="122"/>
        <v>#DIV/0!</v>
      </c>
      <c r="R685" s="71"/>
      <c r="S685" s="6" t="e">
        <f t="shared" si="123"/>
        <v>#DIV/0!</v>
      </c>
    </row>
    <row r="686" spans="1:19" x14ac:dyDescent="0.2">
      <c r="A686" s="36" t="s">
        <v>129</v>
      </c>
      <c r="B686" s="6" t="s">
        <v>151</v>
      </c>
      <c r="C686" s="71">
        <v>4800</v>
      </c>
      <c r="D686" s="6">
        <f>(C686/12)*1</f>
        <v>400</v>
      </c>
      <c r="E686" s="62">
        <v>0</v>
      </c>
      <c r="F686" s="6">
        <f>E686</f>
        <v>0</v>
      </c>
      <c r="G686" s="35" t="str">
        <f>_xlfn.IFS(F686&gt;D686,"Farol Verde",F686&gt;=D686*0.85,"Farol Amarelo",F686&lt;D686*0.85,"Farol Vermelho","Verdadeiro",0)</f>
        <v>Farol Vermelho</v>
      </c>
      <c r="H686">
        <f t="shared" si="118"/>
        <v>400</v>
      </c>
      <c r="I686" s="6">
        <f t="shared" si="119"/>
        <v>1</v>
      </c>
      <c r="J686" s="100">
        <v>1</v>
      </c>
      <c r="K686" s="62">
        <v>0</v>
      </c>
      <c r="L686" s="6">
        <f>J686/12</f>
        <v>8.3333333333333329E-2</v>
      </c>
      <c r="M686" s="6">
        <f>K686</f>
        <v>0</v>
      </c>
      <c r="N686" s="71">
        <v>0</v>
      </c>
      <c r="O686" t="e">
        <f t="shared" si="121"/>
        <v>#DIV/0!</v>
      </c>
      <c r="P686" s="71">
        <v>0</v>
      </c>
      <c r="Q686" t="e">
        <f t="shared" si="122"/>
        <v>#DIV/0!</v>
      </c>
      <c r="R686" s="71">
        <v>0</v>
      </c>
      <c r="S686" s="6" t="e">
        <f t="shared" si="123"/>
        <v>#DIV/0!</v>
      </c>
    </row>
    <row r="687" spans="1:19" x14ac:dyDescent="0.2">
      <c r="A687" s="36" t="s">
        <v>129</v>
      </c>
      <c r="B687" s="6" t="s">
        <v>152</v>
      </c>
      <c r="C687" s="71">
        <v>4800</v>
      </c>
      <c r="D687" s="6">
        <f>(C687/12)*2</f>
        <v>800</v>
      </c>
      <c r="E687" s="62">
        <v>0</v>
      </c>
      <c r="F687" s="6">
        <f>SUM(E686:E687)</f>
        <v>0</v>
      </c>
      <c r="G687" s="35" t="str">
        <f t="shared" si="120"/>
        <v>Farol Vermelho</v>
      </c>
      <c r="H687">
        <f t="shared" si="118"/>
        <v>800</v>
      </c>
      <c r="I687" s="6">
        <f t="shared" si="119"/>
        <v>2</v>
      </c>
      <c r="J687" s="100">
        <v>1</v>
      </c>
      <c r="K687" s="62">
        <v>0</v>
      </c>
      <c r="L687" s="6">
        <f>L686+L686</f>
        <v>0.16666666666666666</v>
      </c>
      <c r="M687" s="6">
        <f>M686+K687</f>
        <v>0</v>
      </c>
      <c r="N687" s="71">
        <v>0</v>
      </c>
      <c r="O687" t="e">
        <f t="shared" si="121"/>
        <v>#DIV/0!</v>
      </c>
      <c r="P687" s="71">
        <v>0</v>
      </c>
      <c r="Q687" t="e">
        <f t="shared" si="122"/>
        <v>#DIV/0!</v>
      </c>
      <c r="R687" s="71">
        <v>0</v>
      </c>
      <c r="S687" s="6" t="e">
        <f t="shared" si="123"/>
        <v>#DIV/0!</v>
      </c>
    </row>
    <row r="688" spans="1:19" x14ac:dyDescent="0.2">
      <c r="A688" s="36" t="s">
        <v>129</v>
      </c>
      <c r="B688" s="6" t="s">
        <v>153</v>
      </c>
      <c r="C688" s="71">
        <v>4800</v>
      </c>
      <c r="D688" s="6">
        <f>(C688/12)*3</f>
        <v>1200</v>
      </c>
      <c r="E688" s="62">
        <v>0</v>
      </c>
      <c r="F688" s="6">
        <f>SUM(E686:E688)</f>
        <v>0</v>
      </c>
      <c r="G688" s="35" t="str">
        <f t="shared" si="120"/>
        <v>Farol Vermelho</v>
      </c>
      <c r="H688">
        <f t="shared" si="118"/>
        <v>1200</v>
      </c>
      <c r="I688" s="6">
        <f t="shared" si="119"/>
        <v>3</v>
      </c>
      <c r="J688" s="100">
        <v>1</v>
      </c>
      <c r="K688" s="62">
        <v>0</v>
      </c>
      <c r="L688" s="6">
        <f>$L686+L687</f>
        <v>0.25</v>
      </c>
      <c r="M688" s="6">
        <f t="shared" ref="M688:M697" si="132">M687+K688</f>
        <v>0</v>
      </c>
      <c r="N688" s="71">
        <v>0</v>
      </c>
      <c r="O688" t="e">
        <f t="shared" si="121"/>
        <v>#DIV/0!</v>
      </c>
      <c r="P688" s="71">
        <v>0</v>
      </c>
      <c r="Q688" t="e">
        <f t="shared" si="122"/>
        <v>#DIV/0!</v>
      </c>
      <c r="R688" s="71">
        <v>0</v>
      </c>
      <c r="S688" s="6" t="e">
        <f t="shared" si="123"/>
        <v>#DIV/0!</v>
      </c>
    </row>
    <row r="689" spans="1:19" x14ac:dyDescent="0.2">
      <c r="A689" s="36" t="s">
        <v>129</v>
      </c>
      <c r="B689" s="6" t="s">
        <v>154</v>
      </c>
      <c r="C689" s="71">
        <v>4800</v>
      </c>
      <c r="D689" s="6">
        <f>(C689/12)*4</f>
        <v>1600</v>
      </c>
      <c r="E689" s="62">
        <v>0</v>
      </c>
      <c r="F689" s="6">
        <f>SUM(E686:E689)</f>
        <v>0</v>
      </c>
      <c r="G689" s="35" t="str">
        <f t="shared" si="120"/>
        <v>Farol Vermelho</v>
      </c>
      <c r="H689">
        <f t="shared" si="118"/>
        <v>1600</v>
      </c>
      <c r="I689" s="6">
        <f t="shared" si="119"/>
        <v>4</v>
      </c>
      <c r="J689" s="100">
        <v>1</v>
      </c>
      <c r="K689" s="62">
        <v>0</v>
      </c>
      <c r="L689" s="6">
        <f>$L686+L688</f>
        <v>0.33333333333333331</v>
      </c>
      <c r="M689" s="6">
        <f t="shared" si="132"/>
        <v>0</v>
      </c>
      <c r="N689" s="71">
        <v>0</v>
      </c>
      <c r="O689" t="e">
        <f t="shared" si="121"/>
        <v>#DIV/0!</v>
      </c>
      <c r="P689" s="71">
        <v>0</v>
      </c>
      <c r="Q689" t="e">
        <f t="shared" si="122"/>
        <v>#DIV/0!</v>
      </c>
      <c r="R689" s="71">
        <v>0</v>
      </c>
      <c r="S689" s="6" t="e">
        <f t="shared" si="123"/>
        <v>#DIV/0!</v>
      </c>
    </row>
    <row r="690" spans="1:19" x14ac:dyDescent="0.2">
      <c r="A690" s="36" t="s">
        <v>129</v>
      </c>
      <c r="B690" s="6" t="s">
        <v>155</v>
      </c>
      <c r="C690" s="71">
        <v>4800</v>
      </c>
      <c r="D690" s="6">
        <f>(C690/12)*5</f>
        <v>2000</v>
      </c>
      <c r="E690" s="62">
        <v>0</v>
      </c>
      <c r="F690" s="6">
        <f>SUM(E686:E690)</f>
        <v>0</v>
      </c>
      <c r="G690" s="35" t="str">
        <f t="shared" si="120"/>
        <v>Farol Vermelho</v>
      </c>
      <c r="H690">
        <f t="shared" si="118"/>
        <v>2000</v>
      </c>
      <c r="I690" s="6">
        <f t="shared" si="119"/>
        <v>5</v>
      </c>
      <c r="J690" s="100">
        <v>1</v>
      </c>
      <c r="K690" s="62">
        <v>0</v>
      </c>
      <c r="L690" s="6">
        <f>L686+L689</f>
        <v>0.41666666666666663</v>
      </c>
      <c r="M690" s="6">
        <f t="shared" si="132"/>
        <v>0</v>
      </c>
      <c r="N690" s="71">
        <v>0</v>
      </c>
      <c r="O690" t="e">
        <f t="shared" si="121"/>
        <v>#DIV/0!</v>
      </c>
      <c r="P690" s="71">
        <v>0</v>
      </c>
      <c r="Q690" t="e">
        <f t="shared" si="122"/>
        <v>#DIV/0!</v>
      </c>
      <c r="R690" s="71">
        <v>0</v>
      </c>
      <c r="S690" s="6" t="e">
        <f t="shared" si="123"/>
        <v>#DIV/0!</v>
      </c>
    </row>
    <row r="691" spans="1:19" x14ac:dyDescent="0.2">
      <c r="A691" s="36" t="s">
        <v>129</v>
      </c>
      <c r="B691" s="6" t="s">
        <v>156</v>
      </c>
      <c r="C691" s="71">
        <v>4800</v>
      </c>
      <c r="D691" s="6">
        <f>(C691/12)*6</f>
        <v>2400</v>
      </c>
      <c r="E691" s="62">
        <v>0</v>
      </c>
      <c r="F691" s="6">
        <f>SUM(E686:E691)</f>
        <v>0</v>
      </c>
      <c r="G691" s="35" t="str">
        <f t="shared" si="120"/>
        <v>Farol Vermelho</v>
      </c>
      <c r="H691">
        <f t="shared" si="118"/>
        <v>2400</v>
      </c>
      <c r="I691" s="6">
        <f t="shared" si="119"/>
        <v>6</v>
      </c>
      <c r="J691" s="100">
        <v>1</v>
      </c>
      <c r="K691" s="62">
        <v>0</v>
      </c>
      <c r="L691" s="6">
        <f>$L686+L690</f>
        <v>0.49999999999999994</v>
      </c>
      <c r="M691" s="6">
        <f t="shared" si="132"/>
        <v>0</v>
      </c>
      <c r="N691" s="71"/>
      <c r="O691" t="e">
        <f t="shared" si="121"/>
        <v>#DIV/0!</v>
      </c>
      <c r="P691" s="71"/>
      <c r="Q691" t="e">
        <f t="shared" si="122"/>
        <v>#DIV/0!</v>
      </c>
      <c r="R691" s="71"/>
      <c r="S691" s="6" t="e">
        <f t="shared" si="123"/>
        <v>#DIV/0!</v>
      </c>
    </row>
    <row r="692" spans="1:19" x14ac:dyDescent="0.2">
      <c r="A692" s="36" t="s">
        <v>129</v>
      </c>
      <c r="B692" s="6" t="s">
        <v>157</v>
      </c>
      <c r="C692" s="71">
        <v>4800</v>
      </c>
      <c r="D692" s="6">
        <f>(C692/12)*7</f>
        <v>2800</v>
      </c>
      <c r="E692" s="62">
        <v>0</v>
      </c>
      <c r="F692" s="6">
        <f>SUM(E686:E692)</f>
        <v>0</v>
      </c>
      <c r="G692" s="35" t="str">
        <f t="shared" si="120"/>
        <v>Farol Vermelho</v>
      </c>
      <c r="H692">
        <f t="shared" si="118"/>
        <v>2800</v>
      </c>
      <c r="I692" s="6">
        <f t="shared" si="119"/>
        <v>7</v>
      </c>
      <c r="J692" s="100">
        <v>1</v>
      </c>
      <c r="K692" s="62">
        <v>0</v>
      </c>
      <c r="L692" s="6">
        <f>$L686+L691</f>
        <v>0.58333333333333326</v>
      </c>
      <c r="M692" s="6">
        <f t="shared" si="132"/>
        <v>0</v>
      </c>
      <c r="N692" s="71"/>
      <c r="O692" t="e">
        <f t="shared" si="121"/>
        <v>#DIV/0!</v>
      </c>
      <c r="P692" s="71"/>
      <c r="Q692" t="e">
        <f t="shared" si="122"/>
        <v>#DIV/0!</v>
      </c>
      <c r="R692" s="71"/>
      <c r="S692" s="6" t="e">
        <f t="shared" si="123"/>
        <v>#DIV/0!</v>
      </c>
    </row>
    <row r="693" spans="1:19" x14ac:dyDescent="0.2">
      <c r="A693" s="36" t="s">
        <v>129</v>
      </c>
      <c r="B693" s="6" t="s">
        <v>158</v>
      </c>
      <c r="C693" s="71">
        <v>4800</v>
      </c>
      <c r="D693" s="6">
        <f>(C693/12)*8</f>
        <v>3200</v>
      </c>
      <c r="E693" s="62">
        <v>0</v>
      </c>
      <c r="F693" s="6">
        <f>SUM(E686:E693)</f>
        <v>0</v>
      </c>
      <c r="G693" s="35" t="str">
        <f t="shared" si="120"/>
        <v>Farol Vermelho</v>
      </c>
      <c r="H693">
        <f t="shared" si="118"/>
        <v>3200</v>
      </c>
      <c r="I693" s="6">
        <f t="shared" si="119"/>
        <v>8</v>
      </c>
      <c r="J693" s="100">
        <v>1</v>
      </c>
      <c r="K693" s="62"/>
      <c r="L693" s="6">
        <f>L686+L692</f>
        <v>0.66666666666666663</v>
      </c>
      <c r="M693" s="6">
        <f t="shared" si="132"/>
        <v>0</v>
      </c>
      <c r="N693" s="71"/>
      <c r="O693" t="e">
        <f t="shared" si="121"/>
        <v>#DIV/0!</v>
      </c>
      <c r="P693" s="71"/>
      <c r="Q693" t="e">
        <f t="shared" si="122"/>
        <v>#DIV/0!</v>
      </c>
      <c r="R693" s="71"/>
      <c r="S693" s="6" t="e">
        <f t="shared" si="123"/>
        <v>#DIV/0!</v>
      </c>
    </row>
    <row r="694" spans="1:19" x14ac:dyDescent="0.2">
      <c r="A694" s="36" t="s">
        <v>129</v>
      </c>
      <c r="B694" s="6" t="s">
        <v>159</v>
      </c>
      <c r="C694" s="71">
        <v>4800</v>
      </c>
      <c r="D694" s="6">
        <f>(C694/12)*9</f>
        <v>3600</v>
      </c>
      <c r="E694" s="62">
        <v>0</v>
      </c>
      <c r="F694" s="6">
        <f>SUM(E686:E694)</f>
        <v>0</v>
      </c>
      <c r="G694" s="35" t="str">
        <f t="shared" si="120"/>
        <v>Farol Vermelho</v>
      </c>
      <c r="H694">
        <f t="shared" si="118"/>
        <v>3600</v>
      </c>
      <c r="I694" s="6">
        <f t="shared" si="119"/>
        <v>9</v>
      </c>
      <c r="J694" s="100">
        <v>1</v>
      </c>
      <c r="K694" s="62"/>
      <c r="L694" s="6">
        <f>$L686+L693</f>
        <v>0.75</v>
      </c>
      <c r="M694" s="6">
        <f t="shared" si="132"/>
        <v>0</v>
      </c>
      <c r="N694" s="71"/>
      <c r="O694" t="e">
        <f t="shared" si="121"/>
        <v>#DIV/0!</v>
      </c>
      <c r="P694" s="71"/>
      <c r="Q694" t="e">
        <f t="shared" si="122"/>
        <v>#DIV/0!</v>
      </c>
      <c r="R694" s="71"/>
      <c r="S694" s="6" t="e">
        <f t="shared" si="123"/>
        <v>#DIV/0!</v>
      </c>
    </row>
    <row r="695" spans="1:19" x14ac:dyDescent="0.2">
      <c r="A695" s="36" t="s">
        <v>129</v>
      </c>
      <c r="B695" s="6" t="s">
        <v>160</v>
      </c>
      <c r="C695" s="71">
        <v>4800</v>
      </c>
      <c r="D695" s="6">
        <f>(C695/12)*10</f>
        <v>4000</v>
      </c>
      <c r="E695" s="62">
        <v>0</v>
      </c>
      <c r="F695" s="6">
        <f>SUM(E686:E695)</f>
        <v>0</v>
      </c>
      <c r="G695" s="35" t="str">
        <f t="shared" si="120"/>
        <v>Farol Vermelho</v>
      </c>
      <c r="H695">
        <f t="shared" si="118"/>
        <v>4000</v>
      </c>
      <c r="I695" s="6">
        <f t="shared" si="119"/>
        <v>10</v>
      </c>
      <c r="J695" s="100">
        <v>1</v>
      </c>
      <c r="K695" s="62"/>
      <c r="L695" s="6">
        <f>$L686+L694</f>
        <v>0.83333333333333337</v>
      </c>
      <c r="M695" s="6">
        <f t="shared" si="132"/>
        <v>0</v>
      </c>
      <c r="N695" s="71"/>
      <c r="O695" t="e">
        <f t="shared" si="121"/>
        <v>#DIV/0!</v>
      </c>
      <c r="P695" s="71"/>
      <c r="Q695" t="e">
        <f t="shared" si="122"/>
        <v>#DIV/0!</v>
      </c>
      <c r="R695" s="71"/>
      <c r="S695" s="6" t="e">
        <f t="shared" si="123"/>
        <v>#DIV/0!</v>
      </c>
    </row>
    <row r="696" spans="1:19" x14ac:dyDescent="0.2">
      <c r="A696" s="36" t="s">
        <v>129</v>
      </c>
      <c r="B696" s="6" t="s">
        <v>161</v>
      </c>
      <c r="C696" s="71">
        <v>4800</v>
      </c>
      <c r="D696" s="6">
        <f>(C696/12)*11</f>
        <v>4400</v>
      </c>
      <c r="E696" s="62">
        <v>0</v>
      </c>
      <c r="F696" s="6">
        <f>SUM(E686:E696)</f>
        <v>0</v>
      </c>
      <c r="G696" s="35" t="str">
        <f t="shared" si="120"/>
        <v>Farol Vermelho</v>
      </c>
      <c r="H696">
        <f t="shared" si="118"/>
        <v>4400</v>
      </c>
      <c r="I696" s="6">
        <f t="shared" si="119"/>
        <v>11</v>
      </c>
      <c r="J696" s="100">
        <v>1</v>
      </c>
      <c r="K696" s="62"/>
      <c r="L696" s="6">
        <f>L686+L695</f>
        <v>0.91666666666666674</v>
      </c>
      <c r="M696" s="6">
        <f t="shared" si="132"/>
        <v>0</v>
      </c>
      <c r="N696" s="71"/>
      <c r="O696" t="e">
        <f t="shared" si="121"/>
        <v>#DIV/0!</v>
      </c>
      <c r="P696" s="71"/>
      <c r="Q696" t="e">
        <f t="shared" si="122"/>
        <v>#DIV/0!</v>
      </c>
      <c r="R696" s="71"/>
      <c r="S696" s="6" t="e">
        <f t="shared" si="123"/>
        <v>#DIV/0!</v>
      </c>
    </row>
    <row r="697" spans="1:19" x14ac:dyDescent="0.2">
      <c r="A697" s="36" t="s">
        <v>129</v>
      </c>
      <c r="B697" s="6" t="s">
        <v>162</v>
      </c>
      <c r="C697" s="71">
        <v>4800</v>
      </c>
      <c r="D697" s="6">
        <f>(C697/12)*12</f>
        <v>4800</v>
      </c>
      <c r="E697" s="62">
        <v>0</v>
      </c>
      <c r="F697" s="6">
        <f>SUM(E686:E697)</f>
        <v>0</v>
      </c>
      <c r="G697" s="35" t="str">
        <f t="shared" si="120"/>
        <v>Farol Vermelho</v>
      </c>
      <c r="H697">
        <f t="shared" si="118"/>
        <v>4800</v>
      </c>
      <c r="I697" s="6">
        <f t="shared" si="119"/>
        <v>12</v>
      </c>
      <c r="J697" s="100">
        <v>1</v>
      </c>
      <c r="K697" s="62"/>
      <c r="L697" s="6">
        <f>$L686+L696</f>
        <v>1</v>
      </c>
      <c r="M697" s="6">
        <f t="shared" si="132"/>
        <v>0</v>
      </c>
      <c r="N697" s="71"/>
      <c r="O697" t="e">
        <f t="shared" si="121"/>
        <v>#DIV/0!</v>
      </c>
      <c r="P697" s="71"/>
      <c r="Q697" t="e">
        <f t="shared" si="122"/>
        <v>#DIV/0!</v>
      </c>
      <c r="R697" s="71"/>
      <c r="S697" s="6" t="e">
        <f t="shared" si="123"/>
        <v>#DIV/0!</v>
      </c>
    </row>
    <row r="698" spans="1:19" x14ac:dyDescent="0.2">
      <c r="A698" s="36" t="s">
        <v>125</v>
      </c>
      <c r="B698" s="6" t="s">
        <v>151</v>
      </c>
      <c r="C698" s="71">
        <v>6920.5</v>
      </c>
      <c r="D698" s="6">
        <f>(C698/12)*1</f>
        <v>576.70833333333337</v>
      </c>
      <c r="E698" s="62">
        <v>0</v>
      </c>
      <c r="F698" s="6">
        <f>E698</f>
        <v>0</v>
      </c>
      <c r="G698" s="35" t="str">
        <f t="shared" si="120"/>
        <v>Farol Vermelho</v>
      </c>
      <c r="H698">
        <f t="shared" si="118"/>
        <v>576.70833333333337</v>
      </c>
      <c r="I698" s="6">
        <f t="shared" si="119"/>
        <v>1</v>
      </c>
      <c r="J698" s="100">
        <v>4</v>
      </c>
      <c r="K698" s="62">
        <v>0</v>
      </c>
      <c r="L698" s="6">
        <f>J698/12</f>
        <v>0.33333333333333331</v>
      </c>
      <c r="M698" s="6">
        <f>K698</f>
        <v>0</v>
      </c>
      <c r="N698" s="71">
        <v>0</v>
      </c>
      <c r="O698" t="e">
        <f t="shared" si="121"/>
        <v>#DIV/0!</v>
      </c>
      <c r="P698" s="71">
        <v>0</v>
      </c>
      <c r="Q698" t="e">
        <f t="shared" si="122"/>
        <v>#DIV/0!</v>
      </c>
      <c r="R698" s="71">
        <v>0</v>
      </c>
      <c r="S698" s="6" t="e">
        <f t="shared" si="123"/>
        <v>#DIV/0!</v>
      </c>
    </row>
    <row r="699" spans="1:19" x14ac:dyDescent="0.2">
      <c r="A699" s="36" t="s">
        <v>125</v>
      </c>
      <c r="B699" s="6" t="s">
        <v>152</v>
      </c>
      <c r="C699" s="71">
        <v>6920.5</v>
      </c>
      <c r="D699" s="6">
        <f>(C699/12)*2</f>
        <v>1153.4166666666667</v>
      </c>
      <c r="E699" s="62">
        <v>0</v>
      </c>
      <c r="F699" s="6">
        <f>SUM(E698:E699)</f>
        <v>0</v>
      </c>
      <c r="G699" s="35" t="str">
        <f t="shared" si="120"/>
        <v>Farol Vermelho</v>
      </c>
      <c r="H699">
        <f t="shared" si="118"/>
        <v>1153.4166666666667</v>
      </c>
      <c r="I699" s="6">
        <f t="shared" si="119"/>
        <v>2</v>
      </c>
      <c r="J699" s="100">
        <v>4</v>
      </c>
      <c r="K699" s="62">
        <v>0</v>
      </c>
      <c r="L699" s="6">
        <f>L698+L698</f>
        <v>0.66666666666666663</v>
      </c>
      <c r="M699" s="6">
        <f>M698+K699</f>
        <v>0</v>
      </c>
      <c r="N699" s="71">
        <v>0</v>
      </c>
      <c r="O699" t="e">
        <f t="shared" si="121"/>
        <v>#DIV/0!</v>
      </c>
      <c r="P699" s="71">
        <v>0</v>
      </c>
      <c r="Q699" t="e">
        <f t="shared" si="122"/>
        <v>#DIV/0!</v>
      </c>
      <c r="R699" s="71">
        <v>0</v>
      </c>
      <c r="S699" s="6" t="e">
        <f t="shared" si="123"/>
        <v>#DIV/0!</v>
      </c>
    </row>
    <row r="700" spans="1:19" x14ac:dyDescent="0.2">
      <c r="A700" s="36" t="s">
        <v>125</v>
      </c>
      <c r="B700" s="6" t="s">
        <v>153</v>
      </c>
      <c r="C700" s="71">
        <v>6920.5</v>
      </c>
      <c r="D700" s="6">
        <f>(C700/12)*3</f>
        <v>1730.125</v>
      </c>
      <c r="E700" s="62">
        <v>1500</v>
      </c>
      <c r="F700" s="6">
        <f>SUM(E698:E700)</f>
        <v>1500</v>
      </c>
      <c r="G700" s="35" t="str">
        <f t="shared" si="120"/>
        <v>Farol Amarelo</v>
      </c>
      <c r="H700">
        <f t="shared" si="118"/>
        <v>230.125</v>
      </c>
      <c r="I700" s="6">
        <f t="shared" si="119"/>
        <v>3</v>
      </c>
      <c r="J700" s="100">
        <v>4</v>
      </c>
      <c r="K700" s="62">
        <v>1</v>
      </c>
      <c r="L700" s="6">
        <f>$L698+L699</f>
        <v>1</v>
      </c>
      <c r="M700" s="6">
        <f t="shared" ref="M700:M709" si="133">M699+K700</f>
        <v>1</v>
      </c>
      <c r="N700" s="71">
        <v>0</v>
      </c>
      <c r="O700" t="e">
        <f t="shared" si="121"/>
        <v>#DIV/0!</v>
      </c>
      <c r="P700" s="71">
        <v>0</v>
      </c>
      <c r="Q700" t="e">
        <f t="shared" si="122"/>
        <v>#DIV/0!</v>
      </c>
      <c r="R700" s="71">
        <v>0</v>
      </c>
      <c r="S700" s="6" t="e">
        <f t="shared" si="123"/>
        <v>#DIV/0!</v>
      </c>
    </row>
    <row r="701" spans="1:19" x14ac:dyDescent="0.2">
      <c r="A701" s="36" t="s">
        <v>125</v>
      </c>
      <c r="B701" s="6" t="s">
        <v>154</v>
      </c>
      <c r="C701" s="71">
        <v>6920.5</v>
      </c>
      <c r="D701" s="6">
        <f>(C701/12)*4</f>
        <v>2306.8333333333335</v>
      </c>
      <c r="E701" s="62">
        <v>0</v>
      </c>
      <c r="F701" s="6">
        <f>SUM(E698:E701)</f>
        <v>1500</v>
      </c>
      <c r="G701" s="35" t="str">
        <f t="shared" si="120"/>
        <v>Farol Vermelho</v>
      </c>
      <c r="H701">
        <f t="shared" si="118"/>
        <v>806.83333333333348</v>
      </c>
      <c r="I701" s="6">
        <f t="shared" si="119"/>
        <v>4</v>
      </c>
      <c r="J701" s="100">
        <v>4</v>
      </c>
      <c r="K701" s="62">
        <v>0</v>
      </c>
      <c r="L701" s="6">
        <f>$L698+L700</f>
        <v>1.3333333333333333</v>
      </c>
      <c r="M701" s="6">
        <f t="shared" si="133"/>
        <v>1</v>
      </c>
      <c r="N701" s="71">
        <v>0</v>
      </c>
      <c r="O701" t="e">
        <f t="shared" si="121"/>
        <v>#DIV/0!</v>
      </c>
      <c r="P701" s="71">
        <v>0</v>
      </c>
      <c r="Q701" t="e">
        <f t="shared" si="122"/>
        <v>#DIV/0!</v>
      </c>
      <c r="R701" s="71">
        <v>0</v>
      </c>
      <c r="S701" s="6" t="e">
        <f t="shared" si="123"/>
        <v>#DIV/0!</v>
      </c>
    </row>
    <row r="702" spans="1:19" x14ac:dyDescent="0.2">
      <c r="A702" s="36" t="s">
        <v>125</v>
      </c>
      <c r="B702" s="6" t="s">
        <v>155</v>
      </c>
      <c r="C702" s="71">
        <v>6920.5</v>
      </c>
      <c r="D702" s="6">
        <f>(C702/12)*5</f>
        <v>2883.541666666667</v>
      </c>
      <c r="E702" s="62">
        <v>0</v>
      </c>
      <c r="F702" s="6">
        <f>SUM(E698:E702)</f>
        <v>1500</v>
      </c>
      <c r="G702" s="35" t="str">
        <f t="shared" si="120"/>
        <v>Farol Vermelho</v>
      </c>
      <c r="H702">
        <f t="shared" ref="H702:H708" si="134">IF(D702-F702&lt;0,0,D702-F702)</f>
        <v>1383.541666666667</v>
      </c>
      <c r="I702" s="6">
        <f t="shared" ref="I702:I709" si="135">_xlfn.IFS(B702="Janeiro",1,B702="Fevereiro",2,B702="Março",3,B702="Abril",4,B702="Maio",5,B702="Junho",6,B702="Julho",7,B702="Agosto",8,B702="Setembro",9,B702="Outubro",10,B702="Novembro",11,B702="Dezembro",12,TRUE,0)</f>
        <v>5</v>
      </c>
      <c r="J702" s="100">
        <v>4</v>
      </c>
      <c r="K702" s="62">
        <v>0</v>
      </c>
      <c r="L702" s="6">
        <f>L698+L701</f>
        <v>1.6666666666666665</v>
      </c>
      <c r="M702" s="6">
        <f t="shared" si="133"/>
        <v>1</v>
      </c>
      <c r="N702" s="71">
        <v>0</v>
      </c>
      <c r="O702" t="e">
        <f t="shared" si="121"/>
        <v>#DIV/0!</v>
      </c>
      <c r="P702" s="71">
        <v>0</v>
      </c>
      <c r="Q702" t="e">
        <f t="shared" si="122"/>
        <v>#DIV/0!</v>
      </c>
      <c r="R702" s="71">
        <v>0</v>
      </c>
      <c r="S702" s="6" t="e">
        <f t="shared" si="123"/>
        <v>#DIV/0!</v>
      </c>
    </row>
    <row r="703" spans="1:19" x14ac:dyDescent="0.2">
      <c r="A703" s="36" t="s">
        <v>125</v>
      </c>
      <c r="B703" s="6" t="s">
        <v>156</v>
      </c>
      <c r="C703" s="71">
        <v>6920.5</v>
      </c>
      <c r="D703" s="6">
        <f>(C703/12)*6</f>
        <v>3460.25</v>
      </c>
      <c r="E703" s="62">
        <v>0</v>
      </c>
      <c r="F703" s="6">
        <f>SUM(E698:E703)</f>
        <v>1500</v>
      </c>
      <c r="G703" s="35" t="str">
        <f t="shared" ref="G703:G709" si="136">_xlfn.IFS(F703&gt;D703,"Farol Verde",F703&gt;=D703*0.85,"Farol Amarelo",F703&lt;D703*0.85,"Farol Vermelho","Verdadeiro",0)</f>
        <v>Farol Vermelho</v>
      </c>
      <c r="H703">
        <f t="shared" si="134"/>
        <v>1960.25</v>
      </c>
      <c r="I703" s="6">
        <f t="shared" si="135"/>
        <v>6</v>
      </c>
      <c r="J703" s="100">
        <v>4</v>
      </c>
      <c r="K703" s="62">
        <v>0</v>
      </c>
      <c r="L703" s="6">
        <f>$L698+L702</f>
        <v>1.9999999999999998</v>
      </c>
      <c r="M703" s="6">
        <f t="shared" si="133"/>
        <v>1</v>
      </c>
      <c r="N703" s="71"/>
      <c r="O703" t="e">
        <f t="shared" ref="O703:O709" si="137">P703/N703</f>
        <v>#DIV/0!</v>
      </c>
      <c r="P703" s="71"/>
      <c r="Q703" t="e">
        <f t="shared" ref="Q703:Q709" si="138">R703/P703</f>
        <v>#DIV/0!</v>
      </c>
      <c r="R703" s="71"/>
      <c r="S703" s="6" t="e">
        <f t="shared" ref="S703:S709" si="139">R703/N703</f>
        <v>#DIV/0!</v>
      </c>
    </row>
    <row r="704" spans="1:19" x14ac:dyDescent="0.2">
      <c r="A704" s="36" t="s">
        <v>125</v>
      </c>
      <c r="B704" s="6" t="s">
        <v>157</v>
      </c>
      <c r="C704" s="71">
        <v>6920.5</v>
      </c>
      <c r="D704" s="6">
        <f>(C704/12)*7</f>
        <v>4036.9583333333335</v>
      </c>
      <c r="E704" s="62">
        <v>2552.5</v>
      </c>
      <c r="F704" s="6">
        <f>SUM(E698:E704)</f>
        <v>4052.5</v>
      </c>
      <c r="G704" s="35" t="str">
        <f t="shared" si="136"/>
        <v>Farol Verde</v>
      </c>
      <c r="H704">
        <f t="shared" si="134"/>
        <v>0</v>
      </c>
      <c r="I704" s="6">
        <f t="shared" si="135"/>
        <v>7</v>
      </c>
      <c r="J704" s="100">
        <v>4</v>
      </c>
      <c r="K704" s="62">
        <v>11</v>
      </c>
      <c r="L704" s="6">
        <f>$L698+L703</f>
        <v>2.333333333333333</v>
      </c>
      <c r="M704" s="6">
        <f t="shared" si="133"/>
        <v>12</v>
      </c>
      <c r="N704" s="71"/>
      <c r="O704" t="e">
        <f t="shared" si="137"/>
        <v>#DIV/0!</v>
      </c>
      <c r="P704" s="71"/>
      <c r="Q704" t="e">
        <f t="shared" si="138"/>
        <v>#DIV/0!</v>
      </c>
      <c r="R704" s="71"/>
      <c r="S704" s="6" t="e">
        <f t="shared" si="139"/>
        <v>#DIV/0!</v>
      </c>
    </row>
    <row r="705" spans="1:19" x14ac:dyDescent="0.2">
      <c r="A705" s="36" t="s">
        <v>125</v>
      </c>
      <c r="B705" s="6" t="s">
        <v>158</v>
      </c>
      <c r="C705" s="71">
        <v>6920.5</v>
      </c>
      <c r="D705" s="6">
        <f>(C705/12)*8</f>
        <v>4613.666666666667</v>
      </c>
      <c r="E705" s="62">
        <v>0</v>
      </c>
      <c r="F705" s="6">
        <f>SUM(E698:E705)</f>
        <v>4052.5</v>
      </c>
      <c r="G705" s="35" t="str">
        <f t="shared" si="136"/>
        <v>Farol Amarelo</v>
      </c>
      <c r="H705">
        <f t="shared" si="134"/>
        <v>561.16666666666697</v>
      </c>
      <c r="I705" s="6">
        <f t="shared" si="135"/>
        <v>8</v>
      </c>
      <c r="J705" s="100">
        <v>4</v>
      </c>
      <c r="K705" s="62"/>
      <c r="L705" s="6">
        <f>L698+L704</f>
        <v>2.6666666666666665</v>
      </c>
      <c r="M705" s="6">
        <f t="shared" si="133"/>
        <v>12</v>
      </c>
      <c r="N705" s="71"/>
      <c r="O705" t="e">
        <f t="shared" si="137"/>
        <v>#DIV/0!</v>
      </c>
      <c r="P705" s="71"/>
      <c r="Q705" t="e">
        <f t="shared" si="138"/>
        <v>#DIV/0!</v>
      </c>
      <c r="R705" s="71"/>
      <c r="S705" s="6" t="e">
        <f t="shared" si="139"/>
        <v>#DIV/0!</v>
      </c>
    </row>
    <row r="706" spans="1:19" x14ac:dyDescent="0.2">
      <c r="A706" s="36" t="s">
        <v>125</v>
      </c>
      <c r="B706" s="6" t="s">
        <v>159</v>
      </c>
      <c r="C706" s="71">
        <v>6920.5</v>
      </c>
      <c r="D706" s="6">
        <f>(C706/12)*9</f>
        <v>5190.375</v>
      </c>
      <c r="E706" s="62">
        <v>0</v>
      </c>
      <c r="F706" s="6">
        <f>SUM(E698:E706)</f>
        <v>4052.5</v>
      </c>
      <c r="G706" s="35" t="str">
        <f t="shared" si="136"/>
        <v>Farol Vermelho</v>
      </c>
      <c r="H706">
        <f t="shared" si="134"/>
        <v>1137.875</v>
      </c>
      <c r="I706" s="6">
        <f t="shared" si="135"/>
        <v>9</v>
      </c>
      <c r="J706" s="100">
        <v>4</v>
      </c>
      <c r="K706" s="62"/>
      <c r="L706" s="6">
        <f>$L698+L705</f>
        <v>3</v>
      </c>
      <c r="M706" s="6">
        <f t="shared" si="133"/>
        <v>12</v>
      </c>
      <c r="N706" s="71"/>
      <c r="O706" t="e">
        <f t="shared" si="137"/>
        <v>#DIV/0!</v>
      </c>
      <c r="P706" s="71"/>
      <c r="Q706" t="e">
        <f t="shared" si="138"/>
        <v>#DIV/0!</v>
      </c>
      <c r="R706" s="71"/>
      <c r="S706" s="6" t="e">
        <f t="shared" si="139"/>
        <v>#DIV/0!</v>
      </c>
    </row>
    <row r="707" spans="1:19" x14ac:dyDescent="0.2">
      <c r="A707" s="36" t="s">
        <v>125</v>
      </c>
      <c r="B707" s="6" t="s">
        <v>160</v>
      </c>
      <c r="C707" s="71">
        <v>6920.5</v>
      </c>
      <c r="D707" s="6">
        <f>(C707/12)*10</f>
        <v>5767.0833333333339</v>
      </c>
      <c r="E707" s="62">
        <v>0</v>
      </c>
      <c r="F707" s="6">
        <f>SUM(E698:E707)</f>
        <v>4052.5</v>
      </c>
      <c r="G707" s="35" t="str">
        <f t="shared" si="136"/>
        <v>Farol Vermelho</v>
      </c>
      <c r="H707">
        <f t="shared" si="134"/>
        <v>1714.5833333333339</v>
      </c>
      <c r="I707" s="6">
        <f t="shared" si="135"/>
        <v>10</v>
      </c>
      <c r="J707" s="100">
        <v>4</v>
      </c>
      <c r="K707" s="62"/>
      <c r="L707" s="6">
        <f>$L698+L706</f>
        <v>3.3333333333333335</v>
      </c>
      <c r="M707" s="6">
        <f t="shared" si="133"/>
        <v>12</v>
      </c>
      <c r="N707" s="71"/>
      <c r="O707" t="e">
        <f t="shared" si="137"/>
        <v>#DIV/0!</v>
      </c>
      <c r="P707" s="71"/>
      <c r="Q707" t="e">
        <f t="shared" si="138"/>
        <v>#DIV/0!</v>
      </c>
      <c r="R707" s="71"/>
      <c r="S707" s="6" t="e">
        <f t="shared" si="139"/>
        <v>#DIV/0!</v>
      </c>
    </row>
    <row r="708" spans="1:19" x14ac:dyDescent="0.2">
      <c r="A708" s="36" t="s">
        <v>125</v>
      </c>
      <c r="B708" s="6" t="s">
        <v>161</v>
      </c>
      <c r="C708" s="71">
        <v>6920.5</v>
      </c>
      <c r="D708" s="6">
        <f>(C708/12)*11</f>
        <v>6343.791666666667</v>
      </c>
      <c r="E708" s="62">
        <v>0</v>
      </c>
      <c r="F708" s="6">
        <f>SUM(E698:E708)</f>
        <v>4052.5</v>
      </c>
      <c r="G708" s="35" t="str">
        <f t="shared" si="136"/>
        <v>Farol Vermelho</v>
      </c>
      <c r="H708">
        <f t="shared" si="134"/>
        <v>2291.291666666667</v>
      </c>
      <c r="I708" s="6">
        <f t="shared" si="135"/>
        <v>11</v>
      </c>
      <c r="J708" s="100">
        <v>4</v>
      </c>
      <c r="K708" s="62"/>
      <c r="L708" s="6">
        <f>L698+L707</f>
        <v>3.666666666666667</v>
      </c>
      <c r="M708" s="6">
        <f t="shared" si="133"/>
        <v>12</v>
      </c>
      <c r="N708" s="71"/>
      <c r="O708" t="e">
        <f t="shared" si="137"/>
        <v>#DIV/0!</v>
      </c>
      <c r="P708" s="71"/>
      <c r="Q708" t="e">
        <f t="shared" si="138"/>
        <v>#DIV/0!</v>
      </c>
      <c r="R708" s="71"/>
      <c r="S708" s="6" t="e">
        <f t="shared" si="139"/>
        <v>#DIV/0!</v>
      </c>
    </row>
    <row r="709" spans="1:19" x14ac:dyDescent="0.2">
      <c r="A709" s="36" t="s">
        <v>125</v>
      </c>
      <c r="B709" s="6" t="s">
        <v>162</v>
      </c>
      <c r="C709" s="71">
        <v>6920.5</v>
      </c>
      <c r="D709" s="6">
        <f>(C709/12)*12</f>
        <v>6920.5</v>
      </c>
      <c r="E709" s="62">
        <v>0</v>
      </c>
      <c r="F709" s="6">
        <f>SUM(E698:E709)</f>
        <v>4052.5</v>
      </c>
      <c r="G709" s="35" t="str">
        <f t="shared" si="136"/>
        <v>Farol Vermelho</v>
      </c>
      <c r="H709">
        <f>IF(D709-F709&lt;0,0,D709-F709)</f>
        <v>2868</v>
      </c>
      <c r="I709" s="6">
        <f t="shared" si="135"/>
        <v>12</v>
      </c>
      <c r="J709" s="100">
        <v>4</v>
      </c>
      <c r="K709" s="62"/>
      <c r="L709" s="6">
        <f>$L698+L708</f>
        <v>4</v>
      </c>
      <c r="M709" s="6">
        <f t="shared" si="133"/>
        <v>12</v>
      </c>
      <c r="N709" s="71"/>
      <c r="O709" t="e">
        <f t="shared" si="137"/>
        <v>#DIV/0!</v>
      </c>
      <c r="P709" s="71"/>
      <c r="Q709" t="e">
        <f t="shared" si="138"/>
        <v>#DIV/0!</v>
      </c>
      <c r="R709" s="71"/>
      <c r="S709" s="6" t="e">
        <f t="shared" si="139"/>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2"/>
  <sheetViews>
    <sheetView showGridLines="0" workbookViewId="0">
      <pane xSplit="1" ySplit="1" topLeftCell="AA2" activePane="bottomRight" state="frozen"/>
      <selection pane="topRight" activeCell="B1" sqref="B1"/>
      <selection pane="bottomLeft" activeCell="A2" sqref="A2"/>
      <selection pane="bottomRight" activeCell="AA38" sqref="AA38:AA60"/>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176</v>
      </c>
      <c r="C1" s="1" t="s">
        <v>177</v>
      </c>
      <c r="D1" s="1" t="s">
        <v>23</v>
      </c>
      <c r="E1" s="1" t="s">
        <v>24</v>
      </c>
      <c r="F1" s="1" t="s">
        <v>178</v>
      </c>
      <c r="G1" s="1" t="s">
        <v>25</v>
      </c>
      <c r="H1" s="1" t="s">
        <v>4</v>
      </c>
      <c r="I1" s="1" t="s">
        <v>179</v>
      </c>
      <c r="J1" s="1" t="s">
        <v>22</v>
      </c>
      <c r="K1" s="1" t="s">
        <v>5</v>
      </c>
      <c r="L1" s="1" t="s">
        <v>180</v>
      </c>
      <c r="M1" s="1" t="s">
        <v>21</v>
      </c>
      <c r="N1" s="1" t="s">
        <v>278</v>
      </c>
      <c r="O1" s="1" t="s">
        <v>279</v>
      </c>
      <c r="P1" s="1" t="s">
        <v>181</v>
      </c>
      <c r="Q1" s="1" t="s">
        <v>182</v>
      </c>
      <c r="R1" s="1" t="s">
        <v>274</v>
      </c>
      <c r="S1" s="1" t="s">
        <v>275</v>
      </c>
      <c r="T1" s="1" t="s">
        <v>183</v>
      </c>
      <c r="U1" s="1" t="s">
        <v>184</v>
      </c>
      <c r="V1" s="1" t="s">
        <v>276</v>
      </c>
      <c r="W1" s="1" t="s">
        <v>277</v>
      </c>
      <c r="X1" s="1" t="s">
        <v>185</v>
      </c>
      <c r="Y1" s="1" t="s">
        <v>9</v>
      </c>
      <c r="Z1" s="1" t="s">
        <v>10</v>
      </c>
      <c r="AA1" s="1" t="s">
        <v>190</v>
      </c>
      <c r="AB1" s="1" t="s">
        <v>191</v>
      </c>
      <c r="AC1" s="1" t="s">
        <v>11</v>
      </c>
      <c r="AD1" s="1" t="s">
        <v>192</v>
      </c>
      <c r="AE1" s="1" t="s">
        <v>273</v>
      </c>
    </row>
    <row r="2" spans="1:31" x14ac:dyDescent="0.2">
      <c r="A2" t="s">
        <v>83</v>
      </c>
      <c r="B2" s="71">
        <v>2</v>
      </c>
      <c r="C2" t="s">
        <v>173</v>
      </c>
      <c r="D2" t="s">
        <v>84</v>
      </c>
      <c r="E2" t="s">
        <v>32</v>
      </c>
      <c r="F2" t="s">
        <v>30</v>
      </c>
      <c r="G2" s="62">
        <v>10</v>
      </c>
      <c r="H2" s="62">
        <v>11517</v>
      </c>
      <c r="I2" s="71">
        <v>16700</v>
      </c>
      <c r="J2" s="73">
        <f t="shared" ref="J2:J11" si="0">IF(I2=0,0,H2/I2)</f>
        <v>0.68964071856287423</v>
      </c>
      <c r="K2" s="62">
        <v>12</v>
      </c>
      <c r="L2" s="62">
        <v>14</v>
      </c>
      <c r="M2">
        <f t="shared" ref="M2:M11" si="1">IF(L2=0,0,K2/L2)</f>
        <v>0.8571428571428571</v>
      </c>
      <c r="N2" s="71">
        <v>100</v>
      </c>
      <c r="O2" s="62">
        <v>100</v>
      </c>
      <c r="P2" s="74">
        <v>75</v>
      </c>
      <c r="Q2">
        <f t="shared" ref="Q2:Q11" si="2">IF(N2=0,0,(O2/N2)-1)</f>
        <v>0</v>
      </c>
      <c r="R2" s="80">
        <v>100</v>
      </c>
      <c r="S2" s="71">
        <v>100</v>
      </c>
      <c r="T2" s="71">
        <v>60</v>
      </c>
      <c r="U2">
        <f t="shared" ref="U2:U11" si="3">IF(S2=0,0,(T2/S2)-1)</f>
        <v>-0.4</v>
      </c>
      <c r="V2" s="75">
        <v>906</v>
      </c>
      <c r="W2" s="2">
        <f t="shared" ref="W2:W10" si="4">IF(K2=0,0,H2/K2)</f>
        <v>959.75</v>
      </c>
      <c r="X2">
        <f t="shared" ref="X2:X10" si="5">IF(V2=0,0,(W2/V2)-1)</f>
        <v>5.9326710816776984E-2</v>
      </c>
      <c r="Y2" s="71">
        <v>3</v>
      </c>
      <c r="Z2" s="71">
        <v>9</v>
      </c>
      <c r="AA2" s="71">
        <v>0</v>
      </c>
      <c r="AB2" s="62">
        <v>1</v>
      </c>
      <c r="AC2" s="71">
        <v>0</v>
      </c>
      <c r="AD2" s="71">
        <v>0</v>
      </c>
      <c r="AE2" s="48" t="s">
        <v>210</v>
      </c>
    </row>
    <row r="3" spans="1:31" x14ac:dyDescent="0.2">
      <c r="A3" t="s">
        <v>94</v>
      </c>
      <c r="B3" s="71">
        <v>1</v>
      </c>
      <c r="C3" t="s">
        <v>194</v>
      </c>
      <c r="D3" t="s">
        <v>38</v>
      </c>
      <c r="E3" t="s">
        <v>39</v>
      </c>
      <c r="F3" t="s">
        <v>29</v>
      </c>
      <c r="G3" s="62">
        <v>7</v>
      </c>
      <c r="H3" s="62">
        <v>367</v>
      </c>
      <c r="I3" s="71">
        <v>2000</v>
      </c>
      <c r="J3" s="73">
        <f t="shared" si="0"/>
        <v>0.1835</v>
      </c>
      <c r="K3" s="62">
        <v>4</v>
      </c>
      <c r="L3" s="62">
        <v>7</v>
      </c>
      <c r="M3">
        <f t="shared" si="1"/>
        <v>0.5714285714285714</v>
      </c>
      <c r="N3" s="71">
        <v>45</v>
      </c>
      <c r="O3" s="62">
        <v>100</v>
      </c>
      <c r="P3" s="74">
        <v>55</v>
      </c>
      <c r="Q3">
        <f t="shared" si="2"/>
        <v>1.2222222222222223</v>
      </c>
      <c r="R3" s="80">
        <v>0</v>
      </c>
      <c r="S3" s="71">
        <v>100</v>
      </c>
      <c r="T3" s="71">
        <v>30</v>
      </c>
      <c r="U3">
        <f t="shared" si="3"/>
        <v>-0.7</v>
      </c>
      <c r="V3" s="75">
        <v>497</v>
      </c>
      <c r="W3" s="2">
        <f t="shared" si="4"/>
        <v>91.75</v>
      </c>
      <c r="X3">
        <f t="shared" si="5"/>
        <v>-0.81539235412474853</v>
      </c>
      <c r="Y3" s="71">
        <v>2</v>
      </c>
      <c r="Z3" s="71">
        <v>2</v>
      </c>
      <c r="AA3" s="71">
        <v>1</v>
      </c>
      <c r="AB3" s="62">
        <v>1</v>
      </c>
      <c r="AC3" s="71">
        <v>1</v>
      </c>
      <c r="AD3" s="71">
        <v>2</v>
      </c>
      <c r="AE3" s="48" t="s">
        <v>254</v>
      </c>
    </row>
    <row r="4" spans="1:31" x14ac:dyDescent="0.2">
      <c r="A4" t="s">
        <v>55</v>
      </c>
      <c r="B4" s="71">
        <v>3</v>
      </c>
      <c r="C4" t="s">
        <v>173</v>
      </c>
      <c r="D4" t="s">
        <v>43</v>
      </c>
      <c r="E4" t="s">
        <v>44</v>
      </c>
      <c r="F4" t="s">
        <v>35</v>
      </c>
      <c r="G4" s="62">
        <v>13</v>
      </c>
      <c r="H4" s="62">
        <v>20258.080000000002</v>
      </c>
      <c r="I4" s="71">
        <v>19817.25</v>
      </c>
      <c r="J4" s="73">
        <f t="shared" si="0"/>
        <v>1.0222447615082819</v>
      </c>
      <c r="K4" s="62">
        <v>10</v>
      </c>
      <c r="L4" s="62">
        <v>9</v>
      </c>
      <c r="M4">
        <f t="shared" si="1"/>
        <v>1.1111111111111112</v>
      </c>
      <c r="N4" s="71">
        <v>83</v>
      </c>
      <c r="O4" s="62">
        <v>100</v>
      </c>
      <c r="P4" s="74">
        <v>75</v>
      </c>
      <c r="Q4">
        <f t="shared" si="2"/>
        <v>0.20481927710843384</v>
      </c>
      <c r="R4" s="80">
        <v>100</v>
      </c>
      <c r="S4" s="71">
        <v>100</v>
      </c>
      <c r="T4" s="71">
        <v>50</v>
      </c>
      <c r="U4">
        <f t="shared" si="3"/>
        <v>-0.5</v>
      </c>
      <c r="V4" s="75">
        <v>1468</v>
      </c>
      <c r="W4" s="2">
        <f t="shared" si="4"/>
        <v>2025.8080000000002</v>
      </c>
      <c r="X4">
        <f t="shared" si="5"/>
        <v>0.37997820163487761</v>
      </c>
      <c r="Y4" s="71">
        <v>3</v>
      </c>
      <c r="Z4" s="71">
        <v>3</v>
      </c>
      <c r="AA4" s="71">
        <v>0</v>
      </c>
      <c r="AB4" s="62">
        <v>1</v>
      </c>
      <c r="AC4" s="71">
        <v>0</v>
      </c>
      <c r="AD4" s="71">
        <v>0</v>
      </c>
    </row>
    <row r="5" spans="1:31" x14ac:dyDescent="0.2">
      <c r="A5" t="s">
        <v>142</v>
      </c>
      <c r="B5" s="71">
        <v>3</v>
      </c>
      <c r="C5" t="s">
        <v>173</v>
      </c>
      <c r="D5" t="s">
        <v>43</v>
      </c>
      <c r="E5" t="s">
        <v>44</v>
      </c>
      <c r="F5" t="s">
        <v>30</v>
      </c>
      <c r="G5" s="62">
        <v>12</v>
      </c>
      <c r="H5" s="62">
        <v>20273.8</v>
      </c>
      <c r="I5" s="71">
        <v>50000</v>
      </c>
      <c r="J5" s="73">
        <f t="shared" si="0"/>
        <v>0.405476</v>
      </c>
      <c r="K5" s="62">
        <v>8</v>
      </c>
      <c r="L5" s="62">
        <v>15</v>
      </c>
      <c r="M5">
        <f t="shared" si="1"/>
        <v>0.53333333333333333</v>
      </c>
      <c r="N5" s="71">
        <v>96</v>
      </c>
      <c r="O5" s="62">
        <v>75</v>
      </c>
      <c r="P5" s="74">
        <v>75</v>
      </c>
      <c r="Q5">
        <f t="shared" si="2"/>
        <v>-0.21875</v>
      </c>
      <c r="R5" s="80">
        <v>67</v>
      </c>
      <c r="S5" s="71">
        <v>100</v>
      </c>
      <c r="T5" s="71">
        <v>50</v>
      </c>
      <c r="U5">
        <f t="shared" si="3"/>
        <v>-0.5</v>
      </c>
      <c r="V5" s="75">
        <v>2389</v>
      </c>
      <c r="W5" s="2">
        <f t="shared" si="4"/>
        <v>2534.2249999999999</v>
      </c>
      <c r="X5">
        <f t="shared" si="5"/>
        <v>6.0789033068229248E-2</v>
      </c>
      <c r="Y5" s="71">
        <v>6</v>
      </c>
      <c r="Z5" s="71">
        <v>6</v>
      </c>
      <c r="AA5" s="71">
        <v>0</v>
      </c>
      <c r="AB5" s="62">
        <v>1</v>
      </c>
      <c r="AC5" s="71">
        <v>0</v>
      </c>
      <c r="AD5" s="71">
        <v>0</v>
      </c>
      <c r="AE5" s="48" t="s">
        <v>211</v>
      </c>
    </row>
    <row r="6" spans="1:31" x14ac:dyDescent="0.2">
      <c r="A6" t="s">
        <v>65</v>
      </c>
      <c r="B6" s="71">
        <v>2</v>
      </c>
      <c r="C6" t="s">
        <v>175</v>
      </c>
      <c r="D6" t="s">
        <v>84</v>
      </c>
      <c r="E6" t="s">
        <v>32</v>
      </c>
      <c r="F6" t="s">
        <v>34</v>
      </c>
      <c r="G6" s="62">
        <v>22</v>
      </c>
      <c r="H6" s="62">
        <v>15291.9</v>
      </c>
      <c r="I6" s="71">
        <v>12000</v>
      </c>
      <c r="J6" s="73">
        <f t="shared" si="0"/>
        <v>1.2743249999999999</v>
      </c>
      <c r="K6" s="62">
        <v>10</v>
      </c>
      <c r="L6" s="62">
        <v>12</v>
      </c>
      <c r="M6">
        <f t="shared" si="1"/>
        <v>0.83333333333333337</v>
      </c>
      <c r="N6" s="71">
        <v>0</v>
      </c>
      <c r="O6" s="62">
        <v>95</v>
      </c>
      <c r="P6" s="74">
        <v>75</v>
      </c>
      <c r="Q6">
        <f t="shared" si="2"/>
        <v>0</v>
      </c>
      <c r="R6" s="80">
        <v>100</v>
      </c>
      <c r="S6" s="71">
        <v>0</v>
      </c>
      <c r="T6" s="71">
        <v>50</v>
      </c>
      <c r="U6">
        <f t="shared" si="3"/>
        <v>0</v>
      </c>
      <c r="V6" s="75">
        <v>1310</v>
      </c>
      <c r="W6" s="2">
        <f t="shared" si="4"/>
        <v>1529.19</v>
      </c>
      <c r="X6">
        <f t="shared" si="5"/>
        <v>0.16732061068702286</v>
      </c>
      <c r="Y6" s="71">
        <v>2</v>
      </c>
      <c r="Z6" s="71">
        <v>4</v>
      </c>
      <c r="AA6" s="71">
        <v>2</v>
      </c>
      <c r="AB6" s="62">
        <v>1</v>
      </c>
      <c r="AC6" s="71">
        <v>2</v>
      </c>
      <c r="AD6" s="71">
        <v>4</v>
      </c>
      <c r="AE6" s="48" t="s">
        <v>212</v>
      </c>
    </row>
    <row r="7" spans="1:31" x14ac:dyDescent="0.2">
      <c r="A7" t="s">
        <v>41</v>
      </c>
      <c r="B7" s="71">
        <v>4</v>
      </c>
      <c r="C7" t="s">
        <v>194</v>
      </c>
      <c r="D7" t="s">
        <v>43</v>
      </c>
      <c r="E7" t="s">
        <v>44</v>
      </c>
      <c r="F7" t="s">
        <v>112</v>
      </c>
      <c r="G7" s="62">
        <v>15</v>
      </c>
      <c r="H7" s="62">
        <v>38926.400000000001</v>
      </c>
      <c r="I7" s="71">
        <v>65000</v>
      </c>
      <c r="J7" s="73">
        <f t="shared" si="0"/>
        <v>0.59886769230769232</v>
      </c>
      <c r="K7" s="62">
        <v>765</v>
      </c>
      <c r="L7" s="62">
        <v>710</v>
      </c>
      <c r="M7">
        <f t="shared" si="1"/>
        <v>1.0774647887323943</v>
      </c>
      <c r="N7" s="71">
        <v>100</v>
      </c>
      <c r="O7" s="62">
        <v>100</v>
      </c>
      <c r="P7" s="74">
        <v>75</v>
      </c>
      <c r="Q7">
        <f t="shared" si="2"/>
        <v>0</v>
      </c>
      <c r="R7" s="80">
        <v>99.6</v>
      </c>
      <c r="S7" s="71">
        <v>100</v>
      </c>
      <c r="T7" s="71">
        <v>75</v>
      </c>
      <c r="U7">
        <f t="shared" si="3"/>
        <v>-0.25</v>
      </c>
      <c r="V7" s="75">
        <v>57</v>
      </c>
      <c r="W7" s="2">
        <f t="shared" si="4"/>
        <v>50.884183006535949</v>
      </c>
      <c r="X7">
        <f t="shared" si="5"/>
        <v>-0.10729503497305348</v>
      </c>
      <c r="Y7" s="71">
        <v>28</v>
      </c>
      <c r="Z7" s="71">
        <v>743</v>
      </c>
      <c r="AA7" s="71">
        <v>2</v>
      </c>
      <c r="AB7" s="62">
        <v>2</v>
      </c>
      <c r="AC7" s="71">
        <v>1</v>
      </c>
      <c r="AD7" s="71">
        <v>2</v>
      </c>
      <c r="AE7" s="48" t="s">
        <v>213</v>
      </c>
    </row>
    <row r="8" spans="1:31" x14ac:dyDescent="0.2">
      <c r="A8" t="s">
        <v>62</v>
      </c>
      <c r="B8" s="71">
        <v>1</v>
      </c>
      <c r="C8" t="s">
        <v>173</v>
      </c>
      <c r="D8" t="s">
        <v>84</v>
      </c>
      <c r="E8" t="s">
        <v>32</v>
      </c>
      <c r="F8" t="s">
        <v>63</v>
      </c>
      <c r="G8" s="62">
        <v>19</v>
      </c>
      <c r="H8" s="62">
        <v>600</v>
      </c>
      <c r="I8" s="71">
        <v>9000</v>
      </c>
      <c r="J8" s="73">
        <f t="shared" si="0"/>
        <v>6.6666666666666666E-2</v>
      </c>
      <c r="K8" s="62">
        <v>1</v>
      </c>
      <c r="L8" s="62">
        <v>5</v>
      </c>
      <c r="M8">
        <f t="shared" si="1"/>
        <v>0.2</v>
      </c>
      <c r="N8" s="71">
        <v>38</v>
      </c>
      <c r="O8" s="62">
        <v>15</v>
      </c>
      <c r="P8" s="74">
        <v>75</v>
      </c>
      <c r="Q8">
        <f t="shared" si="2"/>
        <v>-0.60526315789473684</v>
      </c>
      <c r="R8" s="80">
        <v>0</v>
      </c>
      <c r="S8" s="71">
        <v>0</v>
      </c>
      <c r="T8" s="71">
        <v>51</v>
      </c>
      <c r="U8">
        <f t="shared" si="3"/>
        <v>0</v>
      </c>
      <c r="V8" s="75">
        <v>2895</v>
      </c>
      <c r="W8" s="2">
        <f t="shared" si="4"/>
        <v>600</v>
      </c>
      <c r="X8">
        <f t="shared" si="5"/>
        <v>-0.79274611398963735</v>
      </c>
      <c r="Y8" s="71">
        <v>1</v>
      </c>
      <c r="Z8" s="71">
        <v>1</v>
      </c>
      <c r="AA8" s="71">
        <v>0</v>
      </c>
      <c r="AB8" s="62">
        <v>1</v>
      </c>
      <c r="AC8" s="71">
        <v>0</v>
      </c>
      <c r="AD8" s="71">
        <v>0</v>
      </c>
      <c r="AE8" s="48" t="s">
        <v>295</v>
      </c>
    </row>
    <row r="9" spans="1:31" x14ac:dyDescent="0.2">
      <c r="A9" t="s">
        <v>114</v>
      </c>
      <c r="B9" s="71">
        <v>4</v>
      </c>
      <c r="C9" t="s">
        <v>173</v>
      </c>
      <c r="D9" t="s">
        <v>38</v>
      </c>
      <c r="E9" t="s">
        <v>39</v>
      </c>
      <c r="F9" t="s">
        <v>120</v>
      </c>
      <c r="G9" s="62">
        <v>24</v>
      </c>
      <c r="H9" s="62">
        <v>56354.23</v>
      </c>
      <c r="I9" s="71">
        <v>100000</v>
      </c>
      <c r="J9" s="73">
        <f t="shared" si="0"/>
        <v>0.56354230000000005</v>
      </c>
      <c r="K9" s="62">
        <v>14</v>
      </c>
      <c r="L9" s="62">
        <v>15</v>
      </c>
      <c r="M9">
        <f t="shared" si="1"/>
        <v>0.93333333333333335</v>
      </c>
      <c r="N9" s="71">
        <v>100</v>
      </c>
      <c r="O9" s="62">
        <v>68</v>
      </c>
      <c r="P9" s="74">
        <v>75</v>
      </c>
      <c r="Q9">
        <f t="shared" si="2"/>
        <v>-0.31999999999999995</v>
      </c>
      <c r="R9" s="80">
        <v>100</v>
      </c>
      <c r="S9" s="71">
        <v>83</v>
      </c>
      <c r="T9" s="71">
        <v>80</v>
      </c>
      <c r="U9">
        <f t="shared" si="3"/>
        <v>-3.6144578313253017E-2</v>
      </c>
      <c r="V9" s="75">
        <v>4301</v>
      </c>
      <c r="W9" s="2">
        <f t="shared" si="4"/>
        <v>4025.3021428571433</v>
      </c>
      <c r="X9">
        <f t="shared" si="5"/>
        <v>-6.4100873551001358E-2</v>
      </c>
      <c r="Y9" s="71">
        <v>4</v>
      </c>
      <c r="Z9" s="71">
        <v>4</v>
      </c>
      <c r="AA9" s="71">
        <v>1</v>
      </c>
      <c r="AB9" s="62">
        <v>2</v>
      </c>
      <c r="AC9" s="71">
        <v>1</v>
      </c>
      <c r="AD9" s="71">
        <v>0</v>
      </c>
      <c r="AE9" s="48" t="s">
        <v>255</v>
      </c>
    </row>
    <row r="10" spans="1:31" x14ac:dyDescent="0.2">
      <c r="A10" t="s">
        <v>47</v>
      </c>
      <c r="B10" s="71">
        <v>3</v>
      </c>
      <c r="C10" t="s">
        <v>193</v>
      </c>
      <c r="D10" t="s">
        <v>38</v>
      </c>
      <c r="E10" t="s">
        <v>39</v>
      </c>
      <c r="F10" t="s">
        <v>97</v>
      </c>
      <c r="G10" s="62">
        <v>23</v>
      </c>
      <c r="H10" s="62">
        <v>16300</v>
      </c>
      <c r="I10" s="71">
        <v>27305.1</v>
      </c>
      <c r="J10" s="73">
        <f t="shared" si="0"/>
        <v>0.59695807742875873</v>
      </c>
      <c r="K10" s="62">
        <v>111</v>
      </c>
      <c r="L10" s="62">
        <v>100</v>
      </c>
      <c r="M10">
        <f t="shared" si="1"/>
        <v>1.1100000000000001</v>
      </c>
      <c r="N10" s="71">
        <v>100</v>
      </c>
      <c r="O10" s="62">
        <v>100</v>
      </c>
      <c r="P10" s="74">
        <v>75</v>
      </c>
      <c r="Q10">
        <f t="shared" si="2"/>
        <v>0</v>
      </c>
      <c r="R10" s="80">
        <v>88</v>
      </c>
      <c r="S10" s="71">
        <v>100</v>
      </c>
      <c r="T10" s="71">
        <v>80</v>
      </c>
      <c r="U10">
        <f t="shared" si="3"/>
        <v>-0.19999999999999996</v>
      </c>
      <c r="V10" s="75">
        <v>263</v>
      </c>
      <c r="W10" s="2">
        <f t="shared" si="4"/>
        <v>146.84684684684686</v>
      </c>
      <c r="X10">
        <f t="shared" si="5"/>
        <v>-0.44164697016408039</v>
      </c>
      <c r="Y10" s="71">
        <v>13</v>
      </c>
      <c r="Z10" s="71">
        <v>69</v>
      </c>
      <c r="AA10" s="71">
        <v>2</v>
      </c>
      <c r="AB10" s="62">
        <v>3</v>
      </c>
      <c r="AC10" s="71">
        <v>2</v>
      </c>
      <c r="AD10" s="71">
        <v>2</v>
      </c>
    </row>
    <row r="11" spans="1:31" x14ac:dyDescent="0.2">
      <c r="A11" t="s">
        <v>303</v>
      </c>
      <c r="B11" s="71">
        <v>1</v>
      </c>
      <c r="C11" t="s">
        <v>173</v>
      </c>
      <c r="D11" t="s">
        <v>38</v>
      </c>
      <c r="E11" t="s">
        <v>39</v>
      </c>
      <c r="F11" t="s">
        <v>313</v>
      </c>
      <c r="G11" s="62">
        <v>6</v>
      </c>
      <c r="H11" s="62">
        <v>0</v>
      </c>
      <c r="I11" s="71">
        <v>0</v>
      </c>
      <c r="J11" s="73">
        <f t="shared" si="0"/>
        <v>0</v>
      </c>
      <c r="K11" s="62">
        <v>0</v>
      </c>
      <c r="L11" s="62">
        <v>0</v>
      </c>
      <c r="M11">
        <f t="shared" si="1"/>
        <v>0</v>
      </c>
      <c r="N11" s="71">
        <v>0</v>
      </c>
      <c r="O11" s="62">
        <v>0</v>
      </c>
      <c r="P11" s="74">
        <v>0</v>
      </c>
      <c r="Q11">
        <f t="shared" si="2"/>
        <v>0</v>
      </c>
      <c r="R11" s="80">
        <v>0</v>
      </c>
      <c r="S11" s="71">
        <v>0</v>
      </c>
      <c r="T11" s="71">
        <v>0</v>
      </c>
      <c r="U11">
        <f t="shared" si="3"/>
        <v>0</v>
      </c>
      <c r="V11" s="75">
        <v>0</v>
      </c>
      <c r="W11" s="2">
        <f t="shared" ref="W11" si="6">IF(K11=0,0,H11/K11)</f>
        <v>0</v>
      </c>
      <c r="X11">
        <f t="shared" ref="X11" si="7">IF(V11=0,0,(W11/V11)-1)</f>
        <v>0</v>
      </c>
      <c r="Y11" s="71">
        <v>0</v>
      </c>
      <c r="Z11" s="71">
        <v>0</v>
      </c>
      <c r="AA11" s="71">
        <v>0</v>
      </c>
      <c r="AB11" s="62">
        <v>0</v>
      </c>
      <c r="AC11" s="71">
        <v>0</v>
      </c>
      <c r="AD11" s="71">
        <v>0</v>
      </c>
      <c r="AE11" s="48" t="s">
        <v>306</v>
      </c>
    </row>
    <row r="12" spans="1:31" x14ac:dyDescent="0.2">
      <c r="A12" t="s">
        <v>89</v>
      </c>
      <c r="B12" s="71">
        <v>2</v>
      </c>
      <c r="C12" t="s">
        <v>175</v>
      </c>
      <c r="D12" t="s">
        <v>43</v>
      </c>
      <c r="E12" t="s">
        <v>44</v>
      </c>
      <c r="F12" t="s">
        <v>35</v>
      </c>
      <c r="G12" s="62">
        <v>20</v>
      </c>
      <c r="H12" s="62">
        <v>14640</v>
      </c>
      <c r="I12" s="71">
        <v>26800</v>
      </c>
      <c r="J12" s="73">
        <f t="shared" ref="J12:J23" si="8">IF(I12=0,0,H12/I12)</f>
        <v>0.54626865671641789</v>
      </c>
      <c r="K12" s="62">
        <v>4</v>
      </c>
      <c r="L12" s="62">
        <v>8</v>
      </c>
      <c r="M12">
        <f t="shared" ref="M12:M23" si="9">IF(L12=0,0,K12/L12)</f>
        <v>0.5</v>
      </c>
      <c r="N12" s="71">
        <v>82</v>
      </c>
      <c r="O12" s="62">
        <v>35</v>
      </c>
      <c r="P12" s="74">
        <v>75</v>
      </c>
      <c r="Q12">
        <f t="shared" ref="Q12:Q23" si="10">IF(N12=0,0,(O12/N12)-1)</f>
        <v>-0.57317073170731714</v>
      </c>
      <c r="R12" s="80">
        <v>57</v>
      </c>
      <c r="S12" s="71">
        <v>100</v>
      </c>
      <c r="T12" s="71">
        <v>75</v>
      </c>
      <c r="U12">
        <f t="shared" ref="U12:U23" si="11">IF(S12=0,0,(T12/S12)-1)</f>
        <v>-0.25</v>
      </c>
      <c r="V12" s="75">
        <v>2745</v>
      </c>
      <c r="W12" s="2">
        <f t="shared" ref="W12:W22" si="12">IF(K12=0,0,H12/K12)</f>
        <v>3660</v>
      </c>
      <c r="X12">
        <f t="shared" ref="X12:X22" si="13">IF(V12=0,0,(W12/V12)-1)</f>
        <v>0.33333333333333326</v>
      </c>
      <c r="Y12" s="71">
        <v>3</v>
      </c>
      <c r="Z12" s="71">
        <v>3</v>
      </c>
      <c r="AA12" s="71">
        <v>1</v>
      </c>
      <c r="AB12" s="62">
        <v>1</v>
      </c>
      <c r="AC12" s="71">
        <v>1</v>
      </c>
      <c r="AD12" s="71">
        <v>1</v>
      </c>
    </row>
    <row r="13" spans="1:31" x14ac:dyDescent="0.2">
      <c r="A13" t="s">
        <v>113</v>
      </c>
      <c r="B13" s="71">
        <v>1</v>
      </c>
      <c r="C13" t="s">
        <v>173</v>
      </c>
      <c r="D13" t="s">
        <v>67</v>
      </c>
      <c r="E13" t="s">
        <v>68</v>
      </c>
      <c r="F13" t="s">
        <v>28</v>
      </c>
      <c r="G13" s="62">
        <v>5</v>
      </c>
      <c r="H13" s="62">
        <v>0</v>
      </c>
      <c r="I13" s="71">
        <v>1500</v>
      </c>
      <c r="J13" s="73">
        <f t="shared" si="8"/>
        <v>0</v>
      </c>
      <c r="K13" s="62">
        <v>0</v>
      </c>
      <c r="L13" s="62">
        <v>1</v>
      </c>
      <c r="M13">
        <f t="shared" si="9"/>
        <v>0</v>
      </c>
      <c r="N13" s="71">
        <v>50</v>
      </c>
      <c r="O13" s="62">
        <v>0</v>
      </c>
      <c r="P13" s="74">
        <v>58</v>
      </c>
      <c r="Q13">
        <f t="shared" si="10"/>
        <v>-1</v>
      </c>
      <c r="R13" s="80">
        <v>100</v>
      </c>
      <c r="S13" s="71">
        <v>0</v>
      </c>
      <c r="T13" s="71">
        <v>50</v>
      </c>
      <c r="U13">
        <f t="shared" si="11"/>
        <v>0</v>
      </c>
      <c r="V13" s="75">
        <v>182</v>
      </c>
      <c r="W13" s="2">
        <f t="shared" si="12"/>
        <v>0</v>
      </c>
      <c r="X13">
        <f t="shared" si="13"/>
        <v>-1</v>
      </c>
      <c r="Y13" s="71">
        <v>0</v>
      </c>
      <c r="Z13" s="71">
        <v>0</v>
      </c>
      <c r="AA13" s="71">
        <v>0</v>
      </c>
      <c r="AB13" s="62">
        <v>1</v>
      </c>
      <c r="AC13" s="71">
        <v>0</v>
      </c>
      <c r="AD13" s="71">
        <v>0</v>
      </c>
      <c r="AE13" s="48" t="s">
        <v>304</v>
      </c>
    </row>
    <row r="14" spans="1:31" x14ac:dyDescent="0.2">
      <c r="A14" t="s">
        <v>117</v>
      </c>
      <c r="B14" s="71">
        <v>1</v>
      </c>
      <c r="C14" t="s">
        <v>173</v>
      </c>
      <c r="D14" t="s">
        <v>38</v>
      </c>
      <c r="E14" t="s">
        <v>39</v>
      </c>
      <c r="F14" t="s">
        <v>128</v>
      </c>
      <c r="G14" s="62">
        <v>24</v>
      </c>
      <c r="H14" s="62">
        <v>9597.8799999999992</v>
      </c>
      <c r="I14" s="71">
        <v>37047.75</v>
      </c>
      <c r="J14" s="73">
        <f t="shared" si="8"/>
        <v>0.25906782463172523</v>
      </c>
      <c r="K14" s="62">
        <v>15</v>
      </c>
      <c r="L14" s="62">
        <v>27</v>
      </c>
      <c r="M14">
        <f t="shared" si="9"/>
        <v>0.55555555555555558</v>
      </c>
      <c r="N14" s="71">
        <v>89</v>
      </c>
      <c r="O14" s="62">
        <v>84</v>
      </c>
      <c r="P14" s="74">
        <v>75</v>
      </c>
      <c r="Q14">
        <f t="shared" si="10"/>
        <v>-5.6179775280898903E-2</v>
      </c>
      <c r="R14" s="80">
        <v>100</v>
      </c>
      <c r="S14" s="71">
        <v>100</v>
      </c>
      <c r="T14" s="71">
        <v>80</v>
      </c>
      <c r="U14">
        <f t="shared" si="11"/>
        <v>-0.19999999999999996</v>
      </c>
      <c r="V14" s="75">
        <v>1407</v>
      </c>
      <c r="W14" s="2">
        <f t="shared" si="12"/>
        <v>639.85866666666664</v>
      </c>
      <c r="X14">
        <f t="shared" si="13"/>
        <v>-0.54523193556029381</v>
      </c>
      <c r="Y14" s="71">
        <v>3</v>
      </c>
      <c r="Z14" s="71">
        <v>6</v>
      </c>
      <c r="AA14" s="71">
        <v>5</v>
      </c>
      <c r="AB14" s="62">
        <v>3</v>
      </c>
      <c r="AC14" s="71">
        <v>3</v>
      </c>
      <c r="AD14" s="71">
        <v>5</v>
      </c>
      <c r="AE14" s="48" t="s">
        <v>214</v>
      </c>
    </row>
    <row r="15" spans="1:31" x14ac:dyDescent="0.2">
      <c r="A15" t="s">
        <v>99</v>
      </c>
      <c r="B15" s="71">
        <v>1</v>
      </c>
      <c r="C15" t="s">
        <v>172</v>
      </c>
      <c r="D15" t="s">
        <v>100</v>
      </c>
      <c r="E15" t="s">
        <v>101</v>
      </c>
      <c r="F15" t="s">
        <v>45</v>
      </c>
      <c r="G15" s="62">
        <v>16</v>
      </c>
      <c r="H15" s="62">
        <v>2632.5</v>
      </c>
      <c r="I15" s="71">
        <v>7200</v>
      </c>
      <c r="J15" s="73">
        <f t="shared" si="8"/>
        <v>0.36562499999999998</v>
      </c>
      <c r="K15" s="62">
        <v>14</v>
      </c>
      <c r="L15" s="62">
        <v>20</v>
      </c>
      <c r="M15">
        <f t="shared" si="9"/>
        <v>0.7</v>
      </c>
      <c r="N15" s="71">
        <v>63</v>
      </c>
      <c r="O15" s="62">
        <v>81</v>
      </c>
      <c r="P15" s="74">
        <v>67</v>
      </c>
      <c r="Q15">
        <f t="shared" si="10"/>
        <v>0.28571428571428581</v>
      </c>
      <c r="R15" s="80">
        <v>50</v>
      </c>
      <c r="S15" s="71">
        <v>100</v>
      </c>
      <c r="T15" s="71">
        <v>40</v>
      </c>
      <c r="U15">
        <f t="shared" si="11"/>
        <v>-0.6</v>
      </c>
      <c r="V15" s="75">
        <v>490</v>
      </c>
      <c r="W15" s="2">
        <f t="shared" si="12"/>
        <v>188.03571428571428</v>
      </c>
      <c r="X15">
        <f t="shared" si="13"/>
        <v>-0.61625364431486884</v>
      </c>
      <c r="Y15" s="71">
        <v>3</v>
      </c>
      <c r="Z15" s="71">
        <v>5</v>
      </c>
      <c r="AA15" s="71">
        <v>0</v>
      </c>
      <c r="AB15" s="62">
        <v>1</v>
      </c>
      <c r="AC15" s="71">
        <v>0</v>
      </c>
      <c r="AD15" s="71">
        <v>0</v>
      </c>
      <c r="AE15" s="48" t="s">
        <v>299</v>
      </c>
    </row>
    <row r="16" spans="1:31" x14ac:dyDescent="0.2">
      <c r="A16" t="s">
        <v>123</v>
      </c>
      <c r="B16" s="71">
        <v>4</v>
      </c>
      <c r="C16" t="s">
        <v>172</v>
      </c>
      <c r="D16" t="s">
        <v>124</v>
      </c>
      <c r="E16" t="s">
        <v>44</v>
      </c>
      <c r="F16" t="s">
        <v>28</v>
      </c>
      <c r="G16" s="62">
        <v>19</v>
      </c>
      <c r="H16" s="62">
        <v>11900</v>
      </c>
      <c r="I16" s="71">
        <v>34200</v>
      </c>
      <c r="J16" s="73">
        <f t="shared" si="8"/>
        <v>0.34795321637426901</v>
      </c>
      <c r="K16" s="62">
        <v>2</v>
      </c>
      <c r="L16" s="62">
        <v>2</v>
      </c>
      <c r="M16">
        <f t="shared" si="9"/>
        <v>1</v>
      </c>
      <c r="N16" s="71">
        <v>100</v>
      </c>
      <c r="O16" s="62">
        <v>100</v>
      </c>
      <c r="P16" s="74">
        <v>75</v>
      </c>
      <c r="Q16">
        <f t="shared" si="10"/>
        <v>0</v>
      </c>
      <c r="R16" s="80">
        <v>100</v>
      </c>
      <c r="S16" s="71">
        <v>0</v>
      </c>
      <c r="T16" s="71">
        <v>80</v>
      </c>
      <c r="U16">
        <f t="shared" si="11"/>
        <v>0</v>
      </c>
      <c r="V16" s="75">
        <v>2241</v>
      </c>
      <c r="W16" s="2">
        <f t="shared" si="12"/>
        <v>5950</v>
      </c>
      <c r="X16">
        <f t="shared" si="13"/>
        <v>1.6550647032574743</v>
      </c>
      <c r="Y16" s="71">
        <v>1</v>
      </c>
      <c r="Z16" s="71">
        <v>1</v>
      </c>
      <c r="AA16" s="71">
        <v>0</v>
      </c>
      <c r="AB16" s="62">
        <v>1</v>
      </c>
      <c r="AC16" s="71">
        <v>0</v>
      </c>
      <c r="AD16" s="71">
        <v>0</v>
      </c>
    </row>
    <row r="17" spans="1:31" x14ac:dyDescent="0.2">
      <c r="A17" t="s">
        <v>92</v>
      </c>
      <c r="B17" s="71">
        <v>1</v>
      </c>
      <c r="C17" t="s">
        <v>173</v>
      </c>
      <c r="D17" t="s">
        <v>38</v>
      </c>
      <c r="E17" t="s">
        <v>39</v>
      </c>
      <c r="F17" t="s">
        <v>79</v>
      </c>
      <c r="G17" s="62">
        <v>24</v>
      </c>
      <c r="H17" s="62">
        <v>13625</v>
      </c>
      <c r="I17" s="71">
        <v>85000</v>
      </c>
      <c r="J17" s="73">
        <f t="shared" si="8"/>
        <v>0.16029411764705884</v>
      </c>
      <c r="K17" s="62">
        <v>5</v>
      </c>
      <c r="L17" s="62">
        <v>25</v>
      </c>
      <c r="M17">
        <f t="shared" si="9"/>
        <v>0.2</v>
      </c>
      <c r="N17" s="71">
        <v>0</v>
      </c>
      <c r="O17" s="62">
        <v>62</v>
      </c>
      <c r="P17" s="74">
        <v>75</v>
      </c>
      <c r="Q17">
        <f t="shared" si="10"/>
        <v>0</v>
      </c>
      <c r="R17" s="80">
        <v>33</v>
      </c>
      <c r="S17" s="71">
        <v>0</v>
      </c>
      <c r="T17" s="71">
        <v>50</v>
      </c>
      <c r="U17">
        <f t="shared" si="11"/>
        <v>0</v>
      </c>
      <c r="V17" s="75">
        <v>2353</v>
      </c>
      <c r="W17" s="2">
        <f t="shared" si="12"/>
        <v>2725</v>
      </c>
      <c r="X17">
        <f t="shared" si="13"/>
        <v>0.15809604759881002</v>
      </c>
      <c r="Y17" s="71">
        <v>3</v>
      </c>
      <c r="Z17" s="71">
        <v>3</v>
      </c>
      <c r="AA17" s="71">
        <v>0</v>
      </c>
      <c r="AB17" s="62">
        <v>4</v>
      </c>
      <c r="AC17" s="71">
        <v>0</v>
      </c>
      <c r="AD17" s="71">
        <v>0</v>
      </c>
      <c r="AE17" s="48" t="s">
        <v>215</v>
      </c>
    </row>
    <row r="18" spans="1:31" x14ac:dyDescent="0.2">
      <c r="A18" t="s">
        <v>37</v>
      </c>
      <c r="B18" s="71">
        <v>1</v>
      </c>
      <c r="C18" t="s">
        <v>173</v>
      </c>
      <c r="D18" t="s">
        <v>38</v>
      </c>
      <c r="E18" t="s">
        <v>39</v>
      </c>
      <c r="F18" t="s">
        <v>40</v>
      </c>
      <c r="G18" s="62">
        <v>5</v>
      </c>
      <c r="H18" s="62">
        <v>9940</v>
      </c>
      <c r="I18" s="71">
        <v>6600</v>
      </c>
      <c r="J18" s="73">
        <f t="shared" si="8"/>
        <v>1.5060606060606061</v>
      </c>
      <c r="K18" s="62">
        <v>4</v>
      </c>
      <c r="L18" s="62">
        <v>6</v>
      </c>
      <c r="M18">
        <f t="shared" si="9"/>
        <v>0.66666666666666663</v>
      </c>
      <c r="N18" s="71">
        <v>56</v>
      </c>
      <c r="O18" s="62">
        <v>100</v>
      </c>
      <c r="P18" s="74">
        <v>62</v>
      </c>
      <c r="Q18">
        <f t="shared" si="10"/>
        <v>0.78571428571428581</v>
      </c>
      <c r="R18" s="80">
        <v>100</v>
      </c>
      <c r="S18" s="71">
        <v>100</v>
      </c>
      <c r="T18" s="71">
        <v>75</v>
      </c>
      <c r="U18">
        <f t="shared" si="11"/>
        <v>-0.25</v>
      </c>
      <c r="V18" s="75">
        <v>900</v>
      </c>
      <c r="W18" s="2">
        <f t="shared" si="12"/>
        <v>2485</v>
      </c>
      <c r="X18">
        <f t="shared" si="13"/>
        <v>1.7611111111111111</v>
      </c>
      <c r="Y18" s="71">
        <v>2</v>
      </c>
      <c r="Z18" s="71">
        <v>2</v>
      </c>
      <c r="AA18" s="71">
        <v>0</v>
      </c>
      <c r="AB18" s="62">
        <v>1</v>
      </c>
      <c r="AC18" s="71">
        <v>0</v>
      </c>
      <c r="AD18" s="71">
        <v>0</v>
      </c>
      <c r="AE18" s="48" t="s">
        <v>216</v>
      </c>
    </row>
    <row r="19" spans="1:31" x14ac:dyDescent="0.2">
      <c r="A19" t="s">
        <v>91</v>
      </c>
      <c r="B19" s="71">
        <v>2</v>
      </c>
      <c r="C19" t="s">
        <v>173</v>
      </c>
      <c r="D19" t="s">
        <v>38</v>
      </c>
      <c r="E19" t="s">
        <v>39</v>
      </c>
      <c r="F19" t="s">
        <v>59</v>
      </c>
      <c r="G19" s="62">
        <v>21</v>
      </c>
      <c r="H19" s="62">
        <v>18071.8</v>
      </c>
      <c r="I19" s="71">
        <v>25000</v>
      </c>
      <c r="J19" s="73">
        <f t="shared" si="8"/>
        <v>0.72287199999999996</v>
      </c>
      <c r="K19" s="62">
        <v>14</v>
      </c>
      <c r="L19" s="62">
        <v>14</v>
      </c>
      <c r="M19">
        <f t="shared" si="9"/>
        <v>1</v>
      </c>
      <c r="N19" s="71">
        <v>36</v>
      </c>
      <c r="O19" s="62">
        <v>90</v>
      </c>
      <c r="P19" s="74">
        <v>75</v>
      </c>
      <c r="Q19">
        <f t="shared" si="10"/>
        <v>1.5</v>
      </c>
      <c r="R19" s="80">
        <v>60</v>
      </c>
      <c r="S19" s="71">
        <v>80</v>
      </c>
      <c r="T19" s="71">
        <v>50</v>
      </c>
      <c r="U19">
        <f t="shared" si="11"/>
        <v>-0.375</v>
      </c>
      <c r="V19" s="75">
        <v>1187</v>
      </c>
      <c r="W19" s="2">
        <f t="shared" si="12"/>
        <v>1290.8428571428572</v>
      </c>
      <c r="X19">
        <f t="shared" si="13"/>
        <v>8.748345167890248E-2</v>
      </c>
      <c r="Y19" s="71">
        <v>5</v>
      </c>
      <c r="Z19" s="71">
        <v>5</v>
      </c>
      <c r="AA19" s="71">
        <v>7</v>
      </c>
      <c r="AB19" s="62">
        <v>4</v>
      </c>
      <c r="AC19" s="71">
        <v>3</v>
      </c>
      <c r="AD19" s="71">
        <v>4</v>
      </c>
      <c r="AE19" s="48" t="s">
        <v>217</v>
      </c>
    </row>
    <row r="20" spans="1:31" x14ac:dyDescent="0.2">
      <c r="A20" t="s">
        <v>126</v>
      </c>
      <c r="B20" s="71">
        <v>4</v>
      </c>
      <c r="C20" t="s">
        <v>194</v>
      </c>
      <c r="D20" t="s">
        <v>38</v>
      </c>
      <c r="E20" t="s">
        <v>49</v>
      </c>
      <c r="F20" t="s">
        <v>127</v>
      </c>
      <c r="G20" s="62">
        <v>20</v>
      </c>
      <c r="H20" s="62">
        <v>73470</v>
      </c>
      <c r="I20" s="71">
        <v>120000</v>
      </c>
      <c r="J20" s="73">
        <f t="shared" si="8"/>
        <v>0.61224999999999996</v>
      </c>
      <c r="K20" s="62">
        <v>11</v>
      </c>
      <c r="L20" s="62">
        <v>18</v>
      </c>
      <c r="M20">
        <f t="shared" si="9"/>
        <v>0.61111111111111116</v>
      </c>
      <c r="N20" s="71">
        <v>0</v>
      </c>
      <c r="O20" s="62">
        <v>75</v>
      </c>
      <c r="P20" s="74">
        <v>75</v>
      </c>
      <c r="Q20">
        <f t="shared" si="10"/>
        <v>0</v>
      </c>
      <c r="R20" s="80">
        <v>69</v>
      </c>
      <c r="S20" s="71">
        <v>50</v>
      </c>
      <c r="T20" s="71">
        <v>60</v>
      </c>
      <c r="U20">
        <f t="shared" si="11"/>
        <v>0.19999999999999996</v>
      </c>
      <c r="V20" s="75">
        <v>5833</v>
      </c>
      <c r="W20" s="2">
        <f t="shared" si="12"/>
        <v>6679.090909090909</v>
      </c>
      <c r="X20">
        <f t="shared" si="13"/>
        <v>0.14505244455527322</v>
      </c>
      <c r="Y20" s="71">
        <v>6</v>
      </c>
      <c r="Z20" s="71">
        <v>7</v>
      </c>
      <c r="AA20" s="71">
        <v>1</v>
      </c>
      <c r="AB20" s="62">
        <v>3</v>
      </c>
      <c r="AC20" s="71">
        <v>1</v>
      </c>
      <c r="AD20" s="71">
        <v>1</v>
      </c>
      <c r="AE20" s="48" t="s">
        <v>218</v>
      </c>
    </row>
    <row r="21" spans="1:31" x14ac:dyDescent="0.2">
      <c r="A21" t="s">
        <v>73</v>
      </c>
      <c r="B21" s="71">
        <v>1</v>
      </c>
      <c r="C21" t="s">
        <v>175</v>
      </c>
      <c r="D21" t="s">
        <v>38</v>
      </c>
      <c r="E21" t="s">
        <v>39</v>
      </c>
      <c r="F21" t="s">
        <v>74</v>
      </c>
      <c r="G21" s="62">
        <v>9</v>
      </c>
      <c r="H21" s="62">
        <v>810</v>
      </c>
      <c r="I21" s="71">
        <v>10800</v>
      </c>
      <c r="J21" s="73">
        <f t="shared" si="8"/>
        <v>7.4999999999999997E-2</v>
      </c>
      <c r="K21" s="62">
        <v>1</v>
      </c>
      <c r="L21" s="62">
        <v>4</v>
      </c>
      <c r="M21">
        <f t="shared" si="9"/>
        <v>0.25</v>
      </c>
      <c r="N21" s="71">
        <v>36</v>
      </c>
      <c r="O21" s="62">
        <v>11</v>
      </c>
      <c r="P21" s="74">
        <v>60</v>
      </c>
      <c r="Q21">
        <f t="shared" si="10"/>
        <v>-0.69444444444444442</v>
      </c>
      <c r="R21" s="80">
        <v>100</v>
      </c>
      <c r="S21" s="71">
        <v>0</v>
      </c>
      <c r="T21" s="71">
        <v>65</v>
      </c>
      <c r="U21">
        <f t="shared" si="11"/>
        <v>0</v>
      </c>
      <c r="V21" s="75">
        <v>446</v>
      </c>
      <c r="W21" s="2">
        <f t="shared" si="12"/>
        <v>810</v>
      </c>
      <c r="X21">
        <f t="shared" si="13"/>
        <v>0.81614349775784745</v>
      </c>
      <c r="Y21" s="71">
        <v>0</v>
      </c>
      <c r="Z21" s="71">
        <v>0</v>
      </c>
      <c r="AA21" s="71">
        <v>0</v>
      </c>
      <c r="AB21" s="62">
        <v>1</v>
      </c>
      <c r="AC21" s="71">
        <v>0</v>
      </c>
      <c r="AD21" s="71">
        <v>0</v>
      </c>
    </row>
    <row r="22" spans="1:31" x14ac:dyDescent="0.2">
      <c r="A22" t="s">
        <v>56</v>
      </c>
      <c r="B22" s="71">
        <v>1</v>
      </c>
      <c r="C22" t="s">
        <v>173</v>
      </c>
      <c r="D22" t="s">
        <v>38</v>
      </c>
      <c r="E22" t="s">
        <v>39</v>
      </c>
      <c r="F22" t="s">
        <v>57</v>
      </c>
      <c r="G22" s="62">
        <v>13</v>
      </c>
      <c r="H22" s="62">
        <v>2700</v>
      </c>
      <c r="I22" s="71">
        <v>28211.11</v>
      </c>
      <c r="J22" s="73">
        <f t="shared" si="8"/>
        <v>9.5706975017998228E-2</v>
      </c>
      <c r="K22" s="62">
        <v>1</v>
      </c>
      <c r="L22" s="62">
        <v>4</v>
      </c>
      <c r="M22">
        <f t="shared" si="9"/>
        <v>0.25</v>
      </c>
      <c r="N22" s="71">
        <v>73</v>
      </c>
      <c r="O22" s="62">
        <v>38</v>
      </c>
      <c r="P22" s="74">
        <v>75</v>
      </c>
      <c r="Q22">
        <f t="shared" si="10"/>
        <v>-0.47945205479452058</v>
      </c>
      <c r="R22" s="80">
        <v>50</v>
      </c>
      <c r="S22" s="71">
        <v>0</v>
      </c>
      <c r="T22" s="71">
        <v>50</v>
      </c>
      <c r="U22">
        <f t="shared" si="11"/>
        <v>0</v>
      </c>
      <c r="V22" s="75">
        <v>3286</v>
      </c>
      <c r="W22" s="2">
        <f t="shared" si="12"/>
        <v>2700</v>
      </c>
      <c r="X22">
        <f t="shared" si="13"/>
        <v>-0.17833231892878876</v>
      </c>
      <c r="Y22" s="71">
        <v>1</v>
      </c>
      <c r="Z22" s="71">
        <v>1</v>
      </c>
      <c r="AA22" s="71">
        <v>1</v>
      </c>
      <c r="AB22" s="62">
        <v>2</v>
      </c>
      <c r="AC22" s="71">
        <v>1</v>
      </c>
      <c r="AD22" s="71">
        <v>1</v>
      </c>
      <c r="AE22" s="48" t="s">
        <v>256</v>
      </c>
    </row>
    <row r="23" spans="1:31" x14ac:dyDescent="0.2">
      <c r="A23" t="s">
        <v>300</v>
      </c>
      <c r="B23" s="71">
        <v>1</v>
      </c>
      <c r="C23" t="s">
        <v>172</v>
      </c>
      <c r="D23" t="s">
        <v>312</v>
      </c>
      <c r="E23" t="s">
        <v>32</v>
      </c>
      <c r="F23" t="s">
        <v>45</v>
      </c>
      <c r="G23" s="62">
        <v>9</v>
      </c>
      <c r="H23" s="62">
        <v>1102</v>
      </c>
      <c r="I23" s="71">
        <v>0</v>
      </c>
      <c r="J23" s="73">
        <f t="shared" si="8"/>
        <v>0</v>
      </c>
      <c r="K23" s="62">
        <v>9</v>
      </c>
      <c r="L23" s="62">
        <v>0</v>
      </c>
      <c r="M23">
        <f t="shared" si="9"/>
        <v>0</v>
      </c>
      <c r="N23" s="71">
        <v>0</v>
      </c>
      <c r="O23" s="62">
        <v>0</v>
      </c>
      <c r="P23" s="74">
        <v>0</v>
      </c>
      <c r="Q23">
        <f t="shared" si="10"/>
        <v>0</v>
      </c>
      <c r="R23" s="80">
        <v>0</v>
      </c>
      <c r="S23" s="71">
        <v>0</v>
      </c>
      <c r="T23" s="71">
        <v>0</v>
      </c>
      <c r="U23">
        <f t="shared" si="11"/>
        <v>0</v>
      </c>
      <c r="V23" s="75">
        <v>0</v>
      </c>
      <c r="W23" s="2">
        <f t="shared" ref="W23" si="14">IF(K23=0,0,H23/K23)</f>
        <v>122.44444444444444</v>
      </c>
      <c r="X23">
        <f t="shared" ref="X23" si="15">IF(V23=0,0,(W23/V23)-1)</f>
        <v>0</v>
      </c>
      <c r="Y23" s="71">
        <v>0</v>
      </c>
      <c r="Z23" s="71">
        <v>0</v>
      </c>
      <c r="AA23" s="71">
        <v>0</v>
      </c>
      <c r="AB23" s="62">
        <v>0</v>
      </c>
      <c r="AC23" s="71">
        <v>0</v>
      </c>
      <c r="AD23" s="71">
        <v>0</v>
      </c>
      <c r="AE23" s="48" t="s">
        <v>307</v>
      </c>
    </row>
    <row r="24" spans="1:31" x14ac:dyDescent="0.2">
      <c r="A24" t="s">
        <v>90</v>
      </c>
      <c r="B24" s="71">
        <v>5</v>
      </c>
      <c r="C24" t="s">
        <v>173</v>
      </c>
      <c r="D24" t="s">
        <v>38</v>
      </c>
      <c r="E24" t="s">
        <v>39</v>
      </c>
      <c r="F24" t="s">
        <v>140</v>
      </c>
      <c r="G24" s="62">
        <v>36</v>
      </c>
      <c r="H24" s="62">
        <v>232969.44</v>
      </c>
      <c r="I24" s="71">
        <v>257719.44</v>
      </c>
      <c r="J24" s="73">
        <f>IF(I24=0,0,H24/I24)</f>
        <v>0.90396533532743983</v>
      </c>
      <c r="K24" s="62">
        <v>16</v>
      </c>
      <c r="L24" s="62">
        <v>24</v>
      </c>
      <c r="M24">
        <f>IF(L24=0,0,K24/L24)</f>
        <v>0.66666666666666663</v>
      </c>
      <c r="N24" s="71">
        <v>100</v>
      </c>
      <c r="O24" s="62">
        <v>97</v>
      </c>
      <c r="P24" s="74">
        <v>75</v>
      </c>
      <c r="Q24">
        <f>IF(N24=0,0,(O24/N24)-1)</f>
        <v>-3.0000000000000027E-2</v>
      </c>
      <c r="R24" s="80">
        <v>92</v>
      </c>
      <c r="S24" s="71">
        <v>100</v>
      </c>
      <c r="T24" s="71">
        <v>80</v>
      </c>
      <c r="U24">
        <f>IF(S24=0,0,(T24/S24)-1)</f>
        <v>-0.19999999999999996</v>
      </c>
      <c r="V24" s="75">
        <v>17267</v>
      </c>
      <c r="W24" s="2">
        <f>IF(K24=0,0,H24/K24)</f>
        <v>14560.59</v>
      </c>
      <c r="X24">
        <f>IF(V24=0,0,(W24/V24)-1)</f>
        <v>-0.15673886604505705</v>
      </c>
      <c r="Y24" s="71">
        <v>6</v>
      </c>
      <c r="Z24" s="71">
        <v>6</v>
      </c>
      <c r="AA24" s="71">
        <v>4</v>
      </c>
      <c r="AB24" s="62">
        <v>4</v>
      </c>
      <c r="AC24" s="71">
        <v>4</v>
      </c>
      <c r="AD24" s="71">
        <v>3</v>
      </c>
    </row>
    <row r="25" spans="1:31" x14ac:dyDescent="0.2">
      <c r="A25" t="s">
        <v>54</v>
      </c>
      <c r="B25" s="71">
        <v>3</v>
      </c>
      <c r="C25" t="s">
        <v>194</v>
      </c>
      <c r="D25" t="s">
        <v>38</v>
      </c>
      <c r="E25" t="s">
        <v>39</v>
      </c>
      <c r="F25" t="s">
        <v>107</v>
      </c>
      <c r="G25" s="62">
        <v>17</v>
      </c>
      <c r="H25" s="62">
        <v>24875.73</v>
      </c>
      <c r="I25" s="71">
        <v>37857.379999999997</v>
      </c>
      <c r="J25" s="73">
        <f>IF(I25=0,0,H25/I25)</f>
        <v>0.65709063860203742</v>
      </c>
      <c r="K25" s="62">
        <v>14</v>
      </c>
      <c r="L25" s="62">
        <v>19</v>
      </c>
      <c r="M25">
        <f>IF(L25=0,0,K25/L25)</f>
        <v>0.73684210526315785</v>
      </c>
      <c r="N25" s="71">
        <v>74</v>
      </c>
      <c r="O25" s="62">
        <v>100</v>
      </c>
      <c r="P25" s="74">
        <v>75</v>
      </c>
      <c r="Q25">
        <f>IF(N25=0,0,(O25/N25)-1)</f>
        <v>0.35135135135135132</v>
      </c>
      <c r="R25" s="80">
        <v>90</v>
      </c>
      <c r="S25" s="71">
        <v>66</v>
      </c>
      <c r="T25" s="71">
        <v>80</v>
      </c>
      <c r="U25">
        <f>IF(S25=0,0,(T25/S25)-1)</f>
        <v>0.21212121212121215</v>
      </c>
      <c r="V25" s="75">
        <v>243</v>
      </c>
      <c r="W25" s="2">
        <f>IF(K25=0,0,H25/K25)</f>
        <v>1776.837857142857</v>
      </c>
      <c r="X25">
        <f>IF(V25=0,0,(W25/V25)-1)</f>
        <v>6.3120899470899463</v>
      </c>
      <c r="Y25" s="71">
        <v>4</v>
      </c>
      <c r="Z25" s="71">
        <v>10</v>
      </c>
      <c r="AA25" s="71">
        <v>3</v>
      </c>
      <c r="AB25" s="62">
        <v>3</v>
      </c>
      <c r="AC25" s="71">
        <v>4</v>
      </c>
      <c r="AD25" s="71">
        <v>2</v>
      </c>
    </row>
    <row r="26" spans="1:31" x14ac:dyDescent="0.2">
      <c r="A26" t="s">
        <v>301</v>
      </c>
      <c r="B26" s="71">
        <v>1</v>
      </c>
      <c r="C26" t="s">
        <v>194</v>
      </c>
      <c r="D26" t="s">
        <v>38</v>
      </c>
      <c r="E26" t="s">
        <v>39</v>
      </c>
      <c r="F26" t="s">
        <v>72</v>
      </c>
      <c r="G26" s="62">
        <v>10</v>
      </c>
      <c r="H26" s="62">
        <v>4203</v>
      </c>
      <c r="I26" s="71">
        <v>0</v>
      </c>
      <c r="J26" s="73">
        <f>IF(I26=0,0,H26/I26)</f>
        <v>0</v>
      </c>
      <c r="K26" s="62">
        <v>9</v>
      </c>
      <c r="L26" s="62">
        <v>0</v>
      </c>
      <c r="M26">
        <f>IF(L26=0,0,K26/L26)</f>
        <v>0</v>
      </c>
      <c r="N26" s="71">
        <v>0</v>
      </c>
      <c r="O26" s="62">
        <v>0</v>
      </c>
      <c r="P26" s="74">
        <v>0</v>
      </c>
      <c r="Q26">
        <f>IF(N26=0,0,(O26/N26)-1)</f>
        <v>0</v>
      </c>
      <c r="R26" s="80">
        <v>0</v>
      </c>
      <c r="S26" s="71">
        <v>0</v>
      </c>
      <c r="T26" s="71">
        <v>0</v>
      </c>
      <c r="U26">
        <f>IF(S26=0,0,(T26/S26)-1)</f>
        <v>0</v>
      </c>
      <c r="V26" s="75">
        <v>0</v>
      </c>
      <c r="W26" s="2">
        <f>IF(K26=0,0,H26/K26)</f>
        <v>467</v>
      </c>
      <c r="X26">
        <f>IF(V26=0,0,(W26/V26)-1)</f>
        <v>0</v>
      </c>
      <c r="Y26" s="71">
        <v>5</v>
      </c>
      <c r="Z26" s="71">
        <v>9</v>
      </c>
      <c r="AA26" s="71">
        <v>0</v>
      </c>
      <c r="AB26" s="62">
        <v>0</v>
      </c>
      <c r="AC26" s="71">
        <v>0</v>
      </c>
      <c r="AD26" s="71">
        <v>0</v>
      </c>
    </row>
    <row r="27" spans="1:31" x14ac:dyDescent="0.2">
      <c r="A27" t="s">
        <v>147</v>
      </c>
      <c r="B27" s="71">
        <v>1</v>
      </c>
      <c r="C27" t="s">
        <v>173</v>
      </c>
      <c r="D27" t="s">
        <v>84</v>
      </c>
      <c r="E27" t="s">
        <v>32</v>
      </c>
      <c r="F27" t="s">
        <v>148</v>
      </c>
      <c r="G27" s="62">
        <v>12</v>
      </c>
      <c r="H27" s="62">
        <v>0</v>
      </c>
      <c r="I27" s="71">
        <v>6000</v>
      </c>
      <c r="J27" s="73">
        <f t="shared" ref="J27:J56" si="16">IF(I27=0,0,H27/I27)</f>
        <v>0</v>
      </c>
      <c r="K27" s="62">
        <v>0</v>
      </c>
      <c r="L27" s="62">
        <v>3</v>
      </c>
      <c r="M27">
        <f t="shared" ref="M27:M56" si="17">IF(L27=0,0,K27/L27)</f>
        <v>0</v>
      </c>
      <c r="N27" s="71">
        <v>0</v>
      </c>
      <c r="O27" s="62">
        <v>0</v>
      </c>
      <c r="P27" s="74">
        <v>70</v>
      </c>
      <c r="Q27">
        <f t="shared" ref="Q27:Q56" si="18">IF(N27=0,0,(O27/N27)-1)</f>
        <v>0</v>
      </c>
      <c r="R27" s="80">
        <v>0</v>
      </c>
      <c r="S27" s="71">
        <v>0</v>
      </c>
      <c r="T27" s="71">
        <v>50</v>
      </c>
      <c r="U27">
        <f t="shared" ref="U27:U56" si="19">IF(S27=0,0,(T27/S27)-1)</f>
        <v>0</v>
      </c>
      <c r="V27" s="75">
        <v>2355</v>
      </c>
      <c r="W27" s="2">
        <f t="shared" ref="W27:W55" si="20">IF(K27=0,0,H27/K27)</f>
        <v>0</v>
      </c>
      <c r="X27">
        <f t="shared" ref="X27:X55" si="21">IF(V27=0,0,(W27/V27)-1)</f>
        <v>-1</v>
      </c>
      <c r="Y27" s="71">
        <v>0</v>
      </c>
      <c r="Z27" s="71">
        <v>0</v>
      </c>
      <c r="AA27" s="71">
        <v>0</v>
      </c>
      <c r="AB27" s="62">
        <v>1</v>
      </c>
      <c r="AC27" s="71">
        <v>0</v>
      </c>
      <c r="AD27" s="71">
        <v>0</v>
      </c>
      <c r="AE27" s="48" t="s">
        <v>219</v>
      </c>
    </row>
    <row r="28" spans="1:31" x14ac:dyDescent="0.2">
      <c r="A28" t="s">
        <v>71</v>
      </c>
      <c r="B28" s="71">
        <v>1</v>
      </c>
      <c r="C28" t="s">
        <v>194</v>
      </c>
      <c r="D28" t="s">
        <v>43</v>
      </c>
      <c r="E28" t="s">
        <v>44</v>
      </c>
      <c r="F28" t="s">
        <v>72</v>
      </c>
      <c r="G28" s="62">
        <v>21</v>
      </c>
      <c r="H28" s="62">
        <v>4511</v>
      </c>
      <c r="I28" s="71">
        <v>10000</v>
      </c>
      <c r="J28" s="73">
        <f t="shared" si="16"/>
        <v>0.4511</v>
      </c>
      <c r="K28" s="62">
        <v>5</v>
      </c>
      <c r="L28" s="62">
        <v>7</v>
      </c>
      <c r="M28">
        <f t="shared" si="17"/>
        <v>0.7142857142857143</v>
      </c>
      <c r="N28" s="71">
        <v>37</v>
      </c>
      <c r="O28" s="62">
        <v>52</v>
      </c>
      <c r="P28" s="74">
        <v>60</v>
      </c>
      <c r="Q28">
        <f t="shared" si="18"/>
        <v>0.40540540540540548</v>
      </c>
      <c r="R28" s="80">
        <v>0</v>
      </c>
      <c r="S28" s="71">
        <v>100</v>
      </c>
      <c r="T28" s="71">
        <v>50</v>
      </c>
      <c r="U28">
        <f t="shared" si="19"/>
        <v>-0.5</v>
      </c>
      <c r="V28" s="75">
        <v>450</v>
      </c>
      <c r="W28" s="2">
        <f t="shared" si="20"/>
        <v>902.2</v>
      </c>
      <c r="X28">
        <f t="shared" si="21"/>
        <v>1.0048888888888889</v>
      </c>
      <c r="Y28" s="71">
        <v>1</v>
      </c>
      <c r="Z28" s="71">
        <v>1</v>
      </c>
      <c r="AA28" s="71">
        <v>2</v>
      </c>
      <c r="AB28" s="62">
        <v>3</v>
      </c>
      <c r="AC28" s="71">
        <v>2</v>
      </c>
      <c r="AD28" s="71">
        <v>4</v>
      </c>
      <c r="AE28" s="48" t="s">
        <v>220</v>
      </c>
    </row>
    <row r="29" spans="1:31" x14ac:dyDescent="0.2">
      <c r="A29" t="s">
        <v>75</v>
      </c>
      <c r="B29" s="71">
        <v>1</v>
      </c>
      <c r="C29" t="s">
        <v>195</v>
      </c>
      <c r="D29" t="s">
        <v>38</v>
      </c>
      <c r="E29" t="s">
        <v>39</v>
      </c>
      <c r="F29" t="s">
        <v>88</v>
      </c>
      <c r="G29" s="62">
        <v>24</v>
      </c>
      <c r="H29" s="62">
        <v>26486.6</v>
      </c>
      <c r="I29" s="71">
        <v>36000</v>
      </c>
      <c r="J29" s="73">
        <f t="shared" si="16"/>
        <v>0.73573888888888883</v>
      </c>
      <c r="K29" s="62">
        <v>27</v>
      </c>
      <c r="L29" s="62">
        <v>37</v>
      </c>
      <c r="M29">
        <f t="shared" si="17"/>
        <v>0.72972972972972971</v>
      </c>
      <c r="N29" s="71">
        <v>86</v>
      </c>
      <c r="O29" s="62">
        <v>95</v>
      </c>
      <c r="P29" s="74">
        <v>75</v>
      </c>
      <c r="Q29">
        <f t="shared" si="18"/>
        <v>0.10465116279069764</v>
      </c>
      <c r="R29" s="80">
        <v>83</v>
      </c>
      <c r="S29" s="71">
        <v>100</v>
      </c>
      <c r="T29" s="71">
        <v>70</v>
      </c>
      <c r="U29">
        <f t="shared" si="19"/>
        <v>-0.30000000000000004</v>
      </c>
      <c r="V29" s="75">
        <v>1133</v>
      </c>
      <c r="W29" s="2">
        <f t="shared" si="20"/>
        <v>980.98518518518517</v>
      </c>
      <c r="X29">
        <f t="shared" si="21"/>
        <v>-0.1341701807721225</v>
      </c>
      <c r="Y29" s="71">
        <v>11</v>
      </c>
      <c r="Z29" s="71">
        <v>17</v>
      </c>
      <c r="AA29" s="71">
        <v>4</v>
      </c>
      <c r="AB29" s="62">
        <v>6</v>
      </c>
      <c r="AC29" s="71">
        <v>3</v>
      </c>
      <c r="AD29" s="71">
        <v>2</v>
      </c>
      <c r="AE29" s="48" t="s">
        <v>221</v>
      </c>
    </row>
    <row r="30" spans="1:31" x14ac:dyDescent="0.2">
      <c r="A30" t="s">
        <v>46</v>
      </c>
      <c r="B30" s="71">
        <v>2</v>
      </c>
      <c r="C30" t="s">
        <v>172</v>
      </c>
      <c r="D30" t="s">
        <v>43</v>
      </c>
      <c r="E30" t="s">
        <v>44</v>
      </c>
      <c r="F30" t="s">
        <v>95</v>
      </c>
      <c r="G30" s="62">
        <v>10</v>
      </c>
      <c r="H30" s="62">
        <v>0</v>
      </c>
      <c r="I30" s="71">
        <v>10000</v>
      </c>
      <c r="J30" s="73">
        <f t="shared" si="16"/>
        <v>0</v>
      </c>
      <c r="K30" s="62">
        <v>0</v>
      </c>
      <c r="L30" s="62">
        <v>12</v>
      </c>
      <c r="M30">
        <f t="shared" si="17"/>
        <v>0</v>
      </c>
      <c r="N30" s="71">
        <v>0</v>
      </c>
      <c r="O30" s="62">
        <v>0</v>
      </c>
      <c r="P30" s="74">
        <v>75</v>
      </c>
      <c r="Q30">
        <f t="shared" si="18"/>
        <v>0</v>
      </c>
      <c r="R30" s="80">
        <v>86</v>
      </c>
      <c r="S30" s="71">
        <v>0</v>
      </c>
      <c r="T30" s="71">
        <v>80</v>
      </c>
      <c r="U30">
        <f t="shared" si="19"/>
        <v>0</v>
      </c>
      <c r="V30" s="75">
        <v>572</v>
      </c>
      <c r="W30" s="2">
        <f t="shared" si="20"/>
        <v>0</v>
      </c>
      <c r="X30">
        <f t="shared" si="21"/>
        <v>-1</v>
      </c>
      <c r="Y30" s="71">
        <v>0</v>
      </c>
      <c r="Z30" s="71">
        <v>0</v>
      </c>
      <c r="AA30" s="71">
        <v>0</v>
      </c>
      <c r="AB30" s="62">
        <v>2</v>
      </c>
      <c r="AC30" s="71">
        <v>0</v>
      </c>
      <c r="AD30" s="71">
        <v>0</v>
      </c>
    </row>
    <row r="31" spans="1:31" x14ac:dyDescent="0.2">
      <c r="A31" t="s">
        <v>36</v>
      </c>
      <c r="B31" s="71">
        <v>1</v>
      </c>
      <c r="C31" t="s">
        <v>194</v>
      </c>
      <c r="D31" t="s">
        <v>38</v>
      </c>
      <c r="E31" t="s">
        <v>49</v>
      </c>
      <c r="F31" t="s">
        <v>50</v>
      </c>
      <c r="G31" s="62">
        <v>11</v>
      </c>
      <c r="H31" s="62">
        <v>0</v>
      </c>
      <c r="I31" s="71">
        <v>21600</v>
      </c>
      <c r="J31" s="73">
        <f t="shared" si="16"/>
        <v>0</v>
      </c>
      <c r="K31" s="62">
        <v>0</v>
      </c>
      <c r="L31" s="62">
        <v>4</v>
      </c>
      <c r="M31">
        <f t="shared" si="17"/>
        <v>0</v>
      </c>
      <c r="N31" s="71">
        <v>76</v>
      </c>
      <c r="O31" s="62">
        <v>0</v>
      </c>
      <c r="P31" s="74">
        <v>75</v>
      </c>
      <c r="Q31">
        <f t="shared" si="18"/>
        <v>-1</v>
      </c>
      <c r="R31" s="80">
        <v>100</v>
      </c>
      <c r="S31" s="71">
        <v>0</v>
      </c>
      <c r="T31" s="71">
        <v>50</v>
      </c>
      <c r="U31">
        <f t="shared" si="19"/>
        <v>0</v>
      </c>
      <c r="V31" s="75">
        <v>4093</v>
      </c>
      <c r="W31" s="2">
        <f t="shared" si="20"/>
        <v>0</v>
      </c>
      <c r="X31">
        <f t="shared" si="21"/>
        <v>-1</v>
      </c>
      <c r="Y31" s="71">
        <v>0</v>
      </c>
      <c r="Z31" s="71">
        <v>0</v>
      </c>
      <c r="AA31" s="71">
        <v>0</v>
      </c>
      <c r="AB31" s="62">
        <v>1</v>
      </c>
      <c r="AC31" s="71">
        <v>0</v>
      </c>
      <c r="AD31" s="71">
        <v>0</v>
      </c>
      <c r="AE31" s="48" t="s">
        <v>310</v>
      </c>
    </row>
    <row r="32" spans="1:31" x14ac:dyDescent="0.2">
      <c r="A32" t="s">
        <v>82</v>
      </c>
      <c r="B32" s="71">
        <v>1</v>
      </c>
      <c r="C32" t="s">
        <v>173</v>
      </c>
      <c r="D32" t="s">
        <v>38</v>
      </c>
      <c r="E32" t="s">
        <v>39</v>
      </c>
      <c r="F32" t="s">
        <v>115</v>
      </c>
      <c r="G32" s="62">
        <v>12</v>
      </c>
      <c r="H32" s="62">
        <v>41738.230000000003</v>
      </c>
      <c r="I32" s="71">
        <v>21000</v>
      </c>
      <c r="J32" s="73">
        <f t="shared" si="16"/>
        <v>1.9875347619047621</v>
      </c>
      <c r="K32" s="62">
        <v>6</v>
      </c>
      <c r="L32" s="62">
        <v>10</v>
      </c>
      <c r="M32">
        <f t="shared" si="17"/>
        <v>0.6</v>
      </c>
      <c r="N32" s="71">
        <v>93</v>
      </c>
      <c r="O32" s="62">
        <v>100</v>
      </c>
      <c r="P32" s="74">
        <v>75</v>
      </c>
      <c r="Q32">
        <f t="shared" si="18"/>
        <v>7.5268817204301008E-2</v>
      </c>
      <c r="R32" s="80">
        <v>0</v>
      </c>
      <c r="S32" s="71">
        <v>0</v>
      </c>
      <c r="T32" s="71">
        <v>25</v>
      </c>
      <c r="U32">
        <f t="shared" si="19"/>
        <v>0</v>
      </c>
      <c r="V32" s="75">
        <v>1978</v>
      </c>
      <c r="W32" s="2">
        <f t="shared" si="20"/>
        <v>6956.3716666666669</v>
      </c>
      <c r="X32">
        <f t="shared" si="21"/>
        <v>2.5168714189416921</v>
      </c>
      <c r="Y32" s="71">
        <v>1</v>
      </c>
      <c r="Z32" s="71">
        <v>3</v>
      </c>
      <c r="AA32" s="71">
        <v>1</v>
      </c>
      <c r="AB32" s="62">
        <v>1</v>
      </c>
      <c r="AC32" s="71">
        <v>1</v>
      </c>
      <c r="AD32" s="71">
        <v>1</v>
      </c>
      <c r="AE32" s="48" t="s">
        <v>296</v>
      </c>
    </row>
    <row r="33" spans="1:31" x14ac:dyDescent="0.2">
      <c r="A33" t="s">
        <v>64</v>
      </c>
      <c r="B33" s="71">
        <v>3</v>
      </c>
      <c r="C33" t="s">
        <v>194</v>
      </c>
      <c r="D33" t="s">
        <v>84</v>
      </c>
      <c r="E33" t="s">
        <v>32</v>
      </c>
      <c r="F33" t="s">
        <v>58</v>
      </c>
      <c r="G33" s="62">
        <v>8</v>
      </c>
      <c r="H33" s="62">
        <v>0</v>
      </c>
      <c r="I33" s="71">
        <v>34000</v>
      </c>
      <c r="J33" s="73">
        <f t="shared" si="16"/>
        <v>0</v>
      </c>
      <c r="K33" s="62">
        <v>0</v>
      </c>
      <c r="L33" s="62">
        <v>13</v>
      </c>
      <c r="M33">
        <f t="shared" si="17"/>
        <v>0</v>
      </c>
      <c r="N33" s="71">
        <v>79</v>
      </c>
      <c r="O33" s="62">
        <v>0</v>
      </c>
      <c r="P33" s="74">
        <v>75</v>
      </c>
      <c r="Q33">
        <f t="shared" si="18"/>
        <v>-1</v>
      </c>
      <c r="R33" s="80">
        <v>100</v>
      </c>
      <c r="S33" s="71">
        <v>0</v>
      </c>
      <c r="T33" s="71">
        <v>50</v>
      </c>
      <c r="U33">
        <f t="shared" si="19"/>
        <v>0</v>
      </c>
      <c r="V33" s="75">
        <v>3471</v>
      </c>
      <c r="W33" s="2">
        <f t="shared" si="20"/>
        <v>0</v>
      </c>
      <c r="X33">
        <f t="shared" si="21"/>
        <v>-1</v>
      </c>
      <c r="Y33" s="71">
        <v>0</v>
      </c>
      <c r="Z33" s="71">
        <v>0</v>
      </c>
      <c r="AA33" s="71">
        <v>0</v>
      </c>
      <c r="AB33" s="62">
        <v>1</v>
      </c>
      <c r="AC33" s="71">
        <v>0</v>
      </c>
      <c r="AD33" s="71">
        <v>0</v>
      </c>
    </row>
    <row r="34" spans="1:31" x14ac:dyDescent="0.2">
      <c r="A34" t="s">
        <v>135</v>
      </c>
      <c r="B34" s="71">
        <v>1</v>
      </c>
      <c r="C34" t="s">
        <v>173</v>
      </c>
      <c r="D34" t="s">
        <v>136</v>
      </c>
      <c r="E34" t="s">
        <v>137</v>
      </c>
      <c r="F34" t="s">
        <v>138</v>
      </c>
      <c r="G34" s="62">
        <v>6</v>
      </c>
      <c r="H34" s="62">
        <v>4000</v>
      </c>
      <c r="I34" s="71">
        <v>7000</v>
      </c>
      <c r="J34" s="73">
        <f t="shared" si="16"/>
        <v>0.5714285714285714</v>
      </c>
      <c r="K34" s="62">
        <v>3</v>
      </c>
      <c r="L34" s="62">
        <v>7</v>
      </c>
      <c r="M34">
        <f t="shared" si="17"/>
        <v>0.42857142857142855</v>
      </c>
      <c r="N34" s="71">
        <v>0</v>
      </c>
      <c r="O34" s="62">
        <v>100</v>
      </c>
      <c r="P34" s="74">
        <v>37</v>
      </c>
      <c r="Q34">
        <f t="shared" si="18"/>
        <v>0</v>
      </c>
      <c r="R34" s="80">
        <v>0</v>
      </c>
      <c r="S34" s="71">
        <v>0</v>
      </c>
      <c r="T34" s="71">
        <v>50</v>
      </c>
      <c r="U34">
        <f t="shared" si="19"/>
        <v>0</v>
      </c>
      <c r="V34" s="75">
        <v>700</v>
      </c>
      <c r="W34" s="2">
        <f t="shared" si="20"/>
        <v>1333.3333333333333</v>
      </c>
      <c r="X34">
        <f t="shared" si="21"/>
        <v>0.90476190476190466</v>
      </c>
      <c r="Y34" s="71">
        <v>1</v>
      </c>
      <c r="Z34" s="71">
        <v>1</v>
      </c>
      <c r="AA34" s="71">
        <v>1</v>
      </c>
      <c r="AB34" s="62">
        <v>1</v>
      </c>
      <c r="AC34" s="71">
        <v>1</v>
      </c>
      <c r="AD34" s="71">
        <v>1</v>
      </c>
      <c r="AE34" s="48" t="s">
        <v>294</v>
      </c>
    </row>
    <row r="35" spans="1:31" x14ac:dyDescent="0.2">
      <c r="A35" t="s">
        <v>103</v>
      </c>
      <c r="B35" s="71">
        <v>4</v>
      </c>
      <c r="C35" t="s">
        <v>194</v>
      </c>
      <c r="D35" t="s">
        <v>43</v>
      </c>
      <c r="E35" t="s">
        <v>44</v>
      </c>
      <c r="F35" t="s">
        <v>104</v>
      </c>
      <c r="G35" s="62">
        <v>25</v>
      </c>
      <c r="H35" s="62">
        <v>11900</v>
      </c>
      <c r="I35" s="71">
        <v>102000</v>
      </c>
      <c r="J35" s="73">
        <f t="shared" si="16"/>
        <v>0.11666666666666667</v>
      </c>
      <c r="K35" s="62">
        <v>5</v>
      </c>
      <c r="L35" s="62">
        <v>40</v>
      </c>
      <c r="M35">
        <f t="shared" si="17"/>
        <v>0.125</v>
      </c>
      <c r="N35" s="71">
        <v>84</v>
      </c>
      <c r="O35" s="62">
        <v>92</v>
      </c>
      <c r="P35" s="74">
        <v>75</v>
      </c>
      <c r="Q35">
        <f t="shared" si="18"/>
        <v>9.5238095238095344E-2</v>
      </c>
      <c r="R35" s="80">
        <v>88</v>
      </c>
      <c r="S35" s="71">
        <v>0</v>
      </c>
      <c r="T35" s="71">
        <v>80</v>
      </c>
      <c r="U35">
        <f t="shared" si="19"/>
        <v>0</v>
      </c>
      <c r="V35" s="75">
        <v>2652</v>
      </c>
      <c r="W35" s="2">
        <f t="shared" si="20"/>
        <v>2380</v>
      </c>
      <c r="X35">
        <f t="shared" si="21"/>
        <v>-0.10256410256410253</v>
      </c>
      <c r="Y35" s="71">
        <v>3</v>
      </c>
      <c r="Z35" s="71">
        <v>5</v>
      </c>
      <c r="AA35" s="71">
        <v>0</v>
      </c>
      <c r="AB35" s="62">
        <v>3</v>
      </c>
      <c r="AC35" s="71">
        <v>0</v>
      </c>
      <c r="AD35" s="71">
        <v>0</v>
      </c>
    </row>
    <row r="36" spans="1:31" x14ac:dyDescent="0.2">
      <c r="A36" t="s">
        <v>85</v>
      </c>
      <c r="B36" s="71">
        <v>1</v>
      </c>
      <c r="C36" t="s">
        <v>193</v>
      </c>
      <c r="D36" t="s">
        <v>84</v>
      </c>
      <c r="E36" t="s">
        <v>32</v>
      </c>
      <c r="F36" t="s">
        <v>118</v>
      </c>
      <c r="G36" s="62">
        <v>10</v>
      </c>
      <c r="H36" s="62">
        <v>3950</v>
      </c>
      <c r="I36" s="71">
        <v>8100</v>
      </c>
      <c r="J36" s="73">
        <f t="shared" si="16"/>
        <v>0.48765432098765432</v>
      </c>
      <c r="K36" s="62">
        <v>14</v>
      </c>
      <c r="L36" s="62">
        <v>10</v>
      </c>
      <c r="M36">
        <f t="shared" si="17"/>
        <v>1.4</v>
      </c>
      <c r="N36" s="71">
        <v>71</v>
      </c>
      <c r="O36" s="62">
        <v>100</v>
      </c>
      <c r="P36" s="74">
        <v>75</v>
      </c>
      <c r="Q36">
        <f t="shared" si="18"/>
        <v>0.40845070422535201</v>
      </c>
      <c r="R36" s="80">
        <v>100</v>
      </c>
      <c r="S36" s="71">
        <v>0</v>
      </c>
      <c r="T36" s="71">
        <v>80</v>
      </c>
      <c r="U36">
        <f t="shared" si="19"/>
        <v>0</v>
      </c>
      <c r="V36" s="75">
        <v>413</v>
      </c>
      <c r="W36" s="2">
        <f t="shared" si="20"/>
        <v>282.14285714285717</v>
      </c>
      <c r="X36">
        <f t="shared" si="21"/>
        <v>-0.31684538222068481</v>
      </c>
      <c r="Y36" s="71">
        <v>0</v>
      </c>
      <c r="Z36" s="71">
        <v>0</v>
      </c>
      <c r="AA36" s="71">
        <v>1</v>
      </c>
      <c r="AB36" s="62">
        <v>2</v>
      </c>
      <c r="AC36" s="71">
        <v>1</v>
      </c>
      <c r="AD36" s="71">
        <v>0</v>
      </c>
      <c r="AE36" s="48" t="s">
        <v>222</v>
      </c>
    </row>
    <row r="37" spans="1:31" x14ac:dyDescent="0.2">
      <c r="A37" t="s">
        <v>121</v>
      </c>
      <c r="B37" s="71">
        <v>4</v>
      </c>
      <c r="C37" t="s">
        <v>172</v>
      </c>
      <c r="D37" t="s">
        <v>38</v>
      </c>
      <c r="E37" t="s">
        <v>39</v>
      </c>
      <c r="F37" t="s">
        <v>145</v>
      </c>
      <c r="G37" s="62">
        <v>25</v>
      </c>
      <c r="H37" s="62">
        <v>81274.63</v>
      </c>
      <c r="I37" s="71">
        <v>125346</v>
      </c>
      <c r="J37" s="73">
        <f t="shared" si="16"/>
        <v>0.64840226253729683</v>
      </c>
      <c r="K37" s="62">
        <v>6</v>
      </c>
      <c r="L37" s="62">
        <v>9</v>
      </c>
      <c r="M37">
        <f t="shared" si="17"/>
        <v>0.66666666666666663</v>
      </c>
      <c r="N37" s="71">
        <v>96</v>
      </c>
      <c r="O37" s="62">
        <v>92</v>
      </c>
      <c r="P37" s="74">
        <v>75</v>
      </c>
      <c r="Q37">
        <f t="shared" si="18"/>
        <v>-4.166666666666663E-2</v>
      </c>
      <c r="R37" s="80">
        <v>43</v>
      </c>
      <c r="S37" s="71">
        <v>100</v>
      </c>
      <c r="T37" s="71">
        <v>50</v>
      </c>
      <c r="U37">
        <f t="shared" si="19"/>
        <v>-0.5</v>
      </c>
      <c r="V37" s="75">
        <v>12388</v>
      </c>
      <c r="W37" s="2">
        <f t="shared" si="20"/>
        <v>13545.771666666667</v>
      </c>
      <c r="X37">
        <f t="shared" si="21"/>
        <v>9.3459127112259344E-2</v>
      </c>
      <c r="Y37" s="71">
        <v>5</v>
      </c>
      <c r="Z37" s="71">
        <v>5</v>
      </c>
      <c r="AA37" s="71">
        <v>1</v>
      </c>
      <c r="AB37" s="62">
        <v>1</v>
      </c>
      <c r="AC37" s="71">
        <v>1</v>
      </c>
      <c r="AD37" s="71">
        <v>1</v>
      </c>
      <c r="AE37" s="48" t="s">
        <v>223</v>
      </c>
    </row>
    <row r="38" spans="1:31" x14ac:dyDescent="0.2">
      <c r="A38" t="s">
        <v>116</v>
      </c>
      <c r="B38" s="71">
        <v>3</v>
      </c>
      <c r="C38" t="s">
        <v>173</v>
      </c>
      <c r="D38" t="s">
        <v>43</v>
      </c>
      <c r="E38" t="s">
        <v>44</v>
      </c>
      <c r="F38" t="s">
        <v>27</v>
      </c>
      <c r="G38" s="62">
        <v>16</v>
      </c>
      <c r="H38" s="62">
        <v>214</v>
      </c>
      <c r="I38" s="71">
        <v>17674.88</v>
      </c>
      <c r="J38" s="73">
        <f t="shared" si="16"/>
        <v>1.2107578665314842E-2</v>
      </c>
      <c r="K38" s="62">
        <v>3</v>
      </c>
      <c r="L38" s="62">
        <v>10</v>
      </c>
      <c r="M38">
        <f t="shared" si="17"/>
        <v>0.3</v>
      </c>
      <c r="N38" s="71">
        <v>65</v>
      </c>
      <c r="O38" s="62">
        <v>75</v>
      </c>
      <c r="P38" s="74">
        <v>75</v>
      </c>
      <c r="Q38">
        <f t="shared" si="18"/>
        <v>0.15384615384615374</v>
      </c>
      <c r="R38" s="80">
        <v>100</v>
      </c>
      <c r="S38" s="71">
        <v>100</v>
      </c>
      <c r="T38" s="71">
        <v>50</v>
      </c>
      <c r="U38">
        <f t="shared" si="19"/>
        <v>-0.5</v>
      </c>
      <c r="V38" s="75">
        <v>2666</v>
      </c>
      <c r="W38" s="2">
        <f t="shared" si="20"/>
        <v>71.333333333333329</v>
      </c>
      <c r="X38">
        <f t="shared" si="21"/>
        <v>-0.97324331082770688</v>
      </c>
      <c r="Y38" s="71">
        <v>3</v>
      </c>
      <c r="Z38" s="71">
        <v>3</v>
      </c>
      <c r="AA38" s="71">
        <v>0</v>
      </c>
      <c r="AB38" s="62">
        <v>2</v>
      </c>
      <c r="AC38" s="71">
        <v>0</v>
      </c>
      <c r="AD38" s="71">
        <v>0</v>
      </c>
      <c r="AE38" s="48" t="s">
        <v>305</v>
      </c>
    </row>
    <row r="39" spans="1:31" x14ac:dyDescent="0.2">
      <c r="A39" t="s">
        <v>86</v>
      </c>
      <c r="B39" s="71">
        <v>1</v>
      </c>
      <c r="C39" t="s">
        <v>173</v>
      </c>
      <c r="D39" t="s">
        <v>38</v>
      </c>
      <c r="E39" t="s">
        <v>87</v>
      </c>
      <c r="F39" t="s">
        <v>61</v>
      </c>
      <c r="G39" s="62">
        <v>13</v>
      </c>
      <c r="H39" s="62">
        <v>0</v>
      </c>
      <c r="I39" s="71">
        <v>1000</v>
      </c>
      <c r="J39" s="73">
        <f t="shared" si="16"/>
        <v>0</v>
      </c>
      <c r="K39" s="62">
        <v>0</v>
      </c>
      <c r="L39" s="62">
        <v>5</v>
      </c>
      <c r="M39">
        <f t="shared" si="17"/>
        <v>0</v>
      </c>
      <c r="N39" s="71">
        <v>71</v>
      </c>
      <c r="O39" s="62">
        <v>0</v>
      </c>
      <c r="P39" s="74">
        <v>72</v>
      </c>
      <c r="Q39">
        <f t="shared" si="18"/>
        <v>-1</v>
      </c>
      <c r="R39" s="80">
        <v>0</v>
      </c>
      <c r="S39" s="71">
        <v>0</v>
      </c>
      <c r="T39" s="71">
        <v>1</v>
      </c>
      <c r="U39">
        <f t="shared" si="19"/>
        <v>0</v>
      </c>
      <c r="V39" s="75">
        <v>308</v>
      </c>
      <c r="W39" s="2">
        <f t="shared" si="20"/>
        <v>0</v>
      </c>
      <c r="X39">
        <f t="shared" si="21"/>
        <v>-1</v>
      </c>
      <c r="Y39" s="71">
        <v>0</v>
      </c>
      <c r="Z39" s="71">
        <v>0</v>
      </c>
      <c r="AA39" s="71">
        <v>0</v>
      </c>
      <c r="AB39" s="62">
        <v>1</v>
      </c>
      <c r="AC39" s="71">
        <v>0</v>
      </c>
      <c r="AD39" s="71">
        <v>0</v>
      </c>
      <c r="AE39" s="48" t="s">
        <v>224</v>
      </c>
    </row>
    <row r="40" spans="1:31" x14ac:dyDescent="0.2">
      <c r="A40" t="s">
        <v>102</v>
      </c>
      <c r="B40" s="71">
        <v>1</v>
      </c>
      <c r="C40" t="s">
        <v>193</v>
      </c>
      <c r="D40" t="s">
        <v>38</v>
      </c>
      <c r="E40" t="s">
        <v>87</v>
      </c>
      <c r="F40" t="s">
        <v>51</v>
      </c>
      <c r="G40" s="62">
        <v>17</v>
      </c>
      <c r="H40" s="62">
        <v>0</v>
      </c>
      <c r="I40" s="71">
        <v>8325</v>
      </c>
      <c r="J40" s="73">
        <f t="shared" si="16"/>
        <v>0</v>
      </c>
      <c r="K40" s="62">
        <v>0</v>
      </c>
      <c r="L40" s="62">
        <v>12</v>
      </c>
      <c r="M40">
        <f t="shared" si="17"/>
        <v>0</v>
      </c>
      <c r="N40" s="71">
        <v>82</v>
      </c>
      <c r="O40" s="62">
        <v>0</v>
      </c>
      <c r="P40" s="74">
        <v>75</v>
      </c>
      <c r="Q40">
        <f t="shared" si="18"/>
        <v>-1</v>
      </c>
      <c r="R40" s="80">
        <v>50</v>
      </c>
      <c r="S40" s="71">
        <v>0</v>
      </c>
      <c r="T40" s="71">
        <v>50</v>
      </c>
      <c r="U40">
        <f t="shared" si="19"/>
        <v>0</v>
      </c>
      <c r="V40" s="75">
        <v>653</v>
      </c>
      <c r="W40" s="2">
        <f t="shared" si="20"/>
        <v>0</v>
      </c>
      <c r="X40">
        <f t="shared" si="21"/>
        <v>-1</v>
      </c>
      <c r="Y40" s="71">
        <v>0</v>
      </c>
      <c r="Z40" s="71">
        <v>0</v>
      </c>
      <c r="AA40" s="71">
        <v>0</v>
      </c>
      <c r="AB40" s="62">
        <v>2</v>
      </c>
      <c r="AC40" s="71">
        <v>0</v>
      </c>
      <c r="AD40" s="71">
        <v>0</v>
      </c>
      <c r="AE40" s="48" t="s">
        <v>292</v>
      </c>
    </row>
    <row r="41" spans="1:31" x14ac:dyDescent="0.2">
      <c r="A41" t="s">
        <v>106</v>
      </c>
      <c r="B41" s="71">
        <v>1</v>
      </c>
      <c r="C41" t="s">
        <v>194</v>
      </c>
      <c r="D41" t="s">
        <v>43</v>
      </c>
      <c r="E41" t="s">
        <v>44</v>
      </c>
      <c r="F41" t="s">
        <v>149</v>
      </c>
      <c r="G41" s="62">
        <v>13</v>
      </c>
      <c r="H41" s="62">
        <v>33869</v>
      </c>
      <c r="I41" s="71">
        <v>127560</v>
      </c>
      <c r="J41" s="73">
        <f t="shared" si="16"/>
        <v>0.26551426779554721</v>
      </c>
      <c r="K41" s="62">
        <v>8</v>
      </c>
      <c r="L41" s="62">
        <v>25</v>
      </c>
      <c r="M41">
        <f t="shared" si="17"/>
        <v>0.32</v>
      </c>
      <c r="N41" s="71">
        <v>84</v>
      </c>
      <c r="O41" s="62">
        <v>100</v>
      </c>
      <c r="P41" s="74">
        <v>75</v>
      </c>
      <c r="Q41">
        <f t="shared" si="18"/>
        <v>0.19047619047619047</v>
      </c>
      <c r="R41" s="80">
        <v>100</v>
      </c>
      <c r="S41" s="71">
        <v>0</v>
      </c>
      <c r="T41" s="71">
        <v>75</v>
      </c>
      <c r="U41">
        <f t="shared" si="19"/>
        <v>0</v>
      </c>
      <c r="V41" s="75">
        <v>4049</v>
      </c>
      <c r="W41" s="2">
        <f t="shared" si="20"/>
        <v>4233.625</v>
      </c>
      <c r="X41">
        <f t="shared" si="21"/>
        <v>4.559767843912077E-2</v>
      </c>
      <c r="Y41" s="71">
        <v>2</v>
      </c>
      <c r="Z41" s="71">
        <v>4</v>
      </c>
      <c r="AA41" s="71">
        <v>1</v>
      </c>
      <c r="AB41" s="62">
        <v>3</v>
      </c>
      <c r="AC41" s="71">
        <v>1</v>
      </c>
      <c r="AD41" s="71">
        <v>1</v>
      </c>
      <c r="AE41" s="48" t="s">
        <v>297</v>
      </c>
    </row>
    <row r="42" spans="1:31" x14ac:dyDescent="0.2">
      <c r="A42" t="s">
        <v>31</v>
      </c>
      <c r="B42" s="71">
        <v>1</v>
      </c>
      <c r="C42" t="s">
        <v>194</v>
      </c>
      <c r="D42" t="s">
        <v>84</v>
      </c>
      <c r="E42" t="s">
        <v>32</v>
      </c>
      <c r="F42" t="s">
        <v>33</v>
      </c>
      <c r="G42" s="62">
        <v>14</v>
      </c>
      <c r="H42" s="62">
        <v>977.4</v>
      </c>
      <c r="I42" s="71">
        <v>7025</v>
      </c>
      <c r="J42" s="73">
        <f t="shared" si="16"/>
        <v>0.13913167259786477</v>
      </c>
      <c r="K42" s="62">
        <v>1</v>
      </c>
      <c r="L42" s="62">
        <v>6</v>
      </c>
      <c r="M42">
        <f t="shared" si="17"/>
        <v>0.16666666666666666</v>
      </c>
      <c r="N42" s="71">
        <v>100</v>
      </c>
      <c r="O42" s="62">
        <v>85</v>
      </c>
      <c r="P42" s="74">
        <v>75</v>
      </c>
      <c r="Q42">
        <f t="shared" si="18"/>
        <v>-0.15000000000000002</v>
      </c>
      <c r="R42" s="80">
        <v>0</v>
      </c>
      <c r="S42" s="71">
        <v>0</v>
      </c>
      <c r="T42" s="71">
        <v>25</v>
      </c>
      <c r="U42">
        <f t="shared" si="19"/>
        <v>0</v>
      </c>
      <c r="V42" s="75">
        <v>871</v>
      </c>
      <c r="W42" s="2">
        <f t="shared" si="20"/>
        <v>977.4</v>
      </c>
      <c r="X42">
        <f t="shared" si="21"/>
        <v>0.122158438576349</v>
      </c>
      <c r="Y42" s="71">
        <v>0</v>
      </c>
      <c r="Z42" s="71">
        <v>0</v>
      </c>
      <c r="AA42" s="71">
        <v>1</v>
      </c>
      <c r="AB42" s="62">
        <v>1</v>
      </c>
      <c r="AC42" s="71">
        <v>1</v>
      </c>
      <c r="AD42" s="71">
        <v>0</v>
      </c>
      <c r="AE42" s="48" t="s">
        <v>293</v>
      </c>
    </row>
    <row r="43" spans="1:31" x14ac:dyDescent="0.2">
      <c r="A43" t="s">
        <v>143</v>
      </c>
      <c r="B43" s="71">
        <v>2</v>
      </c>
      <c r="C43" t="s">
        <v>173</v>
      </c>
      <c r="D43" t="s">
        <v>38</v>
      </c>
      <c r="E43" t="s">
        <v>39</v>
      </c>
      <c r="F43" t="s">
        <v>60</v>
      </c>
      <c r="G43" s="62">
        <v>22</v>
      </c>
      <c r="H43" s="62">
        <v>32570</v>
      </c>
      <c r="I43" s="71">
        <v>60000</v>
      </c>
      <c r="J43" s="73">
        <f t="shared" si="16"/>
        <v>0.54283333333333328</v>
      </c>
      <c r="K43" s="62">
        <v>12</v>
      </c>
      <c r="L43" s="62">
        <v>13</v>
      </c>
      <c r="M43">
        <f t="shared" si="17"/>
        <v>0.92307692307692313</v>
      </c>
      <c r="N43" s="71">
        <v>42</v>
      </c>
      <c r="O43" s="62">
        <v>51</v>
      </c>
      <c r="P43" s="74">
        <v>60</v>
      </c>
      <c r="Q43">
        <f t="shared" si="18"/>
        <v>0.21428571428571419</v>
      </c>
      <c r="R43" s="80">
        <v>56</v>
      </c>
      <c r="S43" s="71">
        <v>100</v>
      </c>
      <c r="T43" s="71">
        <v>80</v>
      </c>
      <c r="U43">
        <f t="shared" si="19"/>
        <v>-0.19999999999999996</v>
      </c>
      <c r="V43" s="75">
        <v>1625</v>
      </c>
      <c r="W43" s="2">
        <f t="shared" si="20"/>
        <v>2714.1666666666665</v>
      </c>
      <c r="X43">
        <f t="shared" si="21"/>
        <v>0.67025641025641014</v>
      </c>
      <c r="Y43" s="71">
        <v>7</v>
      </c>
      <c r="Z43" s="71">
        <v>7</v>
      </c>
      <c r="AA43" s="71">
        <v>0</v>
      </c>
      <c r="AB43" s="62">
        <v>1</v>
      </c>
      <c r="AC43" s="71">
        <v>0</v>
      </c>
      <c r="AD43" s="71">
        <v>0</v>
      </c>
      <c r="AE43" s="48" t="s">
        <v>225</v>
      </c>
    </row>
    <row r="44" spans="1:31" x14ac:dyDescent="0.2">
      <c r="A44" t="s">
        <v>70</v>
      </c>
      <c r="B44" s="71">
        <v>1</v>
      </c>
      <c r="C44" t="s">
        <v>175</v>
      </c>
      <c r="D44" t="s">
        <v>67</v>
      </c>
      <c r="E44" t="s">
        <v>68</v>
      </c>
      <c r="F44" t="s">
        <v>34</v>
      </c>
      <c r="G44" s="62">
        <v>14</v>
      </c>
      <c r="H44" s="62">
        <v>7200</v>
      </c>
      <c r="I44" s="71">
        <v>6000</v>
      </c>
      <c r="J44" s="73">
        <f t="shared" si="16"/>
        <v>1.2</v>
      </c>
      <c r="K44" s="62">
        <v>4</v>
      </c>
      <c r="L44" s="62">
        <v>6</v>
      </c>
      <c r="M44">
        <f t="shared" si="17"/>
        <v>0.66666666666666663</v>
      </c>
      <c r="N44" s="71">
        <v>60</v>
      </c>
      <c r="O44" s="62">
        <v>78</v>
      </c>
      <c r="P44" s="74">
        <v>70</v>
      </c>
      <c r="Q44">
        <f t="shared" si="18"/>
        <v>0.30000000000000004</v>
      </c>
      <c r="R44" s="80">
        <v>0</v>
      </c>
      <c r="S44" s="71">
        <v>0</v>
      </c>
      <c r="T44" s="71">
        <v>21</v>
      </c>
      <c r="U44">
        <f t="shared" si="19"/>
        <v>0</v>
      </c>
      <c r="V44" s="75">
        <v>933</v>
      </c>
      <c r="W44" s="2">
        <f t="shared" si="20"/>
        <v>1800</v>
      </c>
      <c r="X44">
        <f t="shared" si="21"/>
        <v>0.92926045016077174</v>
      </c>
      <c r="Y44" s="71">
        <v>0</v>
      </c>
      <c r="Z44" s="71">
        <v>0</v>
      </c>
      <c r="AA44" s="71">
        <v>1</v>
      </c>
      <c r="AB44" s="62">
        <v>1</v>
      </c>
      <c r="AC44" s="71">
        <v>1</v>
      </c>
      <c r="AD44" s="71">
        <v>1</v>
      </c>
      <c r="AE44" s="48" t="s">
        <v>298</v>
      </c>
    </row>
    <row r="45" spans="1:31" x14ac:dyDescent="0.2">
      <c r="A45" t="s">
        <v>80</v>
      </c>
      <c r="B45" s="71">
        <v>1</v>
      </c>
      <c r="C45" t="s">
        <v>173</v>
      </c>
      <c r="D45" t="s">
        <v>38</v>
      </c>
      <c r="E45" t="s">
        <v>39</v>
      </c>
      <c r="F45" t="s">
        <v>81</v>
      </c>
      <c r="G45" s="62">
        <v>10</v>
      </c>
      <c r="H45" s="62">
        <v>860</v>
      </c>
      <c r="I45" s="71">
        <v>6510</v>
      </c>
      <c r="J45" s="73">
        <f t="shared" si="16"/>
        <v>0.13210445468509985</v>
      </c>
      <c r="K45" s="62">
        <v>2</v>
      </c>
      <c r="L45" s="62">
        <v>2</v>
      </c>
      <c r="M45">
        <f t="shared" si="17"/>
        <v>1</v>
      </c>
      <c r="N45" s="71">
        <v>100</v>
      </c>
      <c r="O45" s="62">
        <v>90</v>
      </c>
      <c r="P45" s="74">
        <v>75</v>
      </c>
      <c r="Q45">
        <f t="shared" si="18"/>
        <v>-9.9999999999999978E-2</v>
      </c>
      <c r="R45" s="80">
        <v>0</v>
      </c>
      <c r="S45" s="71">
        <v>0</v>
      </c>
      <c r="T45" s="71">
        <v>1</v>
      </c>
      <c r="U45">
        <f t="shared" si="19"/>
        <v>0</v>
      </c>
      <c r="V45" s="75">
        <v>1446</v>
      </c>
      <c r="W45" s="2">
        <f t="shared" si="20"/>
        <v>430</v>
      </c>
      <c r="X45">
        <f t="shared" si="21"/>
        <v>-0.70262793914246191</v>
      </c>
      <c r="Y45" s="71">
        <v>0</v>
      </c>
      <c r="Z45" s="71">
        <v>0</v>
      </c>
      <c r="AA45" s="71">
        <v>0</v>
      </c>
      <c r="AB45" s="62">
        <v>1</v>
      </c>
      <c r="AC45" s="71">
        <v>0</v>
      </c>
      <c r="AD45" s="71">
        <v>0</v>
      </c>
      <c r="AE45" s="48" t="s">
        <v>291</v>
      </c>
    </row>
    <row r="46" spans="1:31" x14ac:dyDescent="0.2">
      <c r="A46" t="s">
        <v>77</v>
      </c>
      <c r="B46" s="71">
        <v>1</v>
      </c>
      <c r="C46" t="s">
        <v>194</v>
      </c>
      <c r="D46" t="s">
        <v>84</v>
      </c>
      <c r="E46" t="s">
        <v>32</v>
      </c>
      <c r="F46" t="s">
        <v>78</v>
      </c>
      <c r="G46" s="62">
        <v>4</v>
      </c>
      <c r="H46" s="62">
        <v>600</v>
      </c>
      <c r="I46" s="71">
        <v>5400</v>
      </c>
      <c r="J46" s="73">
        <f t="shared" si="16"/>
        <v>0.1111111111111111</v>
      </c>
      <c r="K46" s="62">
        <v>2</v>
      </c>
      <c r="L46" s="62">
        <v>8</v>
      </c>
      <c r="M46">
        <f t="shared" si="17"/>
        <v>0.25</v>
      </c>
      <c r="N46" s="71">
        <v>30</v>
      </c>
      <c r="O46" s="62">
        <v>75</v>
      </c>
      <c r="P46" s="74">
        <v>66</v>
      </c>
      <c r="Q46">
        <f t="shared" si="18"/>
        <v>1.5</v>
      </c>
      <c r="R46" s="80">
        <v>100</v>
      </c>
      <c r="S46" s="71">
        <v>100</v>
      </c>
      <c r="T46" s="71">
        <v>50</v>
      </c>
      <c r="U46">
        <f t="shared" si="19"/>
        <v>-0.5</v>
      </c>
      <c r="V46" s="75">
        <v>270</v>
      </c>
      <c r="W46" s="2">
        <f t="shared" si="20"/>
        <v>300</v>
      </c>
      <c r="X46">
        <f t="shared" si="21"/>
        <v>0.11111111111111116</v>
      </c>
      <c r="Y46" s="71">
        <v>2</v>
      </c>
      <c r="Z46" s="71">
        <v>2</v>
      </c>
      <c r="AA46" s="71">
        <v>0</v>
      </c>
      <c r="AB46" s="62">
        <v>1</v>
      </c>
      <c r="AC46" s="71">
        <v>0</v>
      </c>
      <c r="AD46" s="71">
        <v>0</v>
      </c>
      <c r="AE46" s="48" t="s">
        <v>226</v>
      </c>
    </row>
    <row r="47" spans="1:31" x14ac:dyDescent="0.2">
      <c r="A47" t="s">
        <v>52</v>
      </c>
      <c r="B47" s="71">
        <v>1</v>
      </c>
      <c r="C47" t="s">
        <v>173</v>
      </c>
      <c r="D47" t="s">
        <v>43</v>
      </c>
      <c r="E47" t="s">
        <v>44</v>
      </c>
      <c r="F47" t="s">
        <v>53</v>
      </c>
      <c r="G47" s="62">
        <v>6</v>
      </c>
      <c r="H47" s="62">
        <v>4300</v>
      </c>
      <c r="I47" s="71">
        <v>6600</v>
      </c>
      <c r="J47" s="73">
        <f t="shared" si="16"/>
        <v>0.65151515151515149</v>
      </c>
      <c r="K47" s="62">
        <v>2</v>
      </c>
      <c r="L47" s="62">
        <v>8</v>
      </c>
      <c r="M47">
        <f t="shared" si="17"/>
        <v>0.25</v>
      </c>
      <c r="N47" s="71">
        <v>63</v>
      </c>
      <c r="O47" s="62">
        <v>100</v>
      </c>
      <c r="P47" s="74">
        <v>70</v>
      </c>
      <c r="Q47">
        <f t="shared" si="18"/>
        <v>0.58730158730158721</v>
      </c>
      <c r="R47" s="80">
        <v>71</v>
      </c>
      <c r="S47" s="71">
        <v>100</v>
      </c>
      <c r="T47" s="71">
        <v>50</v>
      </c>
      <c r="U47">
        <f t="shared" si="19"/>
        <v>-0.5</v>
      </c>
      <c r="V47" s="75">
        <v>263</v>
      </c>
      <c r="W47" s="2">
        <f t="shared" si="20"/>
        <v>2150</v>
      </c>
      <c r="X47">
        <f t="shared" si="21"/>
        <v>7.1749049429657799</v>
      </c>
      <c r="Y47" s="71">
        <v>2</v>
      </c>
      <c r="Z47" s="71">
        <v>2</v>
      </c>
      <c r="AA47" s="71">
        <v>0</v>
      </c>
      <c r="AB47" s="62">
        <v>2</v>
      </c>
      <c r="AC47" s="71">
        <v>0</v>
      </c>
      <c r="AD47" s="71">
        <v>0</v>
      </c>
    </row>
    <row r="48" spans="1:31" x14ac:dyDescent="0.2">
      <c r="A48" t="s">
        <v>105</v>
      </c>
      <c r="B48" s="71">
        <v>1</v>
      </c>
      <c r="C48" t="s">
        <v>195</v>
      </c>
      <c r="D48" t="s">
        <v>43</v>
      </c>
      <c r="E48" t="s">
        <v>44</v>
      </c>
      <c r="F48" t="s">
        <v>141</v>
      </c>
      <c r="G48" s="62">
        <v>6</v>
      </c>
      <c r="H48" s="62">
        <v>0</v>
      </c>
      <c r="I48" s="71">
        <v>12330</v>
      </c>
      <c r="J48" s="73">
        <f t="shared" si="16"/>
        <v>0</v>
      </c>
      <c r="K48" s="62">
        <v>0</v>
      </c>
      <c r="L48" s="62">
        <v>10</v>
      </c>
      <c r="M48">
        <f t="shared" si="17"/>
        <v>0</v>
      </c>
      <c r="N48" s="71">
        <v>100</v>
      </c>
      <c r="O48" s="62">
        <v>0</v>
      </c>
      <c r="P48" s="74">
        <v>75</v>
      </c>
      <c r="Q48">
        <f t="shared" si="18"/>
        <v>-1</v>
      </c>
      <c r="R48" s="80">
        <v>40</v>
      </c>
      <c r="S48" s="71">
        <v>100</v>
      </c>
      <c r="T48" s="71">
        <v>65</v>
      </c>
      <c r="U48">
        <f t="shared" si="19"/>
        <v>-0.35</v>
      </c>
      <c r="V48" s="75">
        <v>782</v>
      </c>
      <c r="W48" s="2">
        <f t="shared" si="20"/>
        <v>0</v>
      </c>
      <c r="X48">
        <f t="shared" si="21"/>
        <v>-1</v>
      </c>
      <c r="Y48" s="71">
        <v>0</v>
      </c>
      <c r="Z48" s="71">
        <v>0</v>
      </c>
      <c r="AA48" s="71">
        <v>0</v>
      </c>
      <c r="AB48" s="62">
        <v>2</v>
      </c>
      <c r="AC48" s="71">
        <v>0</v>
      </c>
      <c r="AD48" s="71">
        <v>0</v>
      </c>
      <c r="AE48" s="48" t="s">
        <v>227</v>
      </c>
    </row>
    <row r="49" spans="1:31" x14ac:dyDescent="0.2">
      <c r="A49" t="s">
        <v>98</v>
      </c>
      <c r="B49" s="71">
        <v>5</v>
      </c>
      <c r="C49" t="s">
        <v>194</v>
      </c>
      <c r="D49" t="s">
        <v>38</v>
      </c>
      <c r="E49" t="s">
        <v>39</v>
      </c>
      <c r="F49" t="s">
        <v>139</v>
      </c>
      <c r="G49" s="62">
        <v>24</v>
      </c>
      <c r="H49" s="62">
        <v>192723.54</v>
      </c>
      <c r="I49" s="71">
        <v>270000</v>
      </c>
      <c r="J49" s="73">
        <f t="shared" si="16"/>
        <v>0.71379088888888886</v>
      </c>
      <c r="K49" s="62">
        <v>35</v>
      </c>
      <c r="L49" s="62">
        <v>34</v>
      </c>
      <c r="M49">
        <f t="shared" si="17"/>
        <v>1.0294117647058822</v>
      </c>
      <c r="N49" s="71">
        <v>98</v>
      </c>
      <c r="O49" s="62">
        <v>100</v>
      </c>
      <c r="P49" s="74">
        <v>75</v>
      </c>
      <c r="Q49">
        <f t="shared" si="18"/>
        <v>2.0408163265306145E-2</v>
      </c>
      <c r="R49" s="80">
        <v>72</v>
      </c>
      <c r="S49" s="71">
        <v>100</v>
      </c>
      <c r="T49" s="71">
        <v>72</v>
      </c>
      <c r="U49">
        <f t="shared" si="19"/>
        <v>-0.28000000000000003</v>
      </c>
      <c r="V49" s="75">
        <v>4707</v>
      </c>
      <c r="W49" s="2">
        <f t="shared" si="20"/>
        <v>5506.3868571428575</v>
      </c>
      <c r="X49">
        <f t="shared" si="21"/>
        <v>0.16982937266684894</v>
      </c>
      <c r="Y49" s="71">
        <v>18</v>
      </c>
      <c r="Z49" s="71">
        <v>18</v>
      </c>
      <c r="AA49" s="71">
        <v>7</v>
      </c>
      <c r="AB49" s="62">
        <v>6</v>
      </c>
      <c r="AC49" s="71">
        <v>6</v>
      </c>
      <c r="AD49" s="71">
        <v>3</v>
      </c>
      <c r="AE49" s="48" t="s">
        <v>228</v>
      </c>
    </row>
    <row r="50" spans="1:31" x14ac:dyDescent="0.2">
      <c r="A50" t="s">
        <v>109</v>
      </c>
      <c r="B50" s="71">
        <v>1</v>
      </c>
      <c r="C50" t="s">
        <v>173</v>
      </c>
      <c r="D50" t="s">
        <v>38</v>
      </c>
      <c r="E50" t="s">
        <v>39</v>
      </c>
      <c r="F50" t="s">
        <v>110</v>
      </c>
      <c r="G50" s="62">
        <v>9</v>
      </c>
      <c r="H50" s="62">
        <v>0</v>
      </c>
      <c r="I50" s="71">
        <v>6600</v>
      </c>
      <c r="J50" s="73">
        <f t="shared" si="16"/>
        <v>0</v>
      </c>
      <c r="K50" s="62">
        <v>0</v>
      </c>
      <c r="L50" s="62">
        <v>2</v>
      </c>
      <c r="M50">
        <f t="shared" si="17"/>
        <v>0</v>
      </c>
      <c r="N50" s="71">
        <v>57</v>
      </c>
      <c r="O50" s="62">
        <v>0</v>
      </c>
      <c r="P50" s="74">
        <v>70</v>
      </c>
      <c r="Q50">
        <f t="shared" si="18"/>
        <v>-1</v>
      </c>
      <c r="R50" s="80">
        <v>40</v>
      </c>
      <c r="S50" s="71">
        <v>0</v>
      </c>
      <c r="T50" s="71">
        <v>50</v>
      </c>
      <c r="U50">
        <f t="shared" si="19"/>
        <v>0</v>
      </c>
      <c r="V50" s="75">
        <v>873</v>
      </c>
      <c r="W50" s="2">
        <f t="shared" si="20"/>
        <v>0</v>
      </c>
      <c r="X50">
        <f t="shared" si="21"/>
        <v>-1</v>
      </c>
      <c r="Y50" s="71">
        <v>0</v>
      </c>
      <c r="Z50" s="71">
        <v>0</v>
      </c>
      <c r="AA50" s="71">
        <v>1</v>
      </c>
      <c r="AB50" s="62">
        <v>1</v>
      </c>
      <c r="AC50" s="71">
        <v>1</v>
      </c>
      <c r="AD50" s="71">
        <v>0</v>
      </c>
    </row>
    <row r="51" spans="1:31" x14ac:dyDescent="0.2">
      <c r="A51" t="s">
        <v>111</v>
      </c>
      <c r="B51" s="71">
        <v>1</v>
      </c>
      <c r="C51" t="s">
        <v>173</v>
      </c>
      <c r="D51" t="s">
        <v>38</v>
      </c>
      <c r="E51" t="s">
        <v>39</v>
      </c>
      <c r="F51" t="s">
        <v>76</v>
      </c>
      <c r="G51" s="62">
        <v>20</v>
      </c>
      <c r="H51" s="62">
        <v>6420.89</v>
      </c>
      <c r="I51" s="71">
        <v>0</v>
      </c>
      <c r="J51" s="73">
        <f t="shared" si="16"/>
        <v>0</v>
      </c>
      <c r="K51" s="62">
        <v>5</v>
      </c>
      <c r="L51" s="62">
        <v>0</v>
      </c>
      <c r="M51">
        <f t="shared" si="17"/>
        <v>0</v>
      </c>
      <c r="N51" s="71">
        <v>23</v>
      </c>
      <c r="O51" s="62">
        <v>80</v>
      </c>
      <c r="P51" s="74">
        <v>0</v>
      </c>
      <c r="Q51">
        <f t="shared" si="18"/>
        <v>2.4782608695652173</v>
      </c>
      <c r="R51" s="80">
        <v>0</v>
      </c>
      <c r="S51" s="71">
        <v>0</v>
      </c>
      <c r="T51" s="71">
        <v>0</v>
      </c>
      <c r="U51">
        <f t="shared" si="19"/>
        <v>0</v>
      </c>
      <c r="V51" s="75">
        <v>1237</v>
      </c>
      <c r="W51" s="2">
        <f t="shared" si="20"/>
        <v>1284.1780000000001</v>
      </c>
      <c r="X51">
        <f t="shared" si="21"/>
        <v>3.8139046079223915E-2</v>
      </c>
      <c r="Y51" s="71">
        <v>0</v>
      </c>
      <c r="Z51" s="71">
        <v>0</v>
      </c>
      <c r="AA51" s="71">
        <v>0</v>
      </c>
      <c r="AB51" s="62">
        <v>0</v>
      </c>
      <c r="AC51" s="71">
        <v>0</v>
      </c>
      <c r="AD51" s="71">
        <v>0</v>
      </c>
    </row>
    <row r="52" spans="1:31" x14ac:dyDescent="0.2">
      <c r="A52" t="s">
        <v>96</v>
      </c>
      <c r="B52" s="71">
        <v>3</v>
      </c>
      <c r="C52" t="s">
        <v>172</v>
      </c>
      <c r="D52" t="s">
        <v>43</v>
      </c>
      <c r="E52" t="s">
        <v>44</v>
      </c>
      <c r="F52" t="s">
        <v>122</v>
      </c>
      <c r="G52" s="62">
        <v>18</v>
      </c>
      <c r="H52" s="62">
        <v>5640</v>
      </c>
      <c r="I52" s="71">
        <v>30000</v>
      </c>
      <c r="J52" s="73">
        <f t="shared" si="16"/>
        <v>0.188</v>
      </c>
      <c r="K52" s="62">
        <v>3</v>
      </c>
      <c r="L52" s="62">
        <v>12</v>
      </c>
      <c r="M52">
        <f t="shared" si="17"/>
        <v>0.25</v>
      </c>
      <c r="N52" s="71">
        <v>84</v>
      </c>
      <c r="O52" s="62">
        <v>95</v>
      </c>
      <c r="P52" s="74">
        <v>75</v>
      </c>
      <c r="Q52">
        <f t="shared" si="18"/>
        <v>0.13095238095238093</v>
      </c>
      <c r="R52" s="80">
        <v>100</v>
      </c>
      <c r="S52" s="71">
        <v>0</v>
      </c>
      <c r="T52" s="71">
        <v>80</v>
      </c>
      <c r="U52">
        <f t="shared" si="19"/>
        <v>0</v>
      </c>
      <c r="V52" s="75">
        <v>1962</v>
      </c>
      <c r="W52" s="2">
        <f t="shared" si="20"/>
        <v>1880</v>
      </c>
      <c r="X52">
        <f t="shared" si="21"/>
        <v>-4.1794087665647295E-2</v>
      </c>
      <c r="Y52" s="71">
        <v>0</v>
      </c>
      <c r="Z52" s="71">
        <v>0</v>
      </c>
      <c r="AA52" s="71">
        <v>1</v>
      </c>
      <c r="AB52" s="62">
        <v>4</v>
      </c>
      <c r="AC52" s="71">
        <v>1</v>
      </c>
      <c r="AD52" s="71">
        <v>0</v>
      </c>
    </row>
    <row r="53" spans="1:31" x14ac:dyDescent="0.2">
      <c r="A53" t="s">
        <v>66</v>
      </c>
      <c r="B53" s="71">
        <v>1</v>
      </c>
      <c r="C53" t="s">
        <v>173</v>
      </c>
      <c r="D53" t="s">
        <v>67</v>
      </c>
      <c r="E53" t="s">
        <v>68</v>
      </c>
      <c r="F53" t="s">
        <v>69</v>
      </c>
      <c r="G53" s="62">
        <v>11</v>
      </c>
      <c r="H53" s="62">
        <v>5340</v>
      </c>
      <c r="I53" s="71">
        <v>7000</v>
      </c>
      <c r="J53" s="73">
        <f t="shared" si="16"/>
        <v>0.7628571428571429</v>
      </c>
      <c r="K53" s="62">
        <v>7</v>
      </c>
      <c r="L53" s="62">
        <v>10</v>
      </c>
      <c r="M53">
        <f t="shared" si="17"/>
        <v>0.7</v>
      </c>
      <c r="N53" s="71">
        <v>77</v>
      </c>
      <c r="O53" s="62">
        <v>100</v>
      </c>
      <c r="P53" s="74">
        <v>75</v>
      </c>
      <c r="Q53">
        <f t="shared" si="18"/>
        <v>0.29870129870129869</v>
      </c>
      <c r="R53" s="80">
        <v>0</v>
      </c>
      <c r="S53" s="71">
        <v>100</v>
      </c>
      <c r="T53" s="71">
        <v>30</v>
      </c>
      <c r="U53">
        <f t="shared" si="19"/>
        <v>-0.7</v>
      </c>
      <c r="V53" s="75">
        <v>453</v>
      </c>
      <c r="W53" s="2">
        <f t="shared" si="20"/>
        <v>762.85714285714289</v>
      </c>
      <c r="X53">
        <f t="shared" si="21"/>
        <v>0.68401135288552517</v>
      </c>
      <c r="Y53" s="71">
        <v>1</v>
      </c>
      <c r="Z53" s="71">
        <v>1</v>
      </c>
      <c r="AA53" s="71">
        <v>0</v>
      </c>
      <c r="AB53" s="62">
        <v>1</v>
      </c>
      <c r="AC53" s="71">
        <v>0</v>
      </c>
      <c r="AD53" s="71">
        <v>0</v>
      </c>
      <c r="AE53" s="48" t="s">
        <v>309</v>
      </c>
    </row>
    <row r="54" spans="1:31" x14ac:dyDescent="0.2">
      <c r="A54" t="s">
        <v>146</v>
      </c>
      <c r="B54" s="71">
        <v>1</v>
      </c>
      <c r="C54" t="s">
        <v>174</v>
      </c>
      <c r="D54" t="s">
        <v>43</v>
      </c>
      <c r="E54" t="s">
        <v>44</v>
      </c>
      <c r="F54" t="s">
        <v>58</v>
      </c>
      <c r="G54" s="62">
        <v>14</v>
      </c>
      <c r="H54" s="62">
        <v>5766.95</v>
      </c>
      <c r="I54" s="71">
        <v>12000</v>
      </c>
      <c r="J54" s="73">
        <f t="shared" si="16"/>
        <v>0.48057916666666667</v>
      </c>
      <c r="K54" s="62">
        <v>13</v>
      </c>
      <c r="L54" s="62">
        <v>15</v>
      </c>
      <c r="M54">
        <f t="shared" si="17"/>
        <v>0.8666666666666667</v>
      </c>
      <c r="N54" s="71">
        <v>53</v>
      </c>
      <c r="O54" s="62">
        <v>47</v>
      </c>
      <c r="P54" s="74">
        <v>60</v>
      </c>
      <c r="Q54">
        <f t="shared" si="18"/>
        <v>-0.1132075471698113</v>
      </c>
      <c r="R54" s="80">
        <v>100</v>
      </c>
      <c r="S54" s="71">
        <v>0</v>
      </c>
      <c r="T54" s="71">
        <v>75</v>
      </c>
      <c r="U54">
        <f t="shared" si="19"/>
        <v>0</v>
      </c>
      <c r="V54" s="75">
        <v>552</v>
      </c>
      <c r="W54" s="2">
        <f t="shared" si="20"/>
        <v>443.61153846153843</v>
      </c>
      <c r="X54">
        <f t="shared" si="21"/>
        <v>-0.19635590858416951</v>
      </c>
      <c r="Y54" s="71">
        <v>2</v>
      </c>
      <c r="Z54" s="71">
        <v>6</v>
      </c>
      <c r="AA54" s="71">
        <v>1</v>
      </c>
      <c r="AB54" s="62">
        <v>2</v>
      </c>
      <c r="AC54" s="71">
        <v>1</v>
      </c>
      <c r="AD54" s="71">
        <v>5</v>
      </c>
    </row>
    <row r="55" spans="1:31" x14ac:dyDescent="0.2">
      <c r="A55" t="s">
        <v>131</v>
      </c>
      <c r="B55" s="71">
        <v>1</v>
      </c>
      <c r="C55" t="s">
        <v>173</v>
      </c>
      <c r="D55" t="s">
        <v>38</v>
      </c>
      <c r="E55" t="s">
        <v>39</v>
      </c>
      <c r="F55" t="s">
        <v>48</v>
      </c>
      <c r="G55" s="62">
        <v>15</v>
      </c>
      <c r="H55" s="62">
        <v>11200</v>
      </c>
      <c r="I55" s="71">
        <v>16000</v>
      </c>
      <c r="J55" s="73">
        <f t="shared" si="16"/>
        <v>0.7</v>
      </c>
      <c r="K55" s="62">
        <v>6</v>
      </c>
      <c r="L55" s="62">
        <v>10</v>
      </c>
      <c r="M55">
        <f t="shared" si="17"/>
        <v>0.6</v>
      </c>
      <c r="N55" s="71">
        <v>59</v>
      </c>
      <c r="O55" s="62">
        <v>100</v>
      </c>
      <c r="P55" s="74">
        <v>65</v>
      </c>
      <c r="Q55">
        <f t="shared" si="18"/>
        <v>0.69491525423728806</v>
      </c>
      <c r="R55" s="80">
        <v>100</v>
      </c>
      <c r="S55" s="71">
        <v>100</v>
      </c>
      <c r="T55" s="71">
        <v>50</v>
      </c>
      <c r="U55">
        <f t="shared" si="19"/>
        <v>-0.5</v>
      </c>
      <c r="V55" s="75">
        <v>1176</v>
      </c>
      <c r="W55" s="2">
        <f t="shared" si="20"/>
        <v>1866.6666666666667</v>
      </c>
      <c r="X55">
        <f t="shared" si="21"/>
        <v>0.58730158730158744</v>
      </c>
      <c r="Y55" s="71">
        <v>4</v>
      </c>
      <c r="Z55" s="71">
        <v>4</v>
      </c>
      <c r="AA55" s="71">
        <v>1</v>
      </c>
      <c r="AB55" s="62">
        <v>2</v>
      </c>
      <c r="AC55" s="71">
        <v>1</v>
      </c>
      <c r="AD55" s="71">
        <v>1</v>
      </c>
      <c r="AE55" s="48" t="s">
        <v>229</v>
      </c>
    </row>
    <row r="56" spans="1:31" x14ac:dyDescent="0.2">
      <c r="A56" t="s">
        <v>302</v>
      </c>
      <c r="B56" s="71">
        <v>1</v>
      </c>
      <c r="C56" t="s">
        <v>193</v>
      </c>
      <c r="D56" t="s">
        <v>43</v>
      </c>
      <c r="E56" t="s">
        <v>44</v>
      </c>
      <c r="F56" t="s">
        <v>118</v>
      </c>
      <c r="G56" s="62">
        <v>20</v>
      </c>
      <c r="H56" s="62">
        <v>0</v>
      </c>
      <c r="I56" s="71">
        <v>0</v>
      </c>
      <c r="J56" s="73">
        <f t="shared" si="16"/>
        <v>0</v>
      </c>
      <c r="K56" s="62">
        <v>0</v>
      </c>
      <c r="L56" s="62">
        <v>0</v>
      </c>
      <c r="M56">
        <f t="shared" si="17"/>
        <v>0</v>
      </c>
      <c r="N56" s="71">
        <v>0</v>
      </c>
      <c r="O56" s="62">
        <v>0</v>
      </c>
      <c r="P56" s="74">
        <v>0</v>
      </c>
      <c r="Q56">
        <f t="shared" si="18"/>
        <v>0</v>
      </c>
      <c r="R56" s="80">
        <v>0</v>
      </c>
      <c r="S56" s="71">
        <v>0</v>
      </c>
      <c r="T56" s="71">
        <v>0</v>
      </c>
      <c r="U56">
        <f t="shared" si="19"/>
        <v>0</v>
      </c>
      <c r="V56" s="75">
        <v>0</v>
      </c>
      <c r="W56" s="2">
        <f t="shared" ref="W56" si="22">IF(K56=0,0,H56/K56)</f>
        <v>0</v>
      </c>
      <c r="X56">
        <f t="shared" ref="X56" si="23">IF(V56=0,0,(W56/V56)-1)</f>
        <v>0</v>
      </c>
      <c r="Y56" s="71">
        <v>0</v>
      </c>
      <c r="Z56" s="71">
        <v>0</v>
      </c>
      <c r="AA56" s="71">
        <v>0</v>
      </c>
      <c r="AB56" s="62">
        <v>0</v>
      </c>
      <c r="AC56" s="71">
        <v>0</v>
      </c>
      <c r="AD56" s="71">
        <v>0</v>
      </c>
      <c r="AE56" s="48" t="s">
        <v>309</v>
      </c>
    </row>
    <row r="57" spans="1:31" x14ac:dyDescent="0.2">
      <c r="A57" t="s">
        <v>42</v>
      </c>
      <c r="B57" s="71">
        <v>1</v>
      </c>
      <c r="C57" t="s">
        <v>172</v>
      </c>
      <c r="D57" t="s">
        <v>43</v>
      </c>
      <c r="E57" t="s">
        <v>44</v>
      </c>
      <c r="F57" t="s">
        <v>45</v>
      </c>
      <c r="G57" s="62">
        <v>14</v>
      </c>
      <c r="H57" s="62">
        <v>1033.5</v>
      </c>
      <c r="I57" s="71">
        <v>10730.07</v>
      </c>
      <c r="J57" s="73">
        <f>IF(I57=0,0,H57/I57)</f>
        <v>9.6318104168938323E-2</v>
      </c>
      <c r="K57" s="62">
        <v>3</v>
      </c>
      <c r="L57" s="62">
        <v>5</v>
      </c>
      <c r="M57">
        <f>IF(L57=0,0,K57/L57)</f>
        <v>0.6</v>
      </c>
      <c r="N57" s="71">
        <v>96</v>
      </c>
      <c r="O57" s="62">
        <v>100</v>
      </c>
      <c r="P57" s="74">
        <v>75</v>
      </c>
      <c r="Q57">
        <f>IF(N57=0,0,(O57/N57)-1)</f>
        <v>4.1666666666666741E-2</v>
      </c>
      <c r="R57" s="80">
        <v>67</v>
      </c>
      <c r="S57" s="71">
        <v>100</v>
      </c>
      <c r="T57" s="71">
        <v>80</v>
      </c>
      <c r="U57">
        <f>IF(S57=0,0,(T57/S57)-1)</f>
        <v>-0.19999999999999996</v>
      </c>
      <c r="V57" s="75">
        <v>860</v>
      </c>
      <c r="W57" s="2">
        <f>IF(K57=0,0,H57/K57)</f>
        <v>344.5</v>
      </c>
      <c r="X57">
        <f>IF(V57=0,0,(W57/V57)-1)</f>
        <v>-0.59941860465116281</v>
      </c>
      <c r="Y57" s="71">
        <v>2</v>
      </c>
      <c r="Z57" s="71">
        <v>2</v>
      </c>
      <c r="AA57" s="71">
        <v>0</v>
      </c>
      <c r="AB57" s="62">
        <v>1</v>
      </c>
      <c r="AC57" s="71">
        <v>0</v>
      </c>
      <c r="AD57" s="71">
        <v>0</v>
      </c>
      <c r="AE57" s="48" t="s">
        <v>230</v>
      </c>
    </row>
    <row r="58" spans="1:31" x14ac:dyDescent="0.2">
      <c r="A58" t="s">
        <v>108</v>
      </c>
      <c r="B58" s="71">
        <v>1</v>
      </c>
      <c r="C58" t="s">
        <v>194</v>
      </c>
      <c r="D58" t="s">
        <v>132</v>
      </c>
      <c r="E58" t="s">
        <v>133</v>
      </c>
      <c r="F58" t="s">
        <v>134</v>
      </c>
      <c r="G58" s="62">
        <v>4</v>
      </c>
      <c r="H58" s="62">
        <v>0</v>
      </c>
      <c r="I58" s="71">
        <v>18000</v>
      </c>
      <c r="J58" s="73">
        <f>IF(I58=0,0,H58/I58)</f>
        <v>0</v>
      </c>
      <c r="K58" s="62">
        <v>0</v>
      </c>
      <c r="L58" s="62">
        <v>8</v>
      </c>
      <c r="M58">
        <f>IF(L58=0,0,K58/L58)</f>
        <v>0</v>
      </c>
      <c r="N58" s="71">
        <v>100</v>
      </c>
      <c r="O58" s="62">
        <v>0</v>
      </c>
      <c r="P58" s="74">
        <v>75</v>
      </c>
      <c r="Q58">
        <f>IF(N58=0,0,(O58/N58)-1)</f>
        <v>-1</v>
      </c>
      <c r="R58" s="80">
        <v>0</v>
      </c>
      <c r="S58" s="71">
        <v>0</v>
      </c>
      <c r="T58" s="71">
        <v>75</v>
      </c>
      <c r="U58">
        <f>IF(S58=0,0,(T58/S58)-1)</f>
        <v>0</v>
      </c>
      <c r="V58" s="75">
        <v>1765</v>
      </c>
      <c r="W58" s="2">
        <f>IF(K58=0,0,H58/K58)</f>
        <v>0</v>
      </c>
      <c r="X58">
        <f>IF(V58=0,0,(W58/V58)-1)</f>
        <v>-1</v>
      </c>
      <c r="Y58" s="71">
        <v>0</v>
      </c>
      <c r="Z58" s="71">
        <v>0</v>
      </c>
      <c r="AA58" s="71">
        <v>0</v>
      </c>
      <c r="AB58" s="62">
        <v>1</v>
      </c>
      <c r="AC58" s="71">
        <v>0</v>
      </c>
      <c r="AD58" s="71">
        <v>0</v>
      </c>
    </row>
    <row r="59" spans="1:31" x14ac:dyDescent="0.2">
      <c r="A59" t="s">
        <v>129</v>
      </c>
      <c r="B59" s="71">
        <v>1</v>
      </c>
      <c r="C59" t="s">
        <v>194</v>
      </c>
      <c r="D59" t="s">
        <v>130</v>
      </c>
      <c r="E59" t="s">
        <v>68</v>
      </c>
      <c r="F59" t="s">
        <v>93</v>
      </c>
      <c r="G59" s="62">
        <v>5</v>
      </c>
      <c r="H59" s="62">
        <v>0</v>
      </c>
      <c r="I59" s="71">
        <v>4800</v>
      </c>
      <c r="J59" s="73">
        <f>IF(I59=0,0,H59/I59)</f>
        <v>0</v>
      </c>
      <c r="K59" s="62">
        <v>0</v>
      </c>
      <c r="L59" s="62">
        <v>1</v>
      </c>
      <c r="M59">
        <f>IF(L59=0,0,K59/L59)</f>
        <v>0</v>
      </c>
      <c r="N59" s="71">
        <v>0</v>
      </c>
      <c r="O59" s="62">
        <v>0</v>
      </c>
      <c r="P59" s="74">
        <v>25</v>
      </c>
      <c r="Q59">
        <f>IF(N59=0,0,(O59/N59)-1)</f>
        <v>0</v>
      </c>
      <c r="R59" s="80">
        <v>0</v>
      </c>
      <c r="S59" s="71">
        <v>0</v>
      </c>
      <c r="T59" s="71">
        <v>30</v>
      </c>
      <c r="U59">
        <f>IF(S59=0,0,(T59/S59)-1)</f>
        <v>0</v>
      </c>
      <c r="V59" s="75">
        <v>150</v>
      </c>
      <c r="W59" s="2">
        <f>IF(K59=0,0,H59/K59)</f>
        <v>0</v>
      </c>
      <c r="X59">
        <f>IF(V59=0,0,(W59/V59)-1)</f>
        <v>-1</v>
      </c>
      <c r="Y59" s="71">
        <v>0</v>
      </c>
      <c r="Z59" s="71">
        <v>0</v>
      </c>
      <c r="AA59" s="71">
        <v>0</v>
      </c>
      <c r="AB59" s="62">
        <v>1</v>
      </c>
      <c r="AC59" s="71">
        <v>0</v>
      </c>
      <c r="AD59" s="71">
        <v>0</v>
      </c>
      <c r="AE59" s="48" t="s">
        <v>311</v>
      </c>
    </row>
    <row r="60" spans="1:31" x14ac:dyDescent="0.2">
      <c r="A60" t="s">
        <v>125</v>
      </c>
      <c r="B60" s="71">
        <v>3</v>
      </c>
      <c r="C60" t="s">
        <v>194</v>
      </c>
      <c r="D60" t="s">
        <v>144</v>
      </c>
      <c r="E60" t="s">
        <v>44</v>
      </c>
      <c r="F60" t="s">
        <v>119</v>
      </c>
      <c r="G60" s="62">
        <v>11</v>
      </c>
      <c r="H60" s="62">
        <v>4052.5</v>
      </c>
      <c r="I60" s="71">
        <v>6920.5</v>
      </c>
      <c r="J60" s="73">
        <f>IF(I60=0,0,H60/I60)</f>
        <v>0.58557907665631093</v>
      </c>
      <c r="K60" s="62">
        <v>12</v>
      </c>
      <c r="L60" s="62">
        <v>4</v>
      </c>
      <c r="M60">
        <f>IF(L60=0,0,K60/L60)</f>
        <v>3</v>
      </c>
      <c r="N60" s="71">
        <v>89</v>
      </c>
      <c r="O60" s="62">
        <v>72</v>
      </c>
      <c r="P60" s="74">
        <v>75</v>
      </c>
      <c r="Q60">
        <f>IF(N60=0,0,(O60/N60)-1)</f>
        <v>-0.1910112359550562</v>
      </c>
      <c r="R60" s="80">
        <v>93</v>
      </c>
      <c r="S60" s="71">
        <v>0</v>
      </c>
      <c r="T60" s="71">
        <v>60</v>
      </c>
      <c r="U60">
        <f>IF(S60=0,0,(T60/S60)-1)</f>
        <v>0</v>
      </c>
      <c r="V60" s="75">
        <v>573</v>
      </c>
      <c r="W60" s="2">
        <f>IF(K60=0,0,H60/K60)</f>
        <v>337.70833333333331</v>
      </c>
      <c r="X60">
        <f>IF(V60=0,0,(W60/V60)-1)</f>
        <v>-0.41063118091913908</v>
      </c>
      <c r="Y60" s="71">
        <v>0</v>
      </c>
      <c r="Z60" s="71">
        <v>0</v>
      </c>
      <c r="AA60" s="71">
        <v>1</v>
      </c>
      <c r="AB60" s="62">
        <v>1</v>
      </c>
      <c r="AC60" s="71">
        <v>1</v>
      </c>
      <c r="AD60" s="71">
        <v>5</v>
      </c>
      <c r="AE60" s="48" t="s">
        <v>308</v>
      </c>
    </row>
    <row r="61" spans="1:31" x14ac:dyDescent="0.2">
      <c r="H61" s="71"/>
      <c r="I61" s="71"/>
      <c r="K61" s="71"/>
      <c r="L61" s="62"/>
      <c r="O61" s="74"/>
      <c r="V61" s="75">
        <v>573</v>
      </c>
    </row>
    <row r="62" spans="1:31" x14ac:dyDescent="0.2">
      <c r="I62" s="71"/>
    </row>
  </sheetData>
  <sheetProtection formatCells="0" formatColumns="0" formatRows="0" insertColumns="0" insertRows="0" selectLockedCells="1"/>
  <sortState xmlns:xlrd2="http://schemas.microsoft.com/office/spreadsheetml/2017/richdata2" ref="A2:AE62">
    <sortCondition ref="A1"/>
  </sortState>
  <hyperlinks>
    <hyperlink ref="AE2" r:id="rId1" xr:uid="{00000000-0004-0000-0800-000000000000}"/>
    <hyperlink ref="AE5" r:id="rId2" xr:uid="{00000000-0004-0000-0800-000001000000}"/>
    <hyperlink ref="AE7" r:id="rId3" xr:uid="{00000000-0004-0000-0800-000002000000}"/>
    <hyperlink ref="AE14" r:id="rId4" xr:uid="{00000000-0004-0000-0800-000003000000}"/>
    <hyperlink ref="AE20" r:id="rId5" xr:uid="{00000000-0004-0000-0800-000004000000}"/>
    <hyperlink ref="AE27" r:id="rId6" xr:uid="{00000000-0004-0000-0800-000005000000}"/>
    <hyperlink ref="AE19" r:id="rId7" xr:uid="{00000000-0004-0000-0800-000006000000}"/>
    <hyperlink ref="AE18" r:id="rId8" xr:uid="{00000000-0004-0000-0800-000007000000}"/>
    <hyperlink ref="AE17"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7" r:id="rId17" xr:uid="{00000000-0004-0000-0800-000010000000}"/>
    <hyperlink ref="AE55" r:id="rId18" xr:uid="{00000000-0004-0000-0800-000011000000}"/>
    <hyperlink ref="AE49" r:id="rId19" xr:uid="{00000000-0004-0000-0800-000012000000}"/>
    <hyperlink ref="AE48" r:id="rId20" xr:uid="{00000000-0004-0000-0800-000013000000}"/>
    <hyperlink ref="AE3" r:id="rId21" xr:uid="{00000000-0004-0000-0800-000014000000}"/>
    <hyperlink ref="AE9" r:id="rId22" xr:uid="{00000000-0004-0000-0800-000015000000}"/>
    <hyperlink ref="AE22" r:id="rId23" xr:uid="{00000000-0004-0000-0800-000016000000}"/>
    <hyperlink ref="AE45" r:id="rId24" xr:uid="{00000000-0004-0000-0800-000017000000}"/>
    <hyperlink ref="AE40" r:id="rId25" xr:uid="{00000000-0004-0000-0800-000018000000}"/>
    <hyperlink ref="AE42" r:id="rId26" xr:uid="{00000000-0004-0000-0800-000019000000}"/>
    <hyperlink ref="AE34" r:id="rId27" xr:uid="{00000000-0004-0000-0800-00001A000000}"/>
    <hyperlink ref="AE8" r:id="rId28" xr:uid="{00000000-0004-0000-0800-00001B000000}"/>
    <hyperlink ref="AE32" r:id="rId29" xr:uid="{00000000-0004-0000-0800-00001C000000}"/>
    <hyperlink ref="AE41" r:id="rId30" xr:uid="{00000000-0004-0000-0800-00001D000000}"/>
    <hyperlink ref="AE44" r:id="rId31" xr:uid="{00000000-0004-0000-0800-00001E000000}"/>
    <hyperlink ref="AE15" r:id="rId32" xr:uid="{00000000-0004-0000-0800-00001F000000}"/>
    <hyperlink ref="AE13" r:id="rId33" xr:uid="{D438B6E1-3BFB-4907-8C6C-314ED6866275}"/>
    <hyperlink ref="AE38" r:id="rId34" xr:uid="{5E9A4534-4986-4861-9085-5350B265AD11}"/>
    <hyperlink ref="AE11" r:id="rId35" xr:uid="{4CBEF1C6-EE7F-45A2-9B5D-565412FEE7B3}"/>
    <hyperlink ref="AE23" r:id="rId36" xr:uid="{E908D43D-6D2D-43BD-8DE8-45B1A254420E}"/>
    <hyperlink ref="AE60" r:id="rId37" xr:uid="{CC9699B6-517E-40F2-8878-7BE3F81A3801}"/>
    <hyperlink ref="AE56" r:id="rId38" xr:uid="{496AC134-5554-444A-969C-F4252596045D}"/>
    <hyperlink ref="AE53" r:id="rId39" xr:uid="{5208C722-BD43-414B-A49A-BCCBB9395A7B}"/>
    <hyperlink ref="AE31" r:id="rId40" xr:uid="{058B3A50-5CB8-4A23-84D0-688D0F9E2AA1}"/>
    <hyperlink ref="AE59"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09"/>
  <sheetViews>
    <sheetView topLeftCell="A685" workbookViewId="0">
      <pane xSplit="1" topLeftCell="C1" activePane="topRight" state="frozen"/>
      <selection pane="topRight" activeCell="C690" sqref="C690"/>
    </sheetView>
  </sheetViews>
  <sheetFormatPr defaultColWidth="8.75" defaultRowHeight="14.25" x14ac:dyDescent="0.2"/>
  <cols>
    <col min="1" max="1" width="20.25" style="3" customWidth="1"/>
    <col min="2" max="2" width="21.5" style="3" customWidth="1"/>
    <col min="3" max="5" width="22.25" style="3" customWidth="1"/>
    <col min="6" max="16384" width="8.75" style="3"/>
  </cols>
  <sheetData>
    <row r="1" spans="1:5" ht="15.75" x14ac:dyDescent="0.2">
      <c r="A1" s="41" t="s">
        <v>0</v>
      </c>
      <c r="B1" s="37" t="s">
        <v>165</v>
      </c>
      <c r="C1" s="42" t="s">
        <v>15</v>
      </c>
      <c r="D1" s="42" t="s">
        <v>16</v>
      </c>
      <c r="E1" s="43" t="s">
        <v>17</v>
      </c>
    </row>
    <row r="2" spans="1:5" x14ac:dyDescent="0.2">
      <c r="A2" s="44" t="s">
        <v>83</v>
      </c>
      <c r="B2" s="6" t="s">
        <v>151</v>
      </c>
      <c r="C2" s="72">
        <v>0</v>
      </c>
      <c r="D2" s="72">
        <v>0</v>
      </c>
      <c r="E2" s="72">
        <v>0</v>
      </c>
    </row>
    <row r="3" spans="1:5" x14ac:dyDescent="0.2">
      <c r="A3" s="44" t="s">
        <v>83</v>
      </c>
      <c r="B3" s="6" t="s">
        <v>152</v>
      </c>
      <c r="C3" s="72">
        <v>0</v>
      </c>
      <c r="D3" s="72">
        <v>0</v>
      </c>
      <c r="E3" s="72">
        <v>0</v>
      </c>
    </row>
    <row r="4" spans="1:5" x14ac:dyDescent="0.2">
      <c r="A4" s="44" t="s">
        <v>83</v>
      </c>
      <c r="B4" s="6" t="s">
        <v>153</v>
      </c>
      <c r="C4" s="72">
        <v>0</v>
      </c>
      <c r="D4" s="72">
        <v>0</v>
      </c>
      <c r="E4" s="72">
        <v>0</v>
      </c>
    </row>
    <row r="5" spans="1:5" x14ac:dyDescent="0.2">
      <c r="A5" s="44" t="s">
        <v>83</v>
      </c>
      <c r="B5" s="6" t="s">
        <v>154</v>
      </c>
      <c r="C5" s="72">
        <v>0</v>
      </c>
      <c r="D5" s="72">
        <v>0</v>
      </c>
      <c r="E5" s="72">
        <v>0</v>
      </c>
    </row>
    <row r="6" spans="1:5" x14ac:dyDescent="0.2">
      <c r="A6" s="44" t="s">
        <v>83</v>
      </c>
      <c r="B6" s="6" t="s">
        <v>155</v>
      </c>
      <c r="C6" s="72">
        <v>0</v>
      </c>
      <c r="D6" s="72">
        <v>0</v>
      </c>
      <c r="E6" s="72">
        <v>0</v>
      </c>
    </row>
    <row r="7" spans="1:5" x14ac:dyDescent="0.2">
      <c r="A7" s="44" t="s">
        <v>83</v>
      </c>
      <c r="B7" s="6" t="s">
        <v>156</v>
      </c>
      <c r="C7" s="72">
        <v>0</v>
      </c>
      <c r="D7" s="72">
        <v>0</v>
      </c>
      <c r="E7" s="72">
        <v>0</v>
      </c>
    </row>
    <row r="8" spans="1:5" x14ac:dyDescent="0.2">
      <c r="A8" s="44" t="s">
        <v>83</v>
      </c>
      <c r="B8" s="6" t="s">
        <v>157</v>
      </c>
      <c r="C8" s="72">
        <v>0</v>
      </c>
      <c r="D8" s="72">
        <v>0</v>
      </c>
      <c r="E8" s="72">
        <v>0</v>
      </c>
    </row>
    <row r="9" spans="1:5" x14ac:dyDescent="0.2">
      <c r="A9" s="44" t="s">
        <v>83</v>
      </c>
      <c r="B9" s="6" t="s">
        <v>158</v>
      </c>
      <c r="C9" s="72">
        <v>0</v>
      </c>
      <c r="D9" s="72">
        <v>0</v>
      </c>
      <c r="E9" s="72">
        <v>0</v>
      </c>
    </row>
    <row r="10" spans="1:5" x14ac:dyDescent="0.2">
      <c r="A10" s="44" t="s">
        <v>83</v>
      </c>
      <c r="B10" s="6" t="s">
        <v>159</v>
      </c>
      <c r="C10" s="72">
        <v>0</v>
      </c>
      <c r="D10" s="72">
        <v>0</v>
      </c>
      <c r="E10" s="72">
        <v>0</v>
      </c>
    </row>
    <row r="11" spans="1:5" x14ac:dyDescent="0.2">
      <c r="A11" s="44" t="s">
        <v>83</v>
      </c>
      <c r="B11" s="6" t="s">
        <v>160</v>
      </c>
      <c r="C11" s="72">
        <v>0</v>
      </c>
      <c r="D11" s="72">
        <v>0</v>
      </c>
      <c r="E11" s="72">
        <v>0</v>
      </c>
    </row>
    <row r="12" spans="1:5" x14ac:dyDescent="0.2">
      <c r="A12" s="44" t="s">
        <v>83</v>
      </c>
      <c r="B12" s="6" t="s">
        <v>161</v>
      </c>
      <c r="C12" s="72">
        <v>0</v>
      </c>
      <c r="D12" s="72">
        <v>0</v>
      </c>
      <c r="E12" s="72">
        <v>0</v>
      </c>
    </row>
    <row r="13" spans="1:5" x14ac:dyDescent="0.2">
      <c r="A13" s="44" t="s">
        <v>83</v>
      </c>
      <c r="B13" s="6" t="s">
        <v>162</v>
      </c>
      <c r="C13" s="72">
        <v>0</v>
      </c>
      <c r="D13" s="72">
        <v>0</v>
      </c>
      <c r="E13" s="72">
        <v>0</v>
      </c>
    </row>
    <row r="14" spans="1:5" x14ac:dyDescent="0.2">
      <c r="A14" s="44" t="s">
        <v>94</v>
      </c>
      <c r="B14" s="6" t="s">
        <v>151</v>
      </c>
      <c r="C14" s="72">
        <v>0</v>
      </c>
      <c r="D14" s="72">
        <v>0</v>
      </c>
      <c r="E14" s="72">
        <v>1</v>
      </c>
    </row>
    <row r="15" spans="1:5" x14ac:dyDescent="0.2">
      <c r="A15" s="44" t="s">
        <v>94</v>
      </c>
      <c r="B15" s="6" t="s">
        <v>152</v>
      </c>
      <c r="C15" s="72">
        <v>0</v>
      </c>
      <c r="D15" s="72">
        <v>0</v>
      </c>
      <c r="E15" s="72">
        <v>0</v>
      </c>
    </row>
    <row r="16" spans="1:5" x14ac:dyDescent="0.2">
      <c r="A16" s="44" t="s">
        <v>94</v>
      </c>
      <c r="B16" s="6" t="s">
        <v>153</v>
      </c>
      <c r="C16" s="72">
        <v>0</v>
      </c>
      <c r="D16" s="72">
        <v>0</v>
      </c>
      <c r="E16" s="72">
        <v>0</v>
      </c>
    </row>
    <row r="17" spans="1:5" x14ac:dyDescent="0.2">
      <c r="A17" s="44" t="s">
        <v>94</v>
      </c>
      <c r="B17" s="6" t="s">
        <v>154</v>
      </c>
      <c r="C17" s="72">
        <v>0</v>
      </c>
      <c r="D17" s="72">
        <v>0</v>
      </c>
      <c r="E17" s="72">
        <v>0</v>
      </c>
    </row>
    <row r="18" spans="1:5" x14ac:dyDescent="0.2">
      <c r="A18" s="44" t="s">
        <v>94</v>
      </c>
      <c r="B18" s="6" t="s">
        <v>155</v>
      </c>
      <c r="C18" s="72">
        <v>0</v>
      </c>
      <c r="D18" s="72">
        <v>0</v>
      </c>
      <c r="E18" s="72">
        <v>0</v>
      </c>
    </row>
    <row r="19" spans="1:5" x14ac:dyDescent="0.2">
      <c r="A19" s="44" t="s">
        <v>94</v>
      </c>
      <c r="B19" s="6" t="s">
        <v>156</v>
      </c>
      <c r="C19" s="72">
        <v>0</v>
      </c>
      <c r="D19" s="72">
        <v>0</v>
      </c>
      <c r="E19" s="72">
        <v>0</v>
      </c>
    </row>
    <row r="20" spans="1:5" x14ac:dyDescent="0.2">
      <c r="A20" s="44" t="s">
        <v>94</v>
      </c>
      <c r="B20" s="6" t="s">
        <v>157</v>
      </c>
      <c r="C20" s="72">
        <v>0</v>
      </c>
      <c r="D20" s="72">
        <v>0</v>
      </c>
      <c r="E20" s="72">
        <v>0</v>
      </c>
    </row>
    <row r="21" spans="1:5" x14ac:dyDescent="0.2">
      <c r="A21" s="44" t="s">
        <v>94</v>
      </c>
      <c r="B21" s="6" t="s">
        <v>158</v>
      </c>
      <c r="C21" s="72">
        <v>0</v>
      </c>
      <c r="D21" s="72">
        <v>0</v>
      </c>
      <c r="E21" s="72">
        <v>0</v>
      </c>
    </row>
    <row r="22" spans="1:5" x14ac:dyDescent="0.2">
      <c r="A22" s="44" t="s">
        <v>94</v>
      </c>
      <c r="B22" s="6" t="s">
        <v>159</v>
      </c>
      <c r="C22" s="72">
        <v>0</v>
      </c>
      <c r="D22" s="72">
        <v>0</v>
      </c>
      <c r="E22" s="72">
        <v>0</v>
      </c>
    </row>
    <row r="23" spans="1:5" x14ac:dyDescent="0.2">
      <c r="A23" s="44" t="s">
        <v>94</v>
      </c>
      <c r="B23" s="6" t="s">
        <v>160</v>
      </c>
      <c r="C23" s="72">
        <v>0</v>
      </c>
      <c r="D23" s="72">
        <v>0</v>
      </c>
      <c r="E23" s="72">
        <v>0</v>
      </c>
    </row>
    <row r="24" spans="1:5" x14ac:dyDescent="0.2">
      <c r="A24" s="44" t="s">
        <v>94</v>
      </c>
      <c r="B24" s="6" t="s">
        <v>161</v>
      </c>
      <c r="C24" s="72">
        <v>0</v>
      </c>
      <c r="D24" s="72">
        <v>0</v>
      </c>
      <c r="E24" s="72">
        <v>0</v>
      </c>
    </row>
    <row r="25" spans="1:5" x14ac:dyDescent="0.2">
      <c r="A25" s="44" t="s">
        <v>94</v>
      </c>
      <c r="B25" s="6" t="s">
        <v>162</v>
      </c>
      <c r="C25" s="72">
        <v>0</v>
      </c>
      <c r="D25" s="72">
        <v>0</v>
      </c>
      <c r="E25" s="72">
        <v>0</v>
      </c>
    </row>
    <row r="26" spans="1:5" x14ac:dyDescent="0.2">
      <c r="A26" s="44" t="s">
        <v>55</v>
      </c>
      <c r="B26" s="6" t="s">
        <v>151</v>
      </c>
      <c r="C26" s="72">
        <v>0</v>
      </c>
      <c r="D26" s="72">
        <v>0</v>
      </c>
      <c r="E26" s="72">
        <v>0</v>
      </c>
    </row>
    <row r="27" spans="1:5" x14ac:dyDescent="0.2">
      <c r="A27" s="44" t="s">
        <v>55</v>
      </c>
      <c r="B27" s="6" t="s">
        <v>152</v>
      </c>
      <c r="C27" s="72">
        <v>0</v>
      </c>
      <c r="D27" s="72">
        <v>0</v>
      </c>
      <c r="E27" s="72">
        <v>1</v>
      </c>
    </row>
    <row r="28" spans="1:5" x14ac:dyDescent="0.2">
      <c r="A28" s="44" t="s">
        <v>55</v>
      </c>
      <c r="B28" s="6" t="s">
        <v>153</v>
      </c>
      <c r="C28" s="72">
        <v>0</v>
      </c>
      <c r="D28" s="72">
        <v>0</v>
      </c>
      <c r="E28" s="72">
        <v>0</v>
      </c>
    </row>
    <row r="29" spans="1:5" x14ac:dyDescent="0.2">
      <c r="A29" s="44" t="s">
        <v>55</v>
      </c>
      <c r="B29" s="6" t="s">
        <v>154</v>
      </c>
      <c r="C29" s="72">
        <v>0</v>
      </c>
      <c r="D29" s="72">
        <v>0</v>
      </c>
      <c r="E29" s="72">
        <v>0</v>
      </c>
    </row>
    <row r="30" spans="1:5" x14ac:dyDescent="0.2">
      <c r="A30" s="44" t="s">
        <v>55</v>
      </c>
      <c r="B30" s="6" t="s">
        <v>155</v>
      </c>
      <c r="C30" s="72">
        <v>0</v>
      </c>
      <c r="D30" s="72">
        <v>0</v>
      </c>
      <c r="E30" s="72">
        <v>0</v>
      </c>
    </row>
    <row r="31" spans="1:5" x14ac:dyDescent="0.2">
      <c r="A31" s="44" t="s">
        <v>55</v>
      </c>
      <c r="B31" s="6" t="s">
        <v>156</v>
      </c>
      <c r="C31" s="72">
        <v>0</v>
      </c>
      <c r="D31" s="72">
        <v>0</v>
      </c>
      <c r="E31" s="72">
        <v>0</v>
      </c>
    </row>
    <row r="32" spans="1:5" x14ac:dyDescent="0.2">
      <c r="A32" s="44" t="s">
        <v>55</v>
      </c>
      <c r="B32" s="6" t="s">
        <v>157</v>
      </c>
      <c r="C32" s="72">
        <v>0</v>
      </c>
      <c r="D32" s="72">
        <v>0</v>
      </c>
      <c r="E32" s="72">
        <v>0</v>
      </c>
    </row>
    <row r="33" spans="1:5" x14ac:dyDescent="0.2">
      <c r="A33" s="44" t="s">
        <v>55</v>
      </c>
      <c r="B33" s="6" t="s">
        <v>158</v>
      </c>
      <c r="C33" s="72">
        <v>0</v>
      </c>
      <c r="D33" s="72">
        <v>0</v>
      </c>
      <c r="E33" s="72">
        <v>0</v>
      </c>
    </row>
    <row r="34" spans="1:5" x14ac:dyDescent="0.2">
      <c r="A34" s="44" t="s">
        <v>55</v>
      </c>
      <c r="B34" s="6" t="s">
        <v>159</v>
      </c>
      <c r="C34" s="72">
        <v>0</v>
      </c>
      <c r="D34" s="72">
        <v>0</v>
      </c>
      <c r="E34" s="72">
        <v>0</v>
      </c>
    </row>
    <row r="35" spans="1:5" x14ac:dyDescent="0.2">
      <c r="A35" s="44" t="s">
        <v>55</v>
      </c>
      <c r="B35" s="6" t="s">
        <v>160</v>
      </c>
      <c r="C35" s="72">
        <v>0</v>
      </c>
      <c r="D35" s="72">
        <v>0</v>
      </c>
      <c r="E35" s="72">
        <v>0</v>
      </c>
    </row>
    <row r="36" spans="1:5" x14ac:dyDescent="0.2">
      <c r="A36" s="44" t="s">
        <v>55</v>
      </c>
      <c r="B36" s="6" t="s">
        <v>161</v>
      </c>
      <c r="C36" s="72">
        <v>0</v>
      </c>
      <c r="D36" s="72">
        <v>0</v>
      </c>
      <c r="E36" s="72">
        <v>0</v>
      </c>
    </row>
    <row r="37" spans="1:5" x14ac:dyDescent="0.2">
      <c r="A37" s="44" t="s">
        <v>55</v>
      </c>
      <c r="B37" s="6" t="s">
        <v>162</v>
      </c>
      <c r="C37" s="72">
        <v>0</v>
      </c>
      <c r="D37" s="72">
        <v>0</v>
      </c>
      <c r="E37" s="72">
        <v>0</v>
      </c>
    </row>
    <row r="38" spans="1:5" x14ac:dyDescent="0.2">
      <c r="A38" s="44" t="s">
        <v>142</v>
      </c>
      <c r="B38" s="6" t="s">
        <v>151</v>
      </c>
      <c r="C38" s="72">
        <v>0</v>
      </c>
      <c r="D38" s="72">
        <v>0</v>
      </c>
      <c r="E38" s="72">
        <v>1</v>
      </c>
    </row>
    <row r="39" spans="1:5" x14ac:dyDescent="0.2">
      <c r="A39" s="44" t="s">
        <v>142</v>
      </c>
      <c r="B39" s="6" t="s">
        <v>152</v>
      </c>
      <c r="C39" s="72">
        <v>0</v>
      </c>
      <c r="D39" s="72">
        <v>0</v>
      </c>
      <c r="E39" s="72">
        <v>0</v>
      </c>
    </row>
    <row r="40" spans="1:5" x14ac:dyDescent="0.2">
      <c r="A40" s="44" t="s">
        <v>142</v>
      </c>
      <c r="B40" s="6" t="s">
        <v>153</v>
      </c>
      <c r="C40" s="72">
        <v>0</v>
      </c>
      <c r="D40" s="72">
        <v>0</v>
      </c>
      <c r="E40" s="72">
        <v>0</v>
      </c>
    </row>
    <row r="41" spans="1:5" x14ac:dyDescent="0.2">
      <c r="A41" s="44" t="s">
        <v>142</v>
      </c>
      <c r="B41" s="6" t="s">
        <v>154</v>
      </c>
      <c r="C41" s="72">
        <v>0</v>
      </c>
      <c r="D41" s="72">
        <v>0</v>
      </c>
      <c r="E41" s="72">
        <v>0</v>
      </c>
    </row>
    <row r="42" spans="1:5" x14ac:dyDescent="0.2">
      <c r="A42" s="44" t="s">
        <v>142</v>
      </c>
      <c r="B42" s="6" t="s">
        <v>155</v>
      </c>
      <c r="C42" s="72">
        <v>0</v>
      </c>
      <c r="D42" s="72">
        <v>0</v>
      </c>
      <c r="E42" s="72">
        <v>1</v>
      </c>
    </row>
    <row r="43" spans="1:5" x14ac:dyDescent="0.2">
      <c r="A43" s="44" t="s">
        <v>142</v>
      </c>
      <c r="B43" s="6" t="s">
        <v>156</v>
      </c>
      <c r="C43" s="72">
        <v>0</v>
      </c>
      <c r="D43" s="72">
        <v>0</v>
      </c>
      <c r="E43" s="72">
        <v>0</v>
      </c>
    </row>
    <row r="44" spans="1:5" x14ac:dyDescent="0.2">
      <c r="A44" s="44" t="s">
        <v>142</v>
      </c>
      <c r="B44" s="6" t="s">
        <v>157</v>
      </c>
      <c r="C44" s="72">
        <v>0</v>
      </c>
      <c r="D44" s="72">
        <v>0</v>
      </c>
      <c r="E44" s="72">
        <v>0</v>
      </c>
    </row>
    <row r="45" spans="1:5" x14ac:dyDescent="0.2">
      <c r="A45" s="44" t="s">
        <v>142</v>
      </c>
      <c r="B45" s="6" t="s">
        <v>158</v>
      </c>
      <c r="C45" s="72">
        <v>0</v>
      </c>
      <c r="D45" s="72">
        <v>0</v>
      </c>
      <c r="E45" s="72">
        <v>0</v>
      </c>
    </row>
    <row r="46" spans="1:5" x14ac:dyDescent="0.2">
      <c r="A46" s="44" t="s">
        <v>142</v>
      </c>
      <c r="B46" s="6" t="s">
        <v>159</v>
      </c>
      <c r="C46" s="72">
        <v>0</v>
      </c>
      <c r="D46" s="72">
        <v>0</v>
      </c>
      <c r="E46" s="72">
        <v>0</v>
      </c>
    </row>
    <row r="47" spans="1:5" x14ac:dyDescent="0.2">
      <c r="A47" s="44" t="s">
        <v>142</v>
      </c>
      <c r="B47" s="6" t="s">
        <v>160</v>
      </c>
      <c r="C47" s="72">
        <v>0</v>
      </c>
      <c r="D47" s="72">
        <v>0</v>
      </c>
      <c r="E47" s="72">
        <v>0</v>
      </c>
    </row>
    <row r="48" spans="1:5" x14ac:dyDescent="0.2">
      <c r="A48" s="44" t="s">
        <v>142</v>
      </c>
      <c r="B48" s="6" t="s">
        <v>161</v>
      </c>
      <c r="C48" s="72">
        <v>0</v>
      </c>
      <c r="D48" s="72">
        <v>0</v>
      </c>
      <c r="E48" s="72">
        <v>0</v>
      </c>
    </row>
    <row r="49" spans="1:5" x14ac:dyDescent="0.2">
      <c r="A49" s="44" t="s">
        <v>142</v>
      </c>
      <c r="B49" s="6" t="s">
        <v>162</v>
      </c>
      <c r="C49" s="72">
        <v>0</v>
      </c>
      <c r="D49" s="72">
        <v>0</v>
      </c>
      <c r="E49" s="72">
        <v>0</v>
      </c>
    </row>
    <row r="50" spans="1:5" x14ac:dyDescent="0.2">
      <c r="A50" s="44" t="s">
        <v>65</v>
      </c>
      <c r="B50" s="6" t="s">
        <v>151</v>
      </c>
      <c r="C50" s="72">
        <v>0</v>
      </c>
      <c r="D50" s="72">
        <v>0</v>
      </c>
      <c r="E50" s="72">
        <v>0</v>
      </c>
    </row>
    <row r="51" spans="1:5" x14ac:dyDescent="0.2">
      <c r="A51" s="44" t="s">
        <v>65</v>
      </c>
      <c r="B51" s="6" t="s">
        <v>152</v>
      </c>
      <c r="C51" s="72">
        <v>0</v>
      </c>
      <c r="D51" s="72">
        <v>0</v>
      </c>
      <c r="E51" s="72">
        <v>0</v>
      </c>
    </row>
    <row r="52" spans="1:5" x14ac:dyDescent="0.2">
      <c r="A52" s="44" t="s">
        <v>65</v>
      </c>
      <c r="B52" s="6" t="s">
        <v>153</v>
      </c>
      <c r="C52" s="72">
        <v>0</v>
      </c>
      <c r="D52" s="72">
        <v>0</v>
      </c>
      <c r="E52" s="72">
        <v>0</v>
      </c>
    </row>
    <row r="53" spans="1:5" x14ac:dyDescent="0.2">
      <c r="A53" s="44" t="s">
        <v>65</v>
      </c>
      <c r="B53" s="6" t="s">
        <v>154</v>
      </c>
      <c r="C53" s="72">
        <v>0</v>
      </c>
      <c r="D53" s="72">
        <v>0</v>
      </c>
      <c r="E53" s="72">
        <v>0</v>
      </c>
    </row>
    <row r="54" spans="1:5" x14ac:dyDescent="0.2">
      <c r="A54" s="44" t="s">
        <v>65</v>
      </c>
      <c r="B54" s="6" t="s">
        <v>155</v>
      </c>
      <c r="C54" s="72">
        <v>0</v>
      </c>
      <c r="D54" s="72">
        <v>0</v>
      </c>
      <c r="E54" s="72">
        <v>0</v>
      </c>
    </row>
    <row r="55" spans="1:5" x14ac:dyDescent="0.2">
      <c r="A55" s="44" t="s">
        <v>65</v>
      </c>
      <c r="B55" s="6" t="s">
        <v>156</v>
      </c>
      <c r="C55" s="72">
        <v>0</v>
      </c>
      <c r="D55" s="72">
        <v>0</v>
      </c>
      <c r="E55" s="72">
        <v>0</v>
      </c>
    </row>
    <row r="56" spans="1:5" x14ac:dyDescent="0.2">
      <c r="A56" s="44" t="s">
        <v>65</v>
      </c>
      <c r="B56" s="6" t="s">
        <v>157</v>
      </c>
      <c r="C56" s="72">
        <v>0</v>
      </c>
      <c r="D56" s="72">
        <v>0</v>
      </c>
      <c r="E56" s="72">
        <v>0</v>
      </c>
    </row>
    <row r="57" spans="1:5" x14ac:dyDescent="0.2">
      <c r="A57" s="44" t="s">
        <v>65</v>
      </c>
      <c r="B57" s="6" t="s">
        <v>158</v>
      </c>
      <c r="C57" s="72">
        <v>0</v>
      </c>
      <c r="D57" s="72">
        <v>0</v>
      </c>
      <c r="E57" s="72">
        <v>0</v>
      </c>
    </row>
    <row r="58" spans="1:5" x14ac:dyDescent="0.2">
      <c r="A58" s="44" t="s">
        <v>65</v>
      </c>
      <c r="B58" s="6" t="s">
        <v>159</v>
      </c>
      <c r="C58" s="72">
        <v>0</v>
      </c>
      <c r="D58" s="72">
        <v>0</v>
      </c>
      <c r="E58" s="72">
        <v>0</v>
      </c>
    </row>
    <row r="59" spans="1:5" x14ac:dyDescent="0.2">
      <c r="A59" s="44" t="s">
        <v>65</v>
      </c>
      <c r="B59" s="6" t="s">
        <v>160</v>
      </c>
      <c r="C59" s="72">
        <v>0</v>
      </c>
      <c r="D59" s="72">
        <v>0</v>
      </c>
      <c r="E59" s="72">
        <v>0</v>
      </c>
    </row>
    <row r="60" spans="1:5" x14ac:dyDescent="0.2">
      <c r="A60" s="44" t="s">
        <v>65</v>
      </c>
      <c r="B60" s="6" t="s">
        <v>161</v>
      </c>
      <c r="C60" s="72">
        <v>0</v>
      </c>
      <c r="D60" s="72">
        <v>0</v>
      </c>
      <c r="E60" s="72">
        <v>0</v>
      </c>
    </row>
    <row r="61" spans="1:5" x14ac:dyDescent="0.2">
      <c r="A61" s="44" t="s">
        <v>65</v>
      </c>
      <c r="B61" s="6" t="s">
        <v>162</v>
      </c>
      <c r="C61" s="72">
        <v>0</v>
      </c>
      <c r="D61" s="72">
        <v>0</v>
      </c>
      <c r="E61" s="72">
        <v>0</v>
      </c>
    </row>
    <row r="62" spans="1:5" x14ac:dyDescent="0.2">
      <c r="A62" s="44" t="s">
        <v>41</v>
      </c>
      <c r="B62" s="6" t="s">
        <v>151</v>
      </c>
      <c r="C62" s="72">
        <v>0</v>
      </c>
      <c r="D62" s="72">
        <v>0</v>
      </c>
      <c r="E62" s="72">
        <v>402</v>
      </c>
    </row>
    <row r="63" spans="1:5" x14ac:dyDescent="0.2">
      <c r="A63" s="44" t="s">
        <v>41</v>
      </c>
      <c r="B63" s="6" t="s">
        <v>152</v>
      </c>
      <c r="C63" s="72">
        <v>0</v>
      </c>
      <c r="D63" s="72">
        <v>0</v>
      </c>
      <c r="E63" s="72">
        <v>319</v>
      </c>
    </row>
    <row r="64" spans="1:5" x14ac:dyDescent="0.2">
      <c r="A64" s="44" t="s">
        <v>41</v>
      </c>
      <c r="B64" s="6" t="s">
        <v>153</v>
      </c>
      <c r="C64" s="72">
        <v>0</v>
      </c>
      <c r="D64" s="72">
        <v>0</v>
      </c>
      <c r="E64" s="72">
        <v>0</v>
      </c>
    </row>
    <row r="65" spans="1:5" x14ac:dyDescent="0.2">
      <c r="A65" s="44" t="s">
        <v>41</v>
      </c>
      <c r="B65" s="6" t="s">
        <v>154</v>
      </c>
      <c r="C65" s="72">
        <v>0</v>
      </c>
      <c r="D65" s="72">
        <v>0</v>
      </c>
      <c r="E65" s="72">
        <v>0</v>
      </c>
    </row>
    <row r="66" spans="1:5" x14ac:dyDescent="0.2">
      <c r="A66" s="44" t="s">
        <v>41</v>
      </c>
      <c r="B66" s="6" t="s">
        <v>155</v>
      </c>
      <c r="C66" s="72">
        <v>0</v>
      </c>
      <c r="D66" s="72">
        <v>0</v>
      </c>
      <c r="E66" s="72">
        <v>0</v>
      </c>
    </row>
    <row r="67" spans="1:5" x14ac:dyDescent="0.2">
      <c r="A67" s="44" t="s">
        <v>41</v>
      </c>
      <c r="B67" s="6" t="s">
        <v>156</v>
      </c>
      <c r="C67" s="72">
        <v>0</v>
      </c>
      <c r="D67" s="72">
        <v>0</v>
      </c>
      <c r="E67" s="72">
        <v>0</v>
      </c>
    </row>
    <row r="68" spans="1:5" x14ac:dyDescent="0.2">
      <c r="A68" s="44" t="s">
        <v>41</v>
      </c>
      <c r="B68" s="6" t="s">
        <v>157</v>
      </c>
      <c r="C68" s="72">
        <v>0</v>
      </c>
      <c r="D68" s="72">
        <v>0</v>
      </c>
      <c r="E68" s="72">
        <v>2</v>
      </c>
    </row>
    <row r="69" spans="1:5" x14ac:dyDescent="0.2">
      <c r="A69" s="44" t="s">
        <v>41</v>
      </c>
      <c r="B69" s="6" t="s">
        <v>158</v>
      </c>
      <c r="C69" s="72">
        <v>0</v>
      </c>
      <c r="D69" s="72">
        <v>0</v>
      </c>
      <c r="E69" s="72">
        <v>0</v>
      </c>
    </row>
    <row r="70" spans="1:5" x14ac:dyDescent="0.2">
      <c r="A70" s="44" t="s">
        <v>41</v>
      </c>
      <c r="B70" s="6" t="s">
        <v>159</v>
      </c>
      <c r="C70" s="72">
        <v>0</v>
      </c>
      <c r="D70" s="72">
        <v>0</v>
      </c>
      <c r="E70" s="72">
        <v>0</v>
      </c>
    </row>
    <row r="71" spans="1:5" x14ac:dyDescent="0.2">
      <c r="A71" s="44" t="s">
        <v>41</v>
      </c>
      <c r="B71" s="6" t="s">
        <v>160</v>
      </c>
      <c r="C71" s="72">
        <v>0</v>
      </c>
      <c r="D71" s="72">
        <v>0</v>
      </c>
      <c r="E71" s="72">
        <v>0</v>
      </c>
    </row>
    <row r="72" spans="1:5" x14ac:dyDescent="0.2">
      <c r="A72" s="44" t="s">
        <v>41</v>
      </c>
      <c r="B72" s="6" t="s">
        <v>161</v>
      </c>
      <c r="C72" s="72">
        <v>0</v>
      </c>
      <c r="D72" s="72">
        <v>0</v>
      </c>
      <c r="E72" s="72">
        <v>0</v>
      </c>
    </row>
    <row r="73" spans="1:5" x14ac:dyDescent="0.2">
      <c r="A73" s="44" t="s">
        <v>41</v>
      </c>
      <c r="B73" s="6" t="s">
        <v>162</v>
      </c>
      <c r="C73" s="72">
        <v>0</v>
      </c>
      <c r="D73" s="72">
        <v>0</v>
      </c>
      <c r="E73" s="72">
        <v>0</v>
      </c>
    </row>
    <row r="74" spans="1:5" x14ac:dyDescent="0.2">
      <c r="A74" s="44" t="s">
        <v>62</v>
      </c>
      <c r="B74" s="6" t="s">
        <v>151</v>
      </c>
      <c r="C74" s="72">
        <v>0</v>
      </c>
      <c r="D74" s="72">
        <v>0</v>
      </c>
      <c r="E74" s="72">
        <v>0</v>
      </c>
    </row>
    <row r="75" spans="1:5" x14ac:dyDescent="0.2">
      <c r="A75" s="44" t="s">
        <v>62</v>
      </c>
      <c r="B75" s="6" t="s">
        <v>152</v>
      </c>
      <c r="C75" s="72">
        <v>0</v>
      </c>
      <c r="D75" s="72">
        <v>0</v>
      </c>
      <c r="E75" s="72">
        <v>0</v>
      </c>
    </row>
    <row r="76" spans="1:5" x14ac:dyDescent="0.2">
      <c r="A76" s="44" t="s">
        <v>62</v>
      </c>
      <c r="B76" s="6" t="s">
        <v>153</v>
      </c>
      <c r="C76" s="72">
        <v>0</v>
      </c>
      <c r="D76" s="72">
        <v>0</v>
      </c>
      <c r="E76" s="72">
        <v>0</v>
      </c>
    </row>
    <row r="77" spans="1:5" x14ac:dyDescent="0.2">
      <c r="A77" s="44" t="s">
        <v>62</v>
      </c>
      <c r="B77" s="6" t="s">
        <v>154</v>
      </c>
      <c r="C77" s="72">
        <v>0</v>
      </c>
      <c r="D77" s="72">
        <v>0</v>
      </c>
      <c r="E77" s="72">
        <v>0</v>
      </c>
    </row>
    <row r="78" spans="1:5" x14ac:dyDescent="0.2">
      <c r="A78" s="44" t="s">
        <v>62</v>
      </c>
      <c r="B78" s="6" t="s">
        <v>155</v>
      </c>
      <c r="C78" s="72">
        <v>0</v>
      </c>
      <c r="D78" s="72">
        <v>0</v>
      </c>
      <c r="E78" s="72">
        <v>0</v>
      </c>
    </row>
    <row r="79" spans="1:5" x14ac:dyDescent="0.2">
      <c r="A79" s="44" t="s">
        <v>62</v>
      </c>
      <c r="B79" s="6" t="s">
        <v>156</v>
      </c>
      <c r="C79" s="72">
        <v>0</v>
      </c>
      <c r="D79" s="72">
        <v>0</v>
      </c>
      <c r="E79" s="72">
        <v>0</v>
      </c>
    </row>
    <row r="80" spans="1:5" x14ac:dyDescent="0.2">
      <c r="A80" s="44" t="s">
        <v>62</v>
      </c>
      <c r="B80" s="6" t="s">
        <v>157</v>
      </c>
      <c r="C80" s="72">
        <v>0</v>
      </c>
      <c r="D80" s="72">
        <v>0</v>
      </c>
      <c r="E80" s="72">
        <v>0</v>
      </c>
    </row>
    <row r="81" spans="1:5" x14ac:dyDescent="0.2">
      <c r="A81" s="44" t="s">
        <v>62</v>
      </c>
      <c r="B81" s="6" t="s">
        <v>158</v>
      </c>
      <c r="C81" s="72">
        <v>0</v>
      </c>
      <c r="D81" s="72">
        <v>0</v>
      </c>
      <c r="E81" s="72">
        <v>0</v>
      </c>
    </row>
    <row r="82" spans="1:5" x14ac:dyDescent="0.2">
      <c r="A82" s="44" t="s">
        <v>62</v>
      </c>
      <c r="B82" s="6" t="s">
        <v>159</v>
      </c>
      <c r="C82" s="72">
        <v>0</v>
      </c>
      <c r="D82" s="72">
        <v>0</v>
      </c>
      <c r="E82" s="72">
        <v>0</v>
      </c>
    </row>
    <row r="83" spans="1:5" x14ac:dyDescent="0.2">
      <c r="A83" s="44" t="s">
        <v>62</v>
      </c>
      <c r="B83" s="6" t="s">
        <v>160</v>
      </c>
      <c r="C83" s="72">
        <v>0</v>
      </c>
      <c r="D83" s="72">
        <v>0</v>
      </c>
      <c r="E83" s="72">
        <v>0</v>
      </c>
    </row>
    <row r="84" spans="1:5" x14ac:dyDescent="0.2">
      <c r="A84" s="44" t="s">
        <v>62</v>
      </c>
      <c r="B84" s="6" t="s">
        <v>161</v>
      </c>
      <c r="C84" s="72">
        <v>0</v>
      </c>
      <c r="D84" s="72">
        <v>0</v>
      </c>
      <c r="E84" s="72">
        <v>0</v>
      </c>
    </row>
    <row r="85" spans="1:5" x14ac:dyDescent="0.2">
      <c r="A85" s="44" t="s">
        <v>62</v>
      </c>
      <c r="B85" s="6" t="s">
        <v>162</v>
      </c>
      <c r="C85" s="72">
        <v>0</v>
      </c>
      <c r="D85" s="72">
        <v>0</v>
      </c>
      <c r="E85" s="72">
        <v>0</v>
      </c>
    </row>
    <row r="86" spans="1:5" x14ac:dyDescent="0.2">
      <c r="A86" s="44" t="s">
        <v>114</v>
      </c>
      <c r="B86" s="6" t="s">
        <v>151</v>
      </c>
      <c r="C86" s="72">
        <v>0</v>
      </c>
      <c r="D86" s="72">
        <v>0</v>
      </c>
      <c r="E86" s="72">
        <v>0</v>
      </c>
    </row>
    <row r="87" spans="1:5" x14ac:dyDescent="0.2">
      <c r="A87" s="44" t="s">
        <v>114</v>
      </c>
      <c r="B87" s="6" t="s">
        <v>152</v>
      </c>
      <c r="C87" s="72">
        <v>0</v>
      </c>
      <c r="D87" s="72">
        <v>0</v>
      </c>
      <c r="E87" s="72">
        <v>1</v>
      </c>
    </row>
    <row r="88" spans="1:5" x14ac:dyDescent="0.2">
      <c r="A88" s="44" t="s">
        <v>114</v>
      </c>
      <c r="B88" s="6" t="s">
        <v>153</v>
      </c>
      <c r="C88" s="72">
        <v>0</v>
      </c>
      <c r="D88" s="72">
        <v>0</v>
      </c>
      <c r="E88" s="72">
        <v>0</v>
      </c>
    </row>
    <row r="89" spans="1:5" x14ac:dyDescent="0.2">
      <c r="A89" s="44" t="s">
        <v>114</v>
      </c>
      <c r="B89" s="6" t="s">
        <v>154</v>
      </c>
      <c r="C89" s="72">
        <v>0</v>
      </c>
      <c r="D89" s="72">
        <v>0</v>
      </c>
      <c r="E89" s="72">
        <v>0</v>
      </c>
    </row>
    <row r="90" spans="1:5" x14ac:dyDescent="0.2">
      <c r="A90" s="44" t="s">
        <v>114</v>
      </c>
      <c r="B90" s="6" t="s">
        <v>155</v>
      </c>
      <c r="C90" s="72">
        <v>0</v>
      </c>
      <c r="D90" s="72">
        <v>0</v>
      </c>
      <c r="E90" s="72">
        <v>2</v>
      </c>
    </row>
    <row r="91" spans="1:5" x14ac:dyDescent="0.2">
      <c r="A91" s="44" t="s">
        <v>114</v>
      </c>
      <c r="B91" s="6" t="s">
        <v>156</v>
      </c>
      <c r="C91" s="72">
        <v>0</v>
      </c>
      <c r="D91" s="72">
        <v>0</v>
      </c>
      <c r="E91" s="72">
        <v>1</v>
      </c>
    </row>
    <row r="92" spans="1:5" x14ac:dyDescent="0.2">
      <c r="A92" s="44" t="s">
        <v>114</v>
      </c>
      <c r="B92" s="6" t="s">
        <v>157</v>
      </c>
      <c r="C92" s="72">
        <v>0</v>
      </c>
      <c r="D92" s="72">
        <v>0</v>
      </c>
      <c r="E92" s="72">
        <v>0</v>
      </c>
    </row>
    <row r="93" spans="1:5" x14ac:dyDescent="0.2">
      <c r="A93" s="44" t="s">
        <v>114</v>
      </c>
      <c r="B93" s="6" t="s">
        <v>158</v>
      </c>
      <c r="C93" s="72">
        <v>0</v>
      </c>
      <c r="D93" s="72">
        <v>0</v>
      </c>
      <c r="E93" s="72">
        <v>0</v>
      </c>
    </row>
    <row r="94" spans="1:5" x14ac:dyDescent="0.2">
      <c r="A94" s="44" t="s">
        <v>114</v>
      </c>
      <c r="B94" s="6" t="s">
        <v>159</v>
      </c>
      <c r="C94" s="72">
        <v>0</v>
      </c>
      <c r="D94" s="72">
        <v>0</v>
      </c>
      <c r="E94" s="72">
        <v>0</v>
      </c>
    </row>
    <row r="95" spans="1:5" x14ac:dyDescent="0.2">
      <c r="A95" s="44" t="s">
        <v>114</v>
      </c>
      <c r="B95" s="6" t="s">
        <v>160</v>
      </c>
      <c r="C95" s="72">
        <v>0</v>
      </c>
      <c r="D95" s="72">
        <v>0</v>
      </c>
      <c r="E95" s="72">
        <v>0</v>
      </c>
    </row>
    <row r="96" spans="1:5" x14ac:dyDescent="0.2">
      <c r="A96" s="44" t="s">
        <v>114</v>
      </c>
      <c r="B96" s="6" t="s">
        <v>161</v>
      </c>
      <c r="C96" s="72">
        <v>0</v>
      </c>
      <c r="D96" s="72">
        <v>0</v>
      </c>
      <c r="E96" s="72">
        <v>0</v>
      </c>
    </row>
    <row r="97" spans="1:5" x14ac:dyDescent="0.2">
      <c r="A97" s="44" t="s">
        <v>114</v>
      </c>
      <c r="B97" s="6" t="s">
        <v>162</v>
      </c>
      <c r="C97" s="72">
        <v>0</v>
      </c>
      <c r="D97" s="72">
        <v>0</v>
      </c>
      <c r="E97" s="72">
        <v>0</v>
      </c>
    </row>
    <row r="98" spans="1:5" x14ac:dyDescent="0.2">
      <c r="A98" s="44" t="s">
        <v>47</v>
      </c>
      <c r="B98" s="6" t="s">
        <v>151</v>
      </c>
      <c r="C98" s="72">
        <v>0</v>
      </c>
      <c r="D98" s="72">
        <v>0</v>
      </c>
      <c r="E98" s="72">
        <v>0</v>
      </c>
    </row>
    <row r="99" spans="1:5" x14ac:dyDescent="0.2">
      <c r="A99" s="44" t="s">
        <v>47</v>
      </c>
      <c r="B99" s="6" t="s">
        <v>152</v>
      </c>
      <c r="C99" s="72">
        <v>0</v>
      </c>
      <c r="D99" s="72">
        <v>0</v>
      </c>
      <c r="E99" s="72">
        <v>2</v>
      </c>
    </row>
    <row r="100" spans="1:5" x14ac:dyDescent="0.2">
      <c r="A100" s="44" t="s">
        <v>47</v>
      </c>
      <c r="B100" s="6" t="s">
        <v>153</v>
      </c>
      <c r="C100" s="72">
        <v>0</v>
      </c>
      <c r="D100" s="72">
        <v>0</v>
      </c>
      <c r="E100" s="72">
        <v>0</v>
      </c>
    </row>
    <row r="101" spans="1:5" x14ac:dyDescent="0.2">
      <c r="A101" s="44" t="s">
        <v>47</v>
      </c>
      <c r="B101" s="6" t="s">
        <v>154</v>
      </c>
      <c r="C101" s="72">
        <v>0</v>
      </c>
      <c r="D101" s="72">
        <v>0</v>
      </c>
      <c r="E101" s="72">
        <v>0</v>
      </c>
    </row>
    <row r="102" spans="1:5" x14ac:dyDescent="0.2">
      <c r="A102" s="44" t="s">
        <v>47</v>
      </c>
      <c r="B102" s="6" t="s">
        <v>155</v>
      </c>
      <c r="C102" s="72">
        <v>0</v>
      </c>
      <c r="D102" s="72">
        <v>0</v>
      </c>
      <c r="E102" s="72">
        <v>3</v>
      </c>
    </row>
    <row r="103" spans="1:5" x14ac:dyDescent="0.2">
      <c r="A103" s="44" t="s">
        <v>47</v>
      </c>
      <c r="B103" s="6" t="s">
        <v>156</v>
      </c>
      <c r="C103" s="72">
        <v>0</v>
      </c>
      <c r="D103" s="72">
        <v>0</v>
      </c>
      <c r="E103" s="72">
        <v>0</v>
      </c>
    </row>
    <row r="104" spans="1:5" x14ac:dyDescent="0.2">
      <c r="A104" s="44" t="s">
        <v>47</v>
      </c>
      <c r="B104" s="6" t="s">
        <v>157</v>
      </c>
      <c r="C104" s="72">
        <v>0</v>
      </c>
      <c r="D104" s="72">
        <v>0</v>
      </c>
      <c r="E104" s="72">
        <v>0</v>
      </c>
    </row>
    <row r="105" spans="1:5" x14ac:dyDescent="0.2">
      <c r="A105" s="44" t="s">
        <v>47</v>
      </c>
      <c r="B105" s="6" t="s">
        <v>158</v>
      </c>
      <c r="C105" s="72">
        <v>0</v>
      </c>
      <c r="D105" s="72">
        <v>0</v>
      </c>
      <c r="E105" s="72">
        <v>0</v>
      </c>
    </row>
    <row r="106" spans="1:5" x14ac:dyDescent="0.2">
      <c r="A106" s="44" t="s">
        <v>47</v>
      </c>
      <c r="B106" s="6" t="s">
        <v>159</v>
      </c>
      <c r="C106" s="72">
        <v>0</v>
      </c>
      <c r="D106" s="72">
        <v>0</v>
      </c>
      <c r="E106" s="72">
        <v>0</v>
      </c>
    </row>
    <row r="107" spans="1:5" x14ac:dyDescent="0.2">
      <c r="A107" s="44" t="s">
        <v>47</v>
      </c>
      <c r="B107" s="6" t="s">
        <v>160</v>
      </c>
      <c r="C107" s="72">
        <v>0</v>
      </c>
      <c r="D107" s="72">
        <v>0</v>
      </c>
      <c r="E107" s="72">
        <v>0</v>
      </c>
    </row>
    <row r="108" spans="1:5" x14ac:dyDescent="0.2">
      <c r="A108" s="44" t="s">
        <v>47</v>
      </c>
      <c r="B108" s="6" t="s">
        <v>161</v>
      </c>
      <c r="C108" s="72">
        <v>0</v>
      </c>
      <c r="D108" s="72">
        <v>0</v>
      </c>
      <c r="E108" s="72">
        <v>0</v>
      </c>
    </row>
    <row r="109" spans="1:5" x14ac:dyDescent="0.2">
      <c r="A109" s="44" t="s">
        <v>47</v>
      </c>
      <c r="B109" s="6" t="s">
        <v>162</v>
      </c>
      <c r="C109" s="72">
        <v>0</v>
      </c>
      <c r="D109" s="72">
        <v>0</v>
      </c>
      <c r="E109" s="72">
        <v>0</v>
      </c>
    </row>
    <row r="110" spans="1:5" x14ac:dyDescent="0.2">
      <c r="A110" s="44" t="s">
        <v>303</v>
      </c>
      <c r="B110" s="6"/>
      <c r="C110" s="72">
        <v>0</v>
      </c>
      <c r="D110" s="72">
        <v>0</v>
      </c>
      <c r="E110" s="72">
        <v>0</v>
      </c>
    </row>
    <row r="111" spans="1:5" x14ac:dyDescent="0.2">
      <c r="A111" s="44" t="s">
        <v>303</v>
      </c>
      <c r="B111" s="6"/>
      <c r="C111" s="72">
        <v>0</v>
      </c>
      <c r="D111" s="72">
        <v>0</v>
      </c>
      <c r="E111" s="72">
        <v>0</v>
      </c>
    </row>
    <row r="112" spans="1:5" x14ac:dyDescent="0.2">
      <c r="A112" s="44" t="s">
        <v>303</v>
      </c>
      <c r="B112" s="6"/>
      <c r="C112" s="72">
        <v>0</v>
      </c>
      <c r="D112" s="72">
        <v>0</v>
      </c>
      <c r="E112" s="72">
        <v>0</v>
      </c>
    </row>
    <row r="113" spans="1:5" x14ac:dyDescent="0.2">
      <c r="A113" s="44" t="s">
        <v>303</v>
      </c>
      <c r="B113" s="6"/>
      <c r="C113" s="72">
        <v>0</v>
      </c>
      <c r="D113" s="72">
        <v>0</v>
      </c>
      <c r="E113" s="72">
        <v>0</v>
      </c>
    </row>
    <row r="114" spans="1:5" x14ac:dyDescent="0.2">
      <c r="A114" s="44" t="s">
        <v>303</v>
      </c>
      <c r="B114" s="6"/>
      <c r="C114" s="72">
        <v>0</v>
      </c>
      <c r="D114" s="72">
        <v>0</v>
      </c>
      <c r="E114" s="72">
        <v>0</v>
      </c>
    </row>
    <row r="115" spans="1:5" x14ac:dyDescent="0.2">
      <c r="A115" s="44" t="s">
        <v>303</v>
      </c>
      <c r="B115" s="6"/>
      <c r="C115" s="72">
        <v>0</v>
      </c>
      <c r="D115" s="72">
        <v>0</v>
      </c>
      <c r="E115" s="72">
        <v>0</v>
      </c>
    </row>
    <row r="116" spans="1:5" x14ac:dyDescent="0.2">
      <c r="A116" s="44" t="s">
        <v>303</v>
      </c>
      <c r="B116" s="6"/>
      <c r="C116" s="72">
        <v>0</v>
      </c>
      <c r="D116" s="72">
        <v>0</v>
      </c>
      <c r="E116" s="72">
        <v>0</v>
      </c>
    </row>
    <row r="117" spans="1:5" x14ac:dyDescent="0.2">
      <c r="A117" s="44" t="s">
        <v>303</v>
      </c>
      <c r="B117" s="6"/>
      <c r="C117" s="72">
        <v>0</v>
      </c>
      <c r="D117" s="72">
        <v>0</v>
      </c>
      <c r="E117" s="72">
        <v>0</v>
      </c>
    </row>
    <row r="118" spans="1:5" x14ac:dyDescent="0.2">
      <c r="A118" s="44" t="s">
        <v>303</v>
      </c>
      <c r="B118" s="6"/>
      <c r="C118" s="72">
        <v>0</v>
      </c>
      <c r="D118" s="72">
        <v>0</v>
      </c>
      <c r="E118" s="72">
        <v>0</v>
      </c>
    </row>
    <row r="119" spans="1:5" x14ac:dyDescent="0.2">
      <c r="A119" s="44" t="s">
        <v>303</v>
      </c>
      <c r="B119" s="6"/>
      <c r="C119" s="72">
        <v>0</v>
      </c>
      <c r="D119" s="72">
        <v>0</v>
      </c>
      <c r="E119" s="72">
        <v>0</v>
      </c>
    </row>
    <row r="120" spans="1:5" x14ac:dyDescent="0.2">
      <c r="A120" s="44" t="s">
        <v>303</v>
      </c>
      <c r="B120" s="6"/>
      <c r="C120" s="72">
        <v>0</v>
      </c>
      <c r="D120" s="72">
        <v>0</v>
      </c>
      <c r="E120" s="72">
        <v>0</v>
      </c>
    </row>
    <row r="121" spans="1:5" x14ac:dyDescent="0.2">
      <c r="A121" s="44" t="s">
        <v>303</v>
      </c>
      <c r="B121" s="6"/>
      <c r="C121" s="72">
        <v>0</v>
      </c>
      <c r="D121" s="72">
        <v>0</v>
      </c>
      <c r="E121" s="72">
        <v>0</v>
      </c>
    </row>
    <row r="122" spans="1:5" x14ac:dyDescent="0.2">
      <c r="A122" s="44" t="s">
        <v>89</v>
      </c>
      <c r="B122" s="6" t="s">
        <v>151</v>
      </c>
      <c r="C122" s="72">
        <v>0</v>
      </c>
      <c r="D122" s="72">
        <v>0</v>
      </c>
      <c r="E122" s="72">
        <v>1</v>
      </c>
    </row>
    <row r="123" spans="1:5" x14ac:dyDescent="0.2">
      <c r="A123" s="44" t="s">
        <v>89</v>
      </c>
      <c r="B123" s="6" t="s">
        <v>152</v>
      </c>
      <c r="C123" s="72">
        <v>0</v>
      </c>
      <c r="D123" s="72">
        <v>0</v>
      </c>
      <c r="E123" s="72">
        <v>0</v>
      </c>
    </row>
    <row r="124" spans="1:5" x14ac:dyDescent="0.2">
      <c r="A124" s="44" t="s">
        <v>89</v>
      </c>
      <c r="B124" s="6" t="s">
        <v>153</v>
      </c>
      <c r="C124" s="72">
        <v>0</v>
      </c>
      <c r="D124" s="72">
        <v>0</v>
      </c>
      <c r="E124" s="72">
        <v>0</v>
      </c>
    </row>
    <row r="125" spans="1:5" x14ac:dyDescent="0.2">
      <c r="A125" s="44" t="s">
        <v>89</v>
      </c>
      <c r="B125" s="6" t="s">
        <v>154</v>
      </c>
      <c r="C125" s="72">
        <v>0</v>
      </c>
      <c r="D125" s="72">
        <v>0</v>
      </c>
      <c r="E125" s="72">
        <v>0</v>
      </c>
    </row>
    <row r="126" spans="1:5" x14ac:dyDescent="0.2">
      <c r="A126" s="44" t="s">
        <v>89</v>
      </c>
      <c r="B126" s="6" t="s">
        <v>155</v>
      </c>
      <c r="C126" s="72">
        <v>0</v>
      </c>
      <c r="D126" s="72">
        <v>0</v>
      </c>
      <c r="E126" s="72">
        <v>1</v>
      </c>
    </row>
    <row r="127" spans="1:5" x14ac:dyDescent="0.2">
      <c r="A127" s="44" t="s">
        <v>89</v>
      </c>
      <c r="B127" s="6" t="s">
        <v>156</v>
      </c>
      <c r="C127" s="72">
        <v>0</v>
      </c>
      <c r="D127" s="72">
        <v>0</v>
      </c>
      <c r="E127" s="72">
        <v>0</v>
      </c>
    </row>
    <row r="128" spans="1:5" x14ac:dyDescent="0.2">
      <c r="A128" s="44" t="s">
        <v>89</v>
      </c>
      <c r="B128" s="6" t="s">
        <v>157</v>
      </c>
      <c r="C128" s="72">
        <v>0</v>
      </c>
      <c r="D128" s="72">
        <v>0</v>
      </c>
      <c r="E128" s="72">
        <v>0</v>
      </c>
    </row>
    <row r="129" spans="1:5" x14ac:dyDescent="0.2">
      <c r="A129" s="44" t="s">
        <v>89</v>
      </c>
      <c r="B129" s="6" t="s">
        <v>158</v>
      </c>
      <c r="C129" s="72">
        <v>0</v>
      </c>
      <c r="D129" s="72">
        <v>0</v>
      </c>
      <c r="E129" s="72">
        <v>0</v>
      </c>
    </row>
    <row r="130" spans="1:5" x14ac:dyDescent="0.2">
      <c r="A130" s="44" t="s">
        <v>89</v>
      </c>
      <c r="B130" s="6" t="s">
        <v>159</v>
      </c>
      <c r="C130" s="72">
        <v>0</v>
      </c>
      <c r="D130" s="72">
        <v>0</v>
      </c>
      <c r="E130" s="72">
        <v>0</v>
      </c>
    </row>
    <row r="131" spans="1:5" x14ac:dyDescent="0.2">
      <c r="A131" s="44" t="s">
        <v>89</v>
      </c>
      <c r="B131" s="6" t="s">
        <v>160</v>
      </c>
      <c r="C131" s="72">
        <v>0</v>
      </c>
      <c r="D131" s="72">
        <v>0</v>
      </c>
      <c r="E131" s="72">
        <v>0</v>
      </c>
    </row>
    <row r="132" spans="1:5" x14ac:dyDescent="0.2">
      <c r="A132" s="44" t="s">
        <v>89</v>
      </c>
      <c r="B132" s="6" t="s">
        <v>161</v>
      </c>
      <c r="C132" s="72">
        <v>0</v>
      </c>
      <c r="D132" s="72">
        <v>0</v>
      </c>
      <c r="E132" s="72">
        <v>0</v>
      </c>
    </row>
    <row r="133" spans="1:5" x14ac:dyDescent="0.2">
      <c r="A133" s="44" t="s">
        <v>89</v>
      </c>
      <c r="B133" s="6" t="s">
        <v>162</v>
      </c>
      <c r="C133" s="72">
        <v>0</v>
      </c>
      <c r="D133" s="72">
        <v>0</v>
      </c>
      <c r="E133" s="72">
        <v>0</v>
      </c>
    </row>
    <row r="134" spans="1:5" x14ac:dyDescent="0.2">
      <c r="A134" s="44" t="s">
        <v>113</v>
      </c>
      <c r="B134" s="6" t="s">
        <v>151</v>
      </c>
      <c r="C134" s="72">
        <v>0</v>
      </c>
      <c r="D134" s="72">
        <v>0</v>
      </c>
      <c r="E134" s="72">
        <v>0</v>
      </c>
    </row>
    <row r="135" spans="1:5" x14ac:dyDescent="0.2">
      <c r="A135" s="44" t="s">
        <v>113</v>
      </c>
      <c r="B135" s="6" t="s">
        <v>152</v>
      </c>
      <c r="C135" s="72">
        <v>0</v>
      </c>
      <c r="D135" s="72">
        <v>0</v>
      </c>
      <c r="E135" s="72">
        <v>0</v>
      </c>
    </row>
    <row r="136" spans="1:5" x14ac:dyDescent="0.2">
      <c r="A136" s="44" t="s">
        <v>113</v>
      </c>
      <c r="B136" s="6" t="s">
        <v>153</v>
      </c>
      <c r="C136" s="72">
        <v>0</v>
      </c>
      <c r="D136" s="72">
        <v>0</v>
      </c>
      <c r="E136" s="72">
        <v>0</v>
      </c>
    </row>
    <row r="137" spans="1:5" x14ac:dyDescent="0.2">
      <c r="A137" s="44" t="s">
        <v>113</v>
      </c>
      <c r="B137" s="6" t="s">
        <v>154</v>
      </c>
      <c r="C137" s="72">
        <v>0</v>
      </c>
      <c r="D137" s="72">
        <v>0</v>
      </c>
      <c r="E137" s="72">
        <v>0</v>
      </c>
    </row>
    <row r="138" spans="1:5" x14ac:dyDescent="0.2">
      <c r="A138" s="44" t="s">
        <v>113</v>
      </c>
      <c r="B138" s="6" t="s">
        <v>155</v>
      </c>
      <c r="C138" s="72">
        <v>0</v>
      </c>
      <c r="D138" s="72">
        <v>0</v>
      </c>
      <c r="E138" s="72">
        <v>0</v>
      </c>
    </row>
    <row r="139" spans="1:5" x14ac:dyDescent="0.2">
      <c r="A139" s="44" t="s">
        <v>113</v>
      </c>
      <c r="B139" s="6" t="s">
        <v>156</v>
      </c>
      <c r="C139" s="72">
        <v>0</v>
      </c>
      <c r="D139" s="72">
        <v>0</v>
      </c>
      <c r="E139" s="72">
        <v>0</v>
      </c>
    </row>
    <row r="140" spans="1:5" x14ac:dyDescent="0.2">
      <c r="A140" s="44" t="s">
        <v>113</v>
      </c>
      <c r="B140" s="6" t="s">
        <v>157</v>
      </c>
      <c r="C140" s="72">
        <v>0</v>
      </c>
      <c r="D140" s="72">
        <v>0</v>
      </c>
      <c r="E140" s="72">
        <v>0</v>
      </c>
    </row>
    <row r="141" spans="1:5" x14ac:dyDescent="0.2">
      <c r="A141" s="44" t="s">
        <v>113</v>
      </c>
      <c r="B141" s="6" t="s">
        <v>158</v>
      </c>
      <c r="C141" s="72">
        <v>0</v>
      </c>
      <c r="D141" s="72">
        <v>0</v>
      </c>
      <c r="E141" s="72">
        <v>0</v>
      </c>
    </row>
    <row r="142" spans="1:5" x14ac:dyDescent="0.2">
      <c r="A142" s="44" t="s">
        <v>113</v>
      </c>
      <c r="B142" s="6" t="s">
        <v>159</v>
      </c>
      <c r="C142" s="72">
        <v>0</v>
      </c>
      <c r="D142" s="72">
        <v>0</v>
      </c>
      <c r="E142" s="72">
        <v>0</v>
      </c>
    </row>
    <row r="143" spans="1:5" x14ac:dyDescent="0.2">
      <c r="A143" s="44" t="s">
        <v>113</v>
      </c>
      <c r="B143" s="6" t="s">
        <v>160</v>
      </c>
      <c r="C143" s="72">
        <v>0</v>
      </c>
      <c r="D143" s="72">
        <v>0</v>
      </c>
      <c r="E143" s="72">
        <v>0</v>
      </c>
    </row>
    <row r="144" spans="1:5" x14ac:dyDescent="0.2">
      <c r="A144" s="44" t="s">
        <v>113</v>
      </c>
      <c r="B144" s="6" t="s">
        <v>161</v>
      </c>
      <c r="C144" s="72">
        <v>0</v>
      </c>
      <c r="D144" s="72">
        <v>0</v>
      </c>
      <c r="E144" s="72">
        <v>0</v>
      </c>
    </row>
    <row r="145" spans="1:5" x14ac:dyDescent="0.2">
      <c r="A145" s="44" t="s">
        <v>113</v>
      </c>
      <c r="B145" s="6" t="s">
        <v>162</v>
      </c>
      <c r="C145" s="72">
        <v>0</v>
      </c>
      <c r="D145" s="72">
        <v>0</v>
      </c>
      <c r="E145" s="72">
        <v>0</v>
      </c>
    </row>
    <row r="146" spans="1:5" x14ac:dyDescent="0.2">
      <c r="A146" s="44" t="s">
        <v>117</v>
      </c>
      <c r="B146" s="6" t="s">
        <v>151</v>
      </c>
      <c r="C146" s="72">
        <v>0</v>
      </c>
      <c r="D146" s="72">
        <v>0</v>
      </c>
      <c r="E146" s="72">
        <v>0</v>
      </c>
    </row>
    <row r="147" spans="1:5" x14ac:dyDescent="0.2">
      <c r="A147" s="44" t="s">
        <v>117</v>
      </c>
      <c r="B147" s="6" t="s">
        <v>152</v>
      </c>
      <c r="C147" s="72">
        <v>0</v>
      </c>
      <c r="D147" s="72">
        <v>0</v>
      </c>
      <c r="E147" s="72">
        <v>1</v>
      </c>
    </row>
    <row r="148" spans="1:5" x14ac:dyDescent="0.2">
      <c r="A148" s="44" t="s">
        <v>117</v>
      </c>
      <c r="B148" s="6" t="s">
        <v>153</v>
      </c>
      <c r="C148" s="72">
        <v>0</v>
      </c>
      <c r="D148" s="72">
        <v>0</v>
      </c>
      <c r="E148" s="72">
        <v>0</v>
      </c>
    </row>
    <row r="149" spans="1:5" x14ac:dyDescent="0.2">
      <c r="A149" s="44" t="s">
        <v>117</v>
      </c>
      <c r="B149" s="6" t="s">
        <v>154</v>
      </c>
      <c r="C149" s="72">
        <v>0</v>
      </c>
      <c r="D149" s="72">
        <v>0</v>
      </c>
      <c r="E149" s="72">
        <v>0</v>
      </c>
    </row>
    <row r="150" spans="1:5" x14ac:dyDescent="0.2">
      <c r="A150" s="44" t="s">
        <v>117</v>
      </c>
      <c r="B150" s="6" t="s">
        <v>155</v>
      </c>
      <c r="C150" s="72">
        <v>0</v>
      </c>
      <c r="D150" s="72">
        <v>0</v>
      </c>
      <c r="E150" s="72">
        <v>0</v>
      </c>
    </row>
    <row r="151" spans="1:5" x14ac:dyDescent="0.2">
      <c r="A151" s="44" t="s">
        <v>117</v>
      </c>
      <c r="B151" s="6" t="s">
        <v>156</v>
      </c>
      <c r="C151" s="72">
        <v>0</v>
      </c>
      <c r="D151" s="72">
        <v>0</v>
      </c>
      <c r="E151" s="72">
        <v>0</v>
      </c>
    </row>
    <row r="152" spans="1:5" x14ac:dyDescent="0.2">
      <c r="A152" s="44" t="s">
        <v>117</v>
      </c>
      <c r="B152" s="6" t="s">
        <v>157</v>
      </c>
      <c r="C152" s="72">
        <v>0</v>
      </c>
      <c r="D152" s="72">
        <v>0</v>
      </c>
      <c r="E152" s="72">
        <v>0</v>
      </c>
    </row>
    <row r="153" spans="1:5" x14ac:dyDescent="0.2">
      <c r="A153" s="44" t="s">
        <v>117</v>
      </c>
      <c r="B153" s="6" t="s">
        <v>158</v>
      </c>
      <c r="C153" s="72">
        <v>0</v>
      </c>
      <c r="D153" s="72">
        <v>0</v>
      </c>
      <c r="E153" s="72">
        <v>0</v>
      </c>
    </row>
    <row r="154" spans="1:5" x14ac:dyDescent="0.2">
      <c r="A154" s="44" t="s">
        <v>117</v>
      </c>
      <c r="B154" s="6" t="s">
        <v>159</v>
      </c>
      <c r="C154" s="72">
        <v>0</v>
      </c>
      <c r="D154" s="72">
        <v>0</v>
      </c>
      <c r="E154" s="72">
        <v>0</v>
      </c>
    </row>
    <row r="155" spans="1:5" x14ac:dyDescent="0.2">
      <c r="A155" s="44" t="s">
        <v>117</v>
      </c>
      <c r="B155" s="6" t="s">
        <v>160</v>
      </c>
      <c r="C155" s="72">
        <v>0</v>
      </c>
      <c r="D155" s="72">
        <v>0</v>
      </c>
      <c r="E155" s="72">
        <v>0</v>
      </c>
    </row>
    <row r="156" spans="1:5" x14ac:dyDescent="0.2">
      <c r="A156" s="44" t="s">
        <v>117</v>
      </c>
      <c r="B156" s="6" t="s">
        <v>161</v>
      </c>
      <c r="C156" s="72">
        <v>0</v>
      </c>
      <c r="D156" s="72">
        <v>0</v>
      </c>
      <c r="E156" s="72">
        <v>0</v>
      </c>
    </row>
    <row r="157" spans="1:5" x14ac:dyDescent="0.2">
      <c r="A157" s="44" t="s">
        <v>117</v>
      </c>
      <c r="B157" s="6" t="s">
        <v>162</v>
      </c>
      <c r="C157" s="72">
        <v>0</v>
      </c>
      <c r="D157" s="72">
        <v>0</v>
      </c>
      <c r="E157" s="72">
        <v>0</v>
      </c>
    </row>
    <row r="158" spans="1:5" x14ac:dyDescent="0.2">
      <c r="A158" s="44" t="s">
        <v>99</v>
      </c>
      <c r="B158" s="6" t="s">
        <v>151</v>
      </c>
      <c r="C158" s="72">
        <v>0</v>
      </c>
      <c r="D158" s="72">
        <v>0</v>
      </c>
      <c r="E158" s="72">
        <v>0</v>
      </c>
    </row>
    <row r="159" spans="1:5" x14ac:dyDescent="0.2">
      <c r="A159" s="44" t="s">
        <v>99</v>
      </c>
      <c r="B159" s="6" t="s">
        <v>152</v>
      </c>
      <c r="C159" s="72">
        <v>0</v>
      </c>
      <c r="D159" s="72">
        <v>0</v>
      </c>
      <c r="E159" s="72">
        <v>0</v>
      </c>
    </row>
    <row r="160" spans="1:5" x14ac:dyDescent="0.2">
      <c r="A160" s="44" t="s">
        <v>99</v>
      </c>
      <c r="B160" s="6" t="s">
        <v>153</v>
      </c>
      <c r="C160" s="72">
        <v>0</v>
      </c>
      <c r="D160" s="72">
        <v>0</v>
      </c>
      <c r="E160" s="72">
        <v>0</v>
      </c>
    </row>
    <row r="161" spans="1:5" x14ac:dyDescent="0.2">
      <c r="A161" s="44" t="s">
        <v>99</v>
      </c>
      <c r="B161" s="6" t="s">
        <v>154</v>
      </c>
      <c r="C161" s="72">
        <v>0</v>
      </c>
      <c r="D161" s="72">
        <v>0</v>
      </c>
      <c r="E161" s="72">
        <v>3</v>
      </c>
    </row>
    <row r="162" spans="1:5" x14ac:dyDescent="0.2">
      <c r="A162" s="44" t="s">
        <v>99</v>
      </c>
      <c r="B162" s="6" t="s">
        <v>155</v>
      </c>
      <c r="C162" s="72">
        <v>0</v>
      </c>
      <c r="D162" s="72">
        <v>0</v>
      </c>
      <c r="E162" s="72">
        <v>0</v>
      </c>
    </row>
    <row r="163" spans="1:5" x14ac:dyDescent="0.2">
      <c r="A163" s="44" t="s">
        <v>99</v>
      </c>
      <c r="B163" s="6" t="s">
        <v>156</v>
      </c>
      <c r="C163" s="72">
        <v>0</v>
      </c>
      <c r="D163" s="72">
        <v>0</v>
      </c>
      <c r="E163" s="72">
        <v>0</v>
      </c>
    </row>
    <row r="164" spans="1:5" x14ac:dyDescent="0.2">
      <c r="A164" s="44" t="s">
        <v>99</v>
      </c>
      <c r="B164" s="6" t="s">
        <v>157</v>
      </c>
      <c r="C164" s="72">
        <v>0</v>
      </c>
      <c r="D164" s="72">
        <v>0</v>
      </c>
      <c r="E164" s="72">
        <v>0</v>
      </c>
    </row>
    <row r="165" spans="1:5" x14ac:dyDescent="0.2">
      <c r="A165" s="44" t="s">
        <v>99</v>
      </c>
      <c r="B165" s="6" t="s">
        <v>158</v>
      </c>
      <c r="C165" s="72">
        <v>0</v>
      </c>
      <c r="D165" s="72">
        <v>0</v>
      </c>
      <c r="E165" s="72">
        <v>0</v>
      </c>
    </row>
    <row r="166" spans="1:5" x14ac:dyDescent="0.2">
      <c r="A166" s="44" t="s">
        <v>99</v>
      </c>
      <c r="B166" s="6" t="s">
        <v>159</v>
      </c>
      <c r="C166" s="72">
        <v>0</v>
      </c>
      <c r="D166" s="72">
        <v>0</v>
      </c>
      <c r="E166" s="72">
        <v>0</v>
      </c>
    </row>
    <row r="167" spans="1:5" x14ac:dyDescent="0.2">
      <c r="A167" s="44" t="s">
        <v>99</v>
      </c>
      <c r="B167" s="6" t="s">
        <v>160</v>
      </c>
      <c r="C167" s="72">
        <v>0</v>
      </c>
      <c r="D167" s="72">
        <v>0</v>
      </c>
      <c r="E167" s="72">
        <v>0</v>
      </c>
    </row>
    <row r="168" spans="1:5" x14ac:dyDescent="0.2">
      <c r="A168" s="44" t="s">
        <v>99</v>
      </c>
      <c r="B168" s="6" t="s">
        <v>161</v>
      </c>
      <c r="C168" s="72">
        <v>0</v>
      </c>
      <c r="D168" s="72">
        <v>0</v>
      </c>
      <c r="E168" s="72">
        <v>0</v>
      </c>
    </row>
    <row r="169" spans="1:5" x14ac:dyDescent="0.2">
      <c r="A169" s="44" t="s">
        <v>99</v>
      </c>
      <c r="B169" s="6" t="s">
        <v>162</v>
      </c>
      <c r="C169" s="72">
        <v>0</v>
      </c>
      <c r="D169" s="72">
        <v>0</v>
      </c>
      <c r="E169" s="72">
        <v>0</v>
      </c>
    </row>
    <row r="170" spans="1:5" x14ac:dyDescent="0.2">
      <c r="A170" s="44" t="s">
        <v>123</v>
      </c>
      <c r="B170" s="6" t="s">
        <v>151</v>
      </c>
      <c r="C170" s="72">
        <v>0</v>
      </c>
      <c r="D170" s="72">
        <v>0</v>
      </c>
      <c r="E170" s="72">
        <v>0</v>
      </c>
    </row>
    <row r="171" spans="1:5" x14ac:dyDescent="0.2">
      <c r="A171" s="44" t="s">
        <v>123</v>
      </c>
      <c r="B171" s="6" t="s">
        <v>152</v>
      </c>
      <c r="C171" s="72">
        <v>0</v>
      </c>
      <c r="D171" s="72">
        <v>0</v>
      </c>
      <c r="E171" s="72">
        <v>0</v>
      </c>
    </row>
    <row r="172" spans="1:5" x14ac:dyDescent="0.2">
      <c r="A172" s="44" t="s">
        <v>123</v>
      </c>
      <c r="B172" s="6" t="s">
        <v>153</v>
      </c>
      <c r="C172" s="72">
        <v>0</v>
      </c>
      <c r="D172" s="72">
        <v>0</v>
      </c>
      <c r="E172" s="72">
        <v>0</v>
      </c>
    </row>
    <row r="173" spans="1:5" x14ac:dyDescent="0.2">
      <c r="A173" s="44" t="s">
        <v>123</v>
      </c>
      <c r="B173" s="6" t="s">
        <v>154</v>
      </c>
      <c r="C173" s="72">
        <v>0</v>
      </c>
      <c r="D173" s="72">
        <v>0</v>
      </c>
      <c r="E173" s="72">
        <v>0</v>
      </c>
    </row>
    <row r="174" spans="1:5" x14ac:dyDescent="0.2">
      <c r="A174" s="44" t="s">
        <v>123</v>
      </c>
      <c r="B174" s="6" t="s">
        <v>155</v>
      </c>
      <c r="C174" s="72">
        <v>0</v>
      </c>
      <c r="D174" s="72">
        <v>0</v>
      </c>
      <c r="E174" s="72">
        <v>0</v>
      </c>
    </row>
    <row r="175" spans="1:5" x14ac:dyDescent="0.2">
      <c r="A175" s="44" t="s">
        <v>123</v>
      </c>
      <c r="B175" s="6" t="s">
        <v>156</v>
      </c>
      <c r="C175" s="72">
        <v>0</v>
      </c>
      <c r="D175" s="72">
        <v>0</v>
      </c>
      <c r="E175" s="72">
        <v>0</v>
      </c>
    </row>
    <row r="176" spans="1:5" x14ac:dyDescent="0.2">
      <c r="A176" s="44" t="s">
        <v>123</v>
      </c>
      <c r="B176" s="6" t="s">
        <v>157</v>
      </c>
      <c r="C176" s="72">
        <v>0</v>
      </c>
      <c r="D176" s="72">
        <v>0</v>
      </c>
      <c r="E176" s="72">
        <v>0</v>
      </c>
    </row>
    <row r="177" spans="1:5" x14ac:dyDescent="0.2">
      <c r="A177" s="44" t="s">
        <v>123</v>
      </c>
      <c r="B177" s="6" t="s">
        <v>158</v>
      </c>
      <c r="C177" s="72">
        <v>0</v>
      </c>
      <c r="D177" s="72">
        <v>0</v>
      </c>
      <c r="E177" s="72">
        <v>0</v>
      </c>
    </row>
    <row r="178" spans="1:5" x14ac:dyDescent="0.2">
      <c r="A178" s="44" t="s">
        <v>123</v>
      </c>
      <c r="B178" s="6" t="s">
        <v>159</v>
      </c>
      <c r="C178" s="72">
        <v>0</v>
      </c>
      <c r="D178" s="72">
        <v>0</v>
      </c>
      <c r="E178" s="72">
        <v>0</v>
      </c>
    </row>
    <row r="179" spans="1:5" x14ac:dyDescent="0.2">
      <c r="A179" s="44" t="s">
        <v>123</v>
      </c>
      <c r="B179" s="6" t="s">
        <v>160</v>
      </c>
      <c r="C179" s="72">
        <v>0</v>
      </c>
      <c r="D179" s="72">
        <v>0</v>
      </c>
      <c r="E179" s="72">
        <v>0</v>
      </c>
    </row>
    <row r="180" spans="1:5" x14ac:dyDescent="0.2">
      <c r="A180" s="44" t="s">
        <v>123</v>
      </c>
      <c r="B180" s="6" t="s">
        <v>161</v>
      </c>
      <c r="C180" s="72">
        <v>0</v>
      </c>
      <c r="D180" s="72">
        <v>0</v>
      </c>
      <c r="E180" s="72">
        <v>0</v>
      </c>
    </row>
    <row r="181" spans="1:5" x14ac:dyDescent="0.2">
      <c r="A181" s="44" t="s">
        <v>123</v>
      </c>
      <c r="B181" s="6" t="s">
        <v>162</v>
      </c>
      <c r="C181" s="72">
        <v>0</v>
      </c>
      <c r="D181" s="72">
        <v>0</v>
      </c>
      <c r="E181" s="72">
        <v>0</v>
      </c>
    </row>
    <row r="182" spans="1:5" x14ac:dyDescent="0.2">
      <c r="A182" s="44" t="s">
        <v>92</v>
      </c>
      <c r="B182" s="6" t="s">
        <v>151</v>
      </c>
      <c r="C182" s="72">
        <v>0</v>
      </c>
      <c r="D182" s="72">
        <v>0</v>
      </c>
      <c r="E182" s="72">
        <v>0</v>
      </c>
    </row>
    <row r="183" spans="1:5" x14ac:dyDescent="0.2">
      <c r="A183" s="44" t="s">
        <v>92</v>
      </c>
      <c r="B183" s="6" t="s">
        <v>152</v>
      </c>
      <c r="C183" s="72">
        <v>0</v>
      </c>
      <c r="D183" s="72">
        <v>0</v>
      </c>
      <c r="E183" s="72">
        <v>0</v>
      </c>
    </row>
    <row r="184" spans="1:5" x14ac:dyDescent="0.2">
      <c r="A184" s="44" t="s">
        <v>92</v>
      </c>
      <c r="B184" s="6" t="s">
        <v>153</v>
      </c>
      <c r="C184" s="72">
        <v>0</v>
      </c>
      <c r="D184" s="72">
        <v>0</v>
      </c>
      <c r="E184" s="72">
        <v>0</v>
      </c>
    </row>
    <row r="185" spans="1:5" x14ac:dyDescent="0.2">
      <c r="A185" s="44" t="s">
        <v>92</v>
      </c>
      <c r="B185" s="6" t="s">
        <v>154</v>
      </c>
      <c r="C185" s="72">
        <v>0</v>
      </c>
      <c r="D185" s="72">
        <v>0</v>
      </c>
      <c r="E185" s="72">
        <v>0</v>
      </c>
    </row>
    <row r="186" spans="1:5" x14ac:dyDescent="0.2">
      <c r="A186" s="44" t="s">
        <v>92</v>
      </c>
      <c r="B186" s="6" t="s">
        <v>155</v>
      </c>
      <c r="C186" s="72">
        <v>0</v>
      </c>
      <c r="D186" s="72">
        <v>0</v>
      </c>
      <c r="E186" s="72">
        <v>0</v>
      </c>
    </row>
    <row r="187" spans="1:5" x14ac:dyDescent="0.2">
      <c r="A187" s="44" t="s">
        <v>92</v>
      </c>
      <c r="B187" s="6" t="s">
        <v>156</v>
      </c>
      <c r="C187" s="72">
        <v>0</v>
      </c>
      <c r="D187" s="72">
        <v>0</v>
      </c>
      <c r="E187" s="72">
        <v>0</v>
      </c>
    </row>
    <row r="188" spans="1:5" x14ac:dyDescent="0.2">
      <c r="A188" s="44" t="s">
        <v>92</v>
      </c>
      <c r="B188" s="6" t="s">
        <v>157</v>
      </c>
      <c r="C188" s="72">
        <v>0</v>
      </c>
      <c r="D188" s="72">
        <v>0</v>
      </c>
      <c r="E188" s="72">
        <v>0</v>
      </c>
    </row>
    <row r="189" spans="1:5" x14ac:dyDescent="0.2">
      <c r="A189" s="44" t="s">
        <v>92</v>
      </c>
      <c r="B189" s="6" t="s">
        <v>158</v>
      </c>
      <c r="C189" s="72">
        <v>0</v>
      </c>
      <c r="D189" s="72">
        <v>0</v>
      </c>
      <c r="E189" s="72">
        <v>0</v>
      </c>
    </row>
    <row r="190" spans="1:5" x14ac:dyDescent="0.2">
      <c r="A190" s="44" t="s">
        <v>92</v>
      </c>
      <c r="B190" s="6" t="s">
        <v>159</v>
      </c>
      <c r="C190" s="72">
        <v>0</v>
      </c>
      <c r="D190" s="72">
        <v>0</v>
      </c>
      <c r="E190" s="72">
        <v>0</v>
      </c>
    </row>
    <row r="191" spans="1:5" x14ac:dyDescent="0.2">
      <c r="A191" s="44" t="s">
        <v>92</v>
      </c>
      <c r="B191" s="6" t="s">
        <v>160</v>
      </c>
      <c r="C191" s="72">
        <v>0</v>
      </c>
      <c r="D191" s="72">
        <v>0</v>
      </c>
      <c r="E191" s="72">
        <v>0</v>
      </c>
    </row>
    <row r="192" spans="1:5" x14ac:dyDescent="0.2">
      <c r="A192" s="44" t="s">
        <v>92</v>
      </c>
      <c r="B192" s="6" t="s">
        <v>161</v>
      </c>
      <c r="C192" s="72">
        <v>0</v>
      </c>
      <c r="D192" s="72">
        <v>0</v>
      </c>
      <c r="E192" s="72">
        <v>0</v>
      </c>
    </row>
    <row r="193" spans="1:5" x14ac:dyDescent="0.2">
      <c r="A193" s="44" t="s">
        <v>92</v>
      </c>
      <c r="B193" s="6" t="s">
        <v>162</v>
      </c>
      <c r="C193" s="72">
        <v>0</v>
      </c>
      <c r="D193" s="72">
        <v>0</v>
      </c>
      <c r="E193" s="72">
        <v>0</v>
      </c>
    </row>
    <row r="194" spans="1:5" x14ac:dyDescent="0.2">
      <c r="A194" s="44" t="s">
        <v>37</v>
      </c>
      <c r="B194" s="6" t="s">
        <v>151</v>
      </c>
      <c r="C194" s="72">
        <v>0</v>
      </c>
      <c r="D194" s="72">
        <v>0</v>
      </c>
      <c r="E194" s="72">
        <v>0</v>
      </c>
    </row>
    <row r="195" spans="1:5" x14ac:dyDescent="0.2">
      <c r="A195" s="44" t="s">
        <v>37</v>
      </c>
      <c r="B195" s="6" t="s">
        <v>152</v>
      </c>
      <c r="C195" s="72">
        <v>0</v>
      </c>
      <c r="D195" s="72">
        <v>0</v>
      </c>
      <c r="E195" s="72">
        <v>0</v>
      </c>
    </row>
    <row r="196" spans="1:5" x14ac:dyDescent="0.2">
      <c r="A196" s="44" t="s">
        <v>37</v>
      </c>
      <c r="B196" s="6" t="s">
        <v>153</v>
      </c>
      <c r="C196" s="72">
        <v>0</v>
      </c>
      <c r="D196" s="72">
        <v>0</v>
      </c>
      <c r="E196" s="72">
        <v>1</v>
      </c>
    </row>
    <row r="197" spans="1:5" x14ac:dyDescent="0.2">
      <c r="A197" s="44" t="s">
        <v>37</v>
      </c>
      <c r="B197" s="6" t="s">
        <v>154</v>
      </c>
      <c r="C197" s="72">
        <v>0</v>
      </c>
      <c r="D197" s="72">
        <v>0</v>
      </c>
      <c r="E197" s="72">
        <v>0</v>
      </c>
    </row>
    <row r="198" spans="1:5" x14ac:dyDescent="0.2">
      <c r="A198" s="44" t="s">
        <v>37</v>
      </c>
      <c r="B198" s="6" t="s">
        <v>155</v>
      </c>
      <c r="C198" s="72">
        <v>0</v>
      </c>
      <c r="D198" s="72">
        <v>0</v>
      </c>
      <c r="E198" s="72">
        <v>0</v>
      </c>
    </row>
    <row r="199" spans="1:5" x14ac:dyDescent="0.2">
      <c r="A199" s="44" t="s">
        <v>37</v>
      </c>
      <c r="B199" s="6" t="s">
        <v>156</v>
      </c>
      <c r="C199" s="72">
        <v>0</v>
      </c>
      <c r="D199" s="72">
        <v>0</v>
      </c>
      <c r="E199" s="72">
        <v>0</v>
      </c>
    </row>
    <row r="200" spans="1:5" x14ac:dyDescent="0.2">
      <c r="A200" s="44" t="s">
        <v>37</v>
      </c>
      <c r="B200" s="6" t="s">
        <v>157</v>
      </c>
      <c r="C200" s="72">
        <v>0</v>
      </c>
      <c r="D200" s="72">
        <v>0</v>
      </c>
      <c r="E200" s="72">
        <v>0</v>
      </c>
    </row>
    <row r="201" spans="1:5" x14ac:dyDescent="0.2">
      <c r="A201" s="44" t="s">
        <v>37</v>
      </c>
      <c r="B201" s="6" t="s">
        <v>158</v>
      </c>
      <c r="C201" s="72">
        <v>0</v>
      </c>
      <c r="D201" s="72">
        <v>0</v>
      </c>
      <c r="E201" s="72">
        <v>0</v>
      </c>
    </row>
    <row r="202" spans="1:5" x14ac:dyDescent="0.2">
      <c r="A202" s="44" t="s">
        <v>37</v>
      </c>
      <c r="B202" s="6" t="s">
        <v>159</v>
      </c>
      <c r="C202" s="72">
        <v>0</v>
      </c>
      <c r="D202" s="72">
        <v>0</v>
      </c>
      <c r="E202" s="72">
        <v>0</v>
      </c>
    </row>
    <row r="203" spans="1:5" x14ac:dyDescent="0.2">
      <c r="A203" s="44" t="s">
        <v>37</v>
      </c>
      <c r="B203" s="6" t="s">
        <v>160</v>
      </c>
      <c r="C203" s="72">
        <v>0</v>
      </c>
      <c r="D203" s="72">
        <v>0</v>
      </c>
      <c r="E203" s="72">
        <v>0</v>
      </c>
    </row>
    <row r="204" spans="1:5" x14ac:dyDescent="0.2">
      <c r="A204" s="44" t="s">
        <v>37</v>
      </c>
      <c r="B204" s="6" t="s">
        <v>161</v>
      </c>
      <c r="C204" s="72">
        <v>0</v>
      </c>
      <c r="D204" s="72">
        <v>0</v>
      </c>
      <c r="E204" s="72">
        <v>0</v>
      </c>
    </row>
    <row r="205" spans="1:5" x14ac:dyDescent="0.2">
      <c r="A205" s="44" t="s">
        <v>37</v>
      </c>
      <c r="B205" s="6" t="s">
        <v>162</v>
      </c>
      <c r="C205" s="72">
        <v>0</v>
      </c>
      <c r="D205" s="72">
        <v>0</v>
      </c>
      <c r="E205" s="72">
        <v>0</v>
      </c>
    </row>
    <row r="206" spans="1:5" x14ac:dyDescent="0.2">
      <c r="A206" s="44" t="s">
        <v>91</v>
      </c>
      <c r="B206" s="6" t="s">
        <v>151</v>
      </c>
      <c r="C206" s="72">
        <v>0</v>
      </c>
      <c r="D206" s="72">
        <v>1</v>
      </c>
      <c r="E206" s="72">
        <v>1</v>
      </c>
    </row>
    <row r="207" spans="1:5" x14ac:dyDescent="0.2">
      <c r="A207" s="44" t="s">
        <v>91</v>
      </c>
      <c r="B207" s="6" t="s">
        <v>152</v>
      </c>
      <c r="C207" s="72">
        <v>0</v>
      </c>
      <c r="D207" s="72">
        <v>0</v>
      </c>
      <c r="E207" s="72">
        <v>0</v>
      </c>
    </row>
    <row r="208" spans="1:5" x14ac:dyDescent="0.2">
      <c r="A208" s="44" t="s">
        <v>91</v>
      </c>
      <c r="B208" s="6" t="s">
        <v>153</v>
      </c>
      <c r="C208" s="72">
        <v>0</v>
      </c>
      <c r="D208" s="72">
        <v>0</v>
      </c>
      <c r="E208" s="72">
        <v>0</v>
      </c>
    </row>
    <row r="209" spans="1:5" x14ac:dyDescent="0.2">
      <c r="A209" s="44" t="s">
        <v>91</v>
      </c>
      <c r="B209" s="6" t="s">
        <v>154</v>
      </c>
      <c r="C209" s="72">
        <v>0</v>
      </c>
      <c r="D209" s="72">
        <v>0</v>
      </c>
      <c r="E209" s="72">
        <v>0</v>
      </c>
    </row>
    <row r="210" spans="1:5" x14ac:dyDescent="0.2">
      <c r="A210" s="44" t="s">
        <v>91</v>
      </c>
      <c r="B210" s="6" t="s">
        <v>155</v>
      </c>
      <c r="C210" s="72">
        <v>0</v>
      </c>
      <c r="D210" s="72">
        <v>0</v>
      </c>
      <c r="E210" s="72">
        <v>0</v>
      </c>
    </row>
    <row r="211" spans="1:5" x14ac:dyDescent="0.2">
      <c r="A211" s="44" t="s">
        <v>91</v>
      </c>
      <c r="B211" s="6" t="s">
        <v>156</v>
      </c>
      <c r="C211" s="72">
        <v>0</v>
      </c>
      <c r="D211" s="72">
        <v>0</v>
      </c>
      <c r="E211" s="72">
        <v>0</v>
      </c>
    </row>
    <row r="212" spans="1:5" x14ac:dyDescent="0.2">
      <c r="A212" s="44" t="s">
        <v>91</v>
      </c>
      <c r="B212" s="6" t="s">
        <v>157</v>
      </c>
      <c r="C212" s="72">
        <v>0</v>
      </c>
      <c r="D212" s="72">
        <v>0</v>
      </c>
      <c r="E212" s="72">
        <v>0</v>
      </c>
    </row>
    <row r="213" spans="1:5" x14ac:dyDescent="0.2">
      <c r="A213" s="44" t="s">
        <v>91</v>
      </c>
      <c r="B213" s="6" t="s">
        <v>158</v>
      </c>
      <c r="C213" s="72">
        <v>0</v>
      </c>
      <c r="D213" s="72">
        <v>0</v>
      </c>
      <c r="E213" s="72">
        <v>0</v>
      </c>
    </row>
    <row r="214" spans="1:5" x14ac:dyDescent="0.2">
      <c r="A214" s="44" t="s">
        <v>91</v>
      </c>
      <c r="B214" s="6" t="s">
        <v>159</v>
      </c>
      <c r="C214" s="72">
        <v>0</v>
      </c>
      <c r="D214" s="72">
        <v>0</v>
      </c>
      <c r="E214" s="72">
        <v>0</v>
      </c>
    </row>
    <row r="215" spans="1:5" x14ac:dyDescent="0.2">
      <c r="A215" s="44" t="s">
        <v>91</v>
      </c>
      <c r="B215" s="6" t="s">
        <v>160</v>
      </c>
      <c r="C215" s="72">
        <v>0</v>
      </c>
      <c r="D215" s="72">
        <v>0</v>
      </c>
      <c r="E215" s="72">
        <v>0</v>
      </c>
    </row>
    <row r="216" spans="1:5" x14ac:dyDescent="0.2">
      <c r="A216" s="44" t="s">
        <v>91</v>
      </c>
      <c r="B216" s="6" t="s">
        <v>161</v>
      </c>
      <c r="C216" s="72">
        <v>0</v>
      </c>
      <c r="D216" s="72">
        <v>0</v>
      </c>
      <c r="E216" s="72">
        <v>0</v>
      </c>
    </row>
    <row r="217" spans="1:5" x14ac:dyDescent="0.2">
      <c r="A217" s="44" t="s">
        <v>91</v>
      </c>
      <c r="B217" s="6" t="s">
        <v>162</v>
      </c>
      <c r="C217" s="72">
        <v>0</v>
      </c>
      <c r="D217" s="72">
        <v>0</v>
      </c>
      <c r="E217" s="72">
        <v>0</v>
      </c>
    </row>
    <row r="218" spans="1:5" x14ac:dyDescent="0.2">
      <c r="A218" s="44" t="s">
        <v>126</v>
      </c>
      <c r="B218" s="6" t="s">
        <v>151</v>
      </c>
      <c r="C218" s="72">
        <v>1</v>
      </c>
      <c r="D218" s="72">
        <v>0</v>
      </c>
      <c r="E218" s="72">
        <v>1</v>
      </c>
    </row>
    <row r="219" spans="1:5" x14ac:dyDescent="0.2">
      <c r="A219" s="44" t="s">
        <v>126</v>
      </c>
      <c r="B219" s="6" t="s">
        <v>152</v>
      </c>
      <c r="C219" s="72">
        <v>0</v>
      </c>
      <c r="D219" s="72">
        <v>0</v>
      </c>
      <c r="E219" s="72">
        <v>0</v>
      </c>
    </row>
    <row r="220" spans="1:5" x14ac:dyDescent="0.2">
      <c r="A220" s="44" t="s">
        <v>126</v>
      </c>
      <c r="B220" s="6" t="s">
        <v>153</v>
      </c>
      <c r="C220" s="72">
        <v>0</v>
      </c>
      <c r="D220" s="72">
        <v>0</v>
      </c>
      <c r="E220" s="72">
        <v>2</v>
      </c>
    </row>
    <row r="221" spans="1:5" x14ac:dyDescent="0.2">
      <c r="A221" s="44" t="s">
        <v>126</v>
      </c>
      <c r="B221" s="6" t="s">
        <v>154</v>
      </c>
      <c r="C221" s="72">
        <v>0</v>
      </c>
      <c r="D221" s="72">
        <v>0</v>
      </c>
      <c r="E221" s="72">
        <v>0</v>
      </c>
    </row>
    <row r="222" spans="1:5" x14ac:dyDescent="0.2">
      <c r="A222" s="44" t="s">
        <v>126</v>
      </c>
      <c r="B222" s="6" t="s">
        <v>155</v>
      </c>
      <c r="C222" s="72">
        <v>0</v>
      </c>
      <c r="D222" s="72">
        <v>0</v>
      </c>
      <c r="E222" s="72">
        <v>0</v>
      </c>
    </row>
    <row r="223" spans="1:5" x14ac:dyDescent="0.2">
      <c r="A223" s="44" t="s">
        <v>126</v>
      </c>
      <c r="B223" s="6" t="s">
        <v>156</v>
      </c>
      <c r="C223" s="72">
        <v>0</v>
      </c>
      <c r="D223" s="72">
        <v>0</v>
      </c>
      <c r="E223" s="72">
        <v>0</v>
      </c>
    </row>
    <row r="224" spans="1:5" x14ac:dyDescent="0.2">
      <c r="A224" s="44" t="s">
        <v>126</v>
      </c>
      <c r="B224" s="6" t="s">
        <v>157</v>
      </c>
      <c r="C224" s="72">
        <v>0</v>
      </c>
      <c r="D224" s="72">
        <v>0</v>
      </c>
      <c r="E224" s="72">
        <v>0</v>
      </c>
    </row>
    <row r="225" spans="1:5" x14ac:dyDescent="0.2">
      <c r="A225" s="44" t="s">
        <v>126</v>
      </c>
      <c r="B225" s="6" t="s">
        <v>158</v>
      </c>
      <c r="C225" s="72">
        <v>0</v>
      </c>
      <c r="D225" s="72">
        <v>0</v>
      </c>
      <c r="E225" s="72">
        <v>0</v>
      </c>
    </row>
    <row r="226" spans="1:5" x14ac:dyDescent="0.2">
      <c r="A226" s="44" t="s">
        <v>126</v>
      </c>
      <c r="B226" s="6" t="s">
        <v>159</v>
      </c>
      <c r="C226" s="72">
        <v>0</v>
      </c>
      <c r="D226" s="72">
        <v>0</v>
      </c>
      <c r="E226" s="72">
        <v>0</v>
      </c>
    </row>
    <row r="227" spans="1:5" x14ac:dyDescent="0.2">
      <c r="A227" s="44" t="s">
        <v>126</v>
      </c>
      <c r="B227" s="6" t="s">
        <v>160</v>
      </c>
      <c r="C227" s="72">
        <v>0</v>
      </c>
      <c r="D227" s="72">
        <v>0</v>
      </c>
      <c r="E227" s="72">
        <v>0</v>
      </c>
    </row>
    <row r="228" spans="1:5" x14ac:dyDescent="0.2">
      <c r="A228" s="44" t="s">
        <v>126</v>
      </c>
      <c r="B228" s="6" t="s">
        <v>161</v>
      </c>
      <c r="C228" s="72">
        <v>0</v>
      </c>
      <c r="D228" s="72">
        <v>0</v>
      </c>
      <c r="E228" s="72">
        <v>0</v>
      </c>
    </row>
    <row r="229" spans="1:5" x14ac:dyDescent="0.2">
      <c r="A229" s="44" t="s">
        <v>126</v>
      </c>
      <c r="B229" s="6" t="s">
        <v>162</v>
      </c>
      <c r="C229" s="72">
        <v>0</v>
      </c>
      <c r="D229" s="72">
        <v>0</v>
      </c>
      <c r="E229" s="72">
        <v>0</v>
      </c>
    </row>
    <row r="230" spans="1:5" x14ac:dyDescent="0.2">
      <c r="A230" s="44" t="s">
        <v>73</v>
      </c>
      <c r="B230" s="6" t="s">
        <v>151</v>
      </c>
      <c r="C230" s="72">
        <v>0</v>
      </c>
      <c r="D230" s="72">
        <v>0</v>
      </c>
      <c r="E230" s="72">
        <v>0</v>
      </c>
    </row>
    <row r="231" spans="1:5" x14ac:dyDescent="0.2">
      <c r="A231" s="44" t="s">
        <v>73</v>
      </c>
      <c r="B231" s="6" t="s">
        <v>152</v>
      </c>
      <c r="C231" s="72">
        <v>0</v>
      </c>
      <c r="D231" s="72">
        <v>0</v>
      </c>
      <c r="E231" s="72">
        <v>0</v>
      </c>
    </row>
    <row r="232" spans="1:5" x14ac:dyDescent="0.2">
      <c r="A232" s="44" t="s">
        <v>73</v>
      </c>
      <c r="B232" s="6" t="s">
        <v>153</v>
      </c>
      <c r="C232" s="72">
        <v>0</v>
      </c>
      <c r="D232" s="72">
        <v>0</v>
      </c>
      <c r="E232" s="72">
        <v>0</v>
      </c>
    </row>
    <row r="233" spans="1:5" x14ac:dyDescent="0.2">
      <c r="A233" s="44" t="s">
        <v>73</v>
      </c>
      <c r="B233" s="6" t="s">
        <v>154</v>
      </c>
      <c r="C233" s="72">
        <v>0</v>
      </c>
      <c r="D233" s="72">
        <v>0</v>
      </c>
      <c r="E233" s="72">
        <v>0</v>
      </c>
    </row>
    <row r="234" spans="1:5" x14ac:dyDescent="0.2">
      <c r="A234" s="44" t="s">
        <v>73</v>
      </c>
      <c r="B234" s="6" t="s">
        <v>155</v>
      </c>
      <c r="C234" s="72">
        <v>0</v>
      </c>
      <c r="D234" s="72">
        <v>0</v>
      </c>
      <c r="E234" s="72">
        <v>0</v>
      </c>
    </row>
    <row r="235" spans="1:5" x14ac:dyDescent="0.2">
      <c r="A235" s="44" t="s">
        <v>73</v>
      </c>
      <c r="B235" s="6" t="s">
        <v>156</v>
      </c>
      <c r="C235" s="72">
        <v>0</v>
      </c>
      <c r="D235" s="72">
        <v>0</v>
      </c>
      <c r="E235" s="72">
        <v>0</v>
      </c>
    </row>
    <row r="236" spans="1:5" x14ac:dyDescent="0.2">
      <c r="A236" s="44" t="s">
        <v>73</v>
      </c>
      <c r="B236" s="6" t="s">
        <v>157</v>
      </c>
      <c r="C236" s="72">
        <v>0</v>
      </c>
      <c r="D236" s="72">
        <v>0</v>
      </c>
      <c r="E236" s="72">
        <v>0</v>
      </c>
    </row>
    <row r="237" spans="1:5" x14ac:dyDescent="0.2">
      <c r="A237" s="44" t="s">
        <v>73</v>
      </c>
      <c r="B237" s="6" t="s">
        <v>158</v>
      </c>
      <c r="C237" s="72">
        <v>0</v>
      </c>
      <c r="D237" s="72">
        <v>0</v>
      </c>
      <c r="E237" s="72">
        <v>0</v>
      </c>
    </row>
    <row r="238" spans="1:5" x14ac:dyDescent="0.2">
      <c r="A238" s="44" t="s">
        <v>73</v>
      </c>
      <c r="B238" s="6" t="s">
        <v>159</v>
      </c>
      <c r="C238" s="72">
        <v>0</v>
      </c>
      <c r="D238" s="72">
        <v>0</v>
      </c>
      <c r="E238" s="72">
        <v>0</v>
      </c>
    </row>
    <row r="239" spans="1:5" x14ac:dyDescent="0.2">
      <c r="A239" s="44" t="s">
        <v>73</v>
      </c>
      <c r="B239" s="6" t="s">
        <v>160</v>
      </c>
      <c r="C239" s="72">
        <v>0</v>
      </c>
      <c r="D239" s="72">
        <v>0</v>
      </c>
      <c r="E239" s="72">
        <v>0</v>
      </c>
    </row>
    <row r="240" spans="1:5" x14ac:dyDescent="0.2">
      <c r="A240" s="44" t="s">
        <v>73</v>
      </c>
      <c r="B240" s="6" t="s">
        <v>161</v>
      </c>
      <c r="C240" s="72">
        <v>0</v>
      </c>
      <c r="D240" s="72">
        <v>0</v>
      </c>
      <c r="E240" s="72">
        <v>0</v>
      </c>
    </row>
    <row r="241" spans="1:5" x14ac:dyDescent="0.2">
      <c r="A241" s="44" t="s">
        <v>73</v>
      </c>
      <c r="B241" s="6" t="s">
        <v>162</v>
      </c>
      <c r="C241" s="72">
        <v>0</v>
      </c>
      <c r="D241" s="72">
        <v>0</v>
      </c>
      <c r="E241" s="72">
        <v>0</v>
      </c>
    </row>
    <row r="242" spans="1:5" x14ac:dyDescent="0.2">
      <c r="A242" s="44" t="s">
        <v>56</v>
      </c>
      <c r="B242" s="6" t="s">
        <v>151</v>
      </c>
      <c r="C242" s="72">
        <v>0</v>
      </c>
      <c r="D242" s="72">
        <v>0</v>
      </c>
      <c r="E242" s="72">
        <v>0</v>
      </c>
    </row>
    <row r="243" spans="1:5" x14ac:dyDescent="0.2">
      <c r="A243" s="44" t="s">
        <v>56</v>
      </c>
      <c r="B243" s="6" t="s">
        <v>152</v>
      </c>
      <c r="C243" s="72">
        <v>0</v>
      </c>
      <c r="D243" s="72">
        <v>0</v>
      </c>
      <c r="E243" s="72">
        <v>0</v>
      </c>
    </row>
    <row r="244" spans="1:5" x14ac:dyDescent="0.2">
      <c r="A244" s="44" t="s">
        <v>56</v>
      </c>
      <c r="B244" s="6" t="s">
        <v>153</v>
      </c>
      <c r="C244" s="72">
        <v>0</v>
      </c>
      <c r="D244" s="72">
        <v>0</v>
      </c>
      <c r="E244" s="72">
        <v>0</v>
      </c>
    </row>
    <row r="245" spans="1:5" x14ac:dyDescent="0.2">
      <c r="A245" s="44" t="s">
        <v>56</v>
      </c>
      <c r="B245" s="6" t="s">
        <v>154</v>
      </c>
      <c r="C245" s="72">
        <v>0</v>
      </c>
      <c r="D245" s="72">
        <v>0</v>
      </c>
      <c r="E245" s="72">
        <v>0</v>
      </c>
    </row>
    <row r="246" spans="1:5" x14ac:dyDescent="0.2">
      <c r="A246" s="44" t="s">
        <v>56</v>
      </c>
      <c r="B246" s="6" t="s">
        <v>155</v>
      </c>
      <c r="C246" s="72">
        <v>0</v>
      </c>
      <c r="D246" s="72">
        <v>0</v>
      </c>
      <c r="E246" s="72">
        <v>0</v>
      </c>
    </row>
    <row r="247" spans="1:5" x14ac:dyDescent="0.2">
      <c r="A247" s="44" t="s">
        <v>56</v>
      </c>
      <c r="B247" s="6" t="s">
        <v>156</v>
      </c>
      <c r="C247" s="72">
        <v>0</v>
      </c>
      <c r="D247" s="72">
        <v>0</v>
      </c>
      <c r="E247" s="72">
        <v>0</v>
      </c>
    </row>
    <row r="248" spans="1:5" x14ac:dyDescent="0.2">
      <c r="A248" s="44" t="s">
        <v>56</v>
      </c>
      <c r="B248" s="6" t="s">
        <v>157</v>
      </c>
      <c r="C248" s="72">
        <v>0</v>
      </c>
      <c r="D248" s="72">
        <v>0</v>
      </c>
      <c r="E248" s="72">
        <v>0</v>
      </c>
    </row>
    <row r="249" spans="1:5" x14ac:dyDescent="0.2">
      <c r="A249" s="44" t="s">
        <v>56</v>
      </c>
      <c r="B249" s="6" t="s">
        <v>158</v>
      </c>
      <c r="C249" s="72">
        <v>0</v>
      </c>
      <c r="D249" s="72">
        <v>0</v>
      </c>
      <c r="E249" s="72">
        <v>0</v>
      </c>
    </row>
    <row r="250" spans="1:5" x14ac:dyDescent="0.2">
      <c r="A250" s="44" t="s">
        <v>56</v>
      </c>
      <c r="B250" s="6" t="s">
        <v>159</v>
      </c>
      <c r="C250" s="72">
        <v>0</v>
      </c>
      <c r="D250" s="72">
        <v>0</v>
      </c>
      <c r="E250" s="72">
        <v>0</v>
      </c>
    </row>
    <row r="251" spans="1:5" x14ac:dyDescent="0.2">
      <c r="A251" s="44" t="s">
        <v>56</v>
      </c>
      <c r="B251" s="6" t="s">
        <v>160</v>
      </c>
      <c r="C251" s="72">
        <v>0</v>
      </c>
      <c r="D251" s="72">
        <v>0</v>
      </c>
      <c r="E251" s="72">
        <v>0</v>
      </c>
    </row>
    <row r="252" spans="1:5" x14ac:dyDescent="0.2">
      <c r="A252" s="44" t="s">
        <v>56</v>
      </c>
      <c r="B252" s="6" t="s">
        <v>161</v>
      </c>
      <c r="C252" s="72">
        <v>0</v>
      </c>
      <c r="D252" s="72">
        <v>0</v>
      </c>
      <c r="E252" s="72">
        <v>0</v>
      </c>
    </row>
    <row r="253" spans="1:5" x14ac:dyDescent="0.2">
      <c r="A253" s="44" t="s">
        <v>56</v>
      </c>
      <c r="B253" s="6" t="s">
        <v>162</v>
      </c>
      <c r="C253" s="72">
        <v>0</v>
      </c>
      <c r="D253" s="72">
        <v>0</v>
      </c>
      <c r="E253" s="72">
        <v>0</v>
      </c>
    </row>
    <row r="254" spans="1:5" x14ac:dyDescent="0.2">
      <c r="A254" s="44" t="s">
        <v>300</v>
      </c>
      <c r="B254" s="6"/>
      <c r="C254" s="72">
        <v>0</v>
      </c>
      <c r="D254" s="72">
        <v>0</v>
      </c>
      <c r="E254" s="72">
        <v>0</v>
      </c>
    </row>
    <row r="255" spans="1:5" x14ac:dyDescent="0.2">
      <c r="A255" s="44" t="s">
        <v>300</v>
      </c>
      <c r="B255" s="6"/>
      <c r="C255" s="72">
        <v>0</v>
      </c>
      <c r="D255" s="72">
        <v>0</v>
      </c>
      <c r="E255" s="72">
        <v>0</v>
      </c>
    </row>
    <row r="256" spans="1:5" x14ac:dyDescent="0.2">
      <c r="A256" s="44" t="s">
        <v>300</v>
      </c>
      <c r="B256" s="6"/>
      <c r="C256" s="72">
        <v>0</v>
      </c>
      <c r="D256" s="72">
        <v>0</v>
      </c>
      <c r="E256" s="72">
        <v>0</v>
      </c>
    </row>
    <row r="257" spans="1:5" x14ac:dyDescent="0.2">
      <c r="A257" s="44" t="s">
        <v>300</v>
      </c>
      <c r="B257" s="6"/>
      <c r="C257" s="72">
        <v>0</v>
      </c>
      <c r="D257" s="72">
        <v>0</v>
      </c>
      <c r="E257" s="72">
        <v>0</v>
      </c>
    </row>
    <row r="258" spans="1:5" x14ac:dyDescent="0.2">
      <c r="A258" s="44" t="s">
        <v>300</v>
      </c>
      <c r="B258" s="6"/>
      <c r="C258" s="72">
        <v>0</v>
      </c>
      <c r="D258" s="72">
        <v>0</v>
      </c>
      <c r="E258" s="72">
        <v>0</v>
      </c>
    </row>
    <row r="259" spans="1:5" x14ac:dyDescent="0.2">
      <c r="A259" s="44" t="s">
        <v>300</v>
      </c>
      <c r="B259" s="6"/>
      <c r="C259" s="72">
        <v>0</v>
      </c>
      <c r="D259" s="72">
        <v>0</v>
      </c>
      <c r="E259" s="72">
        <v>0</v>
      </c>
    </row>
    <row r="260" spans="1:5" x14ac:dyDescent="0.2">
      <c r="A260" s="44" t="s">
        <v>300</v>
      </c>
      <c r="B260" s="6"/>
      <c r="C260" s="72">
        <v>0</v>
      </c>
      <c r="D260" s="72">
        <v>0</v>
      </c>
      <c r="E260" s="72">
        <v>0</v>
      </c>
    </row>
    <row r="261" spans="1:5" x14ac:dyDescent="0.2">
      <c r="A261" s="44" t="s">
        <v>300</v>
      </c>
      <c r="B261" s="6"/>
      <c r="C261" s="72">
        <v>0</v>
      </c>
      <c r="D261" s="72">
        <v>0</v>
      </c>
      <c r="E261" s="72">
        <v>0</v>
      </c>
    </row>
    <row r="262" spans="1:5" x14ac:dyDescent="0.2">
      <c r="A262" s="44" t="s">
        <v>300</v>
      </c>
      <c r="B262" s="6"/>
      <c r="C262" s="72">
        <v>0</v>
      </c>
      <c r="D262" s="72">
        <v>0</v>
      </c>
      <c r="E262" s="72">
        <v>0</v>
      </c>
    </row>
    <row r="263" spans="1:5" x14ac:dyDescent="0.2">
      <c r="A263" s="44" t="s">
        <v>300</v>
      </c>
      <c r="B263" s="6"/>
      <c r="C263" s="72">
        <v>0</v>
      </c>
      <c r="D263" s="72">
        <v>0</v>
      </c>
      <c r="E263" s="72">
        <v>0</v>
      </c>
    </row>
    <row r="264" spans="1:5" x14ac:dyDescent="0.2">
      <c r="A264" s="44" t="s">
        <v>300</v>
      </c>
      <c r="B264" s="6"/>
      <c r="C264" s="72">
        <v>0</v>
      </c>
      <c r="D264" s="72">
        <v>0</v>
      </c>
      <c r="E264" s="72">
        <v>0</v>
      </c>
    </row>
    <row r="265" spans="1:5" x14ac:dyDescent="0.2">
      <c r="A265" s="44" t="s">
        <v>300</v>
      </c>
      <c r="B265" s="6"/>
      <c r="C265" s="72">
        <v>0</v>
      </c>
      <c r="D265" s="72">
        <v>0</v>
      </c>
      <c r="E265" s="72">
        <v>0</v>
      </c>
    </row>
    <row r="266" spans="1:5" x14ac:dyDescent="0.2">
      <c r="A266" s="44" t="s">
        <v>90</v>
      </c>
      <c r="B266" s="6" t="s">
        <v>151</v>
      </c>
      <c r="C266" s="72">
        <v>0</v>
      </c>
      <c r="D266" s="72">
        <v>0</v>
      </c>
      <c r="E266" s="72">
        <v>0</v>
      </c>
    </row>
    <row r="267" spans="1:5" x14ac:dyDescent="0.2">
      <c r="A267" s="44" t="s">
        <v>90</v>
      </c>
      <c r="B267" s="6" t="s">
        <v>152</v>
      </c>
      <c r="C267" s="72">
        <v>0</v>
      </c>
      <c r="D267" s="72">
        <v>0</v>
      </c>
      <c r="E267" s="72">
        <v>1</v>
      </c>
    </row>
    <row r="268" spans="1:5" x14ac:dyDescent="0.2">
      <c r="A268" s="44" t="s">
        <v>90</v>
      </c>
      <c r="B268" s="6" t="s">
        <v>153</v>
      </c>
      <c r="C268" s="72">
        <v>0</v>
      </c>
      <c r="D268" s="72">
        <v>0</v>
      </c>
      <c r="E268" s="72">
        <v>1</v>
      </c>
    </row>
    <row r="269" spans="1:5" x14ac:dyDescent="0.2">
      <c r="A269" s="44" t="s">
        <v>90</v>
      </c>
      <c r="B269" s="6" t="s">
        <v>154</v>
      </c>
      <c r="C269" s="72">
        <v>0</v>
      </c>
      <c r="D269" s="72">
        <v>0</v>
      </c>
      <c r="E269" s="72">
        <v>0</v>
      </c>
    </row>
    <row r="270" spans="1:5" x14ac:dyDescent="0.2">
      <c r="A270" s="44" t="s">
        <v>90</v>
      </c>
      <c r="B270" s="6" t="s">
        <v>155</v>
      </c>
      <c r="C270" s="72">
        <v>0</v>
      </c>
      <c r="D270" s="72">
        <v>0</v>
      </c>
      <c r="E270" s="72">
        <v>0</v>
      </c>
    </row>
    <row r="271" spans="1:5" x14ac:dyDescent="0.2">
      <c r="A271" s="44" t="s">
        <v>90</v>
      </c>
      <c r="B271" s="6" t="s">
        <v>156</v>
      </c>
      <c r="C271" s="72">
        <v>0</v>
      </c>
      <c r="D271" s="72">
        <v>0</v>
      </c>
      <c r="E271" s="72">
        <v>0</v>
      </c>
    </row>
    <row r="272" spans="1:5" x14ac:dyDescent="0.2">
      <c r="A272" s="44" t="s">
        <v>90</v>
      </c>
      <c r="B272" s="6" t="s">
        <v>157</v>
      </c>
      <c r="C272" s="72">
        <v>0</v>
      </c>
      <c r="D272" s="72">
        <v>0</v>
      </c>
      <c r="E272" s="72">
        <v>0</v>
      </c>
    </row>
    <row r="273" spans="1:5" x14ac:dyDescent="0.2">
      <c r="A273" s="44" t="s">
        <v>90</v>
      </c>
      <c r="B273" s="6" t="s">
        <v>158</v>
      </c>
      <c r="C273" s="72">
        <v>0</v>
      </c>
      <c r="D273" s="72">
        <v>0</v>
      </c>
      <c r="E273" s="72">
        <v>0</v>
      </c>
    </row>
    <row r="274" spans="1:5" x14ac:dyDescent="0.2">
      <c r="A274" s="44" t="s">
        <v>90</v>
      </c>
      <c r="B274" s="6" t="s">
        <v>159</v>
      </c>
      <c r="C274" s="72">
        <v>0</v>
      </c>
      <c r="D274" s="72">
        <v>0</v>
      </c>
      <c r="E274" s="72">
        <v>0</v>
      </c>
    </row>
    <row r="275" spans="1:5" x14ac:dyDescent="0.2">
      <c r="A275" s="44" t="s">
        <v>90</v>
      </c>
      <c r="B275" s="6" t="s">
        <v>160</v>
      </c>
      <c r="C275" s="72">
        <v>0</v>
      </c>
      <c r="D275" s="72">
        <v>0</v>
      </c>
      <c r="E275" s="72">
        <v>0</v>
      </c>
    </row>
    <row r="276" spans="1:5" x14ac:dyDescent="0.2">
      <c r="A276" s="44" t="s">
        <v>90</v>
      </c>
      <c r="B276" s="6" t="s">
        <v>161</v>
      </c>
      <c r="C276" s="72">
        <v>0</v>
      </c>
      <c r="D276" s="72">
        <v>0</v>
      </c>
      <c r="E276" s="72">
        <v>0</v>
      </c>
    </row>
    <row r="277" spans="1:5" x14ac:dyDescent="0.2">
      <c r="A277" s="44" t="s">
        <v>90</v>
      </c>
      <c r="B277" s="6" t="s">
        <v>162</v>
      </c>
      <c r="C277" s="72">
        <v>0</v>
      </c>
      <c r="D277" s="72">
        <v>0</v>
      </c>
      <c r="E277" s="72">
        <v>0</v>
      </c>
    </row>
    <row r="278" spans="1:5" x14ac:dyDescent="0.2">
      <c r="A278" s="44" t="s">
        <v>54</v>
      </c>
      <c r="B278" s="6" t="s">
        <v>151</v>
      </c>
      <c r="C278" s="72">
        <v>0</v>
      </c>
      <c r="D278" s="72">
        <v>0</v>
      </c>
      <c r="E278" s="72">
        <v>1</v>
      </c>
    </row>
    <row r="279" spans="1:5" x14ac:dyDescent="0.2">
      <c r="A279" s="44" t="s">
        <v>54</v>
      </c>
      <c r="B279" s="6" t="s">
        <v>152</v>
      </c>
      <c r="C279" s="72">
        <v>0</v>
      </c>
      <c r="D279" s="72">
        <v>0</v>
      </c>
      <c r="E279" s="72">
        <v>0</v>
      </c>
    </row>
    <row r="280" spans="1:5" x14ac:dyDescent="0.2">
      <c r="A280" s="44" t="s">
        <v>54</v>
      </c>
      <c r="B280" s="6" t="s">
        <v>153</v>
      </c>
      <c r="C280" s="72">
        <v>1</v>
      </c>
      <c r="D280" s="72">
        <v>0</v>
      </c>
      <c r="E280" s="72">
        <v>8</v>
      </c>
    </row>
    <row r="281" spans="1:5" x14ac:dyDescent="0.2">
      <c r="A281" s="44" t="s">
        <v>54</v>
      </c>
      <c r="B281" s="6" t="s">
        <v>154</v>
      </c>
      <c r="C281" s="72">
        <v>0</v>
      </c>
      <c r="D281" s="72">
        <v>0</v>
      </c>
      <c r="E281" s="72">
        <v>0</v>
      </c>
    </row>
    <row r="282" spans="1:5" x14ac:dyDescent="0.2">
      <c r="A282" s="44" t="s">
        <v>54</v>
      </c>
      <c r="B282" s="6" t="s">
        <v>155</v>
      </c>
      <c r="C282" s="72">
        <v>0</v>
      </c>
      <c r="D282" s="72">
        <v>0</v>
      </c>
      <c r="E282" s="72">
        <v>0</v>
      </c>
    </row>
    <row r="283" spans="1:5" x14ac:dyDescent="0.2">
      <c r="A283" s="44" t="s">
        <v>54</v>
      </c>
      <c r="B283" s="6" t="s">
        <v>156</v>
      </c>
      <c r="C283" s="72">
        <v>0</v>
      </c>
      <c r="D283" s="72">
        <v>0</v>
      </c>
      <c r="E283" s="72">
        <v>1</v>
      </c>
    </row>
    <row r="284" spans="1:5" x14ac:dyDescent="0.2">
      <c r="A284" s="44" t="s">
        <v>54</v>
      </c>
      <c r="B284" s="6" t="s">
        <v>157</v>
      </c>
      <c r="C284" s="72">
        <v>0</v>
      </c>
      <c r="D284" s="72">
        <v>0</v>
      </c>
      <c r="E284" s="72">
        <v>0</v>
      </c>
    </row>
    <row r="285" spans="1:5" x14ac:dyDescent="0.2">
      <c r="A285" s="44" t="s">
        <v>54</v>
      </c>
      <c r="B285" s="6" t="s">
        <v>158</v>
      </c>
      <c r="C285" s="72">
        <v>0</v>
      </c>
      <c r="D285" s="72">
        <v>0</v>
      </c>
      <c r="E285" s="72">
        <v>0</v>
      </c>
    </row>
    <row r="286" spans="1:5" x14ac:dyDescent="0.2">
      <c r="A286" s="44" t="s">
        <v>54</v>
      </c>
      <c r="B286" s="6" t="s">
        <v>159</v>
      </c>
      <c r="C286" s="72">
        <v>0</v>
      </c>
      <c r="D286" s="72">
        <v>0</v>
      </c>
      <c r="E286" s="72">
        <v>0</v>
      </c>
    </row>
    <row r="287" spans="1:5" x14ac:dyDescent="0.2">
      <c r="A287" s="44" t="s">
        <v>54</v>
      </c>
      <c r="B287" s="6" t="s">
        <v>160</v>
      </c>
      <c r="C287" s="72">
        <v>0</v>
      </c>
      <c r="D287" s="72">
        <v>0</v>
      </c>
      <c r="E287" s="72">
        <v>0</v>
      </c>
    </row>
    <row r="288" spans="1:5" x14ac:dyDescent="0.2">
      <c r="A288" s="44" t="s">
        <v>54</v>
      </c>
      <c r="B288" s="6" t="s">
        <v>161</v>
      </c>
      <c r="C288" s="72">
        <v>0</v>
      </c>
      <c r="D288" s="72">
        <v>0</v>
      </c>
      <c r="E288" s="72">
        <v>0</v>
      </c>
    </row>
    <row r="289" spans="1:5" x14ac:dyDescent="0.2">
      <c r="A289" s="44" t="s">
        <v>54</v>
      </c>
      <c r="B289" s="6" t="s">
        <v>162</v>
      </c>
      <c r="C289" s="72">
        <v>0</v>
      </c>
      <c r="D289" s="72">
        <v>0</v>
      </c>
      <c r="E289" s="72">
        <v>0</v>
      </c>
    </row>
    <row r="290" spans="1:5" x14ac:dyDescent="0.2">
      <c r="A290" s="44" t="s">
        <v>301</v>
      </c>
      <c r="B290" s="6"/>
      <c r="C290" s="72">
        <v>0</v>
      </c>
      <c r="D290" s="72">
        <v>0</v>
      </c>
      <c r="E290" s="72">
        <v>0</v>
      </c>
    </row>
    <row r="291" spans="1:5" x14ac:dyDescent="0.2">
      <c r="A291" s="44" t="s">
        <v>301</v>
      </c>
      <c r="B291" s="6"/>
      <c r="C291" s="72">
        <v>0</v>
      </c>
      <c r="D291" s="72">
        <v>0</v>
      </c>
      <c r="E291" s="72">
        <v>0</v>
      </c>
    </row>
    <row r="292" spans="1:5" x14ac:dyDescent="0.2">
      <c r="A292" s="44" t="s">
        <v>301</v>
      </c>
      <c r="B292" s="6"/>
      <c r="C292" s="72">
        <v>0</v>
      </c>
      <c r="D292" s="72">
        <v>0</v>
      </c>
      <c r="E292" s="72">
        <v>0</v>
      </c>
    </row>
    <row r="293" spans="1:5" x14ac:dyDescent="0.2">
      <c r="A293" s="44" t="s">
        <v>301</v>
      </c>
      <c r="B293" s="6"/>
      <c r="C293" s="72">
        <v>0</v>
      </c>
      <c r="D293" s="72">
        <v>0</v>
      </c>
      <c r="E293" s="72">
        <v>0</v>
      </c>
    </row>
    <row r="294" spans="1:5" x14ac:dyDescent="0.2">
      <c r="A294" s="44" t="s">
        <v>301</v>
      </c>
      <c r="B294" s="6"/>
      <c r="C294" s="72">
        <v>0</v>
      </c>
      <c r="D294" s="72">
        <v>0</v>
      </c>
      <c r="E294" s="72">
        <v>0</v>
      </c>
    </row>
    <row r="295" spans="1:5" x14ac:dyDescent="0.2">
      <c r="A295" s="44" t="s">
        <v>301</v>
      </c>
      <c r="B295" s="6"/>
      <c r="C295" s="72">
        <v>0</v>
      </c>
      <c r="D295" s="72">
        <v>0</v>
      </c>
      <c r="E295" s="72">
        <v>0</v>
      </c>
    </row>
    <row r="296" spans="1:5" x14ac:dyDescent="0.2">
      <c r="A296" s="44" t="s">
        <v>301</v>
      </c>
      <c r="B296" s="6"/>
      <c r="C296" s="72">
        <v>0</v>
      </c>
      <c r="D296" s="72">
        <v>0</v>
      </c>
      <c r="E296" s="72">
        <v>0</v>
      </c>
    </row>
    <row r="297" spans="1:5" x14ac:dyDescent="0.2">
      <c r="A297" s="44" t="s">
        <v>301</v>
      </c>
      <c r="B297" s="6"/>
      <c r="C297" s="72">
        <v>0</v>
      </c>
      <c r="D297" s="72">
        <v>0</v>
      </c>
      <c r="E297" s="72">
        <v>0</v>
      </c>
    </row>
    <row r="298" spans="1:5" x14ac:dyDescent="0.2">
      <c r="A298" s="44" t="s">
        <v>301</v>
      </c>
      <c r="B298" s="6"/>
      <c r="C298" s="72">
        <v>0</v>
      </c>
      <c r="D298" s="72">
        <v>0</v>
      </c>
      <c r="E298" s="72">
        <v>0</v>
      </c>
    </row>
    <row r="299" spans="1:5" x14ac:dyDescent="0.2">
      <c r="A299" s="44" t="s">
        <v>301</v>
      </c>
      <c r="B299" s="6"/>
      <c r="C299" s="72">
        <v>0</v>
      </c>
      <c r="D299" s="72">
        <v>0</v>
      </c>
      <c r="E299" s="72">
        <v>0</v>
      </c>
    </row>
    <row r="300" spans="1:5" x14ac:dyDescent="0.2">
      <c r="A300" s="44" t="s">
        <v>301</v>
      </c>
      <c r="B300" s="6"/>
      <c r="C300" s="72">
        <v>0</v>
      </c>
      <c r="D300" s="72">
        <v>0</v>
      </c>
      <c r="E300" s="72">
        <v>0</v>
      </c>
    </row>
    <row r="301" spans="1:5" x14ac:dyDescent="0.2">
      <c r="A301" s="44" t="s">
        <v>301</v>
      </c>
      <c r="B301" s="6"/>
      <c r="C301" s="72">
        <v>0</v>
      </c>
      <c r="D301" s="72">
        <v>0</v>
      </c>
      <c r="E301" s="72">
        <v>0</v>
      </c>
    </row>
    <row r="302" spans="1:5" x14ac:dyDescent="0.2">
      <c r="A302" s="44" t="s">
        <v>147</v>
      </c>
      <c r="B302" s="6" t="s">
        <v>151</v>
      </c>
      <c r="C302" s="72">
        <v>0</v>
      </c>
      <c r="D302" s="72">
        <v>0</v>
      </c>
      <c r="E302" s="72">
        <v>0</v>
      </c>
    </row>
    <row r="303" spans="1:5" x14ac:dyDescent="0.2">
      <c r="A303" s="44" t="s">
        <v>147</v>
      </c>
      <c r="B303" s="6" t="s">
        <v>152</v>
      </c>
      <c r="C303" s="72">
        <v>0</v>
      </c>
      <c r="D303" s="72">
        <v>0</v>
      </c>
      <c r="E303" s="72">
        <v>0</v>
      </c>
    </row>
    <row r="304" spans="1:5" x14ac:dyDescent="0.2">
      <c r="A304" s="44" t="s">
        <v>147</v>
      </c>
      <c r="B304" s="6" t="s">
        <v>153</v>
      </c>
      <c r="C304" s="72">
        <v>0</v>
      </c>
      <c r="D304" s="72">
        <v>0</v>
      </c>
      <c r="E304" s="72">
        <v>0</v>
      </c>
    </row>
    <row r="305" spans="1:5" x14ac:dyDescent="0.2">
      <c r="A305" s="44" t="s">
        <v>147</v>
      </c>
      <c r="B305" s="6" t="s">
        <v>154</v>
      </c>
      <c r="C305" s="72">
        <v>0</v>
      </c>
      <c r="D305" s="72">
        <v>0</v>
      </c>
      <c r="E305" s="72">
        <v>0</v>
      </c>
    </row>
    <row r="306" spans="1:5" x14ac:dyDescent="0.2">
      <c r="A306" s="44" t="s">
        <v>147</v>
      </c>
      <c r="B306" s="6" t="s">
        <v>155</v>
      </c>
      <c r="C306" s="72">
        <v>0</v>
      </c>
      <c r="D306" s="72">
        <v>0</v>
      </c>
      <c r="E306" s="72">
        <v>0</v>
      </c>
    </row>
    <row r="307" spans="1:5" x14ac:dyDescent="0.2">
      <c r="A307" s="44" t="s">
        <v>147</v>
      </c>
      <c r="B307" s="6" t="s">
        <v>156</v>
      </c>
      <c r="C307" s="72">
        <v>0</v>
      </c>
      <c r="D307" s="72">
        <v>0</v>
      </c>
      <c r="E307" s="72">
        <v>0</v>
      </c>
    </row>
    <row r="308" spans="1:5" x14ac:dyDescent="0.2">
      <c r="A308" s="44" t="s">
        <v>147</v>
      </c>
      <c r="B308" s="6" t="s">
        <v>157</v>
      </c>
      <c r="C308" s="72">
        <v>0</v>
      </c>
      <c r="D308" s="72">
        <v>0</v>
      </c>
      <c r="E308" s="72">
        <v>0</v>
      </c>
    </row>
    <row r="309" spans="1:5" x14ac:dyDescent="0.2">
      <c r="A309" s="44" t="s">
        <v>147</v>
      </c>
      <c r="B309" s="6" t="s">
        <v>158</v>
      </c>
      <c r="C309" s="72">
        <v>0</v>
      </c>
      <c r="D309" s="72">
        <v>0</v>
      </c>
      <c r="E309" s="72">
        <v>0</v>
      </c>
    </row>
    <row r="310" spans="1:5" x14ac:dyDescent="0.2">
      <c r="A310" s="44" t="s">
        <v>147</v>
      </c>
      <c r="B310" s="6" t="s">
        <v>159</v>
      </c>
      <c r="C310" s="72">
        <v>0</v>
      </c>
      <c r="D310" s="72">
        <v>0</v>
      </c>
      <c r="E310" s="72">
        <v>0</v>
      </c>
    </row>
    <row r="311" spans="1:5" x14ac:dyDescent="0.2">
      <c r="A311" s="44" t="s">
        <v>147</v>
      </c>
      <c r="B311" s="6" t="s">
        <v>160</v>
      </c>
      <c r="C311" s="72">
        <v>0</v>
      </c>
      <c r="D311" s="72">
        <v>0</v>
      </c>
      <c r="E311" s="72">
        <v>0</v>
      </c>
    </row>
    <row r="312" spans="1:5" x14ac:dyDescent="0.2">
      <c r="A312" s="44" t="s">
        <v>147</v>
      </c>
      <c r="B312" s="6" t="s">
        <v>161</v>
      </c>
      <c r="C312" s="72">
        <v>0</v>
      </c>
      <c r="D312" s="72">
        <v>0</v>
      </c>
      <c r="E312" s="72">
        <v>0</v>
      </c>
    </row>
    <row r="313" spans="1:5" x14ac:dyDescent="0.2">
      <c r="A313" s="44" t="s">
        <v>147</v>
      </c>
      <c r="B313" s="6" t="s">
        <v>162</v>
      </c>
      <c r="C313" s="72">
        <v>0</v>
      </c>
      <c r="D313" s="72">
        <v>0</v>
      </c>
      <c r="E313" s="72">
        <v>0</v>
      </c>
    </row>
    <row r="314" spans="1:5" x14ac:dyDescent="0.2">
      <c r="A314" s="44" t="s">
        <v>71</v>
      </c>
      <c r="B314" s="6" t="s">
        <v>151</v>
      </c>
      <c r="C314" s="72">
        <v>0</v>
      </c>
      <c r="D314" s="72">
        <v>0</v>
      </c>
      <c r="E314" s="72">
        <v>0</v>
      </c>
    </row>
    <row r="315" spans="1:5" x14ac:dyDescent="0.2">
      <c r="A315" s="44" t="s">
        <v>71</v>
      </c>
      <c r="B315" s="6" t="s">
        <v>152</v>
      </c>
      <c r="C315" s="72">
        <v>0</v>
      </c>
      <c r="D315" s="72">
        <v>0</v>
      </c>
      <c r="E315" s="72">
        <v>0</v>
      </c>
    </row>
    <row r="316" spans="1:5" x14ac:dyDescent="0.2">
      <c r="A316" s="44" t="s">
        <v>71</v>
      </c>
      <c r="B316" s="6" t="s">
        <v>153</v>
      </c>
      <c r="C316" s="72">
        <v>0</v>
      </c>
      <c r="D316" s="72">
        <v>0</v>
      </c>
      <c r="E316" s="72">
        <v>0</v>
      </c>
    </row>
    <row r="317" spans="1:5" x14ac:dyDescent="0.2">
      <c r="A317" s="44" t="s">
        <v>71</v>
      </c>
      <c r="B317" s="6" t="s">
        <v>154</v>
      </c>
      <c r="C317" s="72">
        <v>0</v>
      </c>
      <c r="D317" s="72">
        <v>0</v>
      </c>
      <c r="E317" s="72">
        <v>0</v>
      </c>
    </row>
    <row r="318" spans="1:5" x14ac:dyDescent="0.2">
      <c r="A318" s="44" t="s">
        <v>71</v>
      </c>
      <c r="B318" s="6" t="s">
        <v>155</v>
      </c>
      <c r="C318" s="72">
        <v>0</v>
      </c>
      <c r="D318" s="72">
        <v>0</v>
      </c>
      <c r="E318" s="72">
        <v>0</v>
      </c>
    </row>
    <row r="319" spans="1:5" x14ac:dyDescent="0.2">
      <c r="A319" s="44" t="s">
        <v>71</v>
      </c>
      <c r="B319" s="6" t="s">
        <v>156</v>
      </c>
      <c r="C319" s="72">
        <v>0</v>
      </c>
      <c r="D319" s="72">
        <v>0</v>
      </c>
      <c r="E319" s="72">
        <v>0</v>
      </c>
    </row>
    <row r="320" spans="1:5" x14ac:dyDescent="0.2">
      <c r="A320" s="44" t="s">
        <v>71</v>
      </c>
      <c r="B320" s="6" t="s">
        <v>157</v>
      </c>
      <c r="C320" s="72">
        <v>0</v>
      </c>
      <c r="D320" s="72">
        <v>0</v>
      </c>
      <c r="E320" s="72">
        <v>0</v>
      </c>
    </row>
    <row r="321" spans="1:5" x14ac:dyDescent="0.2">
      <c r="A321" s="44" t="s">
        <v>71</v>
      </c>
      <c r="B321" s="6" t="s">
        <v>158</v>
      </c>
      <c r="C321" s="72">
        <v>0</v>
      </c>
      <c r="D321" s="72">
        <v>0</v>
      </c>
      <c r="E321" s="72">
        <v>0</v>
      </c>
    </row>
    <row r="322" spans="1:5" x14ac:dyDescent="0.2">
      <c r="A322" s="44" t="s">
        <v>71</v>
      </c>
      <c r="B322" s="6" t="s">
        <v>159</v>
      </c>
      <c r="C322" s="72">
        <v>0</v>
      </c>
      <c r="D322" s="72">
        <v>0</v>
      </c>
      <c r="E322" s="72">
        <v>0</v>
      </c>
    </row>
    <row r="323" spans="1:5" x14ac:dyDescent="0.2">
      <c r="A323" s="44" t="s">
        <v>71</v>
      </c>
      <c r="B323" s="6" t="s">
        <v>160</v>
      </c>
      <c r="C323" s="72">
        <v>0</v>
      </c>
      <c r="D323" s="72">
        <v>0</v>
      </c>
      <c r="E323" s="72">
        <v>0</v>
      </c>
    </row>
    <row r="324" spans="1:5" x14ac:dyDescent="0.2">
      <c r="A324" s="44" t="s">
        <v>71</v>
      </c>
      <c r="B324" s="6" t="s">
        <v>161</v>
      </c>
      <c r="C324" s="72">
        <v>0</v>
      </c>
      <c r="D324" s="72">
        <v>0</v>
      </c>
      <c r="E324" s="72">
        <v>0</v>
      </c>
    </row>
    <row r="325" spans="1:5" x14ac:dyDescent="0.2">
      <c r="A325" s="44" t="s">
        <v>71</v>
      </c>
      <c r="B325" s="6" t="s">
        <v>162</v>
      </c>
      <c r="C325" s="72">
        <v>0</v>
      </c>
      <c r="D325" s="72">
        <v>0</v>
      </c>
      <c r="E325" s="72">
        <v>0</v>
      </c>
    </row>
    <row r="326" spans="1:5" x14ac:dyDescent="0.2">
      <c r="A326" s="44" t="s">
        <v>75</v>
      </c>
      <c r="B326" s="6" t="s">
        <v>151</v>
      </c>
      <c r="C326" s="72">
        <v>0</v>
      </c>
      <c r="D326" s="72">
        <v>0</v>
      </c>
      <c r="E326" s="72">
        <v>2</v>
      </c>
    </row>
    <row r="327" spans="1:5" x14ac:dyDescent="0.2">
      <c r="A327" s="44" t="s">
        <v>75</v>
      </c>
      <c r="B327" s="6" t="s">
        <v>152</v>
      </c>
      <c r="C327" s="72">
        <v>0</v>
      </c>
      <c r="D327" s="72">
        <v>0</v>
      </c>
      <c r="E327" s="72">
        <v>2</v>
      </c>
    </row>
    <row r="328" spans="1:5" x14ac:dyDescent="0.2">
      <c r="A328" s="44" t="s">
        <v>75</v>
      </c>
      <c r="B328" s="6" t="s">
        <v>153</v>
      </c>
      <c r="C328" s="72">
        <v>0</v>
      </c>
      <c r="D328" s="72">
        <v>0</v>
      </c>
      <c r="E328" s="72">
        <v>2</v>
      </c>
    </row>
    <row r="329" spans="1:5" x14ac:dyDescent="0.2">
      <c r="A329" s="44" t="s">
        <v>75</v>
      </c>
      <c r="B329" s="6" t="s">
        <v>154</v>
      </c>
      <c r="C329" s="72">
        <v>0</v>
      </c>
      <c r="D329" s="72">
        <v>0</v>
      </c>
      <c r="E329" s="72">
        <v>2</v>
      </c>
    </row>
    <row r="330" spans="1:5" x14ac:dyDescent="0.2">
      <c r="A330" s="44" t="s">
        <v>75</v>
      </c>
      <c r="B330" s="6" t="s">
        <v>155</v>
      </c>
      <c r="C330" s="72">
        <v>0</v>
      </c>
      <c r="D330" s="72">
        <v>0</v>
      </c>
      <c r="E330" s="72">
        <v>1</v>
      </c>
    </row>
    <row r="331" spans="1:5" x14ac:dyDescent="0.2">
      <c r="A331" s="44" t="s">
        <v>75</v>
      </c>
      <c r="B331" s="6" t="s">
        <v>156</v>
      </c>
      <c r="C331" s="72">
        <v>0</v>
      </c>
      <c r="D331" s="72">
        <v>0</v>
      </c>
      <c r="E331" s="72">
        <v>0</v>
      </c>
    </row>
    <row r="332" spans="1:5" x14ac:dyDescent="0.2">
      <c r="A332" s="44" t="s">
        <v>75</v>
      </c>
      <c r="B332" s="6" t="s">
        <v>157</v>
      </c>
      <c r="C332" s="72">
        <v>0</v>
      </c>
      <c r="D332" s="72">
        <v>0</v>
      </c>
      <c r="E332" s="72">
        <v>0</v>
      </c>
    </row>
    <row r="333" spans="1:5" x14ac:dyDescent="0.2">
      <c r="A333" s="44" t="s">
        <v>75</v>
      </c>
      <c r="B333" s="6" t="s">
        <v>158</v>
      </c>
      <c r="C333" s="72">
        <v>0</v>
      </c>
      <c r="D333" s="72">
        <v>0</v>
      </c>
      <c r="E333" s="72">
        <v>0</v>
      </c>
    </row>
    <row r="334" spans="1:5" x14ac:dyDescent="0.2">
      <c r="A334" s="44" t="s">
        <v>75</v>
      </c>
      <c r="B334" s="6" t="s">
        <v>159</v>
      </c>
      <c r="C334" s="72">
        <v>0</v>
      </c>
      <c r="D334" s="72">
        <v>0</v>
      </c>
      <c r="E334" s="72">
        <v>0</v>
      </c>
    </row>
    <row r="335" spans="1:5" x14ac:dyDescent="0.2">
      <c r="A335" s="44" t="s">
        <v>75</v>
      </c>
      <c r="B335" s="6" t="s">
        <v>160</v>
      </c>
      <c r="C335" s="72">
        <v>0</v>
      </c>
      <c r="D335" s="72">
        <v>0</v>
      </c>
      <c r="E335" s="72">
        <v>0</v>
      </c>
    </row>
    <row r="336" spans="1:5" x14ac:dyDescent="0.2">
      <c r="A336" s="44" t="s">
        <v>75</v>
      </c>
      <c r="B336" s="6" t="s">
        <v>161</v>
      </c>
      <c r="C336" s="72">
        <v>0</v>
      </c>
      <c r="D336" s="72">
        <v>0</v>
      </c>
      <c r="E336" s="72">
        <v>0</v>
      </c>
    </row>
    <row r="337" spans="1:5" x14ac:dyDescent="0.2">
      <c r="A337" s="44" t="s">
        <v>75</v>
      </c>
      <c r="B337" s="6" t="s">
        <v>162</v>
      </c>
      <c r="C337" s="72">
        <v>0</v>
      </c>
      <c r="D337" s="72">
        <v>0</v>
      </c>
      <c r="E337" s="72">
        <v>0</v>
      </c>
    </row>
    <row r="338" spans="1:5" x14ac:dyDescent="0.2">
      <c r="A338" s="44" t="s">
        <v>46</v>
      </c>
      <c r="B338" s="6" t="s">
        <v>151</v>
      </c>
      <c r="C338" s="72">
        <v>0</v>
      </c>
      <c r="D338" s="72">
        <v>0</v>
      </c>
      <c r="E338" s="72">
        <v>0</v>
      </c>
    </row>
    <row r="339" spans="1:5" x14ac:dyDescent="0.2">
      <c r="A339" s="44" t="s">
        <v>46</v>
      </c>
      <c r="B339" s="6" t="s">
        <v>152</v>
      </c>
      <c r="C339" s="72">
        <v>0</v>
      </c>
      <c r="D339" s="72">
        <v>0</v>
      </c>
      <c r="E339" s="72">
        <v>0</v>
      </c>
    </row>
    <row r="340" spans="1:5" x14ac:dyDescent="0.2">
      <c r="A340" s="44" t="s">
        <v>46</v>
      </c>
      <c r="B340" s="6" t="s">
        <v>153</v>
      </c>
      <c r="C340" s="72">
        <v>0</v>
      </c>
      <c r="D340" s="72">
        <v>0</v>
      </c>
      <c r="E340" s="72">
        <v>0</v>
      </c>
    </row>
    <row r="341" spans="1:5" x14ac:dyDescent="0.2">
      <c r="A341" s="44" t="s">
        <v>46</v>
      </c>
      <c r="B341" s="6" t="s">
        <v>154</v>
      </c>
      <c r="C341" s="72">
        <v>0</v>
      </c>
      <c r="D341" s="72">
        <v>0</v>
      </c>
      <c r="E341" s="72">
        <v>0</v>
      </c>
    </row>
    <row r="342" spans="1:5" x14ac:dyDescent="0.2">
      <c r="A342" s="44" t="s">
        <v>46</v>
      </c>
      <c r="B342" s="6" t="s">
        <v>155</v>
      </c>
      <c r="C342" s="72">
        <v>0</v>
      </c>
      <c r="D342" s="72">
        <v>0</v>
      </c>
      <c r="E342" s="72">
        <v>0</v>
      </c>
    </row>
    <row r="343" spans="1:5" x14ac:dyDescent="0.2">
      <c r="A343" s="44" t="s">
        <v>46</v>
      </c>
      <c r="B343" s="6" t="s">
        <v>156</v>
      </c>
      <c r="C343" s="72">
        <v>0</v>
      </c>
      <c r="D343" s="72">
        <v>0</v>
      </c>
      <c r="E343" s="72">
        <v>0</v>
      </c>
    </row>
    <row r="344" spans="1:5" x14ac:dyDescent="0.2">
      <c r="A344" s="44" t="s">
        <v>46</v>
      </c>
      <c r="B344" s="6" t="s">
        <v>157</v>
      </c>
      <c r="C344" s="72">
        <v>0</v>
      </c>
      <c r="D344" s="72">
        <v>0</v>
      </c>
      <c r="E344" s="72">
        <v>0</v>
      </c>
    </row>
    <row r="345" spans="1:5" x14ac:dyDescent="0.2">
      <c r="A345" s="44" t="s">
        <v>46</v>
      </c>
      <c r="B345" s="6" t="s">
        <v>158</v>
      </c>
      <c r="C345" s="72">
        <v>0</v>
      </c>
      <c r="D345" s="72">
        <v>0</v>
      </c>
      <c r="E345" s="72">
        <v>0</v>
      </c>
    </row>
    <row r="346" spans="1:5" x14ac:dyDescent="0.2">
      <c r="A346" s="44" t="s">
        <v>46</v>
      </c>
      <c r="B346" s="6" t="s">
        <v>159</v>
      </c>
      <c r="C346" s="72">
        <v>0</v>
      </c>
      <c r="D346" s="72">
        <v>0</v>
      </c>
      <c r="E346" s="72">
        <v>0</v>
      </c>
    </row>
    <row r="347" spans="1:5" x14ac:dyDescent="0.2">
      <c r="A347" s="44" t="s">
        <v>46</v>
      </c>
      <c r="B347" s="6" t="s">
        <v>160</v>
      </c>
      <c r="C347" s="72">
        <v>0</v>
      </c>
      <c r="D347" s="72">
        <v>0</v>
      </c>
      <c r="E347" s="72">
        <v>0</v>
      </c>
    </row>
    <row r="348" spans="1:5" x14ac:dyDescent="0.2">
      <c r="A348" s="44" t="s">
        <v>46</v>
      </c>
      <c r="B348" s="6" t="s">
        <v>161</v>
      </c>
      <c r="C348" s="72">
        <v>0</v>
      </c>
      <c r="D348" s="72">
        <v>0</v>
      </c>
      <c r="E348" s="72">
        <v>0</v>
      </c>
    </row>
    <row r="349" spans="1:5" x14ac:dyDescent="0.2">
      <c r="A349" s="44" t="s">
        <v>46</v>
      </c>
      <c r="B349" s="6" t="s">
        <v>162</v>
      </c>
      <c r="C349" s="72">
        <v>0</v>
      </c>
      <c r="D349" s="72">
        <v>0</v>
      </c>
      <c r="E349" s="72">
        <v>0</v>
      </c>
    </row>
    <row r="350" spans="1:5" x14ac:dyDescent="0.2">
      <c r="A350" s="44" t="s">
        <v>36</v>
      </c>
      <c r="B350" s="6" t="s">
        <v>151</v>
      </c>
      <c r="C350" s="72">
        <v>0</v>
      </c>
      <c r="D350" s="72">
        <v>0</v>
      </c>
      <c r="E350" s="72">
        <v>0</v>
      </c>
    </row>
    <row r="351" spans="1:5" x14ac:dyDescent="0.2">
      <c r="A351" s="44" t="s">
        <v>36</v>
      </c>
      <c r="B351" s="6" t="s">
        <v>152</v>
      </c>
      <c r="C351" s="72">
        <v>0</v>
      </c>
      <c r="D351" s="72">
        <v>0</v>
      </c>
      <c r="E351" s="72">
        <v>0</v>
      </c>
    </row>
    <row r="352" spans="1:5" x14ac:dyDescent="0.2">
      <c r="A352" s="44" t="s">
        <v>36</v>
      </c>
      <c r="B352" s="6" t="s">
        <v>153</v>
      </c>
      <c r="C352" s="72">
        <v>0</v>
      </c>
      <c r="D352" s="72">
        <v>0</v>
      </c>
      <c r="E352" s="72">
        <v>0</v>
      </c>
    </row>
    <row r="353" spans="1:5" x14ac:dyDescent="0.2">
      <c r="A353" s="44" t="s">
        <v>36</v>
      </c>
      <c r="B353" s="6" t="s">
        <v>154</v>
      </c>
      <c r="C353" s="72">
        <v>0</v>
      </c>
      <c r="D353" s="72">
        <v>0</v>
      </c>
      <c r="E353" s="72">
        <v>0</v>
      </c>
    </row>
    <row r="354" spans="1:5" x14ac:dyDescent="0.2">
      <c r="A354" s="44" t="s">
        <v>36</v>
      </c>
      <c r="B354" s="6" t="s">
        <v>155</v>
      </c>
      <c r="C354" s="72">
        <v>0</v>
      </c>
      <c r="D354" s="72">
        <v>0</v>
      </c>
      <c r="E354" s="72">
        <v>0</v>
      </c>
    </row>
    <row r="355" spans="1:5" x14ac:dyDescent="0.2">
      <c r="A355" s="44" t="s">
        <v>36</v>
      </c>
      <c r="B355" s="6" t="s">
        <v>156</v>
      </c>
      <c r="C355" s="72">
        <v>0</v>
      </c>
      <c r="D355" s="72">
        <v>0</v>
      </c>
      <c r="E355" s="72">
        <v>0</v>
      </c>
    </row>
    <row r="356" spans="1:5" x14ac:dyDescent="0.2">
      <c r="A356" s="44" t="s">
        <v>36</v>
      </c>
      <c r="B356" s="6" t="s">
        <v>157</v>
      </c>
      <c r="C356" s="72">
        <v>0</v>
      </c>
      <c r="D356" s="72">
        <v>0</v>
      </c>
      <c r="E356" s="72">
        <v>0</v>
      </c>
    </row>
    <row r="357" spans="1:5" x14ac:dyDescent="0.2">
      <c r="A357" s="44" t="s">
        <v>36</v>
      </c>
      <c r="B357" s="6" t="s">
        <v>158</v>
      </c>
      <c r="C357" s="72">
        <v>0</v>
      </c>
      <c r="D357" s="72">
        <v>0</v>
      </c>
      <c r="E357" s="72">
        <v>0</v>
      </c>
    </row>
    <row r="358" spans="1:5" x14ac:dyDescent="0.2">
      <c r="A358" s="44" t="s">
        <v>36</v>
      </c>
      <c r="B358" s="6" t="s">
        <v>159</v>
      </c>
      <c r="C358" s="72">
        <v>0</v>
      </c>
      <c r="D358" s="72">
        <v>0</v>
      </c>
      <c r="E358" s="72">
        <v>0</v>
      </c>
    </row>
    <row r="359" spans="1:5" x14ac:dyDescent="0.2">
      <c r="A359" s="44" t="s">
        <v>36</v>
      </c>
      <c r="B359" s="6" t="s">
        <v>160</v>
      </c>
      <c r="C359" s="72">
        <v>0</v>
      </c>
      <c r="D359" s="72">
        <v>0</v>
      </c>
      <c r="E359" s="72">
        <v>0</v>
      </c>
    </row>
    <row r="360" spans="1:5" x14ac:dyDescent="0.2">
      <c r="A360" s="44" t="s">
        <v>36</v>
      </c>
      <c r="B360" s="6" t="s">
        <v>161</v>
      </c>
      <c r="C360" s="72">
        <v>0</v>
      </c>
      <c r="D360" s="72">
        <v>0</v>
      </c>
      <c r="E360" s="72">
        <v>0</v>
      </c>
    </row>
    <row r="361" spans="1:5" x14ac:dyDescent="0.2">
      <c r="A361" s="44" t="s">
        <v>36</v>
      </c>
      <c r="B361" s="6" t="s">
        <v>162</v>
      </c>
      <c r="C361" s="72">
        <v>0</v>
      </c>
      <c r="D361" s="72">
        <v>0</v>
      </c>
      <c r="E361" s="72">
        <v>0</v>
      </c>
    </row>
    <row r="362" spans="1:5" x14ac:dyDescent="0.2">
      <c r="A362" s="44" t="s">
        <v>82</v>
      </c>
      <c r="B362" s="6" t="s">
        <v>151</v>
      </c>
      <c r="C362" s="72">
        <v>0</v>
      </c>
      <c r="D362" s="72">
        <v>0</v>
      </c>
      <c r="E362" s="72">
        <v>0</v>
      </c>
    </row>
    <row r="363" spans="1:5" x14ac:dyDescent="0.2">
      <c r="A363" s="44" t="s">
        <v>82</v>
      </c>
      <c r="B363" s="6" t="s">
        <v>152</v>
      </c>
      <c r="C363" s="72">
        <v>0</v>
      </c>
      <c r="D363" s="72">
        <v>0</v>
      </c>
      <c r="E363" s="72">
        <v>0</v>
      </c>
    </row>
    <row r="364" spans="1:5" x14ac:dyDescent="0.2">
      <c r="A364" s="44" t="s">
        <v>82</v>
      </c>
      <c r="B364" s="6" t="s">
        <v>153</v>
      </c>
      <c r="C364" s="72">
        <v>0</v>
      </c>
      <c r="D364" s="72">
        <v>3</v>
      </c>
      <c r="E364" s="72">
        <v>0</v>
      </c>
    </row>
    <row r="365" spans="1:5" x14ac:dyDescent="0.2">
      <c r="A365" s="44" t="s">
        <v>82</v>
      </c>
      <c r="B365" s="6" t="s">
        <v>154</v>
      </c>
      <c r="C365" s="72">
        <v>0</v>
      </c>
      <c r="D365" s="72">
        <v>0</v>
      </c>
      <c r="E365" s="72">
        <v>0</v>
      </c>
    </row>
    <row r="366" spans="1:5" x14ac:dyDescent="0.2">
      <c r="A366" s="44" t="s">
        <v>82</v>
      </c>
      <c r="B366" s="6" t="s">
        <v>155</v>
      </c>
      <c r="C366" s="72">
        <v>0</v>
      </c>
      <c r="D366" s="72">
        <v>0</v>
      </c>
      <c r="E366" s="72">
        <v>0</v>
      </c>
    </row>
    <row r="367" spans="1:5" x14ac:dyDescent="0.2">
      <c r="A367" s="44" t="s">
        <v>82</v>
      </c>
      <c r="B367" s="6" t="s">
        <v>156</v>
      </c>
      <c r="C367" s="72">
        <v>0</v>
      </c>
      <c r="D367" s="72">
        <v>0</v>
      </c>
      <c r="E367" s="72">
        <v>0</v>
      </c>
    </row>
    <row r="368" spans="1:5" x14ac:dyDescent="0.2">
      <c r="A368" s="44" t="s">
        <v>82</v>
      </c>
      <c r="B368" s="6" t="s">
        <v>157</v>
      </c>
      <c r="C368" s="72">
        <v>0</v>
      </c>
      <c r="D368" s="72">
        <v>0</v>
      </c>
      <c r="E368" s="72">
        <v>0</v>
      </c>
    </row>
    <row r="369" spans="1:5" x14ac:dyDescent="0.2">
      <c r="A369" s="44" t="s">
        <v>82</v>
      </c>
      <c r="B369" s="6" t="s">
        <v>158</v>
      </c>
      <c r="C369" s="72">
        <v>0</v>
      </c>
      <c r="D369" s="72">
        <v>0</v>
      </c>
      <c r="E369" s="72">
        <v>0</v>
      </c>
    </row>
    <row r="370" spans="1:5" x14ac:dyDescent="0.2">
      <c r="A370" s="44" t="s">
        <v>82</v>
      </c>
      <c r="B370" s="6" t="s">
        <v>159</v>
      </c>
      <c r="C370" s="72">
        <v>0</v>
      </c>
      <c r="D370" s="72">
        <v>0</v>
      </c>
      <c r="E370" s="72">
        <v>0</v>
      </c>
    </row>
    <row r="371" spans="1:5" x14ac:dyDescent="0.2">
      <c r="A371" s="44" t="s">
        <v>82</v>
      </c>
      <c r="B371" s="6" t="s">
        <v>160</v>
      </c>
      <c r="C371" s="72">
        <v>0</v>
      </c>
      <c r="D371" s="72">
        <v>0</v>
      </c>
      <c r="E371" s="72">
        <v>0</v>
      </c>
    </row>
    <row r="372" spans="1:5" x14ac:dyDescent="0.2">
      <c r="A372" s="44" t="s">
        <v>82</v>
      </c>
      <c r="B372" s="6" t="s">
        <v>161</v>
      </c>
      <c r="C372" s="72">
        <v>0</v>
      </c>
      <c r="D372" s="72">
        <v>0</v>
      </c>
      <c r="E372" s="72">
        <v>0</v>
      </c>
    </row>
    <row r="373" spans="1:5" x14ac:dyDescent="0.2">
      <c r="A373" s="44" t="s">
        <v>82</v>
      </c>
      <c r="B373" s="6" t="s">
        <v>162</v>
      </c>
      <c r="C373" s="72">
        <v>0</v>
      </c>
      <c r="D373" s="72">
        <v>0</v>
      </c>
      <c r="E373" s="72">
        <v>0</v>
      </c>
    </row>
    <row r="374" spans="1:5" x14ac:dyDescent="0.2">
      <c r="A374" s="44" t="s">
        <v>64</v>
      </c>
      <c r="B374" s="6" t="s">
        <v>151</v>
      </c>
      <c r="C374" s="72">
        <v>0</v>
      </c>
      <c r="D374" s="72">
        <v>0</v>
      </c>
      <c r="E374" s="72">
        <v>0</v>
      </c>
    </row>
    <row r="375" spans="1:5" x14ac:dyDescent="0.2">
      <c r="A375" s="44" t="s">
        <v>64</v>
      </c>
      <c r="B375" s="6" t="s">
        <v>152</v>
      </c>
      <c r="C375" s="72">
        <v>0</v>
      </c>
      <c r="D375" s="72">
        <v>0</v>
      </c>
      <c r="E375" s="72">
        <v>0</v>
      </c>
    </row>
    <row r="376" spans="1:5" x14ac:dyDescent="0.2">
      <c r="A376" s="44" t="s">
        <v>64</v>
      </c>
      <c r="B376" s="6" t="s">
        <v>153</v>
      </c>
      <c r="C376" s="72">
        <v>0</v>
      </c>
      <c r="D376" s="72">
        <v>0</v>
      </c>
      <c r="E376" s="72">
        <v>0</v>
      </c>
    </row>
    <row r="377" spans="1:5" x14ac:dyDescent="0.2">
      <c r="A377" s="44" t="s">
        <v>64</v>
      </c>
      <c r="B377" s="6" t="s">
        <v>154</v>
      </c>
      <c r="C377" s="72">
        <v>0</v>
      </c>
      <c r="D377" s="72">
        <v>0</v>
      </c>
      <c r="E377" s="72">
        <v>0</v>
      </c>
    </row>
    <row r="378" spans="1:5" x14ac:dyDescent="0.2">
      <c r="A378" s="44" t="s">
        <v>64</v>
      </c>
      <c r="B378" s="6" t="s">
        <v>155</v>
      </c>
      <c r="C378" s="72">
        <v>0</v>
      </c>
      <c r="D378" s="72">
        <v>0</v>
      </c>
      <c r="E378" s="72">
        <v>0</v>
      </c>
    </row>
    <row r="379" spans="1:5" x14ac:dyDescent="0.2">
      <c r="A379" s="44" t="s">
        <v>64</v>
      </c>
      <c r="B379" s="6" t="s">
        <v>156</v>
      </c>
      <c r="C379" s="72">
        <v>0</v>
      </c>
      <c r="D379" s="72">
        <v>0</v>
      </c>
      <c r="E379" s="72">
        <v>0</v>
      </c>
    </row>
    <row r="380" spans="1:5" x14ac:dyDescent="0.2">
      <c r="A380" s="44" t="s">
        <v>64</v>
      </c>
      <c r="B380" s="6" t="s">
        <v>157</v>
      </c>
      <c r="C380" s="72">
        <v>0</v>
      </c>
      <c r="D380" s="72">
        <v>0</v>
      </c>
      <c r="E380" s="72">
        <v>0</v>
      </c>
    </row>
    <row r="381" spans="1:5" x14ac:dyDescent="0.2">
      <c r="A381" s="44" t="s">
        <v>64</v>
      </c>
      <c r="B381" s="6" t="s">
        <v>158</v>
      </c>
      <c r="C381" s="72">
        <v>0</v>
      </c>
      <c r="D381" s="72">
        <v>0</v>
      </c>
      <c r="E381" s="72">
        <v>0</v>
      </c>
    </row>
    <row r="382" spans="1:5" x14ac:dyDescent="0.2">
      <c r="A382" s="44" t="s">
        <v>64</v>
      </c>
      <c r="B382" s="6" t="s">
        <v>159</v>
      </c>
      <c r="C382" s="72">
        <v>0</v>
      </c>
      <c r="D382" s="72">
        <v>0</v>
      </c>
      <c r="E382" s="72">
        <v>0</v>
      </c>
    </row>
    <row r="383" spans="1:5" x14ac:dyDescent="0.2">
      <c r="A383" s="44" t="s">
        <v>64</v>
      </c>
      <c r="B383" s="6" t="s">
        <v>160</v>
      </c>
      <c r="C383" s="72">
        <v>0</v>
      </c>
      <c r="D383" s="72">
        <v>0</v>
      </c>
      <c r="E383" s="72">
        <v>0</v>
      </c>
    </row>
    <row r="384" spans="1:5" x14ac:dyDescent="0.2">
      <c r="A384" s="44" t="s">
        <v>64</v>
      </c>
      <c r="B384" s="6" t="s">
        <v>161</v>
      </c>
      <c r="C384" s="72">
        <v>0</v>
      </c>
      <c r="D384" s="72">
        <v>0</v>
      </c>
      <c r="E384" s="72">
        <v>0</v>
      </c>
    </row>
    <row r="385" spans="1:5" x14ac:dyDescent="0.2">
      <c r="A385" s="44" t="s">
        <v>64</v>
      </c>
      <c r="B385" s="6" t="s">
        <v>162</v>
      </c>
      <c r="C385" s="72">
        <v>0</v>
      </c>
      <c r="D385" s="72">
        <v>0</v>
      </c>
      <c r="E385" s="72">
        <v>0</v>
      </c>
    </row>
    <row r="386" spans="1:5" x14ac:dyDescent="0.2">
      <c r="A386" s="44" t="s">
        <v>135</v>
      </c>
      <c r="B386" s="6" t="s">
        <v>151</v>
      </c>
      <c r="C386" s="72">
        <v>0</v>
      </c>
      <c r="D386" s="72">
        <v>0</v>
      </c>
      <c r="E386" s="72">
        <v>0</v>
      </c>
    </row>
    <row r="387" spans="1:5" x14ac:dyDescent="0.2">
      <c r="A387" s="44" t="s">
        <v>135</v>
      </c>
      <c r="B387" s="6" t="s">
        <v>152</v>
      </c>
      <c r="C387" s="72">
        <v>0</v>
      </c>
      <c r="D387" s="72">
        <v>0</v>
      </c>
      <c r="E387" s="72">
        <v>0</v>
      </c>
    </row>
    <row r="388" spans="1:5" x14ac:dyDescent="0.2">
      <c r="A388" s="44" t="s">
        <v>135</v>
      </c>
      <c r="B388" s="6" t="s">
        <v>153</v>
      </c>
      <c r="C388" s="72">
        <v>0</v>
      </c>
      <c r="D388" s="72">
        <v>0</v>
      </c>
      <c r="E388" s="72">
        <v>0</v>
      </c>
    </row>
    <row r="389" spans="1:5" x14ac:dyDescent="0.2">
      <c r="A389" s="44" t="s">
        <v>135</v>
      </c>
      <c r="B389" s="6" t="s">
        <v>154</v>
      </c>
      <c r="C389" s="72">
        <v>0</v>
      </c>
      <c r="D389" s="72">
        <v>0</v>
      </c>
      <c r="E389" s="72">
        <v>0</v>
      </c>
    </row>
    <row r="390" spans="1:5" x14ac:dyDescent="0.2">
      <c r="A390" s="44" t="s">
        <v>135</v>
      </c>
      <c r="B390" s="6" t="s">
        <v>155</v>
      </c>
      <c r="C390" s="72">
        <v>0</v>
      </c>
      <c r="D390" s="72">
        <v>0</v>
      </c>
      <c r="E390" s="72">
        <v>0</v>
      </c>
    </row>
    <row r="391" spans="1:5" x14ac:dyDescent="0.2">
      <c r="A391" s="44" t="s">
        <v>135</v>
      </c>
      <c r="B391" s="6" t="s">
        <v>156</v>
      </c>
      <c r="C391" s="72">
        <v>0</v>
      </c>
      <c r="D391" s="72">
        <v>0</v>
      </c>
      <c r="E391" s="72">
        <v>0</v>
      </c>
    </row>
    <row r="392" spans="1:5" x14ac:dyDescent="0.2">
      <c r="A392" s="44" t="s">
        <v>135</v>
      </c>
      <c r="B392" s="6" t="s">
        <v>157</v>
      </c>
      <c r="C392" s="72">
        <v>0</v>
      </c>
      <c r="D392" s="72">
        <v>0</v>
      </c>
      <c r="E392" s="72">
        <v>0</v>
      </c>
    </row>
    <row r="393" spans="1:5" x14ac:dyDescent="0.2">
      <c r="A393" s="44" t="s">
        <v>135</v>
      </c>
      <c r="B393" s="6" t="s">
        <v>158</v>
      </c>
      <c r="C393" s="72">
        <v>0</v>
      </c>
      <c r="D393" s="72">
        <v>0</v>
      </c>
      <c r="E393" s="72">
        <v>0</v>
      </c>
    </row>
    <row r="394" spans="1:5" x14ac:dyDescent="0.2">
      <c r="A394" s="44" t="s">
        <v>135</v>
      </c>
      <c r="B394" s="6" t="s">
        <v>159</v>
      </c>
      <c r="C394" s="72">
        <v>0</v>
      </c>
      <c r="D394" s="72">
        <v>0</v>
      </c>
      <c r="E394" s="72">
        <v>0</v>
      </c>
    </row>
    <row r="395" spans="1:5" x14ac:dyDescent="0.2">
      <c r="A395" s="44" t="s">
        <v>135</v>
      </c>
      <c r="B395" s="6" t="s">
        <v>160</v>
      </c>
      <c r="C395" s="72">
        <v>0</v>
      </c>
      <c r="D395" s="72">
        <v>0</v>
      </c>
      <c r="E395" s="72">
        <v>0</v>
      </c>
    </row>
    <row r="396" spans="1:5" x14ac:dyDescent="0.2">
      <c r="A396" s="44" t="s">
        <v>135</v>
      </c>
      <c r="B396" s="6" t="s">
        <v>161</v>
      </c>
      <c r="C396" s="72">
        <v>0</v>
      </c>
      <c r="D396" s="72">
        <v>0</v>
      </c>
      <c r="E396" s="72">
        <v>0</v>
      </c>
    </row>
    <row r="397" spans="1:5" x14ac:dyDescent="0.2">
      <c r="A397" s="44" t="s">
        <v>135</v>
      </c>
      <c r="B397" s="6" t="s">
        <v>162</v>
      </c>
      <c r="C397" s="72">
        <v>0</v>
      </c>
      <c r="D397" s="72">
        <v>0</v>
      </c>
      <c r="E397" s="72">
        <v>0</v>
      </c>
    </row>
    <row r="398" spans="1:5" x14ac:dyDescent="0.2">
      <c r="A398" s="44" t="s">
        <v>103</v>
      </c>
      <c r="B398" s="6" t="s">
        <v>151</v>
      </c>
      <c r="C398" s="72">
        <v>0</v>
      </c>
      <c r="D398" s="72">
        <v>0</v>
      </c>
      <c r="E398" s="72">
        <v>0</v>
      </c>
    </row>
    <row r="399" spans="1:5" x14ac:dyDescent="0.2">
      <c r="A399" s="44" t="s">
        <v>103</v>
      </c>
      <c r="B399" s="6" t="s">
        <v>152</v>
      </c>
      <c r="C399" s="72">
        <v>0</v>
      </c>
      <c r="D399" s="72">
        <v>0</v>
      </c>
      <c r="E399" s="72">
        <v>0</v>
      </c>
    </row>
    <row r="400" spans="1:5" x14ac:dyDescent="0.2">
      <c r="A400" s="44" t="s">
        <v>103</v>
      </c>
      <c r="B400" s="6" t="s">
        <v>153</v>
      </c>
      <c r="C400" s="72">
        <v>0</v>
      </c>
      <c r="D400" s="72">
        <v>0</v>
      </c>
      <c r="E400" s="72">
        <v>0</v>
      </c>
    </row>
    <row r="401" spans="1:5" x14ac:dyDescent="0.2">
      <c r="A401" s="44" t="s">
        <v>103</v>
      </c>
      <c r="B401" s="6" t="s">
        <v>154</v>
      </c>
      <c r="C401" s="72">
        <v>0</v>
      </c>
      <c r="D401" s="72">
        <v>0</v>
      </c>
      <c r="E401" s="72">
        <v>0</v>
      </c>
    </row>
    <row r="402" spans="1:5" x14ac:dyDescent="0.2">
      <c r="A402" s="44" t="s">
        <v>103</v>
      </c>
      <c r="B402" s="6" t="s">
        <v>155</v>
      </c>
      <c r="C402" s="72">
        <v>0</v>
      </c>
      <c r="D402" s="72">
        <v>0</v>
      </c>
      <c r="E402" s="72">
        <v>0</v>
      </c>
    </row>
    <row r="403" spans="1:5" x14ac:dyDescent="0.2">
      <c r="A403" s="44" t="s">
        <v>103</v>
      </c>
      <c r="B403" s="6" t="s">
        <v>156</v>
      </c>
      <c r="C403" s="72">
        <v>0</v>
      </c>
      <c r="D403" s="72">
        <v>0</v>
      </c>
      <c r="E403" s="72">
        <v>0</v>
      </c>
    </row>
    <row r="404" spans="1:5" x14ac:dyDescent="0.2">
      <c r="A404" s="44" t="s">
        <v>103</v>
      </c>
      <c r="B404" s="6" t="s">
        <v>157</v>
      </c>
      <c r="C404" s="72">
        <v>0</v>
      </c>
      <c r="D404" s="72">
        <v>0</v>
      </c>
      <c r="E404" s="72">
        <v>0</v>
      </c>
    </row>
    <row r="405" spans="1:5" x14ac:dyDescent="0.2">
      <c r="A405" s="44" t="s">
        <v>103</v>
      </c>
      <c r="B405" s="6" t="s">
        <v>158</v>
      </c>
      <c r="C405" s="72">
        <v>0</v>
      </c>
      <c r="D405" s="72">
        <v>0</v>
      </c>
      <c r="E405" s="72">
        <v>0</v>
      </c>
    </row>
    <row r="406" spans="1:5" x14ac:dyDescent="0.2">
      <c r="A406" s="44" t="s">
        <v>103</v>
      </c>
      <c r="B406" s="6" t="s">
        <v>159</v>
      </c>
      <c r="C406" s="72">
        <v>0</v>
      </c>
      <c r="D406" s="72">
        <v>0</v>
      </c>
      <c r="E406" s="72">
        <v>0</v>
      </c>
    </row>
    <row r="407" spans="1:5" x14ac:dyDescent="0.2">
      <c r="A407" s="44" t="s">
        <v>103</v>
      </c>
      <c r="B407" s="6" t="s">
        <v>160</v>
      </c>
      <c r="C407" s="72">
        <v>0</v>
      </c>
      <c r="D407" s="72">
        <v>0</v>
      </c>
      <c r="E407" s="72">
        <v>0</v>
      </c>
    </row>
    <row r="408" spans="1:5" x14ac:dyDescent="0.2">
      <c r="A408" s="44" t="s">
        <v>103</v>
      </c>
      <c r="B408" s="6" t="s">
        <v>161</v>
      </c>
      <c r="C408" s="72">
        <v>0</v>
      </c>
      <c r="D408" s="72">
        <v>0</v>
      </c>
      <c r="E408" s="72">
        <v>0</v>
      </c>
    </row>
    <row r="409" spans="1:5" x14ac:dyDescent="0.2">
      <c r="A409" s="44" t="s">
        <v>103</v>
      </c>
      <c r="B409" s="6" t="s">
        <v>162</v>
      </c>
      <c r="C409" s="72">
        <v>0</v>
      </c>
      <c r="D409" s="72">
        <v>0</v>
      </c>
      <c r="E409" s="72">
        <v>0</v>
      </c>
    </row>
    <row r="410" spans="1:5" x14ac:dyDescent="0.2">
      <c r="A410" s="44" t="s">
        <v>85</v>
      </c>
      <c r="B410" s="6" t="s">
        <v>151</v>
      </c>
      <c r="C410" s="72">
        <v>0</v>
      </c>
      <c r="D410" s="72">
        <v>0</v>
      </c>
      <c r="E410" s="72">
        <v>0</v>
      </c>
    </row>
    <row r="411" spans="1:5" x14ac:dyDescent="0.2">
      <c r="A411" s="44" t="s">
        <v>85</v>
      </c>
      <c r="B411" s="6" t="s">
        <v>152</v>
      </c>
      <c r="C411" s="72">
        <v>0</v>
      </c>
      <c r="D411" s="72">
        <v>0</v>
      </c>
      <c r="E411" s="72">
        <v>0</v>
      </c>
    </row>
    <row r="412" spans="1:5" x14ac:dyDescent="0.2">
      <c r="A412" s="44" t="s">
        <v>85</v>
      </c>
      <c r="B412" s="6" t="s">
        <v>153</v>
      </c>
      <c r="C412" s="72">
        <v>0</v>
      </c>
      <c r="D412" s="72">
        <v>0</v>
      </c>
      <c r="E412" s="72">
        <v>0</v>
      </c>
    </row>
    <row r="413" spans="1:5" x14ac:dyDescent="0.2">
      <c r="A413" s="44" t="s">
        <v>85</v>
      </c>
      <c r="B413" s="6" t="s">
        <v>154</v>
      </c>
      <c r="C413" s="72">
        <v>0</v>
      </c>
      <c r="D413" s="72">
        <v>0</v>
      </c>
      <c r="E413" s="72">
        <v>0</v>
      </c>
    </row>
    <row r="414" spans="1:5" x14ac:dyDescent="0.2">
      <c r="A414" s="44" t="s">
        <v>85</v>
      </c>
      <c r="B414" s="6" t="s">
        <v>155</v>
      </c>
      <c r="C414" s="72">
        <v>0</v>
      </c>
      <c r="D414" s="72">
        <v>0</v>
      </c>
      <c r="E414" s="72">
        <v>0</v>
      </c>
    </row>
    <row r="415" spans="1:5" x14ac:dyDescent="0.2">
      <c r="A415" s="44" t="s">
        <v>85</v>
      </c>
      <c r="B415" s="6" t="s">
        <v>156</v>
      </c>
      <c r="C415" s="72">
        <v>0</v>
      </c>
      <c r="D415" s="72">
        <v>0</v>
      </c>
      <c r="E415" s="72">
        <v>0</v>
      </c>
    </row>
    <row r="416" spans="1:5" x14ac:dyDescent="0.2">
      <c r="A416" s="44" t="s">
        <v>85</v>
      </c>
      <c r="B416" s="6" t="s">
        <v>157</v>
      </c>
      <c r="C416" s="72">
        <v>0</v>
      </c>
      <c r="D416" s="72">
        <v>0</v>
      </c>
      <c r="E416" s="72">
        <v>0</v>
      </c>
    </row>
    <row r="417" spans="1:5" x14ac:dyDescent="0.2">
      <c r="A417" s="44" t="s">
        <v>85</v>
      </c>
      <c r="B417" s="6" t="s">
        <v>158</v>
      </c>
      <c r="C417" s="72">
        <v>0</v>
      </c>
      <c r="D417" s="72">
        <v>0</v>
      </c>
      <c r="E417" s="72">
        <v>0</v>
      </c>
    </row>
    <row r="418" spans="1:5" x14ac:dyDescent="0.2">
      <c r="A418" s="44" t="s">
        <v>85</v>
      </c>
      <c r="B418" s="6" t="s">
        <v>159</v>
      </c>
      <c r="C418" s="72">
        <v>0</v>
      </c>
      <c r="D418" s="72">
        <v>0</v>
      </c>
      <c r="E418" s="72">
        <v>0</v>
      </c>
    </row>
    <row r="419" spans="1:5" x14ac:dyDescent="0.2">
      <c r="A419" s="44" t="s">
        <v>85</v>
      </c>
      <c r="B419" s="6" t="s">
        <v>160</v>
      </c>
      <c r="C419" s="72">
        <v>0</v>
      </c>
      <c r="D419" s="72">
        <v>0</v>
      </c>
      <c r="E419" s="72">
        <v>0</v>
      </c>
    </row>
    <row r="420" spans="1:5" x14ac:dyDescent="0.2">
      <c r="A420" s="44" t="s">
        <v>85</v>
      </c>
      <c r="B420" s="6" t="s">
        <v>161</v>
      </c>
      <c r="C420" s="72">
        <v>0</v>
      </c>
      <c r="D420" s="72">
        <v>0</v>
      </c>
      <c r="E420" s="72">
        <v>0</v>
      </c>
    </row>
    <row r="421" spans="1:5" x14ac:dyDescent="0.2">
      <c r="A421" s="44" t="s">
        <v>85</v>
      </c>
      <c r="B421" s="6" t="s">
        <v>162</v>
      </c>
      <c r="C421" s="72">
        <v>0</v>
      </c>
      <c r="D421" s="72">
        <v>0</v>
      </c>
      <c r="E421" s="72">
        <v>0</v>
      </c>
    </row>
    <row r="422" spans="1:5" x14ac:dyDescent="0.2">
      <c r="A422" s="44" t="s">
        <v>121</v>
      </c>
      <c r="B422" s="6" t="s">
        <v>151</v>
      </c>
      <c r="C422" s="72">
        <v>0</v>
      </c>
      <c r="D422" s="72">
        <v>0</v>
      </c>
      <c r="E422" s="72">
        <v>1</v>
      </c>
    </row>
    <row r="423" spans="1:5" x14ac:dyDescent="0.2">
      <c r="A423" s="44" t="s">
        <v>121</v>
      </c>
      <c r="B423" s="6" t="s">
        <v>152</v>
      </c>
      <c r="C423" s="72">
        <v>0</v>
      </c>
      <c r="D423" s="72">
        <v>0</v>
      </c>
      <c r="E423" s="72">
        <v>0</v>
      </c>
    </row>
    <row r="424" spans="1:5" x14ac:dyDescent="0.2">
      <c r="A424" s="44" t="s">
        <v>121</v>
      </c>
      <c r="B424" s="6" t="s">
        <v>153</v>
      </c>
      <c r="C424" s="72">
        <v>0</v>
      </c>
      <c r="D424" s="72">
        <v>0</v>
      </c>
      <c r="E424" s="72">
        <v>0</v>
      </c>
    </row>
    <row r="425" spans="1:5" x14ac:dyDescent="0.2">
      <c r="A425" s="44" t="s">
        <v>121</v>
      </c>
      <c r="B425" s="6" t="s">
        <v>154</v>
      </c>
      <c r="C425" s="72">
        <v>0</v>
      </c>
      <c r="D425" s="72">
        <v>0</v>
      </c>
      <c r="E425" s="72">
        <v>0</v>
      </c>
    </row>
    <row r="426" spans="1:5" x14ac:dyDescent="0.2">
      <c r="A426" s="44" t="s">
        <v>121</v>
      </c>
      <c r="B426" s="6" t="s">
        <v>155</v>
      </c>
      <c r="C426" s="72">
        <v>0</v>
      </c>
      <c r="D426" s="72">
        <v>0</v>
      </c>
      <c r="E426" s="72">
        <v>0</v>
      </c>
    </row>
    <row r="427" spans="1:5" x14ac:dyDescent="0.2">
      <c r="A427" s="44" t="s">
        <v>121</v>
      </c>
      <c r="B427" s="6" t="s">
        <v>156</v>
      </c>
      <c r="C427" s="72">
        <v>0</v>
      </c>
      <c r="D427" s="72">
        <v>0</v>
      </c>
      <c r="E427" s="72">
        <v>1</v>
      </c>
    </row>
    <row r="428" spans="1:5" x14ac:dyDescent="0.2">
      <c r="A428" s="44" t="s">
        <v>121</v>
      </c>
      <c r="B428" s="6" t="s">
        <v>157</v>
      </c>
      <c r="C428" s="72">
        <v>0</v>
      </c>
      <c r="D428" s="72">
        <v>0</v>
      </c>
      <c r="E428" s="72">
        <v>0</v>
      </c>
    </row>
    <row r="429" spans="1:5" x14ac:dyDescent="0.2">
      <c r="A429" s="44" t="s">
        <v>121</v>
      </c>
      <c r="B429" s="6" t="s">
        <v>158</v>
      </c>
      <c r="C429" s="72">
        <v>0</v>
      </c>
      <c r="D429" s="72">
        <v>0</v>
      </c>
      <c r="E429" s="72">
        <v>0</v>
      </c>
    </row>
    <row r="430" spans="1:5" x14ac:dyDescent="0.2">
      <c r="A430" s="44" t="s">
        <v>121</v>
      </c>
      <c r="B430" s="6" t="s">
        <v>159</v>
      </c>
      <c r="C430" s="72">
        <v>0</v>
      </c>
      <c r="D430" s="72">
        <v>0</v>
      </c>
      <c r="E430" s="72">
        <v>0</v>
      </c>
    </row>
    <row r="431" spans="1:5" x14ac:dyDescent="0.2">
      <c r="A431" s="44" t="s">
        <v>121</v>
      </c>
      <c r="B431" s="6" t="s">
        <v>160</v>
      </c>
      <c r="C431" s="72">
        <v>0</v>
      </c>
      <c r="D431" s="72">
        <v>0</v>
      </c>
      <c r="E431" s="72">
        <v>0</v>
      </c>
    </row>
    <row r="432" spans="1:5" x14ac:dyDescent="0.2">
      <c r="A432" s="44" t="s">
        <v>121</v>
      </c>
      <c r="B432" s="6" t="s">
        <v>161</v>
      </c>
      <c r="C432" s="72">
        <v>0</v>
      </c>
      <c r="D432" s="72">
        <v>0</v>
      </c>
      <c r="E432" s="72">
        <v>0</v>
      </c>
    </row>
    <row r="433" spans="1:5" x14ac:dyDescent="0.2">
      <c r="A433" s="44" t="s">
        <v>121</v>
      </c>
      <c r="B433" s="6" t="s">
        <v>162</v>
      </c>
      <c r="C433" s="72">
        <v>0</v>
      </c>
      <c r="D433" s="72">
        <v>0</v>
      </c>
      <c r="E433" s="72">
        <v>0</v>
      </c>
    </row>
    <row r="434" spans="1:5" x14ac:dyDescent="0.2">
      <c r="A434" s="44" t="s">
        <v>116</v>
      </c>
      <c r="B434" s="6" t="s">
        <v>151</v>
      </c>
      <c r="C434" s="72">
        <v>0</v>
      </c>
      <c r="D434" s="72">
        <v>0</v>
      </c>
      <c r="E434" s="72">
        <v>1</v>
      </c>
    </row>
    <row r="435" spans="1:5" x14ac:dyDescent="0.2">
      <c r="A435" s="44" t="s">
        <v>116</v>
      </c>
      <c r="B435" s="6" t="s">
        <v>152</v>
      </c>
      <c r="C435" s="72">
        <v>0</v>
      </c>
      <c r="D435" s="72">
        <v>0</v>
      </c>
      <c r="E435" s="72">
        <v>0</v>
      </c>
    </row>
    <row r="436" spans="1:5" x14ac:dyDescent="0.2">
      <c r="A436" s="44" t="s">
        <v>116</v>
      </c>
      <c r="B436" s="6" t="s">
        <v>153</v>
      </c>
      <c r="C436" s="72">
        <v>0</v>
      </c>
      <c r="D436" s="72">
        <v>0</v>
      </c>
      <c r="E436" s="72">
        <v>0</v>
      </c>
    </row>
    <row r="437" spans="1:5" x14ac:dyDescent="0.2">
      <c r="A437" s="44" t="s">
        <v>116</v>
      </c>
      <c r="B437" s="6" t="s">
        <v>154</v>
      </c>
      <c r="C437" s="72">
        <v>0</v>
      </c>
      <c r="D437" s="72">
        <v>0</v>
      </c>
      <c r="E437" s="72">
        <v>0</v>
      </c>
    </row>
    <row r="438" spans="1:5" x14ac:dyDescent="0.2">
      <c r="A438" s="44" t="s">
        <v>116</v>
      </c>
      <c r="B438" s="6" t="s">
        <v>155</v>
      </c>
      <c r="C438" s="72">
        <v>0</v>
      </c>
      <c r="D438" s="72">
        <v>0</v>
      </c>
      <c r="E438" s="72">
        <v>1</v>
      </c>
    </row>
    <row r="439" spans="1:5" x14ac:dyDescent="0.2">
      <c r="A439" s="44" t="s">
        <v>116</v>
      </c>
      <c r="B439" s="6" t="s">
        <v>156</v>
      </c>
      <c r="C439" s="72">
        <v>0</v>
      </c>
      <c r="D439" s="72">
        <v>0</v>
      </c>
      <c r="E439" s="72">
        <v>1</v>
      </c>
    </row>
    <row r="440" spans="1:5" x14ac:dyDescent="0.2">
      <c r="A440" s="44" t="s">
        <v>116</v>
      </c>
      <c r="B440" s="6" t="s">
        <v>157</v>
      </c>
      <c r="C440" s="72">
        <v>0</v>
      </c>
      <c r="D440" s="72">
        <v>0</v>
      </c>
      <c r="E440" s="72">
        <v>0</v>
      </c>
    </row>
    <row r="441" spans="1:5" x14ac:dyDescent="0.2">
      <c r="A441" s="44" t="s">
        <v>116</v>
      </c>
      <c r="B441" s="6" t="s">
        <v>158</v>
      </c>
      <c r="C441" s="72">
        <v>0</v>
      </c>
      <c r="D441" s="72">
        <v>0</v>
      </c>
      <c r="E441" s="72">
        <v>0</v>
      </c>
    </row>
    <row r="442" spans="1:5" x14ac:dyDescent="0.2">
      <c r="A442" s="44" t="s">
        <v>116</v>
      </c>
      <c r="B442" s="6" t="s">
        <v>159</v>
      </c>
      <c r="C442" s="72">
        <v>0</v>
      </c>
      <c r="D442" s="72">
        <v>0</v>
      </c>
      <c r="E442" s="72">
        <v>0</v>
      </c>
    </row>
    <row r="443" spans="1:5" x14ac:dyDescent="0.2">
      <c r="A443" s="44" t="s">
        <v>116</v>
      </c>
      <c r="B443" s="6" t="s">
        <v>160</v>
      </c>
      <c r="C443" s="72">
        <v>0</v>
      </c>
      <c r="D443" s="72">
        <v>0</v>
      </c>
      <c r="E443" s="72">
        <v>0</v>
      </c>
    </row>
    <row r="444" spans="1:5" x14ac:dyDescent="0.2">
      <c r="A444" s="44" t="s">
        <v>116</v>
      </c>
      <c r="B444" s="6" t="s">
        <v>161</v>
      </c>
      <c r="C444" s="72">
        <v>0</v>
      </c>
      <c r="D444" s="72">
        <v>0</v>
      </c>
      <c r="E444" s="72">
        <v>0</v>
      </c>
    </row>
    <row r="445" spans="1:5" x14ac:dyDescent="0.2">
      <c r="A445" s="44" t="s">
        <v>116</v>
      </c>
      <c r="B445" s="6" t="s">
        <v>162</v>
      </c>
      <c r="C445" s="72">
        <v>0</v>
      </c>
      <c r="D445" s="72">
        <v>0</v>
      </c>
      <c r="E445" s="72">
        <v>0</v>
      </c>
    </row>
    <row r="446" spans="1:5" x14ac:dyDescent="0.2">
      <c r="A446" s="44" t="s">
        <v>86</v>
      </c>
      <c r="B446" s="6" t="s">
        <v>151</v>
      </c>
      <c r="C446" s="72">
        <v>0</v>
      </c>
      <c r="D446" s="72">
        <v>0</v>
      </c>
      <c r="E446" s="72">
        <v>0</v>
      </c>
    </row>
    <row r="447" spans="1:5" x14ac:dyDescent="0.2">
      <c r="A447" s="44" t="s">
        <v>86</v>
      </c>
      <c r="B447" s="6" t="s">
        <v>152</v>
      </c>
      <c r="C447" s="72">
        <v>0</v>
      </c>
      <c r="D447" s="72">
        <v>0</v>
      </c>
      <c r="E447" s="72">
        <v>0</v>
      </c>
    </row>
    <row r="448" spans="1:5" x14ac:dyDescent="0.2">
      <c r="A448" s="44" t="s">
        <v>86</v>
      </c>
      <c r="B448" s="6" t="s">
        <v>153</v>
      </c>
      <c r="C448" s="72">
        <v>0</v>
      </c>
      <c r="D448" s="72">
        <v>0</v>
      </c>
      <c r="E448" s="72">
        <v>0</v>
      </c>
    </row>
    <row r="449" spans="1:5" x14ac:dyDescent="0.2">
      <c r="A449" s="44" t="s">
        <v>86</v>
      </c>
      <c r="B449" s="6" t="s">
        <v>154</v>
      </c>
      <c r="C449" s="72">
        <v>0</v>
      </c>
      <c r="D449" s="72">
        <v>0</v>
      </c>
      <c r="E449" s="72">
        <v>0</v>
      </c>
    </row>
    <row r="450" spans="1:5" x14ac:dyDescent="0.2">
      <c r="A450" s="44" t="s">
        <v>86</v>
      </c>
      <c r="B450" s="6" t="s">
        <v>155</v>
      </c>
      <c r="C450" s="72">
        <v>0</v>
      </c>
      <c r="D450" s="72">
        <v>0</v>
      </c>
      <c r="E450" s="72">
        <v>0</v>
      </c>
    </row>
    <row r="451" spans="1:5" x14ac:dyDescent="0.2">
      <c r="A451" s="44" t="s">
        <v>86</v>
      </c>
      <c r="B451" s="6" t="s">
        <v>156</v>
      </c>
      <c r="C451" s="72">
        <v>0</v>
      </c>
      <c r="D451" s="72">
        <v>0</v>
      </c>
      <c r="E451" s="72">
        <v>0</v>
      </c>
    </row>
    <row r="452" spans="1:5" x14ac:dyDescent="0.2">
      <c r="A452" s="44" t="s">
        <v>86</v>
      </c>
      <c r="B452" s="6" t="s">
        <v>157</v>
      </c>
      <c r="C452" s="72">
        <v>0</v>
      </c>
      <c r="D452" s="72">
        <v>0</v>
      </c>
      <c r="E452" s="72">
        <v>0</v>
      </c>
    </row>
    <row r="453" spans="1:5" x14ac:dyDescent="0.2">
      <c r="A453" s="44" t="s">
        <v>86</v>
      </c>
      <c r="B453" s="6" t="s">
        <v>158</v>
      </c>
      <c r="C453" s="72">
        <v>0</v>
      </c>
      <c r="D453" s="72">
        <v>0</v>
      </c>
      <c r="E453" s="72">
        <v>0</v>
      </c>
    </row>
    <row r="454" spans="1:5" x14ac:dyDescent="0.2">
      <c r="A454" s="44" t="s">
        <v>86</v>
      </c>
      <c r="B454" s="6" t="s">
        <v>159</v>
      </c>
      <c r="C454" s="72">
        <v>0</v>
      </c>
      <c r="D454" s="72">
        <v>0</v>
      </c>
      <c r="E454" s="72">
        <v>0</v>
      </c>
    </row>
    <row r="455" spans="1:5" x14ac:dyDescent="0.2">
      <c r="A455" s="44" t="s">
        <v>86</v>
      </c>
      <c r="B455" s="6" t="s">
        <v>160</v>
      </c>
      <c r="C455" s="72">
        <v>0</v>
      </c>
      <c r="D455" s="72">
        <v>0</v>
      </c>
      <c r="E455" s="72">
        <v>0</v>
      </c>
    </row>
    <row r="456" spans="1:5" x14ac:dyDescent="0.2">
      <c r="A456" s="44" t="s">
        <v>86</v>
      </c>
      <c r="B456" s="6" t="s">
        <v>161</v>
      </c>
      <c r="C456" s="72">
        <v>0</v>
      </c>
      <c r="D456" s="72">
        <v>0</v>
      </c>
      <c r="E456" s="72">
        <v>0</v>
      </c>
    </row>
    <row r="457" spans="1:5" x14ac:dyDescent="0.2">
      <c r="A457" s="44" t="s">
        <v>86</v>
      </c>
      <c r="B457" s="6" t="s">
        <v>162</v>
      </c>
      <c r="C457" s="72">
        <v>0</v>
      </c>
      <c r="D457" s="72">
        <v>0</v>
      </c>
      <c r="E457" s="72">
        <v>0</v>
      </c>
    </row>
    <row r="458" spans="1:5" x14ac:dyDescent="0.2">
      <c r="A458" s="44" t="s">
        <v>102</v>
      </c>
      <c r="B458" s="6" t="s">
        <v>151</v>
      </c>
      <c r="C458" s="72">
        <v>0</v>
      </c>
      <c r="D458" s="72">
        <v>0</v>
      </c>
      <c r="E458" s="72">
        <v>0</v>
      </c>
    </row>
    <row r="459" spans="1:5" x14ac:dyDescent="0.2">
      <c r="A459" s="44" t="s">
        <v>102</v>
      </c>
      <c r="B459" s="6" t="s">
        <v>152</v>
      </c>
      <c r="C459" s="72">
        <v>0</v>
      </c>
      <c r="D459" s="72">
        <v>0</v>
      </c>
      <c r="E459" s="72">
        <v>0</v>
      </c>
    </row>
    <row r="460" spans="1:5" x14ac:dyDescent="0.2">
      <c r="A460" s="44" t="s">
        <v>102</v>
      </c>
      <c r="B460" s="6" t="s">
        <v>153</v>
      </c>
      <c r="C460" s="72">
        <v>0</v>
      </c>
      <c r="D460" s="72">
        <v>0</v>
      </c>
      <c r="E460" s="72">
        <v>0</v>
      </c>
    </row>
    <row r="461" spans="1:5" x14ac:dyDescent="0.2">
      <c r="A461" s="44" t="s">
        <v>102</v>
      </c>
      <c r="B461" s="6" t="s">
        <v>154</v>
      </c>
      <c r="C461" s="72">
        <v>0</v>
      </c>
      <c r="D461" s="72">
        <v>0</v>
      </c>
      <c r="E461" s="72">
        <v>0</v>
      </c>
    </row>
    <row r="462" spans="1:5" x14ac:dyDescent="0.2">
      <c r="A462" s="44" t="s">
        <v>102</v>
      </c>
      <c r="B462" s="6" t="s">
        <v>155</v>
      </c>
      <c r="C462" s="72">
        <v>0</v>
      </c>
      <c r="D462" s="72">
        <v>0</v>
      </c>
      <c r="E462" s="72">
        <v>0</v>
      </c>
    </row>
    <row r="463" spans="1:5" x14ac:dyDescent="0.2">
      <c r="A463" s="44" t="s">
        <v>102</v>
      </c>
      <c r="B463" s="6" t="s">
        <v>156</v>
      </c>
      <c r="C463" s="72">
        <v>0</v>
      </c>
      <c r="D463" s="72">
        <v>0</v>
      </c>
      <c r="E463" s="72">
        <v>0</v>
      </c>
    </row>
    <row r="464" spans="1:5" x14ac:dyDescent="0.2">
      <c r="A464" s="44" t="s">
        <v>102</v>
      </c>
      <c r="B464" s="6" t="s">
        <v>157</v>
      </c>
      <c r="C464" s="72">
        <v>0</v>
      </c>
      <c r="D464" s="72">
        <v>0</v>
      </c>
      <c r="E464" s="72">
        <v>0</v>
      </c>
    </row>
    <row r="465" spans="1:5" x14ac:dyDescent="0.2">
      <c r="A465" s="44" t="s">
        <v>102</v>
      </c>
      <c r="B465" s="6" t="s">
        <v>158</v>
      </c>
      <c r="C465" s="72">
        <v>0</v>
      </c>
      <c r="D465" s="72">
        <v>0</v>
      </c>
      <c r="E465" s="72">
        <v>0</v>
      </c>
    </row>
    <row r="466" spans="1:5" x14ac:dyDescent="0.2">
      <c r="A466" s="44" t="s">
        <v>102</v>
      </c>
      <c r="B466" s="6" t="s">
        <v>159</v>
      </c>
      <c r="C466" s="72">
        <v>0</v>
      </c>
      <c r="D466" s="72">
        <v>0</v>
      </c>
      <c r="E466" s="72">
        <v>0</v>
      </c>
    </row>
    <row r="467" spans="1:5" x14ac:dyDescent="0.2">
      <c r="A467" s="44" t="s">
        <v>102</v>
      </c>
      <c r="B467" s="6" t="s">
        <v>160</v>
      </c>
      <c r="C467" s="72">
        <v>0</v>
      </c>
      <c r="D467" s="72">
        <v>0</v>
      </c>
      <c r="E467" s="72">
        <v>0</v>
      </c>
    </row>
    <row r="468" spans="1:5" x14ac:dyDescent="0.2">
      <c r="A468" s="44" t="s">
        <v>102</v>
      </c>
      <c r="B468" s="6" t="s">
        <v>161</v>
      </c>
      <c r="C468" s="72">
        <v>0</v>
      </c>
      <c r="D468" s="72">
        <v>0</v>
      </c>
      <c r="E468" s="72">
        <v>0</v>
      </c>
    </row>
    <row r="469" spans="1:5" x14ac:dyDescent="0.2">
      <c r="A469" s="44" t="s">
        <v>102</v>
      </c>
      <c r="B469" s="6" t="s">
        <v>162</v>
      </c>
      <c r="C469" s="72">
        <v>0</v>
      </c>
      <c r="D469" s="72">
        <v>0</v>
      </c>
      <c r="E469" s="72">
        <v>0</v>
      </c>
    </row>
    <row r="470" spans="1:5" x14ac:dyDescent="0.2">
      <c r="A470" s="44" t="s">
        <v>106</v>
      </c>
      <c r="B470" s="6" t="s">
        <v>151</v>
      </c>
      <c r="C470" s="72">
        <v>0</v>
      </c>
      <c r="D470" s="72">
        <v>0</v>
      </c>
      <c r="E470" s="72">
        <v>0</v>
      </c>
    </row>
    <row r="471" spans="1:5" x14ac:dyDescent="0.2">
      <c r="A471" s="44" t="s">
        <v>106</v>
      </c>
      <c r="B471" s="6" t="s">
        <v>152</v>
      </c>
      <c r="C471" s="72">
        <v>0</v>
      </c>
      <c r="D471" s="72">
        <v>0</v>
      </c>
      <c r="E471" s="72">
        <v>0</v>
      </c>
    </row>
    <row r="472" spans="1:5" x14ac:dyDescent="0.2">
      <c r="A472" s="44" t="s">
        <v>106</v>
      </c>
      <c r="B472" s="6" t="s">
        <v>153</v>
      </c>
      <c r="C472" s="72">
        <v>0</v>
      </c>
      <c r="D472" s="72">
        <v>0</v>
      </c>
      <c r="E472" s="72">
        <v>0</v>
      </c>
    </row>
    <row r="473" spans="1:5" x14ac:dyDescent="0.2">
      <c r="A473" s="44" t="s">
        <v>106</v>
      </c>
      <c r="B473" s="6" t="s">
        <v>154</v>
      </c>
      <c r="C473" s="72">
        <v>0</v>
      </c>
      <c r="D473" s="72">
        <v>0</v>
      </c>
      <c r="E473" s="72">
        <v>0</v>
      </c>
    </row>
    <row r="474" spans="1:5" x14ac:dyDescent="0.2">
      <c r="A474" s="44" t="s">
        <v>106</v>
      </c>
      <c r="B474" s="6" t="s">
        <v>155</v>
      </c>
      <c r="C474" s="72">
        <v>0</v>
      </c>
      <c r="D474" s="72">
        <v>0</v>
      </c>
      <c r="E474" s="72">
        <v>0</v>
      </c>
    </row>
    <row r="475" spans="1:5" x14ac:dyDescent="0.2">
      <c r="A475" s="44" t="s">
        <v>106</v>
      </c>
      <c r="B475" s="6" t="s">
        <v>156</v>
      </c>
      <c r="C475" s="72">
        <v>0</v>
      </c>
      <c r="D475" s="72">
        <v>0</v>
      </c>
      <c r="E475" s="72">
        <v>0</v>
      </c>
    </row>
    <row r="476" spans="1:5" x14ac:dyDescent="0.2">
      <c r="A476" s="44" t="s">
        <v>106</v>
      </c>
      <c r="B476" s="6" t="s">
        <v>157</v>
      </c>
      <c r="C476" s="72">
        <v>0</v>
      </c>
      <c r="D476" s="72">
        <v>0</v>
      </c>
      <c r="E476" s="72">
        <v>0</v>
      </c>
    </row>
    <row r="477" spans="1:5" x14ac:dyDescent="0.2">
      <c r="A477" s="44" t="s">
        <v>106</v>
      </c>
      <c r="B477" s="6" t="s">
        <v>158</v>
      </c>
      <c r="C477" s="72">
        <v>0</v>
      </c>
      <c r="D477" s="72">
        <v>0</v>
      </c>
      <c r="E477" s="72">
        <v>0</v>
      </c>
    </row>
    <row r="478" spans="1:5" x14ac:dyDescent="0.2">
      <c r="A478" s="44" t="s">
        <v>106</v>
      </c>
      <c r="B478" s="6" t="s">
        <v>159</v>
      </c>
      <c r="C478" s="72">
        <v>0</v>
      </c>
      <c r="D478" s="72">
        <v>0</v>
      </c>
      <c r="E478" s="72">
        <v>0</v>
      </c>
    </row>
    <row r="479" spans="1:5" x14ac:dyDescent="0.2">
      <c r="A479" s="44" t="s">
        <v>106</v>
      </c>
      <c r="B479" s="6" t="s">
        <v>160</v>
      </c>
      <c r="C479" s="72">
        <v>0</v>
      </c>
      <c r="D479" s="72">
        <v>0</v>
      </c>
      <c r="E479" s="72">
        <v>0</v>
      </c>
    </row>
    <row r="480" spans="1:5" x14ac:dyDescent="0.2">
      <c r="A480" s="44" t="s">
        <v>106</v>
      </c>
      <c r="B480" s="6" t="s">
        <v>161</v>
      </c>
      <c r="C480" s="72">
        <v>0</v>
      </c>
      <c r="D480" s="72">
        <v>0</v>
      </c>
      <c r="E480" s="72">
        <v>0</v>
      </c>
    </row>
    <row r="481" spans="1:5" x14ac:dyDescent="0.2">
      <c r="A481" s="44" t="s">
        <v>106</v>
      </c>
      <c r="B481" s="6" t="s">
        <v>162</v>
      </c>
      <c r="C481" s="72">
        <v>0</v>
      </c>
      <c r="D481" s="72">
        <v>0</v>
      </c>
      <c r="E481" s="72">
        <v>0</v>
      </c>
    </row>
    <row r="482" spans="1:5" x14ac:dyDescent="0.2">
      <c r="A482" s="44" t="s">
        <v>31</v>
      </c>
      <c r="B482" s="6" t="s">
        <v>151</v>
      </c>
      <c r="C482" s="72">
        <v>0</v>
      </c>
      <c r="D482" s="72">
        <v>0</v>
      </c>
      <c r="E482" s="72">
        <v>0</v>
      </c>
    </row>
    <row r="483" spans="1:5" x14ac:dyDescent="0.2">
      <c r="A483" s="44" t="s">
        <v>31</v>
      </c>
      <c r="B483" s="6" t="s">
        <v>152</v>
      </c>
      <c r="C483" s="72">
        <v>0</v>
      </c>
      <c r="D483" s="72">
        <v>0</v>
      </c>
      <c r="E483" s="72">
        <v>0</v>
      </c>
    </row>
    <row r="484" spans="1:5" x14ac:dyDescent="0.2">
      <c r="A484" s="44" t="s">
        <v>31</v>
      </c>
      <c r="B484" s="6" t="s">
        <v>153</v>
      </c>
      <c r="C484" s="72">
        <v>0</v>
      </c>
      <c r="D484" s="72">
        <v>0</v>
      </c>
      <c r="E484" s="72">
        <v>0</v>
      </c>
    </row>
    <row r="485" spans="1:5" x14ac:dyDescent="0.2">
      <c r="A485" s="44" t="s">
        <v>31</v>
      </c>
      <c r="B485" s="6" t="s">
        <v>154</v>
      </c>
      <c r="C485" s="72">
        <v>0</v>
      </c>
      <c r="D485" s="72">
        <v>0</v>
      </c>
      <c r="E485" s="72">
        <v>0</v>
      </c>
    </row>
    <row r="486" spans="1:5" x14ac:dyDescent="0.2">
      <c r="A486" s="44" t="s">
        <v>31</v>
      </c>
      <c r="B486" s="6" t="s">
        <v>155</v>
      </c>
      <c r="C486" s="72">
        <v>0</v>
      </c>
      <c r="D486" s="72">
        <v>0</v>
      </c>
      <c r="E486" s="72">
        <v>0</v>
      </c>
    </row>
    <row r="487" spans="1:5" x14ac:dyDescent="0.2">
      <c r="A487" s="44" t="s">
        <v>31</v>
      </c>
      <c r="B487" s="6" t="s">
        <v>156</v>
      </c>
      <c r="C487" s="72">
        <v>0</v>
      </c>
      <c r="D487" s="72">
        <v>0</v>
      </c>
      <c r="E487" s="72">
        <v>0</v>
      </c>
    </row>
    <row r="488" spans="1:5" x14ac:dyDescent="0.2">
      <c r="A488" s="44" t="s">
        <v>31</v>
      </c>
      <c r="B488" s="6" t="s">
        <v>157</v>
      </c>
      <c r="C488" s="72">
        <v>0</v>
      </c>
      <c r="D488" s="72">
        <v>0</v>
      </c>
      <c r="E488" s="72">
        <v>0</v>
      </c>
    </row>
    <row r="489" spans="1:5" x14ac:dyDescent="0.2">
      <c r="A489" s="44" t="s">
        <v>31</v>
      </c>
      <c r="B489" s="6" t="s">
        <v>158</v>
      </c>
      <c r="C489" s="72">
        <v>0</v>
      </c>
      <c r="D489" s="72">
        <v>0</v>
      </c>
      <c r="E489" s="72">
        <v>0</v>
      </c>
    </row>
    <row r="490" spans="1:5" x14ac:dyDescent="0.2">
      <c r="A490" s="44" t="s">
        <v>31</v>
      </c>
      <c r="B490" s="6" t="s">
        <v>159</v>
      </c>
      <c r="C490" s="72">
        <v>0</v>
      </c>
      <c r="D490" s="72">
        <v>0</v>
      </c>
      <c r="E490" s="72">
        <v>0</v>
      </c>
    </row>
    <row r="491" spans="1:5" x14ac:dyDescent="0.2">
      <c r="A491" s="44" t="s">
        <v>31</v>
      </c>
      <c r="B491" s="6" t="s">
        <v>160</v>
      </c>
      <c r="C491" s="72">
        <v>0</v>
      </c>
      <c r="D491" s="72">
        <v>0</v>
      </c>
      <c r="E491" s="72">
        <v>0</v>
      </c>
    </row>
    <row r="492" spans="1:5" x14ac:dyDescent="0.2">
      <c r="A492" s="44" t="s">
        <v>31</v>
      </c>
      <c r="B492" s="6" t="s">
        <v>161</v>
      </c>
      <c r="C492" s="72">
        <v>0</v>
      </c>
      <c r="D492" s="72">
        <v>0</v>
      </c>
      <c r="E492" s="72">
        <v>0</v>
      </c>
    </row>
    <row r="493" spans="1:5" x14ac:dyDescent="0.2">
      <c r="A493" s="44" t="s">
        <v>31</v>
      </c>
      <c r="B493" s="6" t="s">
        <v>162</v>
      </c>
      <c r="C493" s="72">
        <v>0</v>
      </c>
      <c r="D493" s="72">
        <v>0</v>
      </c>
      <c r="E493" s="72">
        <v>0</v>
      </c>
    </row>
    <row r="494" spans="1:5" x14ac:dyDescent="0.2">
      <c r="A494" s="44" t="s">
        <v>143</v>
      </c>
      <c r="B494" s="6" t="s">
        <v>151</v>
      </c>
      <c r="C494" s="72">
        <v>0</v>
      </c>
      <c r="D494" s="72">
        <v>0</v>
      </c>
      <c r="E494" s="72">
        <v>1</v>
      </c>
    </row>
    <row r="495" spans="1:5" x14ac:dyDescent="0.2">
      <c r="A495" s="44" t="s">
        <v>143</v>
      </c>
      <c r="B495" s="6" t="s">
        <v>152</v>
      </c>
      <c r="C495" s="72">
        <v>0</v>
      </c>
      <c r="D495" s="72">
        <v>0</v>
      </c>
      <c r="E495" s="72">
        <v>1</v>
      </c>
    </row>
    <row r="496" spans="1:5" x14ac:dyDescent="0.2">
      <c r="A496" s="44" t="s">
        <v>143</v>
      </c>
      <c r="B496" s="6" t="s">
        <v>153</v>
      </c>
      <c r="C496" s="72">
        <v>0</v>
      </c>
      <c r="D496" s="72">
        <v>0</v>
      </c>
      <c r="E496" s="72">
        <v>1</v>
      </c>
    </row>
    <row r="497" spans="1:5" x14ac:dyDescent="0.2">
      <c r="A497" s="44" t="s">
        <v>143</v>
      </c>
      <c r="B497" s="6" t="s">
        <v>154</v>
      </c>
      <c r="C497" s="72">
        <v>0</v>
      </c>
      <c r="D497" s="72">
        <v>0</v>
      </c>
      <c r="E497" s="72">
        <v>0</v>
      </c>
    </row>
    <row r="498" spans="1:5" x14ac:dyDescent="0.2">
      <c r="A498" s="44" t="s">
        <v>143</v>
      </c>
      <c r="B498" s="6" t="s">
        <v>155</v>
      </c>
      <c r="C498" s="72">
        <v>0</v>
      </c>
      <c r="D498" s="72">
        <v>0</v>
      </c>
      <c r="E498" s="72">
        <v>0</v>
      </c>
    </row>
    <row r="499" spans="1:5" x14ac:dyDescent="0.2">
      <c r="A499" s="44" t="s">
        <v>143</v>
      </c>
      <c r="B499" s="6" t="s">
        <v>156</v>
      </c>
      <c r="C499" s="72">
        <v>0</v>
      </c>
      <c r="D499" s="72">
        <v>0</v>
      </c>
      <c r="E499" s="72">
        <v>1</v>
      </c>
    </row>
    <row r="500" spans="1:5" x14ac:dyDescent="0.2">
      <c r="A500" s="44" t="s">
        <v>143</v>
      </c>
      <c r="B500" s="6" t="s">
        <v>157</v>
      </c>
      <c r="C500" s="72">
        <v>0</v>
      </c>
      <c r="D500" s="72">
        <v>0</v>
      </c>
      <c r="E500" s="72">
        <v>0</v>
      </c>
    </row>
    <row r="501" spans="1:5" x14ac:dyDescent="0.2">
      <c r="A501" s="44" t="s">
        <v>143</v>
      </c>
      <c r="B501" s="6" t="s">
        <v>158</v>
      </c>
      <c r="C501" s="72">
        <v>0</v>
      </c>
      <c r="D501" s="72">
        <v>0</v>
      </c>
      <c r="E501" s="72">
        <v>0</v>
      </c>
    </row>
    <row r="502" spans="1:5" x14ac:dyDescent="0.2">
      <c r="A502" s="44" t="s">
        <v>143</v>
      </c>
      <c r="B502" s="6" t="s">
        <v>159</v>
      </c>
      <c r="C502" s="72">
        <v>0</v>
      </c>
      <c r="D502" s="72">
        <v>0</v>
      </c>
      <c r="E502" s="72">
        <v>0</v>
      </c>
    </row>
    <row r="503" spans="1:5" x14ac:dyDescent="0.2">
      <c r="A503" s="44" t="s">
        <v>143</v>
      </c>
      <c r="B503" s="6" t="s">
        <v>160</v>
      </c>
      <c r="C503" s="72">
        <v>0</v>
      </c>
      <c r="D503" s="72">
        <v>0</v>
      </c>
      <c r="E503" s="72">
        <v>0</v>
      </c>
    </row>
    <row r="504" spans="1:5" x14ac:dyDescent="0.2">
      <c r="A504" s="44" t="s">
        <v>143</v>
      </c>
      <c r="B504" s="6" t="s">
        <v>161</v>
      </c>
      <c r="C504" s="72">
        <v>0</v>
      </c>
      <c r="D504" s="72">
        <v>0</v>
      </c>
      <c r="E504" s="72">
        <v>0</v>
      </c>
    </row>
    <row r="505" spans="1:5" x14ac:dyDescent="0.2">
      <c r="A505" s="44" t="s">
        <v>143</v>
      </c>
      <c r="B505" s="6" t="s">
        <v>162</v>
      </c>
      <c r="C505" s="72">
        <v>0</v>
      </c>
      <c r="D505" s="72">
        <v>0</v>
      </c>
      <c r="E505" s="72">
        <v>0</v>
      </c>
    </row>
    <row r="506" spans="1:5" x14ac:dyDescent="0.2">
      <c r="A506" s="44" t="s">
        <v>70</v>
      </c>
      <c r="B506" s="6" t="s">
        <v>151</v>
      </c>
      <c r="C506" s="72">
        <v>0</v>
      </c>
      <c r="D506" s="72">
        <v>0</v>
      </c>
      <c r="E506" s="72">
        <v>0</v>
      </c>
    </row>
    <row r="507" spans="1:5" x14ac:dyDescent="0.2">
      <c r="A507" s="44" t="s">
        <v>70</v>
      </c>
      <c r="B507" s="6" t="s">
        <v>152</v>
      </c>
      <c r="C507" s="72">
        <v>0</v>
      </c>
      <c r="D507" s="72">
        <v>0</v>
      </c>
      <c r="E507" s="72">
        <v>0</v>
      </c>
    </row>
    <row r="508" spans="1:5" x14ac:dyDescent="0.2">
      <c r="A508" s="44" t="s">
        <v>70</v>
      </c>
      <c r="B508" s="6" t="s">
        <v>153</v>
      </c>
      <c r="C508" s="72">
        <v>0</v>
      </c>
      <c r="D508" s="72">
        <v>0</v>
      </c>
      <c r="E508" s="72">
        <v>0</v>
      </c>
    </row>
    <row r="509" spans="1:5" x14ac:dyDescent="0.2">
      <c r="A509" s="44" t="s">
        <v>70</v>
      </c>
      <c r="B509" s="6" t="s">
        <v>154</v>
      </c>
      <c r="C509" s="72">
        <v>0</v>
      </c>
      <c r="D509" s="72">
        <v>0</v>
      </c>
      <c r="E509" s="72">
        <v>0</v>
      </c>
    </row>
    <row r="510" spans="1:5" x14ac:dyDescent="0.2">
      <c r="A510" s="44" t="s">
        <v>70</v>
      </c>
      <c r="B510" s="6" t="s">
        <v>155</v>
      </c>
      <c r="C510" s="72">
        <v>0</v>
      </c>
      <c r="D510" s="72">
        <v>0</v>
      </c>
      <c r="E510" s="72">
        <v>0</v>
      </c>
    </row>
    <row r="511" spans="1:5" x14ac:dyDescent="0.2">
      <c r="A511" s="44" t="s">
        <v>70</v>
      </c>
      <c r="B511" s="6" t="s">
        <v>156</v>
      </c>
      <c r="C511" s="72">
        <v>0</v>
      </c>
      <c r="D511" s="72">
        <v>0</v>
      </c>
      <c r="E511" s="72">
        <v>0</v>
      </c>
    </row>
    <row r="512" spans="1:5" x14ac:dyDescent="0.2">
      <c r="A512" s="44" t="s">
        <v>70</v>
      </c>
      <c r="B512" s="6" t="s">
        <v>157</v>
      </c>
      <c r="C512" s="72">
        <v>0</v>
      </c>
      <c r="D512" s="72">
        <v>0</v>
      </c>
      <c r="E512" s="72">
        <v>0</v>
      </c>
    </row>
    <row r="513" spans="1:5" x14ac:dyDescent="0.2">
      <c r="A513" s="44" t="s">
        <v>70</v>
      </c>
      <c r="B513" s="6" t="s">
        <v>158</v>
      </c>
      <c r="C513" s="72">
        <v>0</v>
      </c>
      <c r="D513" s="72">
        <v>0</v>
      </c>
      <c r="E513" s="72">
        <v>0</v>
      </c>
    </row>
    <row r="514" spans="1:5" x14ac:dyDescent="0.2">
      <c r="A514" s="44" t="s">
        <v>70</v>
      </c>
      <c r="B514" s="6" t="s">
        <v>159</v>
      </c>
      <c r="C514" s="72">
        <v>0</v>
      </c>
      <c r="D514" s="72">
        <v>0</v>
      </c>
      <c r="E514" s="72">
        <v>0</v>
      </c>
    </row>
    <row r="515" spans="1:5" x14ac:dyDescent="0.2">
      <c r="A515" s="44" t="s">
        <v>70</v>
      </c>
      <c r="B515" s="6" t="s">
        <v>160</v>
      </c>
      <c r="C515" s="72">
        <v>0</v>
      </c>
      <c r="D515" s="72">
        <v>0</v>
      </c>
      <c r="E515" s="72">
        <v>0</v>
      </c>
    </row>
    <row r="516" spans="1:5" x14ac:dyDescent="0.2">
      <c r="A516" s="44" t="s">
        <v>70</v>
      </c>
      <c r="B516" s="6" t="s">
        <v>161</v>
      </c>
      <c r="C516" s="72">
        <v>0</v>
      </c>
      <c r="D516" s="72">
        <v>0</v>
      </c>
      <c r="E516" s="72">
        <v>0</v>
      </c>
    </row>
    <row r="517" spans="1:5" x14ac:dyDescent="0.2">
      <c r="A517" s="44" t="s">
        <v>70</v>
      </c>
      <c r="B517" s="6" t="s">
        <v>162</v>
      </c>
      <c r="C517" s="72">
        <v>0</v>
      </c>
      <c r="D517" s="72">
        <v>0</v>
      </c>
      <c r="E517" s="72">
        <v>0</v>
      </c>
    </row>
    <row r="518" spans="1:5" x14ac:dyDescent="0.2">
      <c r="A518" s="44" t="s">
        <v>80</v>
      </c>
      <c r="B518" s="6" t="s">
        <v>151</v>
      </c>
      <c r="C518" s="72">
        <v>0</v>
      </c>
      <c r="D518" s="72">
        <v>0</v>
      </c>
      <c r="E518" s="72">
        <v>0</v>
      </c>
    </row>
    <row r="519" spans="1:5" x14ac:dyDescent="0.2">
      <c r="A519" s="44" t="s">
        <v>80</v>
      </c>
      <c r="B519" s="6" t="s">
        <v>152</v>
      </c>
      <c r="C519" s="72">
        <v>0</v>
      </c>
      <c r="D519" s="72">
        <v>0</v>
      </c>
      <c r="E519" s="72">
        <v>0</v>
      </c>
    </row>
    <row r="520" spans="1:5" x14ac:dyDescent="0.2">
      <c r="A520" s="44" t="s">
        <v>80</v>
      </c>
      <c r="B520" s="6" t="s">
        <v>153</v>
      </c>
      <c r="C520" s="72">
        <v>0</v>
      </c>
      <c r="D520" s="72">
        <v>0</v>
      </c>
      <c r="E520" s="72">
        <v>0</v>
      </c>
    </row>
    <row r="521" spans="1:5" x14ac:dyDescent="0.2">
      <c r="A521" s="44" t="s">
        <v>80</v>
      </c>
      <c r="B521" s="6" t="s">
        <v>154</v>
      </c>
      <c r="C521" s="72">
        <v>0</v>
      </c>
      <c r="D521" s="72">
        <v>0</v>
      </c>
      <c r="E521" s="72">
        <v>0</v>
      </c>
    </row>
    <row r="522" spans="1:5" x14ac:dyDescent="0.2">
      <c r="A522" s="44" t="s">
        <v>80</v>
      </c>
      <c r="B522" s="6" t="s">
        <v>155</v>
      </c>
      <c r="C522" s="72">
        <v>0</v>
      </c>
      <c r="D522" s="72">
        <v>0</v>
      </c>
      <c r="E522" s="72">
        <v>0</v>
      </c>
    </row>
    <row r="523" spans="1:5" x14ac:dyDescent="0.2">
      <c r="A523" s="44" t="s">
        <v>80</v>
      </c>
      <c r="B523" s="6" t="s">
        <v>156</v>
      </c>
      <c r="C523" s="72">
        <v>0</v>
      </c>
      <c r="D523" s="72">
        <v>0</v>
      </c>
      <c r="E523" s="72">
        <v>0</v>
      </c>
    </row>
    <row r="524" spans="1:5" x14ac:dyDescent="0.2">
      <c r="A524" s="44" t="s">
        <v>80</v>
      </c>
      <c r="B524" s="6" t="s">
        <v>157</v>
      </c>
      <c r="C524" s="72">
        <v>0</v>
      </c>
      <c r="D524" s="72">
        <v>0</v>
      </c>
      <c r="E524" s="72">
        <v>0</v>
      </c>
    </row>
    <row r="525" spans="1:5" x14ac:dyDescent="0.2">
      <c r="A525" s="44" t="s">
        <v>80</v>
      </c>
      <c r="B525" s="6" t="s">
        <v>158</v>
      </c>
      <c r="C525" s="72">
        <v>0</v>
      </c>
      <c r="D525" s="72">
        <v>0</v>
      </c>
      <c r="E525" s="72">
        <v>0</v>
      </c>
    </row>
    <row r="526" spans="1:5" x14ac:dyDescent="0.2">
      <c r="A526" s="44" t="s">
        <v>80</v>
      </c>
      <c r="B526" s="6" t="s">
        <v>159</v>
      </c>
      <c r="C526" s="72">
        <v>0</v>
      </c>
      <c r="D526" s="72">
        <v>0</v>
      </c>
      <c r="E526" s="72">
        <v>0</v>
      </c>
    </row>
    <row r="527" spans="1:5" x14ac:dyDescent="0.2">
      <c r="A527" s="44" t="s">
        <v>80</v>
      </c>
      <c r="B527" s="6" t="s">
        <v>160</v>
      </c>
      <c r="C527" s="72">
        <v>0</v>
      </c>
      <c r="D527" s="72">
        <v>0</v>
      </c>
      <c r="E527" s="72">
        <v>0</v>
      </c>
    </row>
    <row r="528" spans="1:5" x14ac:dyDescent="0.2">
      <c r="A528" s="44" t="s">
        <v>80</v>
      </c>
      <c r="B528" s="6" t="s">
        <v>161</v>
      </c>
      <c r="C528" s="72">
        <v>0</v>
      </c>
      <c r="D528" s="72">
        <v>0</v>
      </c>
      <c r="E528" s="72">
        <v>0</v>
      </c>
    </row>
    <row r="529" spans="1:5" x14ac:dyDescent="0.2">
      <c r="A529" s="44" t="s">
        <v>80</v>
      </c>
      <c r="B529" s="6" t="s">
        <v>162</v>
      </c>
      <c r="C529" s="72">
        <v>0</v>
      </c>
      <c r="D529" s="72">
        <v>0</v>
      </c>
      <c r="E529" s="72">
        <v>0</v>
      </c>
    </row>
    <row r="530" spans="1:5" x14ac:dyDescent="0.2">
      <c r="A530" s="44" t="s">
        <v>77</v>
      </c>
      <c r="B530" s="6" t="s">
        <v>151</v>
      </c>
      <c r="C530" s="72">
        <v>0</v>
      </c>
      <c r="D530" s="72">
        <v>0</v>
      </c>
      <c r="E530" s="72">
        <v>0</v>
      </c>
    </row>
    <row r="531" spans="1:5" x14ac:dyDescent="0.2">
      <c r="A531" s="44" t="s">
        <v>77</v>
      </c>
      <c r="B531" s="6" t="s">
        <v>152</v>
      </c>
      <c r="C531" s="72">
        <v>0</v>
      </c>
      <c r="D531" s="72">
        <v>0</v>
      </c>
      <c r="E531" s="72">
        <v>0</v>
      </c>
    </row>
    <row r="532" spans="1:5" x14ac:dyDescent="0.2">
      <c r="A532" s="44" t="s">
        <v>77</v>
      </c>
      <c r="B532" s="6" t="s">
        <v>153</v>
      </c>
      <c r="C532" s="72">
        <v>0</v>
      </c>
      <c r="D532" s="72">
        <v>0</v>
      </c>
      <c r="E532" s="72">
        <v>0</v>
      </c>
    </row>
    <row r="533" spans="1:5" x14ac:dyDescent="0.2">
      <c r="A533" s="44" t="s">
        <v>77</v>
      </c>
      <c r="B533" s="6" t="s">
        <v>154</v>
      </c>
      <c r="C533" s="72">
        <v>0</v>
      </c>
      <c r="D533" s="72">
        <v>0</v>
      </c>
      <c r="E533" s="72">
        <v>1</v>
      </c>
    </row>
    <row r="534" spans="1:5" x14ac:dyDescent="0.2">
      <c r="A534" s="44" t="s">
        <v>77</v>
      </c>
      <c r="B534" s="6" t="s">
        <v>155</v>
      </c>
      <c r="C534" s="72">
        <v>0</v>
      </c>
      <c r="D534" s="72">
        <v>0</v>
      </c>
      <c r="E534" s="72">
        <v>0</v>
      </c>
    </row>
    <row r="535" spans="1:5" x14ac:dyDescent="0.2">
      <c r="A535" s="44" t="s">
        <v>77</v>
      </c>
      <c r="B535" s="6" t="s">
        <v>156</v>
      </c>
      <c r="C535" s="72">
        <v>0</v>
      </c>
      <c r="D535" s="72">
        <v>0</v>
      </c>
      <c r="E535" s="72">
        <v>0</v>
      </c>
    </row>
    <row r="536" spans="1:5" x14ac:dyDescent="0.2">
      <c r="A536" s="44" t="s">
        <v>77</v>
      </c>
      <c r="B536" s="6" t="s">
        <v>157</v>
      </c>
      <c r="C536" s="72">
        <v>0</v>
      </c>
      <c r="D536" s="72">
        <v>0</v>
      </c>
      <c r="E536" s="72">
        <v>0</v>
      </c>
    </row>
    <row r="537" spans="1:5" x14ac:dyDescent="0.2">
      <c r="A537" s="44" t="s">
        <v>77</v>
      </c>
      <c r="B537" s="6" t="s">
        <v>158</v>
      </c>
      <c r="C537" s="72">
        <v>0</v>
      </c>
      <c r="D537" s="72">
        <v>0</v>
      </c>
      <c r="E537" s="72">
        <v>0</v>
      </c>
    </row>
    <row r="538" spans="1:5" x14ac:dyDescent="0.2">
      <c r="A538" s="44" t="s">
        <v>77</v>
      </c>
      <c r="B538" s="6" t="s">
        <v>159</v>
      </c>
      <c r="C538" s="72">
        <v>0</v>
      </c>
      <c r="D538" s="72">
        <v>0</v>
      </c>
      <c r="E538" s="72">
        <v>0</v>
      </c>
    </row>
    <row r="539" spans="1:5" x14ac:dyDescent="0.2">
      <c r="A539" s="44" t="s">
        <v>77</v>
      </c>
      <c r="B539" s="6" t="s">
        <v>160</v>
      </c>
      <c r="C539" s="72">
        <v>0</v>
      </c>
      <c r="D539" s="72">
        <v>0</v>
      </c>
      <c r="E539" s="72">
        <v>0</v>
      </c>
    </row>
    <row r="540" spans="1:5" x14ac:dyDescent="0.2">
      <c r="A540" s="44" t="s">
        <v>77</v>
      </c>
      <c r="B540" s="6" t="s">
        <v>161</v>
      </c>
      <c r="C540" s="72">
        <v>0</v>
      </c>
      <c r="D540" s="72">
        <v>0</v>
      </c>
      <c r="E540" s="72">
        <v>0</v>
      </c>
    </row>
    <row r="541" spans="1:5" x14ac:dyDescent="0.2">
      <c r="A541" s="44" t="s">
        <v>77</v>
      </c>
      <c r="B541" s="6" t="s">
        <v>162</v>
      </c>
      <c r="C541" s="72">
        <v>0</v>
      </c>
      <c r="D541" s="72">
        <v>0</v>
      </c>
      <c r="E541" s="72">
        <v>0</v>
      </c>
    </row>
    <row r="542" spans="1:5" x14ac:dyDescent="0.2">
      <c r="A542" s="44" t="s">
        <v>52</v>
      </c>
      <c r="B542" s="6" t="s">
        <v>151</v>
      </c>
      <c r="C542" s="72">
        <v>0</v>
      </c>
      <c r="D542" s="72">
        <v>0</v>
      </c>
      <c r="E542" s="72">
        <v>0</v>
      </c>
    </row>
    <row r="543" spans="1:5" x14ac:dyDescent="0.2">
      <c r="A543" s="44" t="s">
        <v>52</v>
      </c>
      <c r="B543" s="6" t="s">
        <v>152</v>
      </c>
      <c r="C543" s="72">
        <v>0</v>
      </c>
      <c r="D543" s="72">
        <v>0</v>
      </c>
      <c r="E543" s="72">
        <v>0</v>
      </c>
    </row>
    <row r="544" spans="1:5" x14ac:dyDescent="0.2">
      <c r="A544" s="44" t="s">
        <v>52</v>
      </c>
      <c r="B544" s="6" t="s">
        <v>153</v>
      </c>
      <c r="C544" s="72">
        <v>0</v>
      </c>
      <c r="D544" s="72">
        <v>0</v>
      </c>
      <c r="E544" s="72">
        <v>0</v>
      </c>
    </row>
    <row r="545" spans="1:5" x14ac:dyDescent="0.2">
      <c r="A545" s="44" t="s">
        <v>52</v>
      </c>
      <c r="B545" s="6" t="s">
        <v>154</v>
      </c>
      <c r="C545" s="72">
        <v>0</v>
      </c>
      <c r="D545" s="72">
        <v>0</v>
      </c>
      <c r="E545" s="72">
        <v>0</v>
      </c>
    </row>
    <row r="546" spans="1:5" x14ac:dyDescent="0.2">
      <c r="A546" s="44" t="s">
        <v>52</v>
      </c>
      <c r="B546" s="6" t="s">
        <v>155</v>
      </c>
      <c r="C546" s="72">
        <v>0</v>
      </c>
      <c r="D546" s="72">
        <v>0</v>
      </c>
      <c r="E546" s="72">
        <v>0</v>
      </c>
    </row>
    <row r="547" spans="1:5" x14ac:dyDescent="0.2">
      <c r="A547" s="44" t="s">
        <v>52</v>
      </c>
      <c r="B547" s="6" t="s">
        <v>156</v>
      </c>
      <c r="C547" s="72">
        <v>0</v>
      </c>
      <c r="D547" s="72">
        <v>0</v>
      </c>
      <c r="E547" s="72">
        <v>0</v>
      </c>
    </row>
    <row r="548" spans="1:5" x14ac:dyDescent="0.2">
      <c r="A548" s="44" t="s">
        <v>52</v>
      </c>
      <c r="B548" s="6" t="s">
        <v>157</v>
      </c>
      <c r="C548" s="72">
        <v>0</v>
      </c>
      <c r="D548" s="72">
        <v>0</v>
      </c>
      <c r="E548" s="72">
        <v>0</v>
      </c>
    </row>
    <row r="549" spans="1:5" x14ac:dyDescent="0.2">
      <c r="A549" s="44" t="s">
        <v>52</v>
      </c>
      <c r="B549" s="6" t="s">
        <v>158</v>
      </c>
      <c r="C549" s="72">
        <v>0</v>
      </c>
      <c r="D549" s="72">
        <v>0</v>
      </c>
      <c r="E549" s="72">
        <v>0</v>
      </c>
    </row>
    <row r="550" spans="1:5" x14ac:dyDescent="0.2">
      <c r="A550" s="44" t="s">
        <v>52</v>
      </c>
      <c r="B550" s="6" t="s">
        <v>159</v>
      </c>
      <c r="C550" s="72">
        <v>0</v>
      </c>
      <c r="D550" s="72">
        <v>0</v>
      </c>
      <c r="E550" s="72">
        <v>0</v>
      </c>
    </row>
    <row r="551" spans="1:5" x14ac:dyDescent="0.2">
      <c r="A551" s="44" t="s">
        <v>52</v>
      </c>
      <c r="B551" s="6" t="s">
        <v>160</v>
      </c>
      <c r="C551" s="72">
        <v>0</v>
      </c>
      <c r="D551" s="72">
        <v>0</v>
      </c>
      <c r="E551" s="72">
        <v>0</v>
      </c>
    </row>
    <row r="552" spans="1:5" x14ac:dyDescent="0.2">
      <c r="A552" s="44" t="s">
        <v>52</v>
      </c>
      <c r="B552" s="6" t="s">
        <v>161</v>
      </c>
      <c r="C552" s="72">
        <v>0</v>
      </c>
      <c r="D552" s="72">
        <v>0</v>
      </c>
      <c r="E552" s="72">
        <v>0</v>
      </c>
    </row>
    <row r="553" spans="1:5" x14ac:dyDescent="0.2">
      <c r="A553" s="44" t="s">
        <v>52</v>
      </c>
      <c r="B553" s="6" t="s">
        <v>162</v>
      </c>
      <c r="C553" s="72">
        <v>0</v>
      </c>
      <c r="D553" s="72">
        <v>0</v>
      </c>
      <c r="E553" s="72">
        <v>0</v>
      </c>
    </row>
    <row r="554" spans="1:5" x14ac:dyDescent="0.2">
      <c r="A554" s="44" t="s">
        <v>105</v>
      </c>
      <c r="B554" s="6" t="s">
        <v>151</v>
      </c>
      <c r="C554" s="72">
        <v>0</v>
      </c>
      <c r="D554" s="72">
        <v>0</v>
      </c>
      <c r="E554" s="72">
        <v>0</v>
      </c>
    </row>
    <row r="555" spans="1:5" x14ac:dyDescent="0.2">
      <c r="A555" s="44" t="s">
        <v>105</v>
      </c>
      <c r="B555" s="6" t="s">
        <v>152</v>
      </c>
      <c r="C555" s="72">
        <v>0</v>
      </c>
      <c r="D555" s="72">
        <v>0</v>
      </c>
      <c r="E555" s="72">
        <v>0</v>
      </c>
    </row>
    <row r="556" spans="1:5" x14ac:dyDescent="0.2">
      <c r="A556" s="44" t="s">
        <v>105</v>
      </c>
      <c r="B556" s="6" t="s">
        <v>153</v>
      </c>
      <c r="C556" s="72">
        <v>0</v>
      </c>
      <c r="D556" s="72">
        <v>0</v>
      </c>
      <c r="E556" s="72">
        <v>0</v>
      </c>
    </row>
    <row r="557" spans="1:5" x14ac:dyDescent="0.2">
      <c r="A557" s="44" t="s">
        <v>105</v>
      </c>
      <c r="B557" s="6" t="s">
        <v>154</v>
      </c>
      <c r="C557" s="72">
        <v>0</v>
      </c>
      <c r="D557" s="72">
        <v>0</v>
      </c>
      <c r="E557" s="72">
        <v>0</v>
      </c>
    </row>
    <row r="558" spans="1:5" x14ac:dyDescent="0.2">
      <c r="A558" s="44" t="s">
        <v>105</v>
      </c>
      <c r="B558" s="6" t="s">
        <v>155</v>
      </c>
      <c r="C558" s="72">
        <v>0</v>
      </c>
      <c r="D558" s="72">
        <v>0</v>
      </c>
      <c r="E558" s="72">
        <v>0</v>
      </c>
    </row>
    <row r="559" spans="1:5" x14ac:dyDescent="0.2">
      <c r="A559" s="44" t="s">
        <v>105</v>
      </c>
      <c r="B559" s="6" t="s">
        <v>156</v>
      </c>
      <c r="C559" s="72">
        <v>0</v>
      </c>
      <c r="D559" s="72">
        <v>0</v>
      </c>
      <c r="E559" s="72">
        <v>0</v>
      </c>
    </row>
    <row r="560" spans="1:5" x14ac:dyDescent="0.2">
      <c r="A560" s="44" t="s">
        <v>105</v>
      </c>
      <c r="B560" s="6" t="s">
        <v>157</v>
      </c>
      <c r="C560" s="72">
        <v>0</v>
      </c>
      <c r="D560" s="72">
        <v>0</v>
      </c>
      <c r="E560" s="72">
        <v>0</v>
      </c>
    </row>
    <row r="561" spans="1:5" x14ac:dyDescent="0.2">
      <c r="A561" s="44" t="s">
        <v>105</v>
      </c>
      <c r="B561" s="6" t="s">
        <v>158</v>
      </c>
      <c r="C561" s="72">
        <v>0</v>
      </c>
      <c r="D561" s="72">
        <v>0</v>
      </c>
      <c r="E561" s="72">
        <v>0</v>
      </c>
    </row>
    <row r="562" spans="1:5" x14ac:dyDescent="0.2">
      <c r="A562" s="44" t="s">
        <v>105</v>
      </c>
      <c r="B562" s="6" t="s">
        <v>159</v>
      </c>
      <c r="C562" s="72">
        <v>0</v>
      </c>
      <c r="D562" s="72">
        <v>0</v>
      </c>
      <c r="E562" s="72">
        <v>0</v>
      </c>
    </row>
    <row r="563" spans="1:5" x14ac:dyDescent="0.2">
      <c r="A563" s="44" t="s">
        <v>105</v>
      </c>
      <c r="B563" s="6" t="s">
        <v>160</v>
      </c>
      <c r="C563" s="72">
        <v>0</v>
      </c>
      <c r="D563" s="72">
        <v>0</v>
      </c>
      <c r="E563" s="72">
        <v>0</v>
      </c>
    </row>
    <row r="564" spans="1:5" x14ac:dyDescent="0.2">
      <c r="A564" s="44" t="s">
        <v>105</v>
      </c>
      <c r="B564" s="6" t="s">
        <v>161</v>
      </c>
      <c r="C564" s="72">
        <v>0</v>
      </c>
      <c r="D564" s="72">
        <v>0</v>
      </c>
      <c r="E564" s="72">
        <v>0</v>
      </c>
    </row>
    <row r="565" spans="1:5" x14ac:dyDescent="0.2">
      <c r="A565" s="44" t="s">
        <v>105</v>
      </c>
      <c r="B565" s="6" t="s">
        <v>162</v>
      </c>
      <c r="C565" s="72">
        <v>0</v>
      </c>
      <c r="D565" s="72">
        <v>0</v>
      </c>
      <c r="E565" s="72">
        <v>0</v>
      </c>
    </row>
    <row r="566" spans="1:5" x14ac:dyDescent="0.2">
      <c r="A566" s="44" t="s">
        <v>98</v>
      </c>
      <c r="B566" s="6" t="s">
        <v>151</v>
      </c>
      <c r="C566" s="72">
        <v>0</v>
      </c>
      <c r="D566" s="72">
        <v>0</v>
      </c>
      <c r="E566" s="72">
        <v>1</v>
      </c>
    </row>
    <row r="567" spans="1:5" x14ac:dyDescent="0.2">
      <c r="A567" s="44" t="s">
        <v>98</v>
      </c>
      <c r="B567" s="6" t="s">
        <v>152</v>
      </c>
      <c r="C567" s="72">
        <v>0</v>
      </c>
      <c r="D567" s="72">
        <v>0</v>
      </c>
      <c r="E567" s="72">
        <v>0</v>
      </c>
    </row>
    <row r="568" spans="1:5" x14ac:dyDescent="0.2">
      <c r="A568" s="44" t="s">
        <v>98</v>
      </c>
      <c r="B568" s="6" t="s">
        <v>153</v>
      </c>
      <c r="C568" s="72">
        <v>0</v>
      </c>
      <c r="D568" s="72">
        <v>0</v>
      </c>
      <c r="E568" s="72">
        <v>0</v>
      </c>
    </row>
    <row r="569" spans="1:5" x14ac:dyDescent="0.2">
      <c r="A569" s="44" t="s">
        <v>98</v>
      </c>
      <c r="B569" s="6" t="s">
        <v>154</v>
      </c>
      <c r="C569" s="72">
        <v>0</v>
      </c>
      <c r="D569" s="72">
        <v>0</v>
      </c>
      <c r="E569" s="72">
        <v>1</v>
      </c>
    </row>
    <row r="570" spans="1:5" x14ac:dyDescent="0.2">
      <c r="A570" s="44" t="s">
        <v>98</v>
      </c>
      <c r="B570" s="6" t="s">
        <v>155</v>
      </c>
      <c r="C570" s="72">
        <v>0</v>
      </c>
      <c r="D570" s="72">
        <v>0</v>
      </c>
      <c r="E570" s="72">
        <v>1</v>
      </c>
    </row>
    <row r="571" spans="1:5" x14ac:dyDescent="0.2">
      <c r="A571" s="44" t="s">
        <v>98</v>
      </c>
      <c r="B571" s="6" t="s">
        <v>156</v>
      </c>
      <c r="C571" s="72">
        <v>0</v>
      </c>
      <c r="D571" s="72">
        <v>0</v>
      </c>
      <c r="E571" s="72">
        <v>0</v>
      </c>
    </row>
    <row r="572" spans="1:5" x14ac:dyDescent="0.2">
      <c r="A572" s="44" t="s">
        <v>98</v>
      </c>
      <c r="B572" s="6" t="s">
        <v>157</v>
      </c>
      <c r="C572" s="72">
        <v>0</v>
      </c>
      <c r="D572" s="72">
        <v>0</v>
      </c>
      <c r="E572" s="72">
        <v>0</v>
      </c>
    </row>
    <row r="573" spans="1:5" x14ac:dyDescent="0.2">
      <c r="A573" s="44" t="s">
        <v>98</v>
      </c>
      <c r="B573" s="6" t="s">
        <v>158</v>
      </c>
      <c r="C573" s="72">
        <v>0</v>
      </c>
      <c r="D573" s="72">
        <v>0</v>
      </c>
      <c r="E573" s="72">
        <v>0</v>
      </c>
    </row>
    <row r="574" spans="1:5" x14ac:dyDescent="0.2">
      <c r="A574" s="44" t="s">
        <v>98</v>
      </c>
      <c r="B574" s="6" t="s">
        <v>159</v>
      </c>
      <c r="C574" s="72">
        <v>0</v>
      </c>
      <c r="D574" s="72">
        <v>0</v>
      </c>
      <c r="E574" s="72">
        <v>0</v>
      </c>
    </row>
    <row r="575" spans="1:5" x14ac:dyDescent="0.2">
      <c r="A575" s="44" t="s">
        <v>98</v>
      </c>
      <c r="B575" s="6" t="s">
        <v>160</v>
      </c>
      <c r="C575" s="72">
        <v>0</v>
      </c>
      <c r="D575" s="72">
        <v>0</v>
      </c>
      <c r="E575" s="72">
        <v>0</v>
      </c>
    </row>
    <row r="576" spans="1:5" x14ac:dyDescent="0.2">
      <c r="A576" s="44" t="s">
        <v>98</v>
      </c>
      <c r="B576" s="6" t="s">
        <v>161</v>
      </c>
      <c r="C576" s="72">
        <v>0</v>
      </c>
      <c r="D576" s="72">
        <v>0</v>
      </c>
      <c r="E576" s="72">
        <v>0</v>
      </c>
    </row>
    <row r="577" spans="1:5" x14ac:dyDescent="0.2">
      <c r="A577" s="44" t="s">
        <v>98</v>
      </c>
      <c r="B577" s="6" t="s">
        <v>162</v>
      </c>
      <c r="C577" s="72">
        <v>0</v>
      </c>
      <c r="D577" s="72">
        <v>0</v>
      </c>
      <c r="E577" s="72">
        <v>0</v>
      </c>
    </row>
    <row r="578" spans="1:5" x14ac:dyDescent="0.2">
      <c r="A578" s="44" t="s">
        <v>109</v>
      </c>
      <c r="B578" s="6" t="s">
        <v>151</v>
      </c>
      <c r="C578" s="72">
        <v>0</v>
      </c>
      <c r="D578" s="72">
        <v>0</v>
      </c>
      <c r="E578" s="72">
        <v>0</v>
      </c>
    </row>
    <row r="579" spans="1:5" x14ac:dyDescent="0.2">
      <c r="A579" s="44" t="s">
        <v>109</v>
      </c>
      <c r="B579" s="6" t="s">
        <v>152</v>
      </c>
      <c r="C579" s="72">
        <v>0</v>
      </c>
      <c r="D579" s="72">
        <v>0</v>
      </c>
      <c r="E579" s="72">
        <v>0</v>
      </c>
    </row>
    <row r="580" spans="1:5" x14ac:dyDescent="0.2">
      <c r="A580" s="44" t="s">
        <v>109</v>
      </c>
      <c r="B580" s="6" t="s">
        <v>153</v>
      </c>
      <c r="C580" s="72">
        <v>0</v>
      </c>
      <c r="D580" s="72">
        <v>0</v>
      </c>
      <c r="E580" s="72">
        <v>0</v>
      </c>
    </row>
    <row r="581" spans="1:5" x14ac:dyDescent="0.2">
      <c r="A581" s="44" t="s">
        <v>109</v>
      </c>
      <c r="B581" s="6" t="s">
        <v>154</v>
      </c>
      <c r="C581" s="72">
        <v>0</v>
      </c>
      <c r="D581" s="72">
        <v>0</v>
      </c>
      <c r="E581" s="72">
        <v>0</v>
      </c>
    </row>
    <row r="582" spans="1:5" x14ac:dyDescent="0.2">
      <c r="A582" s="44" t="s">
        <v>109</v>
      </c>
      <c r="B582" s="6" t="s">
        <v>155</v>
      </c>
      <c r="C582" s="72">
        <v>0</v>
      </c>
      <c r="D582" s="72">
        <v>0</v>
      </c>
      <c r="E582" s="72">
        <v>0</v>
      </c>
    </row>
    <row r="583" spans="1:5" x14ac:dyDescent="0.2">
      <c r="A583" s="44" t="s">
        <v>109</v>
      </c>
      <c r="B583" s="6" t="s">
        <v>156</v>
      </c>
      <c r="C583" s="72">
        <v>0</v>
      </c>
      <c r="D583" s="72">
        <v>0</v>
      </c>
      <c r="E583" s="72">
        <v>0</v>
      </c>
    </row>
    <row r="584" spans="1:5" x14ac:dyDescent="0.2">
      <c r="A584" s="44" t="s">
        <v>109</v>
      </c>
      <c r="B584" s="6" t="s">
        <v>157</v>
      </c>
      <c r="C584" s="72">
        <v>0</v>
      </c>
      <c r="D584" s="72">
        <v>0</v>
      </c>
      <c r="E584" s="72">
        <v>0</v>
      </c>
    </row>
    <row r="585" spans="1:5" x14ac:dyDescent="0.2">
      <c r="A585" s="44" t="s">
        <v>109</v>
      </c>
      <c r="B585" s="6" t="s">
        <v>158</v>
      </c>
      <c r="C585" s="72">
        <v>0</v>
      </c>
      <c r="D585" s="72">
        <v>0</v>
      </c>
      <c r="E585" s="72">
        <v>0</v>
      </c>
    </row>
    <row r="586" spans="1:5" x14ac:dyDescent="0.2">
      <c r="A586" s="44" t="s">
        <v>109</v>
      </c>
      <c r="B586" s="6" t="s">
        <v>159</v>
      </c>
      <c r="C586" s="72">
        <v>0</v>
      </c>
      <c r="D586" s="72">
        <v>0</v>
      </c>
      <c r="E586" s="72">
        <v>0</v>
      </c>
    </row>
    <row r="587" spans="1:5" x14ac:dyDescent="0.2">
      <c r="A587" s="44" t="s">
        <v>109</v>
      </c>
      <c r="B587" s="6" t="s">
        <v>160</v>
      </c>
      <c r="C587" s="72">
        <v>0</v>
      </c>
      <c r="D587" s="72">
        <v>0</v>
      </c>
      <c r="E587" s="72">
        <v>0</v>
      </c>
    </row>
    <row r="588" spans="1:5" x14ac:dyDescent="0.2">
      <c r="A588" s="44" t="s">
        <v>109</v>
      </c>
      <c r="B588" s="6" t="s">
        <v>161</v>
      </c>
      <c r="C588" s="72">
        <v>0</v>
      </c>
      <c r="D588" s="72">
        <v>0</v>
      </c>
      <c r="E588" s="72">
        <v>0</v>
      </c>
    </row>
    <row r="589" spans="1:5" x14ac:dyDescent="0.2">
      <c r="A589" s="44" t="s">
        <v>109</v>
      </c>
      <c r="B589" s="6" t="s">
        <v>162</v>
      </c>
      <c r="C589" s="72">
        <v>0</v>
      </c>
      <c r="D589" s="72">
        <v>0</v>
      </c>
      <c r="E589" s="72">
        <v>0</v>
      </c>
    </row>
    <row r="590" spans="1:5" x14ac:dyDescent="0.2">
      <c r="A590" s="44" t="s">
        <v>111</v>
      </c>
      <c r="B590" s="6"/>
      <c r="C590" s="72">
        <v>0</v>
      </c>
      <c r="D590" s="72">
        <v>0</v>
      </c>
      <c r="E590" s="72">
        <v>0</v>
      </c>
    </row>
    <row r="591" spans="1:5" x14ac:dyDescent="0.2">
      <c r="A591" s="44" t="s">
        <v>111</v>
      </c>
      <c r="B591" s="6"/>
      <c r="C591" s="72">
        <v>0</v>
      </c>
      <c r="D591" s="72">
        <v>0</v>
      </c>
      <c r="E591" s="72">
        <v>0</v>
      </c>
    </row>
    <row r="592" spans="1:5" x14ac:dyDescent="0.2">
      <c r="A592" s="44" t="s">
        <v>111</v>
      </c>
      <c r="B592" s="6"/>
      <c r="C592" s="72">
        <v>0</v>
      </c>
      <c r="D592" s="72">
        <v>0</v>
      </c>
      <c r="E592" s="72">
        <v>0</v>
      </c>
    </row>
    <row r="593" spans="1:5" x14ac:dyDescent="0.2">
      <c r="A593" s="44" t="s">
        <v>111</v>
      </c>
      <c r="B593" s="6"/>
      <c r="C593" s="72">
        <v>0</v>
      </c>
      <c r="D593" s="72">
        <v>0</v>
      </c>
      <c r="E593" s="72">
        <v>0</v>
      </c>
    </row>
    <row r="594" spans="1:5" x14ac:dyDescent="0.2">
      <c r="A594" s="44" t="s">
        <v>111</v>
      </c>
      <c r="B594" s="6"/>
      <c r="C594" s="72">
        <v>0</v>
      </c>
      <c r="D594" s="72">
        <v>0</v>
      </c>
      <c r="E594" s="72">
        <v>2</v>
      </c>
    </row>
    <row r="595" spans="1:5" x14ac:dyDescent="0.2">
      <c r="A595" s="44" t="s">
        <v>111</v>
      </c>
      <c r="B595" s="6"/>
      <c r="C595" s="72">
        <v>0</v>
      </c>
      <c r="D595" s="72">
        <v>0</v>
      </c>
      <c r="E595" s="72">
        <v>0</v>
      </c>
    </row>
    <row r="596" spans="1:5" x14ac:dyDescent="0.2">
      <c r="A596" s="44" t="s">
        <v>111</v>
      </c>
      <c r="B596" s="6"/>
      <c r="C596" s="72">
        <v>0</v>
      </c>
      <c r="D596" s="72">
        <v>0</v>
      </c>
      <c r="E596" s="72">
        <v>0</v>
      </c>
    </row>
    <row r="597" spans="1:5" x14ac:dyDescent="0.2">
      <c r="A597" s="44" t="s">
        <v>111</v>
      </c>
      <c r="B597" s="6"/>
      <c r="C597" s="72">
        <v>0</v>
      </c>
      <c r="D597" s="72">
        <v>0</v>
      </c>
      <c r="E597" s="72">
        <v>0</v>
      </c>
    </row>
    <row r="598" spans="1:5" x14ac:dyDescent="0.2">
      <c r="A598" s="44" t="s">
        <v>111</v>
      </c>
      <c r="B598" s="6"/>
      <c r="C598" s="72">
        <v>0</v>
      </c>
      <c r="D598" s="72">
        <v>0</v>
      </c>
      <c r="E598" s="72">
        <v>0</v>
      </c>
    </row>
    <row r="599" spans="1:5" x14ac:dyDescent="0.2">
      <c r="A599" s="44" t="s">
        <v>111</v>
      </c>
      <c r="B599" s="6"/>
      <c r="C599" s="72">
        <v>0</v>
      </c>
      <c r="D599" s="72">
        <v>0</v>
      </c>
      <c r="E599" s="72">
        <v>0</v>
      </c>
    </row>
    <row r="600" spans="1:5" x14ac:dyDescent="0.2">
      <c r="A600" s="44" t="s">
        <v>111</v>
      </c>
      <c r="B600" s="6"/>
      <c r="C600" s="72">
        <v>0</v>
      </c>
      <c r="D600" s="72">
        <v>0</v>
      </c>
      <c r="E600" s="72">
        <v>0</v>
      </c>
    </row>
    <row r="601" spans="1:5" x14ac:dyDescent="0.2">
      <c r="A601" s="44" t="s">
        <v>111</v>
      </c>
      <c r="B601" s="6"/>
      <c r="C601" s="72">
        <v>0</v>
      </c>
      <c r="D601" s="72">
        <v>0</v>
      </c>
      <c r="E601" s="72">
        <v>0</v>
      </c>
    </row>
    <row r="602" spans="1:5" x14ac:dyDescent="0.2">
      <c r="A602" s="44" t="s">
        <v>96</v>
      </c>
      <c r="B602" s="6" t="s">
        <v>151</v>
      </c>
      <c r="C602" s="72">
        <v>0</v>
      </c>
      <c r="D602" s="72">
        <v>0</v>
      </c>
      <c r="E602" s="72">
        <v>0</v>
      </c>
    </row>
    <row r="603" spans="1:5" x14ac:dyDescent="0.2">
      <c r="A603" s="44" t="s">
        <v>96</v>
      </c>
      <c r="B603" s="6" t="s">
        <v>152</v>
      </c>
      <c r="C603" s="72">
        <v>0</v>
      </c>
      <c r="D603" s="72">
        <v>0</v>
      </c>
      <c r="E603" s="72">
        <v>0</v>
      </c>
    </row>
    <row r="604" spans="1:5" x14ac:dyDescent="0.2">
      <c r="A604" s="44" t="s">
        <v>96</v>
      </c>
      <c r="B604" s="6" t="s">
        <v>153</v>
      </c>
      <c r="C604" s="72">
        <v>0</v>
      </c>
      <c r="D604" s="72">
        <v>0</v>
      </c>
      <c r="E604" s="72">
        <v>0</v>
      </c>
    </row>
    <row r="605" spans="1:5" x14ac:dyDescent="0.2">
      <c r="A605" s="44" t="s">
        <v>96</v>
      </c>
      <c r="B605" s="6" t="s">
        <v>154</v>
      </c>
      <c r="C605" s="72">
        <v>0</v>
      </c>
      <c r="D605" s="72">
        <v>0</v>
      </c>
      <c r="E605" s="72">
        <v>0</v>
      </c>
    </row>
    <row r="606" spans="1:5" x14ac:dyDescent="0.2">
      <c r="A606" s="44" t="s">
        <v>96</v>
      </c>
      <c r="B606" s="6" t="s">
        <v>155</v>
      </c>
      <c r="C606" s="72">
        <v>0</v>
      </c>
      <c r="D606" s="72">
        <v>0</v>
      </c>
      <c r="E606" s="72">
        <v>0</v>
      </c>
    </row>
    <row r="607" spans="1:5" x14ac:dyDescent="0.2">
      <c r="A607" s="44" t="s">
        <v>96</v>
      </c>
      <c r="B607" s="6" t="s">
        <v>156</v>
      </c>
      <c r="C607" s="72">
        <v>0</v>
      </c>
      <c r="D607" s="72">
        <v>0</v>
      </c>
      <c r="E607" s="72">
        <v>0</v>
      </c>
    </row>
    <row r="608" spans="1:5" x14ac:dyDescent="0.2">
      <c r="A608" s="44" t="s">
        <v>96</v>
      </c>
      <c r="B608" s="6" t="s">
        <v>157</v>
      </c>
      <c r="C608" s="72">
        <v>0</v>
      </c>
      <c r="D608" s="72">
        <v>0</v>
      </c>
      <c r="E608" s="72">
        <v>0</v>
      </c>
    </row>
    <row r="609" spans="1:5" x14ac:dyDescent="0.2">
      <c r="A609" s="44" t="s">
        <v>96</v>
      </c>
      <c r="B609" s="6" t="s">
        <v>158</v>
      </c>
      <c r="C609" s="72">
        <v>0</v>
      </c>
      <c r="D609" s="72">
        <v>0</v>
      </c>
      <c r="E609" s="72">
        <v>0</v>
      </c>
    </row>
    <row r="610" spans="1:5" x14ac:dyDescent="0.2">
      <c r="A610" s="44" t="s">
        <v>96</v>
      </c>
      <c r="B610" s="6" t="s">
        <v>159</v>
      </c>
      <c r="C610" s="72">
        <v>0</v>
      </c>
      <c r="D610" s="72">
        <v>0</v>
      </c>
      <c r="E610" s="72">
        <v>0</v>
      </c>
    </row>
    <row r="611" spans="1:5" x14ac:dyDescent="0.2">
      <c r="A611" s="44" t="s">
        <v>96</v>
      </c>
      <c r="B611" s="6" t="s">
        <v>160</v>
      </c>
      <c r="C611" s="72">
        <v>0</v>
      </c>
      <c r="D611" s="72">
        <v>0</v>
      </c>
      <c r="E611" s="72">
        <v>0</v>
      </c>
    </row>
    <row r="612" spans="1:5" x14ac:dyDescent="0.2">
      <c r="A612" s="44" t="s">
        <v>96</v>
      </c>
      <c r="B612" s="6" t="s">
        <v>161</v>
      </c>
      <c r="C612" s="72">
        <v>0</v>
      </c>
      <c r="D612" s="72">
        <v>0</v>
      </c>
      <c r="E612" s="72">
        <v>0</v>
      </c>
    </row>
    <row r="613" spans="1:5" x14ac:dyDescent="0.2">
      <c r="A613" s="44" t="s">
        <v>96</v>
      </c>
      <c r="B613" s="6" t="s">
        <v>162</v>
      </c>
      <c r="C613" s="72">
        <v>0</v>
      </c>
      <c r="D613" s="72">
        <v>0</v>
      </c>
      <c r="E613" s="72">
        <v>0</v>
      </c>
    </row>
    <row r="614" spans="1:5" x14ac:dyDescent="0.2">
      <c r="A614" s="44" t="s">
        <v>66</v>
      </c>
      <c r="B614" s="6" t="s">
        <v>151</v>
      </c>
      <c r="C614" s="72">
        <v>0</v>
      </c>
      <c r="D614" s="72">
        <v>0</v>
      </c>
      <c r="E614" s="72">
        <v>0</v>
      </c>
    </row>
    <row r="615" spans="1:5" x14ac:dyDescent="0.2">
      <c r="A615" s="44" t="s">
        <v>66</v>
      </c>
      <c r="B615" s="6" t="s">
        <v>152</v>
      </c>
      <c r="C615" s="72">
        <v>0</v>
      </c>
      <c r="D615" s="72">
        <v>0</v>
      </c>
      <c r="E615" s="72">
        <v>1</v>
      </c>
    </row>
    <row r="616" spans="1:5" x14ac:dyDescent="0.2">
      <c r="A616" s="44" t="s">
        <v>66</v>
      </c>
      <c r="B616" s="6" t="s">
        <v>153</v>
      </c>
      <c r="C616" s="72">
        <v>0</v>
      </c>
      <c r="D616" s="72">
        <v>0</v>
      </c>
      <c r="E616" s="72">
        <v>0</v>
      </c>
    </row>
    <row r="617" spans="1:5" x14ac:dyDescent="0.2">
      <c r="A617" s="44" t="s">
        <v>66</v>
      </c>
      <c r="B617" s="6" t="s">
        <v>154</v>
      </c>
      <c r="C617" s="72">
        <v>0</v>
      </c>
      <c r="D617" s="72">
        <v>0</v>
      </c>
      <c r="E617" s="72">
        <v>0</v>
      </c>
    </row>
    <row r="618" spans="1:5" x14ac:dyDescent="0.2">
      <c r="A618" s="44" t="s">
        <v>66</v>
      </c>
      <c r="B618" s="6" t="s">
        <v>155</v>
      </c>
      <c r="C618" s="72">
        <v>0</v>
      </c>
      <c r="D618" s="72">
        <v>0</v>
      </c>
      <c r="E618" s="72">
        <v>0</v>
      </c>
    </row>
    <row r="619" spans="1:5" x14ac:dyDescent="0.2">
      <c r="A619" s="44" t="s">
        <v>66</v>
      </c>
      <c r="B619" s="6" t="s">
        <v>156</v>
      </c>
      <c r="C619" s="72">
        <v>0</v>
      </c>
      <c r="D619" s="72">
        <v>0</v>
      </c>
      <c r="E619" s="72">
        <v>0</v>
      </c>
    </row>
    <row r="620" spans="1:5" x14ac:dyDescent="0.2">
      <c r="A620" s="44" t="s">
        <v>66</v>
      </c>
      <c r="B620" s="6" t="s">
        <v>157</v>
      </c>
      <c r="C620" s="72">
        <v>0</v>
      </c>
      <c r="D620" s="72">
        <v>0</v>
      </c>
      <c r="E620" s="72">
        <v>0</v>
      </c>
    </row>
    <row r="621" spans="1:5" x14ac:dyDescent="0.2">
      <c r="A621" s="44" t="s">
        <v>66</v>
      </c>
      <c r="B621" s="6" t="s">
        <v>158</v>
      </c>
      <c r="C621" s="72">
        <v>0</v>
      </c>
      <c r="D621" s="72">
        <v>0</v>
      </c>
      <c r="E621" s="72">
        <v>0</v>
      </c>
    </row>
    <row r="622" spans="1:5" x14ac:dyDescent="0.2">
      <c r="A622" s="44" t="s">
        <v>66</v>
      </c>
      <c r="B622" s="6" t="s">
        <v>159</v>
      </c>
      <c r="C622" s="72">
        <v>0</v>
      </c>
      <c r="D622" s="72">
        <v>0</v>
      </c>
      <c r="E622" s="72">
        <v>0</v>
      </c>
    </row>
    <row r="623" spans="1:5" x14ac:dyDescent="0.2">
      <c r="A623" s="44" t="s">
        <v>66</v>
      </c>
      <c r="B623" s="6" t="s">
        <v>160</v>
      </c>
      <c r="C623" s="72">
        <v>0</v>
      </c>
      <c r="D623" s="72">
        <v>0</v>
      </c>
      <c r="E623" s="72">
        <v>0</v>
      </c>
    </row>
    <row r="624" spans="1:5" x14ac:dyDescent="0.2">
      <c r="A624" s="44" t="s">
        <v>66</v>
      </c>
      <c r="B624" s="6" t="s">
        <v>161</v>
      </c>
      <c r="C624" s="72">
        <v>0</v>
      </c>
      <c r="D624" s="72">
        <v>0</v>
      </c>
      <c r="E624" s="72">
        <v>0</v>
      </c>
    </row>
    <row r="625" spans="1:5" x14ac:dyDescent="0.2">
      <c r="A625" s="44" t="s">
        <v>66</v>
      </c>
      <c r="B625" s="6" t="s">
        <v>162</v>
      </c>
      <c r="C625" s="72">
        <v>0</v>
      </c>
      <c r="D625" s="72">
        <v>0</v>
      </c>
      <c r="E625" s="72">
        <v>0</v>
      </c>
    </row>
    <row r="626" spans="1:5" x14ac:dyDescent="0.2">
      <c r="A626" s="44" t="s">
        <v>146</v>
      </c>
      <c r="B626" s="6" t="s">
        <v>151</v>
      </c>
      <c r="C626" s="72">
        <v>0</v>
      </c>
      <c r="D626" s="72">
        <v>0</v>
      </c>
      <c r="E626" s="72">
        <v>0</v>
      </c>
    </row>
    <row r="627" spans="1:5" x14ac:dyDescent="0.2">
      <c r="A627" s="44" t="s">
        <v>146</v>
      </c>
      <c r="B627" s="6" t="s">
        <v>152</v>
      </c>
      <c r="C627" s="72">
        <v>0</v>
      </c>
      <c r="D627" s="72">
        <v>0</v>
      </c>
      <c r="E627" s="72">
        <v>0</v>
      </c>
    </row>
    <row r="628" spans="1:5" x14ac:dyDescent="0.2">
      <c r="A628" s="44" t="s">
        <v>146</v>
      </c>
      <c r="B628" s="6" t="s">
        <v>153</v>
      </c>
      <c r="C628" s="72">
        <v>0</v>
      </c>
      <c r="D628" s="72">
        <v>0</v>
      </c>
      <c r="E628" s="72">
        <v>0</v>
      </c>
    </row>
    <row r="629" spans="1:5" x14ac:dyDescent="0.2">
      <c r="A629" s="44" t="s">
        <v>146</v>
      </c>
      <c r="B629" s="6" t="s">
        <v>154</v>
      </c>
      <c r="C629" s="72">
        <v>0</v>
      </c>
      <c r="D629" s="72">
        <v>0</v>
      </c>
      <c r="E629" s="72">
        <v>0</v>
      </c>
    </row>
    <row r="630" spans="1:5" x14ac:dyDescent="0.2">
      <c r="A630" s="44" t="s">
        <v>146</v>
      </c>
      <c r="B630" s="6" t="s">
        <v>155</v>
      </c>
      <c r="C630" s="72">
        <v>0</v>
      </c>
      <c r="D630" s="72">
        <v>0</v>
      </c>
      <c r="E630" s="72">
        <v>0</v>
      </c>
    </row>
    <row r="631" spans="1:5" x14ac:dyDescent="0.2">
      <c r="A631" s="44" t="s">
        <v>146</v>
      </c>
      <c r="B631" s="6" t="s">
        <v>156</v>
      </c>
      <c r="C631" s="72">
        <v>0</v>
      </c>
      <c r="D631" s="72">
        <v>0</v>
      </c>
      <c r="E631" s="72">
        <v>0</v>
      </c>
    </row>
    <row r="632" spans="1:5" x14ac:dyDescent="0.2">
      <c r="A632" s="44" t="s">
        <v>146</v>
      </c>
      <c r="B632" s="6" t="s">
        <v>157</v>
      </c>
      <c r="C632" s="72">
        <v>0</v>
      </c>
      <c r="D632" s="72">
        <v>0</v>
      </c>
      <c r="E632" s="72">
        <v>0</v>
      </c>
    </row>
    <row r="633" spans="1:5" x14ac:dyDescent="0.2">
      <c r="A633" s="44" t="s">
        <v>146</v>
      </c>
      <c r="B633" s="6" t="s">
        <v>158</v>
      </c>
      <c r="C633" s="72">
        <v>0</v>
      </c>
      <c r="D633" s="72">
        <v>0</v>
      </c>
      <c r="E633" s="72">
        <v>0</v>
      </c>
    </row>
    <row r="634" spans="1:5" x14ac:dyDescent="0.2">
      <c r="A634" s="44" t="s">
        <v>146</v>
      </c>
      <c r="B634" s="6" t="s">
        <v>159</v>
      </c>
      <c r="C634" s="72">
        <v>0</v>
      </c>
      <c r="D634" s="72">
        <v>0</v>
      </c>
      <c r="E634" s="72">
        <v>0</v>
      </c>
    </row>
    <row r="635" spans="1:5" x14ac:dyDescent="0.2">
      <c r="A635" s="44" t="s">
        <v>146</v>
      </c>
      <c r="B635" s="6" t="s">
        <v>160</v>
      </c>
      <c r="C635" s="72">
        <v>0</v>
      </c>
      <c r="D635" s="72">
        <v>0</v>
      </c>
      <c r="E635" s="72">
        <v>0</v>
      </c>
    </row>
    <row r="636" spans="1:5" x14ac:dyDescent="0.2">
      <c r="A636" s="44" t="s">
        <v>146</v>
      </c>
      <c r="B636" s="6" t="s">
        <v>161</v>
      </c>
      <c r="C636" s="72">
        <v>0</v>
      </c>
      <c r="D636" s="72">
        <v>0</v>
      </c>
      <c r="E636" s="72">
        <v>0</v>
      </c>
    </row>
    <row r="637" spans="1:5" x14ac:dyDescent="0.2">
      <c r="A637" s="44" t="s">
        <v>146</v>
      </c>
      <c r="B637" s="6" t="s">
        <v>162</v>
      </c>
      <c r="C637" s="72">
        <v>0</v>
      </c>
      <c r="D637" s="72">
        <v>0</v>
      </c>
      <c r="E637" s="72">
        <v>0</v>
      </c>
    </row>
    <row r="638" spans="1:5" x14ac:dyDescent="0.2">
      <c r="A638" s="44" t="s">
        <v>131</v>
      </c>
      <c r="B638" s="6" t="s">
        <v>151</v>
      </c>
      <c r="C638" s="72">
        <v>0</v>
      </c>
      <c r="D638" s="72">
        <v>0</v>
      </c>
      <c r="E638" s="72">
        <v>1</v>
      </c>
    </row>
    <row r="639" spans="1:5" x14ac:dyDescent="0.2">
      <c r="A639" s="44" t="s">
        <v>131</v>
      </c>
      <c r="B639" s="6" t="s">
        <v>152</v>
      </c>
      <c r="C639" s="72">
        <v>0</v>
      </c>
      <c r="D639" s="72">
        <v>0</v>
      </c>
      <c r="E639" s="72">
        <v>1</v>
      </c>
    </row>
    <row r="640" spans="1:5" x14ac:dyDescent="0.2">
      <c r="A640" s="44" t="s">
        <v>131</v>
      </c>
      <c r="B640" s="6" t="s">
        <v>153</v>
      </c>
      <c r="C640" s="72">
        <v>0</v>
      </c>
      <c r="D640" s="72">
        <v>0</v>
      </c>
      <c r="E640" s="72">
        <v>1</v>
      </c>
    </row>
    <row r="641" spans="1:5" x14ac:dyDescent="0.2">
      <c r="A641" s="44" t="s">
        <v>131</v>
      </c>
      <c r="B641" s="6" t="s">
        <v>154</v>
      </c>
      <c r="C641" s="72">
        <v>0</v>
      </c>
      <c r="D641" s="72">
        <v>0</v>
      </c>
      <c r="E641" s="72">
        <v>0</v>
      </c>
    </row>
    <row r="642" spans="1:5" x14ac:dyDescent="0.2">
      <c r="A642" s="44" t="s">
        <v>131</v>
      </c>
      <c r="B642" s="6" t="s">
        <v>155</v>
      </c>
      <c r="C642" s="72">
        <v>0</v>
      </c>
      <c r="D642" s="72">
        <v>0</v>
      </c>
      <c r="E642" s="72">
        <v>0</v>
      </c>
    </row>
    <row r="643" spans="1:5" x14ac:dyDescent="0.2">
      <c r="A643" s="44" t="s">
        <v>131</v>
      </c>
      <c r="B643" s="6" t="s">
        <v>156</v>
      </c>
      <c r="C643" s="72">
        <v>0</v>
      </c>
      <c r="D643" s="72">
        <v>0</v>
      </c>
      <c r="E643" s="72">
        <v>0</v>
      </c>
    </row>
    <row r="644" spans="1:5" x14ac:dyDescent="0.2">
      <c r="A644" s="44" t="s">
        <v>131</v>
      </c>
      <c r="B644" s="6" t="s">
        <v>157</v>
      </c>
      <c r="C644" s="72">
        <v>0</v>
      </c>
      <c r="D644" s="72">
        <v>0</v>
      </c>
      <c r="E644" s="72">
        <v>0</v>
      </c>
    </row>
    <row r="645" spans="1:5" x14ac:dyDescent="0.2">
      <c r="A645" s="44" t="s">
        <v>131</v>
      </c>
      <c r="B645" s="6" t="s">
        <v>158</v>
      </c>
      <c r="C645" s="72">
        <v>0</v>
      </c>
      <c r="D645" s="72">
        <v>0</v>
      </c>
      <c r="E645" s="72">
        <v>0</v>
      </c>
    </row>
    <row r="646" spans="1:5" x14ac:dyDescent="0.2">
      <c r="A646" s="44" t="s">
        <v>131</v>
      </c>
      <c r="B646" s="6" t="s">
        <v>159</v>
      </c>
      <c r="C646" s="72">
        <v>0</v>
      </c>
      <c r="D646" s="72">
        <v>0</v>
      </c>
      <c r="E646" s="72">
        <v>0</v>
      </c>
    </row>
    <row r="647" spans="1:5" x14ac:dyDescent="0.2">
      <c r="A647" s="44" t="s">
        <v>131</v>
      </c>
      <c r="B647" s="6" t="s">
        <v>160</v>
      </c>
      <c r="C647" s="72">
        <v>0</v>
      </c>
      <c r="D647" s="72">
        <v>0</v>
      </c>
      <c r="E647" s="72">
        <v>0</v>
      </c>
    </row>
    <row r="648" spans="1:5" x14ac:dyDescent="0.2">
      <c r="A648" s="44" t="s">
        <v>131</v>
      </c>
      <c r="B648" s="6" t="s">
        <v>161</v>
      </c>
      <c r="C648" s="72">
        <v>0</v>
      </c>
      <c r="D648" s="72">
        <v>0</v>
      </c>
      <c r="E648" s="72">
        <v>0</v>
      </c>
    </row>
    <row r="649" spans="1:5" x14ac:dyDescent="0.2">
      <c r="A649" s="44" t="s">
        <v>131</v>
      </c>
      <c r="B649" s="6" t="s">
        <v>162</v>
      </c>
      <c r="C649" s="72">
        <v>0</v>
      </c>
      <c r="D649" s="72">
        <v>0</v>
      </c>
      <c r="E649" s="72">
        <v>0</v>
      </c>
    </row>
    <row r="650" spans="1:5" x14ac:dyDescent="0.2">
      <c r="A650" s="44" t="s">
        <v>302</v>
      </c>
      <c r="B650" s="6"/>
      <c r="C650" s="72">
        <v>0</v>
      </c>
      <c r="D650" s="72">
        <v>0</v>
      </c>
      <c r="E650" s="72">
        <v>0</v>
      </c>
    </row>
    <row r="651" spans="1:5" x14ac:dyDescent="0.2">
      <c r="A651" s="44" t="s">
        <v>302</v>
      </c>
      <c r="B651" s="6"/>
      <c r="C651" s="72">
        <v>0</v>
      </c>
      <c r="D651" s="72">
        <v>0</v>
      </c>
      <c r="E651" s="72">
        <v>0</v>
      </c>
    </row>
    <row r="652" spans="1:5" x14ac:dyDescent="0.2">
      <c r="A652" s="44" t="s">
        <v>302</v>
      </c>
      <c r="B652" s="6"/>
      <c r="C652" s="72">
        <v>0</v>
      </c>
      <c r="D652" s="72">
        <v>0</v>
      </c>
      <c r="E652" s="72">
        <v>0</v>
      </c>
    </row>
    <row r="653" spans="1:5" x14ac:dyDescent="0.2">
      <c r="A653" s="44" t="s">
        <v>302</v>
      </c>
      <c r="B653" s="6"/>
      <c r="C653" s="72">
        <v>0</v>
      </c>
      <c r="D653" s="72">
        <v>0</v>
      </c>
      <c r="E653" s="72">
        <v>0</v>
      </c>
    </row>
    <row r="654" spans="1:5" x14ac:dyDescent="0.2">
      <c r="A654" s="44" t="s">
        <v>302</v>
      </c>
      <c r="B654" s="6"/>
      <c r="C654" s="72">
        <v>0</v>
      </c>
      <c r="D654" s="72">
        <v>0</v>
      </c>
      <c r="E654" s="72">
        <v>0</v>
      </c>
    </row>
    <row r="655" spans="1:5" x14ac:dyDescent="0.2">
      <c r="A655" s="44" t="s">
        <v>302</v>
      </c>
      <c r="B655" s="6"/>
      <c r="C655" s="72">
        <v>0</v>
      </c>
      <c r="D655" s="72">
        <v>0</v>
      </c>
      <c r="E655" s="72">
        <v>0</v>
      </c>
    </row>
    <row r="656" spans="1:5" x14ac:dyDescent="0.2">
      <c r="A656" s="44" t="s">
        <v>302</v>
      </c>
      <c r="B656" s="6"/>
      <c r="C656" s="72">
        <v>0</v>
      </c>
      <c r="D656" s="72">
        <v>0</v>
      </c>
      <c r="E656" s="72">
        <v>0</v>
      </c>
    </row>
    <row r="657" spans="1:5" x14ac:dyDescent="0.2">
      <c r="A657" s="44" t="s">
        <v>302</v>
      </c>
      <c r="B657" s="6"/>
      <c r="C657" s="72">
        <v>0</v>
      </c>
      <c r="D657" s="72">
        <v>0</v>
      </c>
      <c r="E657" s="72">
        <v>0</v>
      </c>
    </row>
    <row r="658" spans="1:5" x14ac:dyDescent="0.2">
      <c r="A658" s="44" t="s">
        <v>302</v>
      </c>
      <c r="B658" s="6"/>
      <c r="C658" s="72">
        <v>0</v>
      </c>
      <c r="D658" s="72">
        <v>0</v>
      </c>
      <c r="E658" s="72">
        <v>0</v>
      </c>
    </row>
    <row r="659" spans="1:5" x14ac:dyDescent="0.2">
      <c r="A659" s="44" t="s">
        <v>302</v>
      </c>
      <c r="B659" s="6"/>
      <c r="C659" s="72">
        <v>0</v>
      </c>
      <c r="D659" s="72">
        <v>0</v>
      </c>
      <c r="E659" s="72">
        <v>0</v>
      </c>
    </row>
    <row r="660" spans="1:5" x14ac:dyDescent="0.2">
      <c r="A660" s="44" t="s">
        <v>302</v>
      </c>
      <c r="B660" s="6"/>
      <c r="C660" s="72">
        <v>0</v>
      </c>
      <c r="D660" s="72">
        <v>0</v>
      </c>
      <c r="E660" s="72">
        <v>0</v>
      </c>
    </row>
    <row r="661" spans="1:5" x14ac:dyDescent="0.2">
      <c r="A661" s="44" t="s">
        <v>302</v>
      </c>
      <c r="B661" s="6"/>
      <c r="C661" s="72">
        <v>0</v>
      </c>
      <c r="D661" s="72">
        <v>0</v>
      </c>
      <c r="E661" s="72">
        <v>0</v>
      </c>
    </row>
    <row r="662" spans="1:5" x14ac:dyDescent="0.2">
      <c r="A662" s="44" t="s">
        <v>42</v>
      </c>
      <c r="B662" s="6" t="s">
        <v>151</v>
      </c>
      <c r="C662" s="72">
        <v>0</v>
      </c>
      <c r="D662" s="72">
        <v>0</v>
      </c>
      <c r="E662" s="72">
        <v>0</v>
      </c>
    </row>
    <row r="663" spans="1:5" x14ac:dyDescent="0.2">
      <c r="A663" s="44" t="s">
        <v>42</v>
      </c>
      <c r="B663" s="6" t="s">
        <v>152</v>
      </c>
      <c r="C663" s="72">
        <v>0</v>
      </c>
      <c r="D663" s="72">
        <v>0</v>
      </c>
      <c r="E663" s="72">
        <v>0</v>
      </c>
    </row>
    <row r="664" spans="1:5" x14ac:dyDescent="0.2">
      <c r="A664" s="44" t="s">
        <v>42</v>
      </c>
      <c r="B664" s="6" t="s">
        <v>153</v>
      </c>
      <c r="C664" s="72">
        <v>0</v>
      </c>
      <c r="D664" s="72">
        <v>0</v>
      </c>
      <c r="E664" s="72">
        <v>0</v>
      </c>
    </row>
    <row r="665" spans="1:5" x14ac:dyDescent="0.2">
      <c r="A665" s="44" t="s">
        <v>42</v>
      </c>
      <c r="B665" s="6" t="s">
        <v>154</v>
      </c>
      <c r="C665" s="72">
        <v>0</v>
      </c>
      <c r="D665" s="72">
        <v>0</v>
      </c>
      <c r="E665" s="72">
        <v>0</v>
      </c>
    </row>
    <row r="666" spans="1:5" x14ac:dyDescent="0.2">
      <c r="A666" s="44" t="s">
        <v>42</v>
      </c>
      <c r="B666" s="6" t="s">
        <v>155</v>
      </c>
      <c r="C666" s="72">
        <v>0</v>
      </c>
      <c r="D666" s="72">
        <v>0</v>
      </c>
      <c r="E666" s="72">
        <v>1</v>
      </c>
    </row>
    <row r="667" spans="1:5" x14ac:dyDescent="0.2">
      <c r="A667" s="44" t="s">
        <v>42</v>
      </c>
      <c r="B667" s="6" t="s">
        <v>156</v>
      </c>
      <c r="C667" s="72">
        <v>0</v>
      </c>
      <c r="D667" s="72">
        <v>0</v>
      </c>
      <c r="E667" s="72">
        <v>0</v>
      </c>
    </row>
    <row r="668" spans="1:5" x14ac:dyDescent="0.2">
      <c r="A668" s="44" t="s">
        <v>42</v>
      </c>
      <c r="B668" s="6" t="s">
        <v>157</v>
      </c>
      <c r="C668" s="72">
        <v>0</v>
      </c>
      <c r="D668" s="72">
        <v>0</v>
      </c>
      <c r="E668" s="72">
        <v>0</v>
      </c>
    </row>
    <row r="669" spans="1:5" x14ac:dyDescent="0.2">
      <c r="A669" s="44" t="s">
        <v>42</v>
      </c>
      <c r="B669" s="6" t="s">
        <v>158</v>
      </c>
      <c r="C669" s="72">
        <v>0</v>
      </c>
      <c r="D669" s="72">
        <v>0</v>
      </c>
      <c r="E669" s="72">
        <v>0</v>
      </c>
    </row>
    <row r="670" spans="1:5" x14ac:dyDescent="0.2">
      <c r="A670" s="44" t="s">
        <v>42</v>
      </c>
      <c r="B670" s="6" t="s">
        <v>159</v>
      </c>
      <c r="C670" s="72">
        <v>0</v>
      </c>
      <c r="D670" s="72">
        <v>0</v>
      </c>
      <c r="E670" s="72">
        <v>0</v>
      </c>
    </row>
    <row r="671" spans="1:5" x14ac:dyDescent="0.2">
      <c r="A671" s="44" t="s">
        <v>42</v>
      </c>
      <c r="B671" s="6" t="s">
        <v>160</v>
      </c>
      <c r="C671" s="72">
        <v>0</v>
      </c>
      <c r="D671" s="72">
        <v>0</v>
      </c>
      <c r="E671" s="72">
        <v>0</v>
      </c>
    </row>
    <row r="672" spans="1:5" x14ac:dyDescent="0.2">
      <c r="A672" s="44" t="s">
        <v>42</v>
      </c>
      <c r="B672" s="6" t="s">
        <v>161</v>
      </c>
      <c r="C672" s="72">
        <v>0</v>
      </c>
      <c r="D672" s="72">
        <v>0</v>
      </c>
      <c r="E672" s="72">
        <v>0</v>
      </c>
    </row>
    <row r="673" spans="1:5" x14ac:dyDescent="0.2">
      <c r="A673" s="44" t="s">
        <v>42</v>
      </c>
      <c r="B673" s="6" t="s">
        <v>162</v>
      </c>
      <c r="C673" s="72">
        <v>0</v>
      </c>
      <c r="D673" s="72">
        <v>0</v>
      </c>
      <c r="E673" s="72">
        <v>0</v>
      </c>
    </row>
    <row r="674" spans="1:5" x14ac:dyDescent="0.2">
      <c r="A674" s="44" t="s">
        <v>108</v>
      </c>
      <c r="B674" s="6" t="s">
        <v>151</v>
      </c>
      <c r="C674" s="72">
        <v>0</v>
      </c>
      <c r="D674" s="72">
        <v>0</v>
      </c>
      <c r="E674" s="72">
        <v>0</v>
      </c>
    </row>
    <row r="675" spans="1:5" x14ac:dyDescent="0.2">
      <c r="A675" s="44" t="s">
        <v>108</v>
      </c>
      <c r="B675" s="6" t="s">
        <v>152</v>
      </c>
      <c r="C675" s="72">
        <v>0</v>
      </c>
      <c r="D675" s="72">
        <v>0</v>
      </c>
      <c r="E675" s="72">
        <v>0</v>
      </c>
    </row>
    <row r="676" spans="1:5" x14ac:dyDescent="0.2">
      <c r="A676" s="44" t="s">
        <v>108</v>
      </c>
      <c r="B676" s="6" t="s">
        <v>153</v>
      </c>
      <c r="C676" s="72">
        <v>0</v>
      </c>
      <c r="D676" s="72">
        <v>0</v>
      </c>
      <c r="E676" s="72">
        <v>0</v>
      </c>
    </row>
    <row r="677" spans="1:5" x14ac:dyDescent="0.2">
      <c r="A677" s="44" t="s">
        <v>108</v>
      </c>
      <c r="B677" s="6" t="s">
        <v>154</v>
      </c>
      <c r="C677" s="72">
        <v>0</v>
      </c>
      <c r="D677" s="72">
        <v>0</v>
      </c>
      <c r="E677" s="72">
        <v>0</v>
      </c>
    </row>
    <row r="678" spans="1:5" x14ac:dyDescent="0.2">
      <c r="A678" s="44" t="s">
        <v>108</v>
      </c>
      <c r="B678" s="6" t="s">
        <v>155</v>
      </c>
      <c r="C678" s="72">
        <v>0</v>
      </c>
      <c r="D678" s="72">
        <v>0</v>
      </c>
      <c r="E678" s="72">
        <v>0</v>
      </c>
    </row>
    <row r="679" spans="1:5" x14ac:dyDescent="0.2">
      <c r="A679" s="44" t="s">
        <v>108</v>
      </c>
      <c r="B679" s="6" t="s">
        <v>156</v>
      </c>
      <c r="C679" s="72">
        <v>0</v>
      </c>
      <c r="D679" s="72">
        <v>0</v>
      </c>
      <c r="E679" s="72">
        <v>0</v>
      </c>
    </row>
    <row r="680" spans="1:5" x14ac:dyDescent="0.2">
      <c r="A680" s="44" t="s">
        <v>108</v>
      </c>
      <c r="B680" s="6" t="s">
        <v>157</v>
      </c>
      <c r="C680" s="72">
        <v>0</v>
      </c>
      <c r="D680" s="72">
        <v>0</v>
      </c>
      <c r="E680" s="72">
        <v>0</v>
      </c>
    </row>
    <row r="681" spans="1:5" x14ac:dyDescent="0.2">
      <c r="A681" s="44" t="s">
        <v>108</v>
      </c>
      <c r="B681" s="6" t="s">
        <v>158</v>
      </c>
      <c r="C681" s="72">
        <v>0</v>
      </c>
      <c r="D681" s="72">
        <v>0</v>
      </c>
      <c r="E681" s="72">
        <v>0</v>
      </c>
    </row>
    <row r="682" spans="1:5" x14ac:dyDescent="0.2">
      <c r="A682" s="44" t="s">
        <v>108</v>
      </c>
      <c r="B682" s="6" t="s">
        <v>159</v>
      </c>
      <c r="C682" s="72">
        <v>0</v>
      </c>
      <c r="D682" s="72">
        <v>0</v>
      </c>
      <c r="E682" s="72">
        <v>0</v>
      </c>
    </row>
    <row r="683" spans="1:5" x14ac:dyDescent="0.2">
      <c r="A683" s="44" t="s">
        <v>108</v>
      </c>
      <c r="B683" s="6" t="s">
        <v>160</v>
      </c>
      <c r="C683" s="72">
        <v>0</v>
      </c>
      <c r="D683" s="72">
        <v>0</v>
      </c>
      <c r="E683" s="72">
        <v>0</v>
      </c>
    </row>
    <row r="684" spans="1:5" x14ac:dyDescent="0.2">
      <c r="A684" s="44" t="s">
        <v>108</v>
      </c>
      <c r="B684" s="6" t="s">
        <v>161</v>
      </c>
      <c r="C684" s="72">
        <v>0</v>
      </c>
      <c r="D684" s="72">
        <v>0</v>
      </c>
      <c r="E684" s="72">
        <v>0</v>
      </c>
    </row>
    <row r="685" spans="1:5" x14ac:dyDescent="0.2">
      <c r="A685" s="44" t="s">
        <v>108</v>
      </c>
      <c r="B685" s="6" t="s">
        <v>162</v>
      </c>
      <c r="C685" s="72">
        <v>0</v>
      </c>
      <c r="D685" s="72">
        <v>0</v>
      </c>
      <c r="E685" s="72">
        <v>0</v>
      </c>
    </row>
    <row r="686" spans="1:5" x14ac:dyDescent="0.2">
      <c r="A686" s="44" t="s">
        <v>129</v>
      </c>
      <c r="B686" s="6" t="s">
        <v>151</v>
      </c>
      <c r="C686" s="72">
        <v>0</v>
      </c>
      <c r="D686" s="72">
        <v>0</v>
      </c>
      <c r="E686" s="72">
        <v>0</v>
      </c>
    </row>
    <row r="687" spans="1:5" x14ac:dyDescent="0.2">
      <c r="A687" s="44" t="s">
        <v>129</v>
      </c>
      <c r="B687" s="6" t="s">
        <v>152</v>
      </c>
      <c r="C687" s="72">
        <v>0</v>
      </c>
      <c r="D687" s="72">
        <v>0</v>
      </c>
      <c r="E687" s="72">
        <v>0</v>
      </c>
    </row>
    <row r="688" spans="1:5" x14ac:dyDescent="0.2">
      <c r="A688" s="44" t="s">
        <v>129</v>
      </c>
      <c r="B688" s="6" t="s">
        <v>153</v>
      </c>
      <c r="C688" s="72">
        <v>0</v>
      </c>
      <c r="D688" s="72">
        <v>0</v>
      </c>
      <c r="E688" s="72">
        <v>0</v>
      </c>
    </row>
    <row r="689" spans="1:5" x14ac:dyDescent="0.2">
      <c r="A689" s="44" t="s">
        <v>129</v>
      </c>
      <c r="B689" s="6" t="s">
        <v>154</v>
      </c>
      <c r="C689" s="72">
        <v>0</v>
      </c>
      <c r="D689" s="72">
        <v>0</v>
      </c>
      <c r="E689" s="72">
        <v>0</v>
      </c>
    </row>
    <row r="690" spans="1:5" x14ac:dyDescent="0.2">
      <c r="A690" s="44" t="s">
        <v>129</v>
      </c>
      <c r="B690" s="6" t="s">
        <v>155</v>
      </c>
      <c r="C690" s="72">
        <v>0</v>
      </c>
      <c r="D690" s="72">
        <v>0</v>
      </c>
      <c r="E690" s="72">
        <v>0</v>
      </c>
    </row>
    <row r="691" spans="1:5" x14ac:dyDescent="0.2">
      <c r="A691" s="44" t="s">
        <v>129</v>
      </c>
      <c r="B691" s="6" t="s">
        <v>156</v>
      </c>
      <c r="C691" s="72">
        <v>0</v>
      </c>
      <c r="D691" s="72">
        <v>0</v>
      </c>
      <c r="E691" s="72">
        <v>0</v>
      </c>
    </row>
    <row r="692" spans="1:5" x14ac:dyDescent="0.2">
      <c r="A692" s="44" t="s">
        <v>129</v>
      </c>
      <c r="B692" s="6" t="s">
        <v>157</v>
      </c>
      <c r="C692" s="72">
        <v>0</v>
      </c>
      <c r="D692" s="72">
        <v>0</v>
      </c>
      <c r="E692" s="72">
        <v>0</v>
      </c>
    </row>
    <row r="693" spans="1:5" x14ac:dyDescent="0.2">
      <c r="A693" s="44" t="s">
        <v>129</v>
      </c>
      <c r="B693" s="6" t="s">
        <v>158</v>
      </c>
      <c r="C693" s="72">
        <v>0</v>
      </c>
      <c r="D693" s="72">
        <v>0</v>
      </c>
      <c r="E693" s="72">
        <v>0</v>
      </c>
    </row>
    <row r="694" spans="1:5" x14ac:dyDescent="0.2">
      <c r="A694" s="44" t="s">
        <v>129</v>
      </c>
      <c r="B694" s="6" t="s">
        <v>159</v>
      </c>
      <c r="C694" s="72">
        <v>0</v>
      </c>
      <c r="D694" s="72">
        <v>0</v>
      </c>
      <c r="E694" s="72">
        <v>0</v>
      </c>
    </row>
    <row r="695" spans="1:5" x14ac:dyDescent="0.2">
      <c r="A695" s="44" t="s">
        <v>129</v>
      </c>
      <c r="B695" s="6" t="s">
        <v>160</v>
      </c>
      <c r="C695" s="72">
        <v>0</v>
      </c>
      <c r="D695" s="72">
        <v>0</v>
      </c>
      <c r="E695" s="72">
        <v>0</v>
      </c>
    </row>
    <row r="696" spans="1:5" x14ac:dyDescent="0.2">
      <c r="A696" s="44" t="s">
        <v>129</v>
      </c>
      <c r="B696" s="6" t="s">
        <v>161</v>
      </c>
      <c r="C696" s="72">
        <v>0</v>
      </c>
      <c r="D696" s="72">
        <v>0</v>
      </c>
      <c r="E696" s="72">
        <v>0</v>
      </c>
    </row>
    <row r="697" spans="1:5" x14ac:dyDescent="0.2">
      <c r="A697" s="44" t="s">
        <v>129</v>
      </c>
      <c r="B697" s="6" t="s">
        <v>162</v>
      </c>
      <c r="C697" s="72">
        <v>0</v>
      </c>
      <c r="D697" s="72">
        <v>0</v>
      </c>
      <c r="E697" s="72">
        <v>0</v>
      </c>
    </row>
    <row r="698" spans="1:5" x14ac:dyDescent="0.2">
      <c r="A698" s="44" t="s">
        <v>125</v>
      </c>
      <c r="B698" s="6" t="s">
        <v>151</v>
      </c>
      <c r="C698" s="72">
        <v>0</v>
      </c>
      <c r="D698" s="72">
        <v>0</v>
      </c>
      <c r="E698" s="72">
        <v>0</v>
      </c>
    </row>
    <row r="699" spans="1:5" x14ac:dyDescent="0.2">
      <c r="A699" s="44" t="s">
        <v>125</v>
      </c>
      <c r="B699" s="6" t="s">
        <v>152</v>
      </c>
      <c r="C699" s="72">
        <v>0</v>
      </c>
      <c r="D699" s="72">
        <v>0</v>
      </c>
      <c r="E699" s="72">
        <v>0</v>
      </c>
    </row>
    <row r="700" spans="1:5" x14ac:dyDescent="0.2">
      <c r="A700" s="44" t="s">
        <v>125</v>
      </c>
      <c r="B700" s="6" t="s">
        <v>153</v>
      </c>
      <c r="C700" s="72">
        <v>0</v>
      </c>
      <c r="D700" s="72">
        <v>0</v>
      </c>
      <c r="E700" s="72">
        <v>0</v>
      </c>
    </row>
    <row r="701" spans="1:5" x14ac:dyDescent="0.2">
      <c r="A701" s="44" t="s">
        <v>125</v>
      </c>
      <c r="B701" s="6" t="s">
        <v>154</v>
      </c>
      <c r="C701" s="72">
        <v>0</v>
      </c>
      <c r="D701" s="72">
        <v>0</v>
      </c>
      <c r="E701" s="72">
        <v>0</v>
      </c>
    </row>
    <row r="702" spans="1:5" x14ac:dyDescent="0.2">
      <c r="A702" s="44" t="s">
        <v>125</v>
      </c>
      <c r="B702" s="6" t="s">
        <v>155</v>
      </c>
      <c r="C702" s="72">
        <v>0</v>
      </c>
      <c r="D702" s="72">
        <v>0</v>
      </c>
      <c r="E702" s="72">
        <v>0</v>
      </c>
    </row>
    <row r="703" spans="1:5" x14ac:dyDescent="0.2">
      <c r="A703" s="44" t="s">
        <v>125</v>
      </c>
      <c r="B703" s="6" t="s">
        <v>156</v>
      </c>
      <c r="C703" s="72">
        <v>0</v>
      </c>
      <c r="D703" s="72">
        <v>0</v>
      </c>
      <c r="E703" s="72">
        <v>0</v>
      </c>
    </row>
    <row r="704" spans="1:5" x14ac:dyDescent="0.2">
      <c r="A704" s="44" t="s">
        <v>125</v>
      </c>
      <c r="B704" s="6" t="s">
        <v>157</v>
      </c>
      <c r="C704" s="72">
        <v>0</v>
      </c>
      <c r="D704" s="72">
        <v>0</v>
      </c>
      <c r="E704" s="72">
        <v>0</v>
      </c>
    </row>
    <row r="705" spans="1:5" x14ac:dyDescent="0.2">
      <c r="A705" s="44" t="s">
        <v>125</v>
      </c>
      <c r="B705" s="6" t="s">
        <v>158</v>
      </c>
      <c r="C705" s="72">
        <v>0</v>
      </c>
      <c r="D705" s="72">
        <v>0</v>
      </c>
      <c r="E705" s="72">
        <v>0</v>
      </c>
    </row>
    <row r="706" spans="1:5" x14ac:dyDescent="0.2">
      <c r="A706" s="44" t="s">
        <v>125</v>
      </c>
      <c r="B706" s="6" t="s">
        <v>159</v>
      </c>
      <c r="C706" s="72">
        <v>0</v>
      </c>
      <c r="D706" s="72">
        <v>0</v>
      </c>
      <c r="E706" s="72">
        <v>0</v>
      </c>
    </row>
    <row r="707" spans="1:5" x14ac:dyDescent="0.2">
      <c r="A707" s="44" t="s">
        <v>125</v>
      </c>
      <c r="B707" s="6" t="s">
        <v>160</v>
      </c>
      <c r="C707" s="72">
        <v>0</v>
      </c>
      <c r="D707" s="72">
        <v>0</v>
      </c>
      <c r="E707" s="72">
        <v>0</v>
      </c>
    </row>
    <row r="708" spans="1:5" x14ac:dyDescent="0.2">
      <c r="A708" s="44" t="s">
        <v>125</v>
      </c>
      <c r="B708" s="6" t="s">
        <v>161</v>
      </c>
      <c r="C708" s="72">
        <v>0</v>
      </c>
      <c r="D708" s="72">
        <v>0</v>
      </c>
      <c r="E708" s="72">
        <v>0</v>
      </c>
    </row>
    <row r="709" spans="1:5" x14ac:dyDescent="0.2">
      <c r="A709" s="44" t="s">
        <v>125</v>
      </c>
      <c r="B709" s="6" t="s">
        <v>162</v>
      </c>
      <c r="C709" s="72">
        <v>0</v>
      </c>
      <c r="D709" s="72">
        <v>0</v>
      </c>
      <c r="E709" s="72">
        <v>0</v>
      </c>
    </row>
  </sheetData>
  <sheetProtection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335"/>
  <sheetViews>
    <sheetView tabSelected="1" topLeftCell="A314" workbookViewId="0">
      <selection activeCell="C333" sqref="C331:C333"/>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234</v>
      </c>
      <c r="E1" s="52" t="s">
        <v>235</v>
      </c>
      <c r="F1" s="52" t="s">
        <v>236</v>
      </c>
      <c r="G1" s="52" t="s">
        <v>237</v>
      </c>
      <c r="I1" t="s">
        <v>244</v>
      </c>
      <c r="J1" t="s">
        <v>249</v>
      </c>
    </row>
    <row r="2" spans="1:10" ht="15.75" x14ac:dyDescent="0.2">
      <c r="A2" s="40" t="s">
        <v>83</v>
      </c>
      <c r="B2" s="76">
        <v>1892</v>
      </c>
      <c r="C2" s="72" t="s">
        <v>26</v>
      </c>
      <c r="D2" s="3" t="str">
        <f>IF(AND(B2&gt;0,B2&lt;1000),C2,"")</f>
        <v/>
      </c>
      <c r="E2" s="3" t="str">
        <f>IF(AND(B2&gt;1000,B2&lt;2500),C2,"")</f>
        <v>N/A</v>
      </c>
      <c r="F2" s="3" t="str">
        <f>IF(AND(B2&gt;2500,B2&lt;5000),C2,"")</f>
        <v/>
      </c>
      <c r="G2" s="3" t="str">
        <f>IF(B2&gt;=5000,C2,"")</f>
        <v/>
      </c>
      <c r="I2" s="42" t="s">
        <v>245</v>
      </c>
      <c r="J2" s="2">
        <f>D335</f>
        <v>9.7241379310344822</v>
      </c>
    </row>
    <row r="3" spans="1:10" ht="15.75" x14ac:dyDescent="0.2">
      <c r="A3" s="40" t="s">
        <v>83</v>
      </c>
      <c r="B3" s="76">
        <v>4750</v>
      </c>
      <c r="C3" s="72" t="s">
        <v>26</v>
      </c>
      <c r="D3" s="3" t="str">
        <f t="shared" ref="D3:D25" si="0">IF(AND(B3&gt;0,B3&lt;1000),C3,"")</f>
        <v/>
      </c>
      <c r="E3" s="3" t="str">
        <f t="shared" ref="E3:E25" si="1">IF(AND(B3&gt;1000,B3&lt;2500),C3,"")</f>
        <v/>
      </c>
      <c r="F3" s="3" t="str">
        <f t="shared" ref="F3:F25" si="2">IF(AND(B3&gt;2500,B3&lt;5000),C3,"")</f>
        <v>N/A</v>
      </c>
      <c r="G3" s="3" t="str">
        <f t="shared" ref="G3:G25" si="3">IF(B3&gt;=5000,C3,"")</f>
        <v/>
      </c>
      <c r="I3" s="42" t="s">
        <v>246</v>
      </c>
      <c r="J3" s="2">
        <f>E335</f>
        <v>9.5714285714285712</v>
      </c>
    </row>
    <row r="4" spans="1:10" ht="15.75" x14ac:dyDescent="0.2">
      <c r="A4" s="40" t="s">
        <v>83</v>
      </c>
      <c r="B4" s="76">
        <v>855</v>
      </c>
      <c r="C4" s="72" t="s">
        <v>26</v>
      </c>
      <c r="D4" s="3" t="str">
        <f t="shared" si="0"/>
        <v>N/A</v>
      </c>
      <c r="E4" s="3" t="str">
        <f t="shared" si="1"/>
        <v/>
      </c>
      <c r="F4" s="3" t="str">
        <f t="shared" si="2"/>
        <v/>
      </c>
      <c r="G4" s="3" t="str">
        <f t="shared" si="3"/>
        <v/>
      </c>
      <c r="I4" s="42" t="s">
        <v>247</v>
      </c>
      <c r="J4" s="2">
        <f>F335</f>
        <v>9.7142857142857135</v>
      </c>
    </row>
    <row r="5" spans="1:10" ht="15.75" x14ac:dyDescent="0.2">
      <c r="A5" s="40" t="s">
        <v>83</v>
      </c>
      <c r="B5" s="76">
        <v>2220</v>
      </c>
      <c r="C5" s="72" t="s">
        <v>26</v>
      </c>
      <c r="D5" s="3" t="str">
        <f>IF(AND(B5&gt;0,B5&lt;1000),C5,"")</f>
        <v/>
      </c>
      <c r="E5" s="3" t="str">
        <f>IF(AND(B5&gt;1000,B5&lt;2500),C5,"")</f>
        <v>N/A</v>
      </c>
      <c r="F5" s="3" t="str">
        <f>IF(AND(B5&gt;2500,B5&lt;5000),C5,"")</f>
        <v/>
      </c>
      <c r="G5" s="3" t="str">
        <f>IF(B5&gt;=5000,C5,"")</f>
        <v/>
      </c>
      <c r="I5" s="43" t="s">
        <v>248</v>
      </c>
      <c r="J5">
        <f>G335</f>
        <v>8.8333333333333339</v>
      </c>
    </row>
    <row r="6" spans="1:10" ht="15.75" x14ac:dyDescent="0.2">
      <c r="A6" s="40" t="s">
        <v>83</v>
      </c>
      <c r="B6" s="113">
        <v>1800</v>
      </c>
      <c r="C6" s="72" t="s">
        <v>26</v>
      </c>
      <c r="D6" s="3" t="str">
        <f t="shared" ref="D6:D7" si="4">IF(AND(B6&gt;0,B6&lt;1000),C6,"")</f>
        <v/>
      </c>
      <c r="E6" s="3" t="str">
        <f t="shared" ref="E6" si="5">IF(AND(B6&gt;1000,B6&lt;2500),C6,"")</f>
        <v>N/A</v>
      </c>
      <c r="F6" s="3" t="str">
        <f t="shared" ref="F6" si="6">IF(AND(B6&gt;2500,B6&lt;5000),C6,"")</f>
        <v/>
      </c>
      <c r="G6" s="3" t="str">
        <f t="shared" ref="G6" si="7">IF(B6&gt;=5000,C6,"")</f>
        <v/>
      </c>
      <c r="I6" s="112"/>
    </row>
    <row r="7" spans="1:10" ht="15.75" x14ac:dyDescent="0.2">
      <c r="A7" s="40" t="s">
        <v>94</v>
      </c>
      <c r="B7" s="113">
        <v>244</v>
      </c>
      <c r="C7" s="114">
        <v>9</v>
      </c>
      <c r="D7" s="3">
        <f t="shared" si="4"/>
        <v>9</v>
      </c>
      <c r="E7" s="3" t="str">
        <f>IF(AND(B7&gt;1000,B7&lt;2500),C7,"")</f>
        <v/>
      </c>
      <c r="F7" s="3" t="str">
        <f>IF(AND(B7&gt;2500,B7&lt;5000),C7,"")</f>
        <v/>
      </c>
      <c r="G7" s="3" t="str">
        <f>IF(B7&gt;=5000,C7,"")</f>
        <v/>
      </c>
      <c r="I7" s="112"/>
    </row>
    <row r="8" spans="1:10" x14ac:dyDescent="0.2">
      <c r="A8" s="40" t="s">
        <v>94</v>
      </c>
      <c r="B8" s="76">
        <v>122</v>
      </c>
      <c r="C8" s="72" t="s">
        <v>26</v>
      </c>
      <c r="D8" s="3" t="str">
        <f t="shared" si="0"/>
        <v>N/A</v>
      </c>
      <c r="E8" s="3" t="str">
        <f t="shared" si="1"/>
        <v/>
      </c>
      <c r="F8" s="3" t="str">
        <f t="shared" si="2"/>
        <v/>
      </c>
      <c r="G8" s="3" t="str">
        <f t="shared" si="3"/>
        <v/>
      </c>
    </row>
    <row r="9" spans="1:10" x14ac:dyDescent="0.2">
      <c r="A9" s="40" t="s">
        <v>94</v>
      </c>
      <c r="B9" s="103">
        <v>1</v>
      </c>
      <c r="C9" s="72" t="s">
        <v>26</v>
      </c>
      <c r="D9" s="3" t="str">
        <f>IF(AND(B9&gt;0,B9&lt;1000),C9,"")</f>
        <v>N/A</v>
      </c>
      <c r="E9" s="3" t="str">
        <f>IF(AND(B9&gt;1000,B9&lt;2500),C9,"")</f>
        <v/>
      </c>
      <c r="F9" s="3" t="str">
        <f>IF(AND(B9&gt;2500,B9&lt;5000),C9,"")</f>
        <v/>
      </c>
      <c r="G9" s="3" t="str">
        <f>IF(B9&gt;=5000,C9,"")</f>
        <v/>
      </c>
    </row>
    <row r="10" spans="1:10" x14ac:dyDescent="0.2">
      <c r="A10" s="40" t="s">
        <v>55</v>
      </c>
      <c r="B10" s="113">
        <v>14140</v>
      </c>
      <c r="C10" s="72" t="s">
        <v>26</v>
      </c>
      <c r="D10" s="3" t="str">
        <f>IF(AND(B10&gt;0,B10&lt;1000),C10,"")</f>
        <v/>
      </c>
      <c r="E10" s="3" t="str">
        <f>IF(AND(B10&gt;1000,B10&lt;2500),C10,"")</f>
        <v/>
      </c>
      <c r="F10" s="3" t="str">
        <f>IF(AND(B10&gt;2500,B10&lt;5000),C10,"")</f>
        <v/>
      </c>
      <c r="G10" s="3" t="str">
        <f>IF(B10&gt;=5000,C10,"")</f>
        <v>N/A</v>
      </c>
    </row>
    <row r="11" spans="1:10" x14ac:dyDescent="0.2">
      <c r="A11" s="40" t="s">
        <v>55</v>
      </c>
      <c r="B11" s="76">
        <v>900</v>
      </c>
      <c r="C11" s="72">
        <v>10</v>
      </c>
      <c r="D11" s="3">
        <f t="shared" si="0"/>
        <v>10</v>
      </c>
      <c r="E11" s="3" t="str">
        <f t="shared" si="1"/>
        <v/>
      </c>
      <c r="F11" s="3" t="str">
        <f t="shared" si="2"/>
        <v/>
      </c>
      <c r="G11" s="3" t="str">
        <f t="shared" si="3"/>
        <v/>
      </c>
    </row>
    <row r="12" spans="1:10" x14ac:dyDescent="0.2">
      <c r="A12" s="40" t="s">
        <v>55</v>
      </c>
      <c r="B12" s="76">
        <v>994.08</v>
      </c>
      <c r="C12" s="72" t="s">
        <v>26</v>
      </c>
      <c r="D12" s="3" t="str">
        <f t="shared" si="0"/>
        <v>N/A</v>
      </c>
      <c r="E12" s="3" t="str">
        <f t="shared" si="1"/>
        <v/>
      </c>
      <c r="F12" s="3" t="str">
        <f t="shared" si="2"/>
        <v/>
      </c>
      <c r="G12" s="3" t="str">
        <f t="shared" si="3"/>
        <v/>
      </c>
    </row>
    <row r="13" spans="1:10" x14ac:dyDescent="0.2">
      <c r="A13" s="40" t="s">
        <v>55</v>
      </c>
      <c r="B13" s="76">
        <v>2470</v>
      </c>
      <c r="C13" s="72" t="s">
        <v>26</v>
      </c>
      <c r="D13" s="3" t="str">
        <f t="shared" si="0"/>
        <v/>
      </c>
      <c r="E13" s="3" t="str">
        <f t="shared" si="1"/>
        <v>N/A</v>
      </c>
      <c r="F13" s="3" t="str">
        <f t="shared" si="2"/>
        <v/>
      </c>
      <c r="G13" s="3" t="str">
        <f t="shared" si="3"/>
        <v/>
      </c>
    </row>
    <row r="14" spans="1:10" x14ac:dyDescent="0.2">
      <c r="A14" s="40" t="s">
        <v>55</v>
      </c>
      <c r="B14" s="76">
        <v>1454</v>
      </c>
      <c r="C14" s="72" t="s">
        <v>26</v>
      </c>
      <c r="D14" s="3" t="str">
        <f t="shared" si="0"/>
        <v/>
      </c>
      <c r="E14" s="3" t="str">
        <f t="shared" si="1"/>
        <v>N/A</v>
      </c>
      <c r="F14" s="3" t="str">
        <f t="shared" si="2"/>
        <v/>
      </c>
      <c r="G14" s="3" t="str">
        <f t="shared" si="3"/>
        <v/>
      </c>
    </row>
    <row r="15" spans="1:10" x14ac:dyDescent="0.2">
      <c r="A15" s="40" t="s">
        <v>55</v>
      </c>
      <c r="B15" s="113">
        <v>300</v>
      </c>
      <c r="C15" s="72" t="s">
        <v>26</v>
      </c>
      <c r="D15" s="3" t="str">
        <f>IF(AND(B15&gt;0,B15&lt;1000),C15,"")</f>
        <v>N/A</v>
      </c>
      <c r="E15" s="3" t="str">
        <f>IF(AND(B15&gt;1000,B15&lt;2500),C15,"")</f>
        <v/>
      </c>
      <c r="F15" s="3" t="str">
        <f>IF(AND(B15&gt;2500,B15&lt;5000),C15,"")</f>
        <v/>
      </c>
      <c r="G15" s="3" t="str">
        <f>IF(B15&gt;=5000,C15,"")</f>
        <v/>
      </c>
    </row>
    <row r="16" spans="1:10" x14ac:dyDescent="0.2">
      <c r="A16" s="40" t="s">
        <v>142</v>
      </c>
      <c r="B16" s="76">
        <v>1500</v>
      </c>
      <c r="C16" s="72" t="s">
        <v>26</v>
      </c>
      <c r="D16" s="3" t="str">
        <f t="shared" si="0"/>
        <v/>
      </c>
      <c r="E16" s="3" t="str">
        <f t="shared" si="1"/>
        <v>N/A</v>
      </c>
      <c r="F16" s="3" t="str">
        <f t="shared" si="2"/>
        <v/>
      </c>
      <c r="G16" s="3" t="str">
        <f t="shared" si="3"/>
        <v/>
      </c>
    </row>
    <row r="17" spans="1:7" x14ac:dyDescent="0.2">
      <c r="A17" s="40" t="s">
        <v>142</v>
      </c>
      <c r="B17" s="76">
        <v>3900</v>
      </c>
      <c r="C17" s="72" t="s">
        <v>26</v>
      </c>
      <c r="D17" s="3" t="str">
        <f t="shared" si="0"/>
        <v/>
      </c>
      <c r="E17" s="3" t="str">
        <f t="shared" si="1"/>
        <v/>
      </c>
      <c r="F17" s="3" t="str">
        <f t="shared" si="2"/>
        <v>N/A</v>
      </c>
      <c r="G17" s="3" t="str">
        <f t="shared" si="3"/>
        <v/>
      </c>
    </row>
    <row r="18" spans="1:7" x14ac:dyDescent="0.2">
      <c r="A18" s="40" t="s">
        <v>142</v>
      </c>
      <c r="B18" s="76">
        <v>1305</v>
      </c>
      <c r="C18" s="72" t="s">
        <v>26</v>
      </c>
      <c r="D18" s="3" t="str">
        <f t="shared" si="0"/>
        <v/>
      </c>
      <c r="E18" s="3" t="str">
        <f t="shared" si="1"/>
        <v>N/A</v>
      </c>
      <c r="F18" s="3" t="str">
        <f t="shared" si="2"/>
        <v/>
      </c>
      <c r="G18" s="3" t="str">
        <f t="shared" si="3"/>
        <v/>
      </c>
    </row>
    <row r="19" spans="1:7" x14ac:dyDescent="0.2">
      <c r="A19" s="40" t="s">
        <v>142</v>
      </c>
      <c r="B19" s="76">
        <v>3500</v>
      </c>
      <c r="C19" s="72" t="s">
        <v>26</v>
      </c>
      <c r="D19" s="3" t="str">
        <f t="shared" si="0"/>
        <v/>
      </c>
      <c r="E19" s="3" t="str">
        <f t="shared" si="1"/>
        <v/>
      </c>
      <c r="F19" s="3" t="str">
        <f t="shared" si="2"/>
        <v>N/A</v>
      </c>
      <c r="G19" s="3" t="str">
        <f t="shared" si="3"/>
        <v/>
      </c>
    </row>
    <row r="20" spans="1:7" x14ac:dyDescent="0.2">
      <c r="A20" s="40" t="s">
        <v>142</v>
      </c>
      <c r="B20" s="76">
        <v>968.8</v>
      </c>
      <c r="C20" s="72" t="s">
        <v>26</v>
      </c>
      <c r="D20" s="3" t="str">
        <f t="shared" si="0"/>
        <v>N/A</v>
      </c>
      <c r="E20" s="3" t="str">
        <f t="shared" si="1"/>
        <v/>
      </c>
      <c r="F20" s="3" t="str">
        <f t="shared" si="2"/>
        <v/>
      </c>
      <c r="G20" s="3" t="str">
        <f t="shared" si="3"/>
        <v/>
      </c>
    </row>
    <row r="21" spans="1:7" x14ac:dyDescent="0.2">
      <c r="A21" s="40" t="s">
        <v>142</v>
      </c>
      <c r="B21" s="78">
        <v>3800</v>
      </c>
      <c r="C21" s="72" t="s">
        <v>26</v>
      </c>
      <c r="D21" s="3"/>
      <c r="E21" s="3"/>
      <c r="F21" s="3"/>
      <c r="G21" s="3"/>
    </row>
    <row r="22" spans="1:7" x14ac:dyDescent="0.2">
      <c r="A22" s="40" t="s">
        <v>142</v>
      </c>
      <c r="B22" s="76">
        <v>3100</v>
      </c>
      <c r="C22" s="72" t="s">
        <v>26</v>
      </c>
      <c r="D22" s="3" t="str">
        <f t="shared" si="0"/>
        <v/>
      </c>
      <c r="E22" s="3" t="str">
        <f t="shared" si="1"/>
        <v/>
      </c>
      <c r="F22" s="3" t="str">
        <f t="shared" si="2"/>
        <v>N/A</v>
      </c>
      <c r="G22" s="3" t="str">
        <f t="shared" si="3"/>
        <v/>
      </c>
    </row>
    <row r="23" spans="1:7" x14ac:dyDescent="0.2">
      <c r="A23" s="40" t="s">
        <v>142</v>
      </c>
      <c r="B23" s="103">
        <v>2200</v>
      </c>
      <c r="C23" s="72" t="s">
        <v>26</v>
      </c>
      <c r="D23" s="3" t="str">
        <f>IF(AND(B23&gt;0,B23&lt;1000),C23,"")</f>
        <v/>
      </c>
      <c r="E23" s="3" t="str">
        <f>IF(AND(B23&gt;1000,B23&lt;2500),C23,"")</f>
        <v>N/A</v>
      </c>
      <c r="F23" s="3" t="str">
        <f>IF(AND(B23&gt;2500,B23&lt;5000),C23,"")</f>
        <v/>
      </c>
      <c r="G23" s="3" t="str">
        <f>IF(B23&gt;=5000,C23,"")</f>
        <v/>
      </c>
    </row>
    <row r="24" spans="1:7" x14ac:dyDescent="0.2">
      <c r="A24" s="40" t="s">
        <v>65</v>
      </c>
      <c r="B24" s="76">
        <v>4500</v>
      </c>
      <c r="C24" s="72" t="s">
        <v>26</v>
      </c>
      <c r="D24" s="3" t="str">
        <f t="shared" si="0"/>
        <v/>
      </c>
      <c r="E24" s="3" t="str">
        <f t="shared" si="1"/>
        <v/>
      </c>
      <c r="F24" s="3" t="str">
        <f t="shared" si="2"/>
        <v>N/A</v>
      </c>
      <c r="G24" s="3" t="str">
        <f t="shared" si="3"/>
        <v/>
      </c>
    </row>
    <row r="25" spans="1:7" x14ac:dyDescent="0.2">
      <c r="A25" s="40" t="s">
        <v>65</v>
      </c>
      <c r="B25" s="76">
        <v>700</v>
      </c>
      <c r="C25" s="72" t="s">
        <v>26</v>
      </c>
      <c r="D25" s="3" t="str">
        <f t="shared" si="0"/>
        <v>N/A</v>
      </c>
      <c r="E25" s="3" t="str">
        <f t="shared" si="1"/>
        <v/>
      </c>
      <c r="F25" s="3" t="str">
        <f t="shared" si="2"/>
        <v/>
      </c>
      <c r="G25" s="3" t="str">
        <f t="shared" si="3"/>
        <v/>
      </c>
    </row>
    <row r="26" spans="1:7" x14ac:dyDescent="0.2">
      <c r="A26" s="40" t="s">
        <v>65</v>
      </c>
      <c r="B26" s="113">
        <v>3150</v>
      </c>
      <c r="C26" s="72" t="s">
        <v>26</v>
      </c>
      <c r="D26" s="3" t="str">
        <f t="shared" ref="D26:D29" si="8">IF(AND(B26&gt;0,B26&lt;1000),C26,"")</f>
        <v/>
      </c>
      <c r="E26" s="3" t="str">
        <f t="shared" ref="E26:E29" si="9">IF(AND(B26&gt;1000,B26&lt;2500),C26,"")</f>
        <v/>
      </c>
      <c r="F26" s="3" t="str">
        <f t="shared" ref="F26:F29" si="10">IF(AND(B26&gt;2500,B26&lt;5000),C26,"")</f>
        <v>N/A</v>
      </c>
      <c r="G26" s="3" t="str">
        <f t="shared" ref="G26:G29" si="11">IF(B26&gt;=5000,C26,"")</f>
        <v/>
      </c>
    </row>
    <row r="27" spans="1:7" x14ac:dyDescent="0.2">
      <c r="A27" s="40" t="s">
        <v>65</v>
      </c>
      <c r="B27" s="113">
        <v>297.89999999999998</v>
      </c>
      <c r="C27" s="72" t="s">
        <v>26</v>
      </c>
      <c r="D27" s="3" t="str">
        <f t="shared" si="8"/>
        <v>N/A</v>
      </c>
      <c r="E27" s="3" t="str">
        <f t="shared" si="9"/>
        <v/>
      </c>
      <c r="F27" s="3" t="str">
        <f t="shared" si="10"/>
        <v/>
      </c>
      <c r="G27" s="3" t="str">
        <f t="shared" si="11"/>
        <v/>
      </c>
    </row>
    <row r="28" spans="1:7" x14ac:dyDescent="0.2">
      <c r="A28" s="40" t="s">
        <v>65</v>
      </c>
      <c r="B28" s="113">
        <v>5460</v>
      </c>
      <c r="C28" s="72" t="s">
        <v>26</v>
      </c>
      <c r="D28" s="3" t="str">
        <f t="shared" si="8"/>
        <v/>
      </c>
      <c r="E28" s="3" t="str">
        <f t="shared" si="9"/>
        <v/>
      </c>
      <c r="F28" s="3" t="str">
        <f t="shared" si="10"/>
        <v/>
      </c>
      <c r="G28" s="3" t="str">
        <f t="shared" si="11"/>
        <v>N/A</v>
      </c>
    </row>
    <row r="29" spans="1:7" x14ac:dyDescent="0.2">
      <c r="A29" s="40" t="s">
        <v>65</v>
      </c>
      <c r="B29" s="113">
        <v>1184</v>
      </c>
      <c r="C29" s="72" t="s">
        <v>26</v>
      </c>
      <c r="D29" s="3" t="str">
        <f t="shared" si="8"/>
        <v/>
      </c>
      <c r="E29" s="3" t="str">
        <f t="shared" si="9"/>
        <v>N/A</v>
      </c>
      <c r="F29" s="3" t="str">
        <f t="shared" si="10"/>
        <v/>
      </c>
      <c r="G29" s="3" t="str">
        <f t="shared" si="11"/>
        <v/>
      </c>
    </row>
    <row r="30" spans="1:7" x14ac:dyDescent="0.2">
      <c r="A30" t="s">
        <v>41</v>
      </c>
      <c r="B30" s="76">
        <v>120</v>
      </c>
      <c r="C30" s="72" t="s">
        <v>26</v>
      </c>
      <c r="D30" s="3" t="str">
        <f t="shared" ref="D30:D68" si="12">IF(AND(B30&gt;0,B30&lt;1000),C30,"")</f>
        <v>N/A</v>
      </c>
      <c r="E30" s="3" t="str">
        <f t="shared" ref="E30:E68" si="13">IF(AND(B30&gt;1000,B30&lt;2500),C30,"")</f>
        <v/>
      </c>
      <c r="F30" s="3" t="str">
        <f t="shared" ref="F30:F68" si="14">IF(AND(B30&gt;2500,B30&lt;5000),C30,"")</f>
        <v/>
      </c>
      <c r="G30" s="3" t="str">
        <f t="shared" ref="G30:G68" si="15">IF(B30&gt;=5000,C30,"")</f>
        <v/>
      </c>
    </row>
    <row r="31" spans="1:7" x14ac:dyDescent="0.2">
      <c r="A31" t="s">
        <v>41</v>
      </c>
      <c r="B31" s="76">
        <v>1800</v>
      </c>
      <c r="C31" s="72" t="s">
        <v>26</v>
      </c>
      <c r="D31" s="3" t="str">
        <f t="shared" si="12"/>
        <v/>
      </c>
      <c r="E31" s="3" t="str">
        <f t="shared" si="13"/>
        <v>N/A</v>
      </c>
      <c r="F31" s="3" t="str">
        <f t="shared" si="14"/>
        <v/>
      </c>
      <c r="G31" s="3" t="str">
        <f t="shared" si="15"/>
        <v/>
      </c>
    </row>
    <row r="32" spans="1:7" x14ac:dyDescent="0.2">
      <c r="A32" t="s">
        <v>41</v>
      </c>
      <c r="B32" s="76">
        <v>1620</v>
      </c>
      <c r="C32" s="72" t="s">
        <v>26</v>
      </c>
      <c r="D32" s="3" t="str">
        <f t="shared" si="12"/>
        <v/>
      </c>
      <c r="E32" s="3" t="str">
        <f t="shared" si="13"/>
        <v>N/A</v>
      </c>
      <c r="F32" s="3" t="str">
        <f t="shared" si="14"/>
        <v/>
      </c>
      <c r="G32" s="3" t="str">
        <f t="shared" si="15"/>
        <v/>
      </c>
    </row>
    <row r="33" spans="1:7" x14ac:dyDescent="0.2">
      <c r="A33" t="s">
        <v>41</v>
      </c>
      <c r="B33" s="76">
        <v>450</v>
      </c>
      <c r="C33" s="72" t="s">
        <v>26</v>
      </c>
      <c r="D33" s="3" t="str">
        <f t="shared" si="12"/>
        <v>N/A</v>
      </c>
      <c r="E33" s="3" t="str">
        <f t="shared" si="13"/>
        <v/>
      </c>
      <c r="F33" s="3" t="str">
        <f t="shared" si="14"/>
        <v/>
      </c>
      <c r="G33" s="3" t="str">
        <f t="shared" si="15"/>
        <v/>
      </c>
    </row>
    <row r="34" spans="1:7" x14ac:dyDescent="0.2">
      <c r="A34" t="s">
        <v>41</v>
      </c>
      <c r="B34" s="76">
        <v>1370</v>
      </c>
      <c r="C34" s="72">
        <v>10</v>
      </c>
      <c r="D34" s="3" t="str">
        <f t="shared" si="12"/>
        <v/>
      </c>
      <c r="E34" s="3">
        <f t="shared" si="13"/>
        <v>10</v>
      </c>
      <c r="F34" s="3" t="str">
        <f t="shared" si="14"/>
        <v/>
      </c>
      <c r="G34" s="3" t="str">
        <f t="shared" si="15"/>
        <v/>
      </c>
    </row>
    <row r="35" spans="1:7" x14ac:dyDescent="0.2">
      <c r="A35" t="s">
        <v>41</v>
      </c>
      <c r="B35" s="76">
        <v>1200</v>
      </c>
      <c r="C35" s="72" t="s">
        <v>26</v>
      </c>
      <c r="D35" s="3" t="str">
        <f t="shared" si="12"/>
        <v/>
      </c>
      <c r="E35" s="3" t="str">
        <f t="shared" si="13"/>
        <v>N/A</v>
      </c>
      <c r="F35" s="3" t="str">
        <f t="shared" si="14"/>
        <v/>
      </c>
      <c r="G35" s="3" t="str">
        <f t="shared" si="15"/>
        <v/>
      </c>
    </row>
    <row r="36" spans="1:7" x14ac:dyDescent="0.2">
      <c r="A36" t="s">
        <v>41</v>
      </c>
      <c r="B36" s="76">
        <v>1880</v>
      </c>
      <c r="C36" s="72">
        <v>10</v>
      </c>
      <c r="D36" s="3" t="str">
        <f t="shared" si="12"/>
        <v/>
      </c>
      <c r="E36" s="3">
        <f t="shared" si="13"/>
        <v>10</v>
      </c>
      <c r="F36" s="3" t="str">
        <f t="shared" si="14"/>
        <v/>
      </c>
      <c r="G36" s="3" t="str">
        <f t="shared" si="15"/>
        <v/>
      </c>
    </row>
    <row r="37" spans="1:7" x14ac:dyDescent="0.2">
      <c r="A37" t="s">
        <v>41</v>
      </c>
      <c r="B37" s="76">
        <v>490</v>
      </c>
      <c r="C37" s="72">
        <v>10</v>
      </c>
      <c r="D37" s="3">
        <f t="shared" si="12"/>
        <v>10</v>
      </c>
      <c r="E37" s="3" t="str">
        <f t="shared" si="13"/>
        <v/>
      </c>
      <c r="F37" s="3" t="str">
        <f t="shared" si="14"/>
        <v/>
      </c>
      <c r="G37" s="3" t="str">
        <f t="shared" si="15"/>
        <v/>
      </c>
    </row>
    <row r="38" spans="1:7" x14ac:dyDescent="0.2">
      <c r="A38" t="s">
        <v>41</v>
      </c>
      <c r="B38" s="76">
        <v>1280</v>
      </c>
      <c r="C38" s="72">
        <v>9</v>
      </c>
      <c r="D38" s="3" t="str">
        <f t="shared" si="12"/>
        <v/>
      </c>
      <c r="E38" s="3">
        <f t="shared" si="13"/>
        <v>9</v>
      </c>
      <c r="F38" s="3" t="str">
        <f t="shared" si="14"/>
        <v/>
      </c>
      <c r="G38" s="3" t="str">
        <f t="shared" si="15"/>
        <v/>
      </c>
    </row>
    <row r="39" spans="1:7" x14ac:dyDescent="0.2">
      <c r="A39" t="s">
        <v>41</v>
      </c>
      <c r="B39" s="103">
        <v>1135</v>
      </c>
      <c r="C39" s="72">
        <v>9</v>
      </c>
      <c r="D39" s="3" t="str">
        <f>IF(AND(B39&gt;0,B39&lt;1000),C39,"")</f>
        <v/>
      </c>
      <c r="E39" s="3">
        <f>IF(AND(B39&gt;1000,B39&lt;2500),C39,"")</f>
        <v>9</v>
      </c>
      <c r="F39" s="3" t="str">
        <f>IF(AND(B39&gt;2500,B39&lt;5000),C39,"")</f>
        <v/>
      </c>
      <c r="G39" s="3" t="str">
        <f>IF(B39&gt;=5000,C39,"")</f>
        <v/>
      </c>
    </row>
    <row r="40" spans="1:7" x14ac:dyDescent="0.2">
      <c r="A40" t="s">
        <v>41</v>
      </c>
      <c r="B40" s="76">
        <v>1080</v>
      </c>
      <c r="C40" s="72" t="s">
        <v>26</v>
      </c>
      <c r="D40" s="3" t="str">
        <f t="shared" si="12"/>
        <v/>
      </c>
      <c r="E40" s="3" t="str">
        <f t="shared" si="13"/>
        <v>N/A</v>
      </c>
      <c r="F40" s="3" t="str">
        <f t="shared" si="14"/>
        <v/>
      </c>
      <c r="G40" s="3" t="str">
        <f t="shared" si="15"/>
        <v/>
      </c>
    </row>
    <row r="41" spans="1:7" x14ac:dyDescent="0.2">
      <c r="A41" t="s">
        <v>41</v>
      </c>
      <c r="B41" s="76">
        <v>1200</v>
      </c>
      <c r="C41" s="72" t="s">
        <v>26</v>
      </c>
      <c r="D41" s="3" t="str">
        <f t="shared" si="12"/>
        <v/>
      </c>
      <c r="E41" s="3" t="str">
        <f t="shared" si="13"/>
        <v>N/A</v>
      </c>
      <c r="F41" s="3" t="str">
        <f t="shared" si="14"/>
        <v/>
      </c>
      <c r="G41" s="3" t="str">
        <f t="shared" si="15"/>
        <v/>
      </c>
    </row>
    <row r="42" spans="1:7" x14ac:dyDescent="0.2">
      <c r="A42" t="s">
        <v>41</v>
      </c>
      <c r="B42" s="76">
        <v>504</v>
      </c>
      <c r="C42" s="72" t="s">
        <v>26</v>
      </c>
      <c r="D42" s="3" t="str">
        <f t="shared" si="12"/>
        <v>N/A</v>
      </c>
      <c r="E42" s="3" t="str">
        <f t="shared" si="13"/>
        <v/>
      </c>
      <c r="F42" s="3" t="str">
        <f t="shared" si="14"/>
        <v/>
      </c>
      <c r="G42" s="3" t="str">
        <f t="shared" si="15"/>
        <v/>
      </c>
    </row>
    <row r="43" spans="1:7" x14ac:dyDescent="0.2">
      <c r="A43" t="s">
        <v>41</v>
      </c>
      <c r="B43" s="76">
        <v>1600</v>
      </c>
      <c r="C43" s="72" t="s">
        <v>26</v>
      </c>
      <c r="D43" s="3" t="str">
        <f t="shared" si="12"/>
        <v/>
      </c>
      <c r="E43" s="3" t="str">
        <f t="shared" si="13"/>
        <v>N/A</v>
      </c>
      <c r="F43" s="3" t="str">
        <f t="shared" si="14"/>
        <v/>
      </c>
      <c r="G43" s="3" t="str">
        <f t="shared" si="15"/>
        <v/>
      </c>
    </row>
    <row r="44" spans="1:7" x14ac:dyDescent="0.2">
      <c r="A44" t="s">
        <v>41</v>
      </c>
      <c r="B44" s="76">
        <v>1200</v>
      </c>
      <c r="C44" s="72" t="s">
        <v>26</v>
      </c>
      <c r="D44" s="3" t="str">
        <f t="shared" ref="D44" si="16">IF(AND(B44&gt;0,B44&lt;1000),C44,"")</f>
        <v/>
      </c>
      <c r="E44" s="3" t="str">
        <f t="shared" ref="E44" si="17">IF(AND(B44&gt;1000,B44&lt;2500),C44,"")</f>
        <v>N/A</v>
      </c>
      <c r="F44" s="3" t="str">
        <f t="shared" ref="F44" si="18">IF(AND(B44&gt;2500,B44&lt;5000),C44,"")</f>
        <v/>
      </c>
      <c r="G44" s="3" t="str">
        <f t="shared" ref="G44" si="19">IF(B44&gt;=5000,C44,"")</f>
        <v/>
      </c>
    </row>
    <row r="45" spans="1:7" x14ac:dyDescent="0.2">
      <c r="A45" t="s">
        <v>41</v>
      </c>
      <c r="B45" s="76">
        <v>900</v>
      </c>
      <c r="C45" s="72" t="s">
        <v>26</v>
      </c>
      <c r="D45" s="3" t="str">
        <f t="shared" si="12"/>
        <v>N/A</v>
      </c>
      <c r="E45" s="3" t="str">
        <f t="shared" si="13"/>
        <v/>
      </c>
      <c r="F45" s="3" t="str">
        <f t="shared" si="14"/>
        <v/>
      </c>
      <c r="G45" s="3" t="str">
        <f t="shared" si="15"/>
        <v/>
      </c>
    </row>
    <row r="46" spans="1:7" x14ac:dyDescent="0.2">
      <c r="A46" t="s">
        <v>41</v>
      </c>
      <c r="B46" s="76">
        <v>80</v>
      </c>
      <c r="C46" s="72" t="s">
        <v>26</v>
      </c>
      <c r="D46" s="3" t="str">
        <f t="shared" ref="D46" si="20">IF(AND(B46&gt;0,B46&lt;1000),C46,"")</f>
        <v>N/A</v>
      </c>
      <c r="E46" s="3" t="str">
        <f t="shared" ref="E46" si="21">IF(AND(B46&gt;1000,B46&lt;2500),C46,"")</f>
        <v/>
      </c>
      <c r="F46" s="3" t="str">
        <f t="shared" ref="F46" si="22">IF(AND(B46&gt;2500,B46&lt;5000),C46,"")</f>
        <v/>
      </c>
      <c r="G46" s="3" t="str">
        <f t="shared" ref="G46" si="23">IF(B46&gt;=5000,C46,"")</f>
        <v/>
      </c>
    </row>
    <row r="47" spans="1:7" x14ac:dyDescent="0.2">
      <c r="A47" t="s">
        <v>41</v>
      </c>
      <c r="B47" s="76">
        <v>80</v>
      </c>
      <c r="C47" s="72" t="s">
        <v>26</v>
      </c>
      <c r="D47" s="3" t="str">
        <f t="shared" ref="D47" si="24">IF(AND(B47&gt;0,B47&lt;1000),C47,"")</f>
        <v>N/A</v>
      </c>
      <c r="E47" s="3" t="str">
        <f t="shared" ref="E47" si="25">IF(AND(B47&gt;1000,B47&lt;2500),C47,"")</f>
        <v/>
      </c>
      <c r="F47" s="3" t="str">
        <f t="shared" ref="F47" si="26">IF(AND(B47&gt;2500,B47&lt;5000),C47,"")</f>
        <v/>
      </c>
      <c r="G47" s="3" t="str">
        <f t="shared" ref="G47" si="27">IF(B47&gt;=5000,C47,"")</f>
        <v/>
      </c>
    </row>
    <row r="48" spans="1:7" x14ac:dyDescent="0.2">
      <c r="A48" t="s">
        <v>41</v>
      </c>
      <c r="B48" s="103">
        <v>80</v>
      </c>
      <c r="C48" s="72" t="s">
        <v>26</v>
      </c>
      <c r="D48" s="3" t="str">
        <f>IF(AND(B48&gt;0,B48&lt;1000),C48,"")</f>
        <v>N/A</v>
      </c>
      <c r="E48" s="3" t="str">
        <f>IF(AND(B48&gt;1000,B48&lt;2500),C48,"")</f>
        <v/>
      </c>
      <c r="F48" s="3" t="str">
        <f>IF(AND(B48&gt;2500,B48&lt;5000),C48,"")</f>
        <v/>
      </c>
      <c r="G48" s="3" t="str">
        <f>IF(B48&gt;=5000,C48,"")</f>
        <v/>
      </c>
    </row>
    <row r="49" spans="1:7" x14ac:dyDescent="0.2">
      <c r="A49" t="s">
        <v>41</v>
      </c>
      <c r="B49" s="103">
        <v>80</v>
      </c>
      <c r="C49" s="72" t="s">
        <v>26</v>
      </c>
      <c r="D49" s="3" t="str">
        <f>IF(AND(B49&gt;0,B49&lt;1000),C49,"")</f>
        <v>N/A</v>
      </c>
      <c r="E49" s="3" t="str">
        <f>IF(AND(B49&gt;1000,B49&lt;2500),C49,"")</f>
        <v/>
      </c>
      <c r="F49" s="3" t="str">
        <f>IF(AND(B49&gt;2500,B49&lt;5000),C49,"")</f>
        <v/>
      </c>
      <c r="G49" s="3" t="str">
        <f>IF(B49&gt;=5000,C49,"")</f>
        <v/>
      </c>
    </row>
    <row r="50" spans="1:7" x14ac:dyDescent="0.2">
      <c r="A50" t="s">
        <v>41</v>
      </c>
      <c r="B50" s="103">
        <v>160</v>
      </c>
      <c r="C50" s="72" t="s">
        <v>26</v>
      </c>
      <c r="D50" s="3" t="str">
        <f>IF(AND(B50&gt;0,B50&lt;1000),C50,"")</f>
        <v>N/A</v>
      </c>
      <c r="E50" s="3" t="str">
        <f>IF(AND(B50&gt;1000,B50&lt;2500),C50,"")</f>
        <v/>
      </c>
      <c r="F50" s="3" t="str">
        <f>IF(AND(B50&gt;2500,B50&lt;5000),C50,"")</f>
        <v/>
      </c>
      <c r="G50" s="3" t="str">
        <f>IF(B50&gt;=5000,C50,"")</f>
        <v/>
      </c>
    </row>
    <row r="51" spans="1:7" x14ac:dyDescent="0.2">
      <c r="A51" t="s">
        <v>41</v>
      </c>
      <c r="B51" s="76">
        <v>25</v>
      </c>
      <c r="C51" s="72" t="s">
        <v>26</v>
      </c>
      <c r="D51" s="3" t="str">
        <f t="shared" si="12"/>
        <v>N/A</v>
      </c>
      <c r="E51" s="3" t="str">
        <f t="shared" si="13"/>
        <v/>
      </c>
      <c r="F51" s="3" t="str">
        <f t="shared" si="14"/>
        <v/>
      </c>
      <c r="G51" s="3" t="str">
        <f t="shared" si="15"/>
        <v/>
      </c>
    </row>
    <row r="52" spans="1:7" x14ac:dyDescent="0.2">
      <c r="A52" t="s">
        <v>41</v>
      </c>
      <c r="B52" s="103">
        <v>80</v>
      </c>
      <c r="C52" s="72" t="s">
        <v>26</v>
      </c>
      <c r="D52" s="3" t="str">
        <f>IF(AND(B52&gt;0,B52&lt;1000),C52,"")</f>
        <v>N/A</v>
      </c>
      <c r="E52" s="3" t="str">
        <f>IF(AND(B52&gt;1000,B52&lt;2500),C52,"")</f>
        <v/>
      </c>
      <c r="F52" s="3" t="str">
        <f>IF(AND(B52&gt;2500,B52&lt;5000),C52,"")</f>
        <v/>
      </c>
      <c r="G52" s="3" t="str">
        <f>IF(B52&gt;=5000,C52,"")</f>
        <v/>
      </c>
    </row>
    <row r="53" spans="1:7" x14ac:dyDescent="0.2">
      <c r="A53" t="s">
        <v>41</v>
      </c>
      <c r="B53" s="103">
        <v>1800</v>
      </c>
      <c r="C53" s="72" t="s">
        <v>26</v>
      </c>
      <c r="D53" s="3" t="str">
        <f>IF(AND(B53&gt;0,B53&lt;1000),C53,"")</f>
        <v/>
      </c>
      <c r="E53" s="3" t="str">
        <f>IF(AND(B53&gt;1000,B53&lt;2500),C53,"")</f>
        <v>N/A</v>
      </c>
      <c r="F53" s="3" t="str">
        <f>IF(AND(B53&gt;2500,B53&lt;5000),C53,"")</f>
        <v/>
      </c>
      <c r="G53" s="3" t="str">
        <f>IF(B53&gt;=5000,C53,"")</f>
        <v/>
      </c>
    </row>
    <row r="54" spans="1:7" x14ac:dyDescent="0.2">
      <c r="A54" t="s">
        <v>41</v>
      </c>
      <c r="B54" s="103">
        <v>1200</v>
      </c>
      <c r="C54" s="72" t="s">
        <v>26</v>
      </c>
      <c r="D54" s="3" t="str">
        <f>IF(AND(B54&gt;0,B54&lt;1000),C54,"")</f>
        <v/>
      </c>
      <c r="E54" s="3" t="str">
        <f>IF(AND(B54&gt;1000,B54&lt;2500),C54,"")</f>
        <v>N/A</v>
      </c>
      <c r="F54" s="3" t="str">
        <f>IF(AND(B54&gt;2500,B54&lt;5000),C54,"")</f>
        <v/>
      </c>
      <c r="G54" s="3" t="str">
        <f>IF(B54&gt;=5000,C54,"")</f>
        <v/>
      </c>
    </row>
    <row r="55" spans="1:7" x14ac:dyDescent="0.2">
      <c r="A55" t="s">
        <v>41</v>
      </c>
      <c r="B55" s="103">
        <v>80</v>
      </c>
      <c r="C55" s="72" t="s">
        <v>26</v>
      </c>
      <c r="D55" s="3" t="str">
        <f>IF(AND(B55&gt;0,B55&lt;1000),C55,"")</f>
        <v>N/A</v>
      </c>
      <c r="E55" s="3" t="str">
        <f>IF(AND(B55&gt;1000,B55&lt;2500),C55,"")</f>
        <v/>
      </c>
      <c r="F55" s="3" t="str">
        <f>IF(AND(B55&gt;2500,B55&lt;5000),C55,"")</f>
        <v/>
      </c>
      <c r="G55" s="3" t="str">
        <f>IF(B55&gt;=5000,C55,"")</f>
        <v/>
      </c>
    </row>
    <row r="56" spans="1:7" x14ac:dyDescent="0.2">
      <c r="A56" t="s">
        <v>41</v>
      </c>
      <c r="B56" s="76">
        <v>25</v>
      </c>
      <c r="C56" s="72" t="s">
        <v>26</v>
      </c>
      <c r="D56" s="3" t="str">
        <f t="shared" si="12"/>
        <v>N/A</v>
      </c>
      <c r="E56" s="3" t="str">
        <f t="shared" si="13"/>
        <v/>
      </c>
      <c r="F56" s="3" t="str">
        <f t="shared" si="14"/>
        <v/>
      </c>
      <c r="G56" s="3" t="str">
        <f t="shared" si="15"/>
        <v/>
      </c>
    </row>
    <row r="57" spans="1:7" x14ac:dyDescent="0.2">
      <c r="A57" t="s">
        <v>41</v>
      </c>
      <c r="B57" s="76">
        <v>80</v>
      </c>
      <c r="C57" s="72" t="s">
        <v>26</v>
      </c>
      <c r="D57" s="3" t="str">
        <f t="shared" si="12"/>
        <v>N/A</v>
      </c>
      <c r="E57" s="3" t="str">
        <f t="shared" si="13"/>
        <v/>
      </c>
      <c r="F57" s="3" t="str">
        <f t="shared" si="14"/>
        <v/>
      </c>
      <c r="G57" s="3" t="str">
        <f t="shared" si="15"/>
        <v/>
      </c>
    </row>
    <row r="58" spans="1:7" x14ac:dyDescent="0.2">
      <c r="A58" t="s">
        <v>41</v>
      </c>
      <c r="B58" s="76">
        <v>80</v>
      </c>
      <c r="C58" s="72" t="s">
        <v>26</v>
      </c>
      <c r="D58" s="3" t="str">
        <f t="shared" si="12"/>
        <v>N/A</v>
      </c>
      <c r="E58" s="3" t="str">
        <f t="shared" si="13"/>
        <v/>
      </c>
      <c r="F58" s="3" t="str">
        <f t="shared" si="14"/>
        <v/>
      </c>
      <c r="G58" s="3" t="str">
        <f t="shared" si="15"/>
        <v/>
      </c>
    </row>
    <row r="59" spans="1:7" x14ac:dyDescent="0.2">
      <c r="A59" t="s">
        <v>41</v>
      </c>
      <c r="B59" s="76">
        <v>1800</v>
      </c>
      <c r="C59" s="72" t="s">
        <v>26</v>
      </c>
      <c r="D59" s="3" t="str">
        <f t="shared" si="12"/>
        <v/>
      </c>
      <c r="E59" s="3" t="str">
        <f t="shared" si="13"/>
        <v>N/A</v>
      </c>
      <c r="F59" s="3" t="str">
        <f t="shared" si="14"/>
        <v/>
      </c>
      <c r="G59" s="3" t="str">
        <f t="shared" si="15"/>
        <v/>
      </c>
    </row>
    <row r="60" spans="1:7" x14ac:dyDescent="0.2">
      <c r="A60" t="s">
        <v>41</v>
      </c>
      <c r="B60" s="103">
        <v>2280</v>
      </c>
      <c r="C60" s="72" t="s">
        <v>26</v>
      </c>
      <c r="D60" s="3" t="str">
        <f t="shared" ref="D60:D67" si="28">IF(AND(B60&gt;0,B60&lt;1000),C60,"")</f>
        <v/>
      </c>
      <c r="E60" s="3" t="str">
        <f t="shared" ref="E60:E67" si="29">IF(AND(B60&gt;1000,B60&lt;2500),C60,"")</f>
        <v>N/A</v>
      </c>
      <c r="F60" s="3" t="str">
        <f t="shared" ref="F60:F67" si="30">IF(AND(B60&gt;2500,B60&lt;5000),C60,"")</f>
        <v/>
      </c>
      <c r="G60" s="3" t="str">
        <f t="shared" ref="G60:G67" si="31">IF(B60&gt;=5000,C60,"")</f>
        <v/>
      </c>
    </row>
    <row r="61" spans="1:7" x14ac:dyDescent="0.2">
      <c r="A61" t="s">
        <v>41</v>
      </c>
      <c r="B61" s="103">
        <v>80</v>
      </c>
      <c r="C61" s="72" t="s">
        <v>26</v>
      </c>
      <c r="D61" s="3" t="str">
        <f t="shared" si="28"/>
        <v>N/A</v>
      </c>
      <c r="E61" s="3" t="str">
        <f t="shared" si="29"/>
        <v/>
      </c>
      <c r="F61" s="3" t="str">
        <f t="shared" si="30"/>
        <v/>
      </c>
      <c r="G61" s="3" t="str">
        <f t="shared" si="31"/>
        <v/>
      </c>
    </row>
    <row r="62" spans="1:7" x14ac:dyDescent="0.2">
      <c r="A62" t="s">
        <v>41</v>
      </c>
      <c r="B62" s="103">
        <v>1000</v>
      </c>
      <c r="C62" s="72" t="s">
        <v>26</v>
      </c>
      <c r="D62" s="3" t="str">
        <f t="shared" si="28"/>
        <v/>
      </c>
      <c r="E62" s="3" t="str">
        <f t="shared" si="29"/>
        <v/>
      </c>
      <c r="F62" s="3" t="str">
        <f t="shared" si="30"/>
        <v/>
      </c>
      <c r="G62" s="3" t="str">
        <f t="shared" si="31"/>
        <v/>
      </c>
    </row>
    <row r="63" spans="1:7" x14ac:dyDescent="0.2">
      <c r="A63" t="s">
        <v>41</v>
      </c>
      <c r="B63" s="103">
        <v>650</v>
      </c>
      <c r="C63" s="72" t="s">
        <v>26</v>
      </c>
      <c r="D63" s="3" t="str">
        <f t="shared" si="28"/>
        <v>N/A</v>
      </c>
      <c r="E63" s="3" t="str">
        <f t="shared" si="29"/>
        <v/>
      </c>
      <c r="F63" s="3" t="str">
        <f t="shared" si="30"/>
        <v/>
      </c>
      <c r="G63" s="3" t="str">
        <f t="shared" si="31"/>
        <v/>
      </c>
    </row>
    <row r="64" spans="1:7" x14ac:dyDescent="0.2">
      <c r="A64" t="s">
        <v>41</v>
      </c>
      <c r="B64" s="103">
        <v>1500</v>
      </c>
      <c r="C64" s="72" t="s">
        <v>26</v>
      </c>
      <c r="D64" s="3" t="str">
        <f t="shared" si="28"/>
        <v/>
      </c>
      <c r="E64" s="3" t="str">
        <f t="shared" si="29"/>
        <v>N/A</v>
      </c>
      <c r="F64" s="3" t="str">
        <f t="shared" si="30"/>
        <v/>
      </c>
      <c r="G64" s="3" t="str">
        <f t="shared" si="31"/>
        <v/>
      </c>
    </row>
    <row r="65" spans="1:7" x14ac:dyDescent="0.2">
      <c r="A65" t="s">
        <v>41</v>
      </c>
      <c r="B65" s="103">
        <v>1440</v>
      </c>
      <c r="C65" s="72" t="s">
        <v>26</v>
      </c>
      <c r="D65" s="3" t="str">
        <f t="shared" si="28"/>
        <v/>
      </c>
      <c r="E65" s="3" t="str">
        <f t="shared" si="29"/>
        <v>N/A</v>
      </c>
      <c r="F65" s="3" t="str">
        <f t="shared" si="30"/>
        <v/>
      </c>
      <c r="G65" s="3" t="str">
        <f t="shared" si="31"/>
        <v/>
      </c>
    </row>
    <row r="66" spans="1:7" x14ac:dyDescent="0.2">
      <c r="A66" t="s">
        <v>41</v>
      </c>
      <c r="B66" s="103">
        <v>1560</v>
      </c>
      <c r="C66" s="72" t="s">
        <v>26</v>
      </c>
      <c r="D66" s="3" t="str">
        <f t="shared" si="28"/>
        <v/>
      </c>
      <c r="E66" s="3" t="str">
        <f t="shared" si="29"/>
        <v>N/A</v>
      </c>
      <c r="F66" s="3" t="str">
        <f t="shared" si="30"/>
        <v/>
      </c>
      <c r="G66" s="3" t="str">
        <f t="shared" si="31"/>
        <v/>
      </c>
    </row>
    <row r="67" spans="1:7" x14ac:dyDescent="0.2">
      <c r="A67" t="s">
        <v>41</v>
      </c>
      <c r="B67" s="103">
        <v>80</v>
      </c>
      <c r="C67" s="72" t="s">
        <v>26</v>
      </c>
      <c r="D67" s="3" t="str">
        <f t="shared" si="28"/>
        <v>N/A</v>
      </c>
      <c r="E67" s="3" t="str">
        <f t="shared" si="29"/>
        <v/>
      </c>
      <c r="F67" s="3" t="str">
        <f t="shared" si="30"/>
        <v/>
      </c>
      <c r="G67" s="3" t="str">
        <f t="shared" si="31"/>
        <v/>
      </c>
    </row>
    <row r="68" spans="1:7" x14ac:dyDescent="0.2">
      <c r="A68" t="s">
        <v>41</v>
      </c>
      <c r="B68" s="76">
        <v>80</v>
      </c>
      <c r="C68" s="72" t="s">
        <v>26</v>
      </c>
      <c r="D68" s="3" t="str">
        <f t="shared" si="12"/>
        <v>N/A</v>
      </c>
      <c r="E68" s="3" t="str">
        <f t="shared" si="13"/>
        <v/>
      </c>
      <c r="F68" s="3" t="str">
        <f t="shared" si="14"/>
        <v/>
      </c>
      <c r="G68" s="3" t="str">
        <f t="shared" si="15"/>
        <v/>
      </c>
    </row>
    <row r="69" spans="1:7" x14ac:dyDescent="0.2">
      <c r="A69" t="s">
        <v>41</v>
      </c>
      <c r="B69" s="113">
        <v>80</v>
      </c>
      <c r="C69" s="72" t="s">
        <v>26</v>
      </c>
      <c r="D69" s="3" t="str">
        <f t="shared" ref="D69:D80" si="32">IF(AND(B69&gt;0,B69&lt;1000),C69,"")</f>
        <v>N/A</v>
      </c>
      <c r="E69" s="3" t="str">
        <f t="shared" ref="E69:E80" si="33">IF(AND(B69&gt;1000,B69&lt;2500),C69,"")</f>
        <v/>
      </c>
      <c r="F69" s="3" t="str">
        <f t="shared" ref="F69:F80" si="34">IF(AND(B69&gt;2500,B69&lt;5000),C69,"")</f>
        <v/>
      </c>
      <c r="G69" s="3" t="str">
        <f t="shared" ref="G69:G80" si="35">IF(B69&gt;=5000,C69,"")</f>
        <v/>
      </c>
    </row>
    <row r="70" spans="1:7" x14ac:dyDescent="0.2">
      <c r="A70" t="s">
        <v>41</v>
      </c>
      <c r="B70" s="113">
        <v>80</v>
      </c>
      <c r="C70" s="72" t="s">
        <v>26</v>
      </c>
      <c r="D70" s="3" t="str">
        <f t="shared" si="32"/>
        <v>N/A</v>
      </c>
      <c r="E70" s="3" t="str">
        <f t="shared" si="33"/>
        <v/>
      </c>
      <c r="F70" s="3" t="str">
        <f t="shared" si="34"/>
        <v/>
      </c>
      <c r="G70" s="3" t="str">
        <f t="shared" si="35"/>
        <v/>
      </c>
    </row>
    <row r="71" spans="1:7" x14ac:dyDescent="0.2">
      <c r="A71" t="s">
        <v>41</v>
      </c>
      <c r="B71" s="113">
        <v>1080</v>
      </c>
      <c r="C71" s="72" t="s">
        <v>26</v>
      </c>
      <c r="D71" s="3" t="str">
        <f t="shared" si="32"/>
        <v/>
      </c>
      <c r="E71" s="3" t="str">
        <f t="shared" si="33"/>
        <v>N/A</v>
      </c>
      <c r="F71" s="3" t="str">
        <f t="shared" si="34"/>
        <v/>
      </c>
      <c r="G71" s="3" t="str">
        <f t="shared" si="35"/>
        <v/>
      </c>
    </row>
    <row r="72" spans="1:7" x14ac:dyDescent="0.2">
      <c r="A72" t="s">
        <v>41</v>
      </c>
      <c r="B72" s="113">
        <v>302.39999999999998</v>
      </c>
      <c r="C72" s="72" t="s">
        <v>26</v>
      </c>
      <c r="D72" s="3" t="str">
        <f t="shared" si="32"/>
        <v>N/A</v>
      </c>
      <c r="E72" s="3" t="str">
        <f t="shared" si="33"/>
        <v/>
      </c>
      <c r="F72" s="3" t="str">
        <f t="shared" si="34"/>
        <v/>
      </c>
      <c r="G72" s="3" t="str">
        <f t="shared" si="35"/>
        <v/>
      </c>
    </row>
    <row r="73" spans="1:7" x14ac:dyDescent="0.2">
      <c r="A73" t="s">
        <v>41</v>
      </c>
      <c r="B73" s="113">
        <v>80</v>
      </c>
      <c r="C73" s="72" t="s">
        <v>26</v>
      </c>
      <c r="D73" s="3" t="str">
        <f t="shared" si="32"/>
        <v>N/A</v>
      </c>
      <c r="E73" s="3" t="str">
        <f t="shared" si="33"/>
        <v/>
      </c>
      <c r="F73" s="3" t="str">
        <f t="shared" si="34"/>
        <v/>
      </c>
      <c r="G73" s="3" t="str">
        <f t="shared" si="35"/>
        <v/>
      </c>
    </row>
    <row r="74" spans="1:7" x14ac:dyDescent="0.2">
      <c r="A74" t="s">
        <v>41</v>
      </c>
      <c r="B74" s="113">
        <v>2400</v>
      </c>
      <c r="C74" s="72" t="s">
        <v>26</v>
      </c>
      <c r="D74" s="3" t="str">
        <f t="shared" si="32"/>
        <v/>
      </c>
      <c r="E74" s="3" t="str">
        <f t="shared" si="33"/>
        <v>N/A</v>
      </c>
      <c r="F74" s="3" t="str">
        <f t="shared" si="34"/>
        <v/>
      </c>
      <c r="G74" s="3" t="str">
        <f t="shared" si="35"/>
        <v/>
      </c>
    </row>
    <row r="75" spans="1:7" x14ac:dyDescent="0.2">
      <c r="A75" t="s">
        <v>41</v>
      </c>
      <c r="B75" s="113">
        <v>80</v>
      </c>
      <c r="C75" s="72" t="s">
        <v>26</v>
      </c>
      <c r="D75" s="3" t="str">
        <f t="shared" si="32"/>
        <v>N/A</v>
      </c>
      <c r="E75" s="3" t="str">
        <f t="shared" si="33"/>
        <v/>
      </c>
      <c r="F75" s="3" t="str">
        <f t="shared" si="34"/>
        <v/>
      </c>
      <c r="G75" s="3" t="str">
        <f t="shared" si="35"/>
        <v/>
      </c>
    </row>
    <row r="76" spans="1:7" x14ac:dyDescent="0.2">
      <c r="A76" t="s">
        <v>41</v>
      </c>
      <c r="B76" s="113">
        <v>25</v>
      </c>
      <c r="C76" s="114">
        <v>10</v>
      </c>
      <c r="D76" s="3">
        <f t="shared" si="32"/>
        <v>10</v>
      </c>
      <c r="E76" s="3" t="str">
        <f t="shared" si="33"/>
        <v/>
      </c>
      <c r="F76" s="3" t="str">
        <f t="shared" si="34"/>
        <v/>
      </c>
      <c r="G76" s="3" t="str">
        <f t="shared" si="35"/>
        <v/>
      </c>
    </row>
    <row r="77" spans="1:7" x14ac:dyDescent="0.2">
      <c r="A77" t="s">
        <v>41</v>
      </c>
      <c r="B77" s="113">
        <v>2210</v>
      </c>
      <c r="C77" s="114">
        <v>10</v>
      </c>
      <c r="D77" s="3" t="str">
        <f t="shared" si="32"/>
        <v/>
      </c>
      <c r="E77" s="3">
        <f t="shared" si="33"/>
        <v>10</v>
      </c>
      <c r="F77" s="3" t="str">
        <f t="shared" si="34"/>
        <v/>
      </c>
      <c r="G77" s="3" t="str">
        <f t="shared" si="35"/>
        <v/>
      </c>
    </row>
    <row r="78" spans="1:7" x14ac:dyDescent="0.2">
      <c r="A78" t="s">
        <v>41</v>
      </c>
      <c r="B78" s="113">
        <v>1775</v>
      </c>
      <c r="C78" s="114">
        <v>10</v>
      </c>
      <c r="D78" s="3" t="str">
        <f t="shared" si="32"/>
        <v/>
      </c>
      <c r="E78" s="3">
        <f t="shared" si="33"/>
        <v>10</v>
      </c>
      <c r="F78" s="3" t="str">
        <f t="shared" si="34"/>
        <v/>
      </c>
      <c r="G78" s="3" t="str">
        <f t="shared" si="35"/>
        <v/>
      </c>
    </row>
    <row r="79" spans="1:7" x14ac:dyDescent="0.2">
      <c r="A79" t="s">
        <v>41</v>
      </c>
      <c r="B79" s="113">
        <v>25</v>
      </c>
      <c r="C79" s="114">
        <v>10</v>
      </c>
      <c r="D79" s="3">
        <f t="shared" si="32"/>
        <v>10</v>
      </c>
      <c r="E79" s="3" t="str">
        <f t="shared" si="33"/>
        <v/>
      </c>
      <c r="F79" s="3" t="str">
        <f t="shared" si="34"/>
        <v/>
      </c>
      <c r="G79" s="3" t="str">
        <f t="shared" si="35"/>
        <v/>
      </c>
    </row>
    <row r="80" spans="1:7" x14ac:dyDescent="0.2">
      <c r="A80" t="s">
        <v>41</v>
      </c>
      <c r="B80" s="113">
        <v>80</v>
      </c>
      <c r="C80" s="72" t="s">
        <v>26</v>
      </c>
      <c r="D80" s="3" t="str">
        <f t="shared" si="32"/>
        <v>N/A</v>
      </c>
      <c r="E80" s="3" t="str">
        <f t="shared" si="33"/>
        <v/>
      </c>
      <c r="F80" s="3" t="str">
        <f t="shared" si="34"/>
        <v/>
      </c>
      <c r="G80" s="3" t="str">
        <f t="shared" si="35"/>
        <v/>
      </c>
    </row>
    <row r="81" spans="1:7" x14ac:dyDescent="0.2">
      <c r="A81" s="40" t="s">
        <v>62</v>
      </c>
      <c r="B81" s="76">
        <v>600</v>
      </c>
      <c r="C81" s="72" t="s">
        <v>26</v>
      </c>
      <c r="D81" s="3" t="str">
        <f t="shared" ref="D81:D88" si="36">IF(AND(B81&gt;0,B81&lt;1000),C81,"")</f>
        <v>N/A</v>
      </c>
      <c r="E81" s="3" t="str">
        <f t="shared" ref="E81:E88" si="37">IF(AND(B81&gt;1000,B81&lt;2500),C81,"")</f>
        <v/>
      </c>
      <c r="F81" s="3" t="str">
        <f t="shared" ref="F81:F88" si="38">IF(AND(B81&gt;2500,B81&lt;5000),C81,"")</f>
        <v/>
      </c>
      <c r="G81" s="3" t="str">
        <f t="shared" ref="G81:G88" si="39">IF(B81&gt;=5000,C81,"")</f>
        <v/>
      </c>
    </row>
    <row r="82" spans="1:7" x14ac:dyDescent="0.2">
      <c r="A82" s="40" t="s">
        <v>114</v>
      </c>
      <c r="B82" s="76">
        <v>3000</v>
      </c>
      <c r="C82" s="72" t="s">
        <v>26</v>
      </c>
      <c r="D82" s="3" t="str">
        <f t="shared" si="36"/>
        <v/>
      </c>
      <c r="E82" s="3" t="str">
        <f t="shared" si="37"/>
        <v/>
      </c>
      <c r="F82" s="3" t="str">
        <f t="shared" si="38"/>
        <v>N/A</v>
      </c>
      <c r="G82" s="3" t="str">
        <f t="shared" si="39"/>
        <v/>
      </c>
    </row>
    <row r="83" spans="1:7" x14ac:dyDescent="0.2">
      <c r="A83" s="40" t="s">
        <v>114</v>
      </c>
      <c r="B83" s="76">
        <v>1750</v>
      </c>
      <c r="C83" s="72">
        <v>10</v>
      </c>
      <c r="D83" s="3" t="str">
        <f t="shared" si="36"/>
        <v/>
      </c>
      <c r="E83" s="3">
        <f t="shared" si="37"/>
        <v>10</v>
      </c>
      <c r="F83" s="3" t="str">
        <f t="shared" si="38"/>
        <v/>
      </c>
      <c r="G83" s="3" t="str">
        <f t="shared" si="39"/>
        <v/>
      </c>
    </row>
    <row r="84" spans="1:7" x14ac:dyDescent="0.2">
      <c r="A84" s="40" t="s">
        <v>114</v>
      </c>
      <c r="B84" s="76">
        <v>1990</v>
      </c>
      <c r="C84" s="72">
        <v>10</v>
      </c>
      <c r="D84" s="3" t="str">
        <f t="shared" si="36"/>
        <v/>
      </c>
      <c r="E84" s="3">
        <f t="shared" si="37"/>
        <v>10</v>
      </c>
      <c r="F84" s="3" t="str">
        <f t="shared" si="38"/>
        <v/>
      </c>
      <c r="G84" s="3" t="str">
        <f t="shared" si="39"/>
        <v/>
      </c>
    </row>
    <row r="85" spans="1:7" x14ac:dyDescent="0.2">
      <c r="A85" s="40" t="s">
        <v>114</v>
      </c>
      <c r="B85" s="76">
        <v>3500</v>
      </c>
      <c r="C85" s="72" t="s">
        <v>26</v>
      </c>
      <c r="D85" s="3" t="str">
        <f t="shared" si="36"/>
        <v/>
      </c>
      <c r="E85" s="3" t="str">
        <f t="shared" si="37"/>
        <v/>
      </c>
      <c r="F85" s="3" t="str">
        <f t="shared" si="38"/>
        <v>N/A</v>
      </c>
      <c r="G85" s="3" t="str">
        <f t="shared" si="39"/>
        <v/>
      </c>
    </row>
    <row r="86" spans="1:7" x14ac:dyDescent="0.2">
      <c r="A86" s="40" t="s">
        <v>114</v>
      </c>
      <c r="B86" s="76">
        <v>3000</v>
      </c>
      <c r="C86" s="72">
        <v>10</v>
      </c>
      <c r="D86" s="3" t="str">
        <f t="shared" si="36"/>
        <v/>
      </c>
      <c r="E86" s="3" t="str">
        <f t="shared" si="37"/>
        <v/>
      </c>
      <c r="F86" s="3">
        <f t="shared" si="38"/>
        <v>10</v>
      </c>
      <c r="G86" s="3" t="str">
        <f t="shared" si="39"/>
        <v/>
      </c>
    </row>
    <row r="87" spans="1:7" x14ac:dyDescent="0.2">
      <c r="A87" s="40" t="s">
        <v>114</v>
      </c>
      <c r="B87" s="76">
        <v>1066.6600000000001</v>
      </c>
      <c r="C87" s="72" t="s">
        <v>26</v>
      </c>
      <c r="D87" s="3" t="str">
        <f t="shared" si="36"/>
        <v/>
      </c>
      <c r="E87" s="3" t="str">
        <f t="shared" si="37"/>
        <v>N/A</v>
      </c>
      <c r="F87" s="3" t="str">
        <f t="shared" si="38"/>
        <v/>
      </c>
      <c r="G87" s="3" t="str">
        <f t="shared" si="39"/>
        <v/>
      </c>
    </row>
    <row r="88" spans="1:7" x14ac:dyDescent="0.2">
      <c r="A88" s="40" t="s">
        <v>114</v>
      </c>
      <c r="B88" s="76">
        <v>4750.25</v>
      </c>
      <c r="C88" s="72" t="s">
        <v>26</v>
      </c>
      <c r="D88" s="3" t="str">
        <f t="shared" si="36"/>
        <v/>
      </c>
      <c r="E88" s="3" t="str">
        <f t="shared" si="37"/>
        <v/>
      </c>
      <c r="F88" s="3" t="str">
        <f t="shared" si="38"/>
        <v>N/A</v>
      </c>
      <c r="G88" s="3" t="str">
        <f t="shared" si="39"/>
        <v/>
      </c>
    </row>
    <row r="89" spans="1:7" x14ac:dyDescent="0.2">
      <c r="A89" s="40" t="s">
        <v>114</v>
      </c>
      <c r="B89" s="103">
        <v>860</v>
      </c>
      <c r="C89" s="72" t="s">
        <v>26</v>
      </c>
      <c r="D89" s="3" t="str">
        <f t="shared" ref="D89:D95" si="40">IF(AND(B89&gt;0,B89&lt;1000),C89,"")</f>
        <v>N/A</v>
      </c>
      <c r="E89" s="3" t="str">
        <f t="shared" ref="E89:E95" si="41">IF(AND(B89&gt;1000,B89&lt;2500),C89,"")</f>
        <v/>
      </c>
      <c r="F89" s="3" t="str">
        <f t="shared" ref="F89:F95" si="42">IF(AND(B89&gt;2500,B89&lt;5000),C89,"")</f>
        <v/>
      </c>
      <c r="G89" s="3" t="str">
        <f t="shared" ref="G89:G95" si="43">IF(B89&gt;=5000,C89,"")</f>
        <v/>
      </c>
    </row>
    <row r="90" spans="1:7" x14ac:dyDescent="0.2">
      <c r="A90" s="40" t="s">
        <v>114</v>
      </c>
      <c r="B90" s="103">
        <v>2700</v>
      </c>
      <c r="C90" s="72" t="s">
        <v>26</v>
      </c>
      <c r="D90" s="3" t="str">
        <f t="shared" si="40"/>
        <v/>
      </c>
      <c r="E90" s="3" t="str">
        <f t="shared" si="41"/>
        <v/>
      </c>
      <c r="F90" s="3" t="str">
        <f t="shared" si="42"/>
        <v>N/A</v>
      </c>
      <c r="G90" s="3" t="str">
        <f t="shared" si="43"/>
        <v/>
      </c>
    </row>
    <row r="91" spans="1:7" x14ac:dyDescent="0.2">
      <c r="A91" s="40" t="s">
        <v>114</v>
      </c>
      <c r="B91" s="103">
        <v>5137.32</v>
      </c>
      <c r="C91" s="72" t="s">
        <v>26</v>
      </c>
      <c r="D91" s="3" t="str">
        <f t="shared" si="40"/>
        <v/>
      </c>
      <c r="E91" s="3" t="str">
        <f t="shared" si="41"/>
        <v/>
      </c>
      <c r="F91" s="3" t="str">
        <f t="shared" si="42"/>
        <v/>
      </c>
      <c r="G91" s="3" t="str">
        <f t="shared" si="43"/>
        <v>N/A</v>
      </c>
    </row>
    <row r="92" spans="1:7" x14ac:dyDescent="0.2">
      <c r="A92" s="40" t="s">
        <v>114</v>
      </c>
      <c r="B92" s="103">
        <v>4500</v>
      </c>
      <c r="C92" s="72">
        <v>10</v>
      </c>
      <c r="D92" s="3" t="str">
        <f t="shared" si="40"/>
        <v/>
      </c>
      <c r="E92" s="3" t="str">
        <f t="shared" si="41"/>
        <v/>
      </c>
      <c r="F92" s="3">
        <f t="shared" si="42"/>
        <v>10</v>
      </c>
      <c r="G92" s="3" t="str">
        <f t="shared" si="43"/>
        <v/>
      </c>
    </row>
    <row r="93" spans="1:7" x14ac:dyDescent="0.2">
      <c r="A93" s="40" t="s">
        <v>114</v>
      </c>
      <c r="B93" s="103">
        <v>5200</v>
      </c>
      <c r="C93" s="72" t="s">
        <v>26</v>
      </c>
      <c r="D93" s="3" t="str">
        <f t="shared" si="40"/>
        <v/>
      </c>
      <c r="E93" s="3" t="str">
        <f t="shared" si="41"/>
        <v/>
      </c>
      <c r="F93" s="3" t="str">
        <f t="shared" si="42"/>
        <v/>
      </c>
      <c r="G93" s="3" t="str">
        <f t="shared" si="43"/>
        <v>N/A</v>
      </c>
    </row>
    <row r="94" spans="1:7" x14ac:dyDescent="0.2">
      <c r="A94" s="40" t="s">
        <v>114</v>
      </c>
      <c r="B94" s="103">
        <v>14500</v>
      </c>
      <c r="C94" s="72" t="s">
        <v>26</v>
      </c>
      <c r="D94" s="3" t="str">
        <f t="shared" si="40"/>
        <v/>
      </c>
      <c r="E94" s="3" t="str">
        <f t="shared" si="41"/>
        <v/>
      </c>
      <c r="F94" s="3" t="str">
        <f t="shared" si="42"/>
        <v/>
      </c>
      <c r="G94" s="3" t="str">
        <f t="shared" si="43"/>
        <v>N/A</v>
      </c>
    </row>
    <row r="95" spans="1:7" x14ac:dyDescent="0.2">
      <c r="A95" s="40" t="s">
        <v>114</v>
      </c>
      <c r="B95" s="103">
        <v>4400</v>
      </c>
      <c r="C95" s="72" t="s">
        <v>26</v>
      </c>
      <c r="D95" s="3" t="str">
        <f t="shared" si="40"/>
        <v/>
      </c>
      <c r="E95" s="3" t="str">
        <f t="shared" si="41"/>
        <v/>
      </c>
      <c r="F95" s="3" t="str">
        <f t="shared" si="42"/>
        <v>N/A</v>
      </c>
      <c r="G95" s="3" t="str">
        <f t="shared" si="43"/>
        <v/>
      </c>
    </row>
    <row r="96" spans="1:7" x14ac:dyDescent="0.2">
      <c r="A96" s="40" t="s">
        <v>47</v>
      </c>
      <c r="B96" s="76">
        <v>270</v>
      </c>
      <c r="C96" s="72" t="s">
        <v>26</v>
      </c>
      <c r="D96" s="3" t="str">
        <f t="shared" ref="D96:D113" si="44">IF(AND(B96&gt;0,B96&lt;1000),C96,"")</f>
        <v>N/A</v>
      </c>
      <c r="E96" s="3" t="str">
        <f t="shared" ref="E96:E113" si="45">IF(AND(B96&gt;1000,B96&lt;2500),C96,"")</f>
        <v/>
      </c>
      <c r="F96" s="3" t="str">
        <f t="shared" ref="F96:F113" si="46">IF(AND(B96&gt;2500,B96&lt;5000),C96,"")</f>
        <v/>
      </c>
      <c r="G96" s="3" t="str">
        <f t="shared" ref="G96:G113" si="47">IF(B96&gt;=5000,C96,"")</f>
        <v/>
      </c>
    </row>
    <row r="97" spans="1:7" x14ac:dyDescent="0.2">
      <c r="A97" s="40" t="s">
        <v>47</v>
      </c>
      <c r="B97" s="76">
        <v>270</v>
      </c>
      <c r="C97" s="72" t="s">
        <v>26</v>
      </c>
      <c r="D97" s="3" t="str">
        <f t="shared" si="44"/>
        <v>N/A</v>
      </c>
      <c r="E97" s="3" t="str">
        <f t="shared" si="45"/>
        <v/>
      </c>
      <c r="F97" s="3" t="str">
        <f t="shared" si="46"/>
        <v/>
      </c>
      <c r="G97" s="3" t="str">
        <f t="shared" si="47"/>
        <v/>
      </c>
    </row>
    <row r="98" spans="1:7" x14ac:dyDescent="0.2">
      <c r="A98" s="40" t="s">
        <v>47</v>
      </c>
      <c r="B98" s="76">
        <v>270</v>
      </c>
      <c r="C98" s="72" t="s">
        <v>26</v>
      </c>
      <c r="D98" s="3" t="str">
        <f t="shared" si="44"/>
        <v>N/A</v>
      </c>
      <c r="E98" s="3" t="str">
        <f t="shared" si="45"/>
        <v/>
      </c>
      <c r="F98" s="3" t="str">
        <f t="shared" si="46"/>
        <v/>
      </c>
      <c r="G98" s="3" t="str">
        <f t="shared" si="47"/>
        <v/>
      </c>
    </row>
    <row r="99" spans="1:7" x14ac:dyDescent="0.2">
      <c r="A99" s="40" t="s">
        <v>47</v>
      </c>
      <c r="B99" s="76">
        <v>270</v>
      </c>
      <c r="C99" s="72" t="s">
        <v>26</v>
      </c>
      <c r="D99" s="3" t="str">
        <f t="shared" si="44"/>
        <v>N/A</v>
      </c>
      <c r="E99" s="3" t="str">
        <f t="shared" si="45"/>
        <v/>
      </c>
      <c r="F99" s="3" t="str">
        <f t="shared" si="46"/>
        <v/>
      </c>
      <c r="G99" s="3" t="str">
        <f t="shared" si="47"/>
        <v/>
      </c>
    </row>
    <row r="100" spans="1:7" x14ac:dyDescent="0.2">
      <c r="A100" s="40" t="s">
        <v>47</v>
      </c>
      <c r="B100" s="76">
        <v>1800</v>
      </c>
      <c r="C100" s="72" t="s">
        <v>26</v>
      </c>
      <c r="D100" s="3" t="str">
        <f t="shared" si="44"/>
        <v/>
      </c>
      <c r="E100" s="3" t="str">
        <f t="shared" si="45"/>
        <v>N/A</v>
      </c>
      <c r="F100" s="3" t="str">
        <f t="shared" si="46"/>
        <v/>
      </c>
      <c r="G100" s="3" t="str">
        <f t="shared" si="47"/>
        <v/>
      </c>
    </row>
    <row r="101" spans="1:7" x14ac:dyDescent="0.2">
      <c r="A101" s="40" t="s">
        <v>47</v>
      </c>
      <c r="B101" s="76">
        <v>1</v>
      </c>
      <c r="C101" s="72">
        <v>10</v>
      </c>
      <c r="D101" s="3">
        <f t="shared" si="44"/>
        <v>10</v>
      </c>
      <c r="E101" s="3" t="str">
        <f t="shared" si="45"/>
        <v/>
      </c>
      <c r="F101" s="3" t="str">
        <f t="shared" si="46"/>
        <v/>
      </c>
      <c r="G101" s="3" t="str">
        <f t="shared" si="47"/>
        <v/>
      </c>
    </row>
    <row r="102" spans="1:7" x14ac:dyDescent="0.2">
      <c r="A102" s="40" t="s">
        <v>47</v>
      </c>
      <c r="B102" s="103">
        <v>1350</v>
      </c>
      <c r="C102" s="72" t="s">
        <v>26</v>
      </c>
      <c r="D102" s="3" t="str">
        <f>IF(AND(B102&gt;0,B102&lt;1000),C102,"")</f>
        <v/>
      </c>
      <c r="E102" s="3" t="str">
        <f>IF(AND(B102&gt;1000,B102&lt;2500),C102,"")</f>
        <v>N/A</v>
      </c>
      <c r="F102" s="3" t="str">
        <f>IF(AND(B102&gt;2500,B102&lt;5000),C102,"")</f>
        <v/>
      </c>
      <c r="G102" s="3" t="str">
        <f>IF(B102&gt;=5000,C102,"")</f>
        <v/>
      </c>
    </row>
    <row r="103" spans="1:7" x14ac:dyDescent="0.2">
      <c r="A103" s="40" t="s">
        <v>47</v>
      </c>
      <c r="B103" s="76">
        <v>3492</v>
      </c>
      <c r="C103" s="72" t="s">
        <v>26</v>
      </c>
      <c r="D103" s="3" t="str">
        <f t="shared" si="44"/>
        <v/>
      </c>
      <c r="E103" s="3" t="str">
        <f t="shared" si="45"/>
        <v/>
      </c>
      <c r="F103" s="3" t="str">
        <f t="shared" si="46"/>
        <v>N/A</v>
      </c>
      <c r="G103" s="3" t="str">
        <f t="shared" si="47"/>
        <v/>
      </c>
    </row>
    <row r="104" spans="1:7" x14ac:dyDescent="0.2">
      <c r="A104" s="40" t="s">
        <v>47</v>
      </c>
      <c r="B104" s="76">
        <v>240</v>
      </c>
      <c r="C104" s="72" t="s">
        <v>26</v>
      </c>
      <c r="D104" s="3" t="str">
        <f t="shared" si="44"/>
        <v>N/A</v>
      </c>
      <c r="E104" s="3" t="str">
        <f t="shared" si="45"/>
        <v/>
      </c>
      <c r="F104" s="3" t="str">
        <f t="shared" si="46"/>
        <v/>
      </c>
      <c r="G104" s="3" t="str">
        <f t="shared" si="47"/>
        <v/>
      </c>
    </row>
    <row r="105" spans="1:7" x14ac:dyDescent="0.2">
      <c r="A105" s="40" t="s">
        <v>47</v>
      </c>
      <c r="B105" s="103">
        <v>2400</v>
      </c>
      <c r="C105" s="72" t="s">
        <v>26</v>
      </c>
      <c r="D105" s="3" t="str">
        <f>IF(AND(B105&gt;0,B105&lt;1000),C105,"")</f>
        <v/>
      </c>
      <c r="E105" s="3" t="str">
        <f>IF(AND(B105&gt;1000,B105&lt;2500),C105,"")</f>
        <v>N/A</v>
      </c>
      <c r="F105" s="3" t="str">
        <f>IF(AND(B105&gt;2500,B105&lt;5000),C105,"")</f>
        <v/>
      </c>
      <c r="G105" s="3" t="str">
        <f>IF(B105&gt;=5000,C105,"")</f>
        <v/>
      </c>
    </row>
    <row r="106" spans="1:7" x14ac:dyDescent="0.2">
      <c r="A106" s="40" t="s">
        <v>47</v>
      </c>
      <c r="B106" s="76">
        <v>1425</v>
      </c>
      <c r="C106" s="72" t="s">
        <v>26</v>
      </c>
      <c r="D106" s="3" t="str">
        <f t="shared" si="44"/>
        <v/>
      </c>
      <c r="E106" s="3" t="str">
        <f t="shared" si="45"/>
        <v>N/A</v>
      </c>
      <c r="F106" s="3" t="str">
        <f t="shared" si="46"/>
        <v/>
      </c>
      <c r="G106" s="3" t="str">
        <f t="shared" si="47"/>
        <v/>
      </c>
    </row>
    <row r="107" spans="1:7" x14ac:dyDescent="0.2">
      <c r="A107" s="40" t="s">
        <v>47</v>
      </c>
      <c r="B107" s="113">
        <v>240</v>
      </c>
      <c r="C107" s="114">
        <v>9</v>
      </c>
      <c r="D107" s="3">
        <f>IF(AND(B107&gt;0,B107&lt;1000),C107,"")</f>
        <v>9</v>
      </c>
      <c r="E107" s="3" t="str">
        <f>IF(AND(B107&gt;1000,B107&lt;2500),C107,"")</f>
        <v/>
      </c>
      <c r="F107" s="3" t="str">
        <f>IF(AND(B107&gt;2500,B107&lt;5000),C107,"")</f>
        <v/>
      </c>
      <c r="G107" s="3" t="str">
        <f>IF(B107&gt;=5000,C107,"")</f>
        <v/>
      </c>
    </row>
    <row r="108" spans="1:7" x14ac:dyDescent="0.2">
      <c r="A108" s="40" t="s">
        <v>47</v>
      </c>
      <c r="B108" s="76">
        <v>1250</v>
      </c>
      <c r="C108" s="72" t="s">
        <v>26</v>
      </c>
      <c r="D108" s="3" t="str">
        <f t="shared" si="44"/>
        <v/>
      </c>
      <c r="E108" s="3" t="str">
        <f t="shared" si="45"/>
        <v>N/A</v>
      </c>
      <c r="F108" s="3" t="str">
        <f t="shared" si="46"/>
        <v/>
      </c>
      <c r="G108" s="3" t="str">
        <f t="shared" si="47"/>
        <v/>
      </c>
    </row>
    <row r="109" spans="1:7" x14ac:dyDescent="0.2">
      <c r="A109" s="40" t="s">
        <v>47</v>
      </c>
      <c r="B109" s="76">
        <v>798</v>
      </c>
      <c r="C109" s="72" t="s">
        <v>26</v>
      </c>
      <c r="D109" s="3" t="str">
        <f>IF(AND(B109&gt;0,B109&lt;1000),C109,"")</f>
        <v>N/A</v>
      </c>
      <c r="E109" s="3" t="str">
        <f>IF(AND(B109&gt;1000,B109&lt;2500),C109,"")</f>
        <v/>
      </c>
      <c r="F109" s="3" t="str">
        <f>IF(AND(B109&gt;2500,B109&lt;5000),C109,"")</f>
        <v/>
      </c>
      <c r="G109" s="3" t="str">
        <f>IF(B109&gt;=5000,C109,"")</f>
        <v/>
      </c>
    </row>
    <row r="110" spans="1:7" x14ac:dyDescent="0.2">
      <c r="A110" s="40" t="s">
        <v>47</v>
      </c>
      <c r="B110" s="103">
        <v>500</v>
      </c>
      <c r="C110" s="72" t="s">
        <v>26</v>
      </c>
      <c r="D110" s="3" t="str">
        <f>IF(AND(B110&gt;0,B110&lt;1000),C110,"")</f>
        <v>N/A</v>
      </c>
      <c r="E110" s="3" t="str">
        <f>IF(AND(B110&gt;1000,B110&lt;2500),C110,"")</f>
        <v/>
      </c>
      <c r="F110" s="3" t="str">
        <f>IF(AND(B110&gt;2500,B110&lt;5000),C110,"")</f>
        <v/>
      </c>
      <c r="G110" s="3" t="str">
        <f>IF(B110&gt;=5000,C110,"")</f>
        <v/>
      </c>
    </row>
    <row r="111" spans="1:7" x14ac:dyDescent="0.2">
      <c r="A111" s="40" t="s">
        <v>47</v>
      </c>
      <c r="B111" s="103">
        <v>380</v>
      </c>
      <c r="C111" s="72" t="s">
        <v>26</v>
      </c>
      <c r="D111" s="3" t="str">
        <f>IF(AND(B111&gt;0,B111&lt;1000),C111,"")</f>
        <v>N/A</v>
      </c>
      <c r="E111" s="3" t="str">
        <f>IF(AND(B111&gt;1000,B111&lt;2500),C111,"")</f>
        <v/>
      </c>
      <c r="F111" s="3" t="str">
        <f>IF(AND(B111&gt;2500,B111&lt;5000),C111,"")</f>
        <v/>
      </c>
      <c r="G111" s="3" t="str">
        <f>IF(B111&gt;=5000,C111,"")</f>
        <v/>
      </c>
    </row>
    <row r="112" spans="1:7" x14ac:dyDescent="0.2">
      <c r="A112" s="40" t="s">
        <v>47</v>
      </c>
      <c r="B112" s="103">
        <v>1344</v>
      </c>
      <c r="C112" s="72" t="s">
        <v>26</v>
      </c>
      <c r="D112" s="3" t="str">
        <f>IF(AND(B112&gt;0,B112&lt;1000),C112,"")</f>
        <v/>
      </c>
      <c r="E112" s="3" t="str">
        <f>IF(AND(B112&gt;1000,B112&lt;2500),C112,"")</f>
        <v>N/A</v>
      </c>
      <c r="F112" s="3" t="str">
        <f>IF(AND(B112&gt;2500,B112&lt;5000),C112,"")</f>
        <v/>
      </c>
      <c r="G112" s="3" t="str">
        <f>IF(B112&gt;=5000,C112,"")</f>
        <v/>
      </c>
    </row>
    <row r="113" spans="1:7" x14ac:dyDescent="0.2">
      <c r="A113" s="40" t="s">
        <v>89</v>
      </c>
      <c r="B113" s="76">
        <v>1040</v>
      </c>
      <c r="C113" s="72">
        <v>10</v>
      </c>
      <c r="D113" s="3" t="str">
        <f t="shared" si="44"/>
        <v/>
      </c>
      <c r="E113" s="3">
        <f t="shared" si="45"/>
        <v>10</v>
      </c>
      <c r="F113" s="3" t="str">
        <f t="shared" si="46"/>
        <v/>
      </c>
      <c r="G113" s="3" t="str">
        <f t="shared" si="47"/>
        <v/>
      </c>
    </row>
    <row r="114" spans="1:7" x14ac:dyDescent="0.2">
      <c r="A114" s="40" t="s">
        <v>89</v>
      </c>
      <c r="B114" s="76">
        <v>4000</v>
      </c>
      <c r="C114" s="72" t="s">
        <v>26</v>
      </c>
      <c r="D114" s="3" t="str">
        <f>IF(AND(B114&gt;0,B114&lt;1000),C114,"")</f>
        <v/>
      </c>
      <c r="E114" s="3" t="str">
        <f>IF(AND(B114&gt;1000,B114&lt;2500),C114,"")</f>
        <v/>
      </c>
      <c r="F114" s="3" t="str">
        <f>IF(AND(B114&gt;2500,B114&lt;5000),C114,"")</f>
        <v>N/A</v>
      </c>
      <c r="G114" s="3" t="str">
        <f>IF(B114&gt;=5000,C114,"")</f>
        <v/>
      </c>
    </row>
    <row r="115" spans="1:7" x14ac:dyDescent="0.2">
      <c r="A115" s="40" t="s">
        <v>89</v>
      </c>
      <c r="B115" s="76">
        <v>100</v>
      </c>
      <c r="C115" s="72">
        <v>10</v>
      </c>
      <c r="D115" s="3">
        <f>IF(AND(B115&gt;0,B115&lt;1000),C115,"")</f>
        <v>10</v>
      </c>
      <c r="E115" s="3" t="str">
        <f>IF(AND(B115&gt;1000,B115&lt;2500),C115,"")</f>
        <v/>
      </c>
      <c r="F115" s="3" t="str">
        <f>IF(AND(B115&gt;2500,B115&lt;5000),C115,"")</f>
        <v/>
      </c>
      <c r="G115" s="3" t="str">
        <f>IF(B115&gt;=5000,C115,"")</f>
        <v/>
      </c>
    </row>
    <row r="116" spans="1:7" x14ac:dyDescent="0.2">
      <c r="A116" s="40" t="s">
        <v>89</v>
      </c>
      <c r="B116" s="113">
        <v>9500</v>
      </c>
      <c r="C116" s="72" t="s">
        <v>26</v>
      </c>
      <c r="D116" s="3" t="str">
        <f t="shared" ref="D116:D117" si="48">IF(AND(B116&gt;0,B116&lt;1000),C116,"")</f>
        <v/>
      </c>
      <c r="E116" s="3" t="str">
        <f t="shared" ref="E116:E117" si="49">IF(AND(B116&gt;1000,B116&lt;2500),C116,"")</f>
        <v/>
      </c>
      <c r="F116" s="3" t="str">
        <f t="shared" ref="F116:F117" si="50">IF(AND(B116&gt;2500,B116&lt;5000),C116,"")</f>
        <v/>
      </c>
      <c r="G116" s="3" t="str">
        <f t="shared" ref="G116:G117" si="51">IF(B116&gt;=5000,C116,"")</f>
        <v>N/A</v>
      </c>
    </row>
    <row r="117" spans="1:7" x14ac:dyDescent="0.2">
      <c r="A117" s="40" t="s">
        <v>89</v>
      </c>
      <c r="B117" s="113">
        <v>1000</v>
      </c>
      <c r="C117" s="72" t="s">
        <v>26</v>
      </c>
      <c r="D117" s="3" t="str">
        <f t="shared" si="48"/>
        <v/>
      </c>
      <c r="E117" s="3" t="str">
        <f t="shared" si="49"/>
        <v/>
      </c>
      <c r="F117" s="3" t="str">
        <f t="shared" si="50"/>
        <v/>
      </c>
      <c r="G117" s="3" t="str">
        <f t="shared" si="51"/>
        <v/>
      </c>
    </row>
    <row r="118" spans="1:7" x14ac:dyDescent="0.2">
      <c r="A118" s="40" t="s">
        <v>117</v>
      </c>
      <c r="B118" s="103">
        <v>250</v>
      </c>
      <c r="C118" s="72" t="s">
        <v>26</v>
      </c>
      <c r="D118" s="3" t="str">
        <f>IF(AND(B118&gt;0,B118&lt;1000),C118,"")</f>
        <v>N/A</v>
      </c>
      <c r="E118" s="3" t="str">
        <f>IF(AND(B118&gt;1000,B118&lt;2500),C118,"")</f>
        <v/>
      </c>
      <c r="F118" s="3" t="str">
        <f>IF(AND(B118&gt;2500,B118&lt;5000),C118,"")</f>
        <v/>
      </c>
      <c r="G118" s="3" t="str">
        <f>IF(B118&gt;=5000,C118,"")</f>
        <v/>
      </c>
    </row>
    <row r="119" spans="1:7" x14ac:dyDescent="0.2">
      <c r="A119" s="40" t="s">
        <v>117</v>
      </c>
      <c r="B119" s="103">
        <v>315</v>
      </c>
      <c r="C119" s="72" t="s">
        <v>26</v>
      </c>
      <c r="D119" s="3" t="str">
        <f>IF(AND(B119&gt;0,B119&lt;1000),C119,"")</f>
        <v>N/A</v>
      </c>
      <c r="E119" s="3" t="str">
        <f>IF(AND(B119&gt;1000,B119&lt;2500),C119,"")</f>
        <v/>
      </c>
      <c r="F119" s="3" t="str">
        <f>IF(AND(B119&gt;2500,B119&lt;5000),C119,"")</f>
        <v/>
      </c>
      <c r="G119" s="3" t="str">
        <f>IF(B119&gt;=5000,C119,"")</f>
        <v/>
      </c>
    </row>
    <row r="120" spans="1:7" x14ac:dyDescent="0.2">
      <c r="A120" s="40" t="s">
        <v>117</v>
      </c>
      <c r="B120" s="76">
        <v>1175.8800000000001</v>
      </c>
      <c r="C120" s="72" t="s">
        <v>26</v>
      </c>
      <c r="D120" s="3" t="str">
        <f t="shared" ref="D120:D146" si="52">IF(AND(B120&gt;0,B120&lt;1000),C120,"")</f>
        <v/>
      </c>
      <c r="E120" s="3" t="str">
        <f t="shared" ref="E120:E146" si="53">IF(AND(B120&gt;1000,B120&lt;2500),C120,"")</f>
        <v>N/A</v>
      </c>
      <c r="F120" s="3" t="str">
        <f t="shared" ref="F120:F146" si="54">IF(AND(B120&gt;2500,B120&lt;5000),C120,"")</f>
        <v/>
      </c>
      <c r="G120" s="3" t="str">
        <f t="shared" ref="G120:G146" si="55">IF(B120&gt;=5000,C120,"")</f>
        <v/>
      </c>
    </row>
    <row r="121" spans="1:7" x14ac:dyDescent="0.2">
      <c r="A121" s="40" t="s">
        <v>117</v>
      </c>
      <c r="B121" s="76">
        <v>250</v>
      </c>
      <c r="C121" s="72" t="s">
        <v>26</v>
      </c>
      <c r="D121" s="3" t="str">
        <f t="shared" si="52"/>
        <v>N/A</v>
      </c>
      <c r="E121" s="3" t="str">
        <f t="shared" si="53"/>
        <v/>
      </c>
      <c r="F121" s="3" t="str">
        <f t="shared" si="54"/>
        <v/>
      </c>
      <c r="G121" s="3" t="str">
        <f t="shared" si="55"/>
        <v/>
      </c>
    </row>
    <row r="122" spans="1:7" x14ac:dyDescent="0.2">
      <c r="A122" s="40" t="s">
        <v>117</v>
      </c>
      <c r="B122" s="113">
        <v>250</v>
      </c>
      <c r="C122" s="72" t="s">
        <v>26</v>
      </c>
      <c r="D122" s="3" t="str">
        <f>IF(AND(B122&gt;0,B122&lt;1000),C122,"")</f>
        <v>N/A</v>
      </c>
      <c r="E122" s="3" t="str">
        <f>IF(AND(B122&gt;1000,B122&lt;2500),C122,"")</f>
        <v/>
      </c>
      <c r="F122" s="3" t="str">
        <f>IF(AND(B122&gt;2500,B122&lt;5000),C122,"")</f>
        <v/>
      </c>
      <c r="G122" s="3" t="str">
        <f>IF(B122&gt;=5000,C122,"")</f>
        <v/>
      </c>
    </row>
    <row r="123" spans="1:7" x14ac:dyDescent="0.2">
      <c r="A123" s="40" t="s">
        <v>117</v>
      </c>
      <c r="B123" s="76">
        <v>100</v>
      </c>
      <c r="C123" s="72">
        <v>10</v>
      </c>
      <c r="D123" s="3">
        <f t="shared" si="52"/>
        <v>10</v>
      </c>
      <c r="E123" s="3" t="str">
        <f t="shared" si="53"/>
        <v/>
      </c>
      <c r="F123" s="3" t="str">
        <f t="shared" si="54"/>
        <v/>
      </c>
      <c r="G123" s="3" t="str">
        <f t="shared" si="55"/>
        <v/>
      </c>
    </row>
    <row r="124" spans="1:7" x14ac:dyDescent="0.2">
      <c r="A124" s="40" t="s">
        <v>117</v>
      </c>
      <c r="B124" s="113">
        <v>630</v>
      </c>
      <c r="C124" s="72" t="s">
        <v>26</v>
      </c>
      <c r="D124" s="3" t="str">
        <f>IF(AND(B124&gt;0,B124&lt;1000),C124,"")</f>
        <v>N/A</v>
      </c>
      <c r="E124" s="3" t="str">
        <f>IF(AND(B124&gt;1000,B124&lt;2500),C124,"")</f>
        <v/>
      </c>
      <c r="F124" s="3" t="str">
        <f>IF(AND(B124&gt;2500,B124&lt;5000),C124,"")</f>
        <v/>
      </c>
      <c r="G124" s="3" t="str">
        <f>IF(B124&gt;=5000,C124,"")</f>
        <v/>
      </c>
    </row>
    <row r="125" spans="1:7" x14ac:dyDescent="0.2">
      <c r="A125" s="40" t="s">
        <v>117</v>
      </c>
      <c r="B125" s="76">
        <v>113</v>
      </c>
      <c r="C125" s="72" t="s">
        <v>26</v>
      </c>
      <c r="D125" s="3" t="str">
        <f t="shared" si="52"/>
        <v>N/A</v>
      </c>
      <c r="E125" s="3" t="str">
        <f t="shared" si="53"/>
        <v/>
      </c>
      <c r="F125" s="3" t="str">
        <f t="shared" si="54"/>
        <v/>
      </c>
      <c r="G125" s="3" t="str">
        <f t="shared" si="55"/>
        <v/>
      </c>
    </row>
    <row r="126" spans="1:7" x14ac:dyDescent="0.2">
      <c r="A126" s="40" t="s">
        <v>117</v>
      </c>
      <c r="B126" s="76">
        <v>950</v>
      </c>
      <c r="C126" s="72" t="s">
        <v>26</v>
      </c>
      <c r="D126" s="3" t="str">
        <f t="shared" si="52"/>
        <v>N/A</v>
      </c>
      <c r="E126" s="3" t="str">
        <f t="shared" si="53"/>
        <v/>
      </c>
      <c r="F126" s="3" t="str">
        <f t="shared" si="54"/>
        <v/>
      </c>
      <c r="G126" s="3" t="str">
        <f t="shared" si="55"/>
        <v/>
      </c>
    </row>
    <row r="127" spans="1:7" x14ac:dyDescent="0.2">
      <c r="A127" s="40" t="s">
        <v>117</v>
      </c>
      <c r="B127" s="113">
        <v>750</v>
      </c>
      <c r="C127" s="72" t="s">
        <v>26</v>
      </c>
      <c r="D127" s="3" t="str">
        <f>IF(AND(B127&gt;0,B127&lt;1000),C127,"")</f>
        <v>N/A</v>
      </c>
      <c r="E127" s="3" t="str">
        <f>IF(AND(B127&gt;1000,B127&lt;2500),C127,"")</f>
        <v/>
      </c>
      <c r="F127" s="3" t="str">
        <f>IF(AND(B127&gt;2500,B127&lt;5000),C127,"")</f>
        <v/>
      </c>
      <c r="G127" s="3" t="str">
        <f>IF(B127&gt;=5000,C127,"")</f>
        <v/>
      </c>
    </row>
    <row r="128" spans="1:7" x14ac:dyDescent="0.2">
      <c r="A128" s="40" t="s">
        <v>117</v>
      </c>
      <c r="B128" s="113">
        <v>3000</v>
      </c>
      <c r="C128" s="72" t="s">
        <v>26</v>
      </c>
      <c r="D128" s="3" t="str">
        <f>IF(AND(B128&gt;0,B128&lt;1000),C128,"")</f>
        <v/>
      </c>
      <c r="E128" s="3" t="str">
        <f>IF(AND(B128&gt;1000,B128&lt;2500),C128,"")</f>
        <v/>
      </c>
      <c r="F128" s="3" t="str">
        <f>IF(AND(B128&gt;2500,B128&lt;5000),C128,"")</f>
        <v>N/A</v>
      </c>
      <c r="G128" s="3" t="str">
        <f>IF(B128&gt;=5000,C128,"")</f>
        <v/>
      </c>
    </row>
    <row r="129" spans="1:7" x14ac:dyDescent="0.2">
      <c r="A129" s="40" t="s">
        <v>117</v>
      </c>
      <c r="B129" s="113">
        <v>300</v>
      </c>
      <c r="C129" s="72" t="s">
        <v>26</v>
      </c>
      <c r="D129" s="3" t="str">
        <f>IF(AND(B129&gt;0,B129&lt;1000),C129,"")</f>
        <v>N/A</v>
      </c>
      <c r="E129" s="3" t="str">
        <f>IF(AND(B129&gt;1000,B129&lt;2500),C129,"")</f>
        <v/>
      </c>
      <c r="F129" s="3" t="str">
        <f>IF(AND(B129&gt;2500,B129&lt;5000),C129,"")</f>
        <v/>
      </c>
      <c r="G129" s="3" t="str">
        <f>IF(B129&gt;=5000,C129,"")</f>
        <v/>
      </c>
    </row>
    <row r="130" spans="1:7" x14ac:dyDescent="0.2">
      <c r="A130" s="40" t="s">
        <v>117</v>
      </c>
      <c r="B130" s="76">
        <v>495</v>
      </c>
      <c r="C130" s="72" t="s">
        <v>26</v>
      </c>
      <c r="D130" s="3" t="str">
        <f t="shared" si="52"/>
        <v>N/A</v>
      </c>
      <c r="E130" s="3" t="str">
        <f t="shared" si="53"/>
        <v/>
      </c>
      <c r="F130" s="3" t="str">
        <f t="shared" si="54"/>
        <v/>
      </c>
      <c r="G130" s="3" t="str">
        <f t="shared" si="55"/>
        <v/>
      </c>
    </row>
    <row r="131" spans="1:7" x14ac:dyDescent="0.2">
      <c r="A131" s="40" t="s">
        <v>117</v>
      </c>
      <c r="B131" s="76">
        <v>350</v>
      </c>
      <c r="C131" s="72" t="s">
        <v>26</v>
      </c>
      <c r="D131" s="3" t="str">
        <f>IF(AND(B131&gt;0,B131&lt;1000),C131,"")</f>
        <v>N/A</v>
      </c>
      <c r="E131" s="3" t="str">
        <f>IF(AND(B131&gt;1000,B131&lt;2500),C131,"")</f>
        <v/>
      </c>
      <c r="F131" s="3" t="str">
        <f>IF(AND(B131&gt;2500,B131&lt;5000),C131,"")</f>
        <v/>
      </c>
      <c r="G131" s="3" t="str">
        <f>IF(B131&gt;=5000,C131,"")</f>
        <v/>
      </c>
    </row>
    <row r="132" spans="1:7" x14ac:dyDescent="0.2">
      <c r="A132" s="40" t="s">
        <v>117</v>
      </c>
      <c r="B132" s="103">
        <v>213</v>
      </c>
      <c r="C132" s="72" t="s">
        <v>26</v>
      </c>
      <c r="D132" s="3" t="str">
        <f>IF(AND(B132&gt;0,B132&lt;1000),C132,"")</f>
        <v>N/A</v>
      </c>
      <c r="E132" s="3" t="str">
        <f>IF(AND(B132&gt;1000,B132&lt;2500),C132,"")</f>
        <v/>
      </c>
      <c r="F132" s="3" t="str">
        <f>IF(AND(B132&gt;2500,B132&lt;5000),C132,"")</f>
        <v/>
      </c>
      <c r="G132" s="3" t="str">
        <f>IF(B132&gt;=5000,C132,"")</f>
        <v/>
      </c>
    </row>
    <row r="133" spans="1:7" x14ac:dyDescent="0.2">
      <c r="A133" s="40" t="s">
        <v>117</v>
      </c>
      <c r="B133" s="103">
        <v>756</v>
      </c>
      <c r="C133" s="72" t="s">
        <v>26</v>
      </c>
      <c r="D133" s="3" t="str">
        <f>IF(AND(B133&gt;0,B133&lt;1000),C133,"")</f>
        <v>N/A</v>
      </c>
      <c r="E133" s="3" t="str">
        <f>IF(AND(B133&gt;1000,B133&lt;2500),C133,"")</f>
        <v/>
      </c>
      <c r="F133" s="3" t="str">
        <f>IF(AND(B133&gt;2500,B133&lt;5000),C133,"")</f>
        <v/>
      </c>
      <c r="G133" s="3" t="str">
        <f>IF(B133&gt;=5000,C133,"")</f>
        <v/>
      </c>
    </row>
    <row r="134" spans="1:7" x14ac:dyDescent="0.2">
      <c r="A134" s="40" t="s">
        <v>99</v>
      </c>
      <c r="B134" s="78">
        <v>60</v>
      </c>
      <c r="C134" s="72" t="s">
        <v>26</v>
      </c>
      <c r="D134" s="3" t="str">
        <f>IF(AND(B134&gt;0,B134&lt;1000),C134,"")</f>
        <v>N/A</v>
      </c>
      <c r="E134" s="3" t="str">
        <f>IF(AND(B134&gt;1000,B134&lt;2500),C134,"")</f>
        <v/>
      </c>
      <c r="F134" s="3" t="str">
        <f>IF(AND(B134&gt;2500,B134&lt;5000),C134,"")</f>
        <v/>
      </c>
      <c r="G134" s="3" t="str">
        <f>IF(B134&gt;=5000,C134,"")</f>
        <v/>
      </c>
    </row>
    <row r="135" spans="1:7" x14ac:dyDescent="0.2">
      <c r="A135" s="40" t="s">
        <v>99</v>
      </c>
      <c r="B135" s="76">
        <v>5</v>
      </c>
      <c r="C135" s="72" t="s">
        <v>26</v>
      </c>
      <c r="D135" s="3" t="str">
        <f t="shared" si="52"/>
        <v>N/A</v>
      </c>
      <c r="E135" s="3" t="str">
        <f t="shared" si="53"/>
        <v/>
      </c>
      <c r="F135" s="3" t="str">
        <f t="shared" si="54"/>
        <v/>
      </c>
      <c r="G135" s="3" t="str">
        <f t="shared" si="55"/>
        <v/>
      </c>
    </row>
    <row r="136" spans="1:7" x14ac:dyDescent="0.2">
      <c r="A136" s="40" t="s">
        <v>99</v>
      </c>
      <c r="B136" s="103">
        <v>350</v>
      </c>
      <c r="C136" s="72" t="s">
        <v>26</v>
      </c>
      <c r="D136" s="3" t="str">
        <f>IF(AND(B136&gt;0,B136&lt;1000),C136,"")</f>
        <v>N/A</v>
      </c>
      <c r="E136" s="3" t="str">
        <f>IF(AND(B136&gt;1000,B136&lt;2500),C136,"")</f>
        <v/>
      </c>
      <c r="F136" s="3" t="str">
        <f>IF(AND(B136&gt;2500,B136&lt;5000),C136,"")</f>
        <v/>
      </c>
      <c r="G136" s="3" t="str">
        <f>IF(B136&gt;=5000,C136,"")</f>
        <v/>
      </c>
    </row>
    <row r="137" spans="1:7" x14ac:dyDescent="0.2">
      <c r="A137" s="40" t="s">
        <v>99</v>
      </c>
      <c r="B137" s="76">
        <v>240</v>
      </c>
      <c r="C137" s="72">
        <v>10</v>
      </c>
      <c r="D137" s="3">
        <f t="shared" si="52"/>
        <v>10</v>
      </c>
      <c r="E137" s="3" t="str">
        <f t="shared" si="53"/>
        <v/>
      </c>
      <c r="F137" s="3" t="str">
        <f t="shared" si="54"/>
        <v/>
      </c>
      <c r="G137" s="3" t="str">
        <f t="shared" si="55"/>
        <v/>
      </c>
    </row>
    <row r="138" spans="1:7" x14ac:dyDescent="0.2">
      <c r="A138" s="40" t="s">
        <v>99</v>
      </c>
      <c r="B138" s="76">
        <v>30</v>
      </c>
      <c r="C138" s="72" t="s">
        <v>26</v>
      </c>
      <c r="D138" s="3" t="str">
        <f t="shared" si="52"/>
        <v>N/A</v>
      </c>
      <c r="E138" s="3" t="str">
        <f t="shared" si="53"/>
        <v/>
      </c>
      <c r="F138" s="3" t="str">
        <f t="shared" si="54"/>
        <v/>
      </c>
      <c r="G138" s="3" t="str">
        <f t="shared" si="55"/>
        <v/>
      </c>
    </row>
    <row r="139" spans="1:7" x14ac:dyDescent="0.2">
      <c r="A139" s="40" t="s">
        <v>99</v>
      </c>
      <c r="B139" s="113">
        <v>1400</v>
      </c>
      <c r="C139" s="72" t="s">
        <v>26</v>
      </c>
      <c r="D139" s="3" t="str">
        <f>IF(AND(B139&gt;0,B139&lt;1000),C139,"")</f>
        <v/>
      </c>
      <c r="E139" s="3" t="str">
        <f>IF(AND(B139&gt;1000,B139&lt;2500),C139,"")</f>
        <v>N/A</v>
      </c>
      <c r="F139" s="3" t="str">
        <f>IF(AND(B139&gt;2500,B139&lt;5000),C139,"")</f>
        <v/>
      </c>
      <c r="G139" s="3" t="str">
        <f>IF(B139&gt;=5000,C139,"")</f>
        <v/>
      </c>
    </row>
    <row r="140" spans="1:7" x14ac:dyDescent="0.2">
      <c r="A140" s="40" t="s">
        <v>99</v>
      </c>
      <c r="B140" s="103">
        <v>547.5</v>
      </c>
      <c r="C140" s="72" t="s">
        <v>26</v>
      </c>
      <c r="D140" s="3" t="str">
        <f>IF(AND(B140&gt;0,B140&lt;1000),C140,"")</f>
        <v>N/A</v>
      </c>
      <c r="E140" s="3" t="str">
        <f>IF(AND(B140&gt;1000,B140&lt;2500),C140,"")</f>
        <v/>
      </c>
      <c r="F140" s="3" t="str">
        <f>IF(AND(B140&gt;2500,B140&lt;5000),C140,"")</f>
        <v/>
      </c>
      <c r="G140" s="3" t="str">
        <f>IF(B140&gt;=5000,C140,"")</f>
        <v/>
      </c>
    </row>
    <row r="141" spans="1:7" x14ac:dyDescent="0.2">
      <c r="A141" s="40" t="s">
        <v>123</v>
      </c>
      <c r="B141" s="76">
        <v>1400</v>
      </c>
      <c r="C141" s="72" t="s">
        <v>26</v>
      </c>
      <c r="D141" s="3" t="str">
        <f t="shared" si="52"/>
        <v/>
      </c>
      <c r="E141" s="3" t="str">
        <f t="shared" si="53"/>
        <v>N/A</v>
      </c>
      <c r="F141" s="3" t="str">
        <f t="shared" si="54"/>
        <v/>
      </c>
      <c r="G141" s="3" t="str">
        <f t="shared" si="55"/>
        <v/>
      </c>
    </row>
    <row r="142" spans="1:7" x14ac:dyDescent="0.2">
      <c r="A142" s="40" t="s">
        <v>123</v>
      </c>
      <c r="B142" s="113">
        <v>10500</v>
      </c>
      <c r="C142" s="72" t="s">
        <v>26</v>
      </c>
      <c r="D142" s="3" t="str">
        <f>IF(AND(B142&gt;0,B142&lt;1000),C142,"")</f>
        <v/>
      </c>
      <c r="E142" s="3" t="str">
        <f>IF(AND(B142&gt;1000,B142&lt;2500),C142,"")</f>
        <v/>
      </c>
      <c r="F142" s="3" t="str">
        <f>IF(AND(B142&gt;2500,B142&lt;5000),C142,"")</f>
        <v/>
      </c>
      <c r="G142" s="3" t="str">
        <f>IF(B142&gt;=5000,C142,"")</f>
        <v>N/A</v>
      </c>
    </row>
    <row r="143" spans="1:7" x14ac:dyDescent="0.2">
      <c r="A143" s="40" t="s">
        <v>92</v>
      </c>
      <c r="B143" s="76">
        <v>1900</v>
      </c>
      <c r="C143" s="72" t="s">
        <v>26</v>
      </c>
      <c r="D143" s="3" t="str">
        <f t="shared" si="52"/>
        <v/>
      </c>
      <c r="E143" s="3" t="str">
        <f t="shared" si="53"/>
        <v>N/A</v>
      </c>
      <c r="F143" s="3" t="str">
        <f t="shared" si="54"/>
        <v/>
      </c>
      <c r="G143" s="3" t="str">
        <f t="shared" si="55"/>
        <v/>
      </c>
    </row>
    <row r="144" spans="1:7" x14ac:dyDescent="0.2">
      <c r="A144" s="40" t="s">
        <v>92</v>
      </c>
      <c r="B144" s="76">
        <v>2375</v>
      </c>
      <c r="C144" s="72" t="s">
        <v>26</v>
      </c>
      <c r="D144" s="3" t="str">
        <f t="shared" si="52"/>
        <v/>
      </c>
      <c r="E144" s="3" t="str">
        <f t="shared" si="53"/>
        <v>N/A</v>
      </c>
      <c r="F144" s="3" t="str">
        <f t="shared" si="54"/>
        <v/>
      </c>
      <c r="G144" s="3" t="str">
        <f t="shared" si="55"/>
        <v/>
      </c>
    </row>
    <row r="145" spans="1:7" x14ac:dyDescent="0.2">
      <c r="A145" s="40" t="s">
        <v>92</v>
      </c>
      <c r="B145" s="113">
        <v>2750</v>
      </c>
      <c r="C145" s="72" t="s">
        <v>26</v>
      </c>
      <c r="D145" s="3" t="str">
        <f>IF(AND(B145&gt;0,B145&lt;1000),C145,"")</f>
        <v/>
      </c>
      <c r="E145" s="3" t="str">
        <f>IF(AND(B145&gt;1000,B145&lt;2500),C145,"")</f>
        <v/>
      </c>
      <c r="F145" s="3" t="str">
        <f>IF(AND(B145&gt;2500,B145&lt;5000),C145,"")</f>
        <v>N/A</v>
      </c>
      <c r="G145" s="3" t="str">
        <f>IF(B145&gt;=5000,C145,"")</f>
        <v/>
      </c>
    </row>
    <row r="146" spans="1:7" x14ac:dyDescent="0.2">
      <c r="A146" s="40" t="s">
        <v>92</v>
      </c>
      <c r="B146" s="76">
        <v>1600</v>
      </c>
      <c r="C146" s="72" t="s">
        <v>26</v>
      </c>
      <c r="D146" s="3" t="str">
        <f t="shared" si="52"/>
        <v/>
      </c>
      <c r="E146" s="3" t="str">
        <f t="shared" si="53"/>
        <v>N/A</v>
      </c>
      <c r="F146" s="3" t="str">
        <f t="shared" si="54"/>
        <v/>
      </c>
      <c r="G146" s="3" t="str">
        <f t="shared" si="55"/>
        <v/>
      </c>
    </row>
    <row r="147" spans="1:7" x14ac:dyDescent="0.2">
      <c r="A147" s="40" t="s">
        <v>92</v>
      </c>
      <c r="B147" s="78">
        <v>5000</v>
      </c>
      <c r="C147" s="72" t="s">
        <v>26</v>
      </c>
      <c r="D147" s="3" t="str">
        <f>IF(AND(B147&gt;0,B147&lt;1000),C147,"")</f>
        <v/>
      </c>
      <c r="E147" s="3" t="str">
        <f>IF(AND(B147&gt;1000,B147&lt;2500),C147,"")</f>
        <v/>
      </c>
      <c r="F147" s="3" t="str">
        <f>IF(AND(B147&gt;2500,B147&lt;5000),C147,"")</f>
        <v/>
      </c>
      <c r="G147" s="3" t="str">
        <f>IF(B147&gt;=5000,C147,"")</f>
        <v>N/A</v>
      </c>
    </row>
    <row r="148" spans="1:7" x14ac:dyDescent="0.2">
      <c r="A148" s="40" t="s">
        <v>37</v>
      </c>
      <c r="B148" s="76">
        <v>1710</v>
      </c>
      <c r="C148" s="72">
        <v>10</v>
      </c>
      <c r="D148" s="3" t="str">
        <f t="shared" ref="D148:D174" si="56">IF(AND(B148&gt;0,B148&lt;1000),C148,"")</f>
        <v/>
      </c>
      <c r="E148" s="3">
        <f t="shared" ref="E148:E174" si="57">IF(AND(B148&gt;1000,B148&lt;2500),C148,"")</f>
        <v>10</v>
      </c>
      <c r="F148" s="3" t="str">
        <f t="shared" ref="F148:F174" si="58">IF(AND(B148&gt;2500,B148&lt;5000),C148,"")</f>
        <v/>
      </c>
      <c r="G148" s="3" t="str">
        <f t="shared" ref="G148:G174" si="59">IF(B148&gt;=5000,C148,"")</f>
        <v/>
      </c>
    </row>
    <row r="149" spans="1:7" x14ac:dyDescent="0.2">
      <c r="A149" s="40" t="s">
        <v>37</v>
      </c>
      <c r="B149" s="76">
        <v>90</v>
      </c>
      <c r="C149" s="72" t="s">
        <v>26</v>
      </c>
      <c r="D149" s="3" t="str">
        <f t="shared" si="56"/>
        <v>N/A</v>
      </c>
      <c r="E149" s="3" t="str">
        <f t="shared" si="57"/>
        <v/>
      </c>
      <c r="F149" s="3" t="str">
        <f t="shared" si="58"/>
        <v/>
      </c>
      <c r="G149" s="3" t="str">
        <f t="shared" si="59"/>
        <v/>
      </c>
    </row>
    <row r="150" spans="1:7" x14ac:dyDescent="0.2">
      <c r="A150" s="40" t="s">
        <v>37</v>
      </c>
      <c r="B150" s="103">
        <v>6960</v>
      </c>
      <c r="C150" s="72" t="s">
        <v>26</v>
      </c>
      <c r="D150" s="3" t="str">
        <f>IF(AND(B150&gt;0,B150&lt;1000),C150,"")</f>
        <v/>
      </c>
      <c r="E150" s="3" t="str">
        <f>IF(AND(B150&gt;1000,B150&lt;2500),C150,"")</f>
        <v/>
      </c>
      <c r="F150" s="3" t="str">
        <f>IF(AND(B150&gt;2500,B150&lt;5000),C150,"")</f>
        <v/>
      </c>
      <c r="G150" s="3" t="str">
        <f>IF(B150&gt;=5000,C150,"")</f>
        <v>N/A</v>
      </c>
    </row>
    <row r="151" spans="1:7" x14ac:dyDescent="0.2">
      <c r="A151" s="40" t="s">
        <v>37</v>
      </c>
      <c r="B151" s="103">
        <v>1180</v>
      </c>
      <c r="C151" s="72" t="s">
        <v>26</v>
      </c>
      <c r="D151" s="3" t="str">
        <f>IF(AND(B151&gt;0,B151&lt;1000),C151,"")</f>
        <v/>
      </c>
      <c r="E151" s="3" t="str">
        <f>IF(AND(B151&gt;1000,B151&lt;2500),C151,"")</f>
        <v>N/A</v>
      </c>
      <c r="F151" s="3" t="str">
        <f>IF(AND(B151&gt;2500,B151&lt;5000),C151,"")</f>
        <v/>
      </c>
      <c r="G151" s="3" t="str">
        <f>IF(B151&gt;=5000,C151,"")</f>
        <v/>
      </c>
    </row>
    <row r="152" spans="1:7" x14ac:dyDescent="0.2">
      <c r="A152" s="40" t="s">
        <v>91</v>
      </c>
      <c r="B152" s="103">
        <v>315</v>
      </c>
      <c r="C152" s="72" t="s">
        <v>26</v>
      </c>
      <c r="D152" s="3" t="str">
        <f>IF(AND(B152&gt;0,B152&lt;1000),C152,"")</f>
        <v>N/A</v>
      </c>
      <c r="E152" s="3" t="str">
        <f>IF(AND(B152&gt;1000,B152&lt;2500),C152,"")</f>
        <v/>
      </c>
      <c r="F152" s="3" t="str">
        <f>IF(AND(B152&gt;2500,B152&lt;5000),C152,"")</f>
        <v/>
      </c>
      <c r="G152" s="3" t="str">
        <f>IF(B152&gt;=5000,C152,"")</f>
        <v/>
      </c>
    </row>
    <row r="153" spans="1:7" x14ac:dyDescent="0.2">
      <c r="A153" s="40" t="s">
        <v>91</v>
      </c>
      <c r="B153" s="76">
        <v>950</v>
      </c>
      <c r="C153" s="72" t="s">
        <v>26</v>
      </c>
      <c r="D153" s="3" t="str">
        <f t="shared" si="56"/>
        <v>N/A</v>
      </c>
      <c r="E153" s="3" t="str">
        <f t="shared" si="57"/>
        <v/>
      </c>
      <c r="F153" s="3" t="str">
        <f t="shared" si="58"/>
        <v/>
      </c>
      <c r="G153" s="3" t="str">
        <f t="shared" si="59"/>
        <v/>
      </c>
    </row>
    <row r="154" spans="1:7" x14ac:dyDescent="0.2">
      <c r="A154" s="40" t="s">
        <v>91</v>
      </c>
      <c r="B154" s="76">
        <v>1662</v>
      </c>
      <c r="C154" s="72">
        <v>8</v>
      </c>
      <c r="D154" s="3" t="str">
        <f t="shared" si="56"/>
        <v/>
      </c>
      <c r="E154" s="3">
        <f t="shared" si="57"/>
        <v>8</v>
      </c>
      <c r="F154" s="3" t="str">
        <f t="shared" si="58"/>
        <v/>
      </c>
      <c r="G154" s="3" t="str">
        <f t="shared" si="59"/>
        <v/>
      </c>
    </row>
    <row r="155" spans="1:7" x14ac:dyDescent="0.2">
      <c r="A155" s="40" t="s">
        <v>91</v>
      </c>
      <c r="B155" s="76">
        <v>950</v>
      </c>
      <c r="C155" s="72" t="s">
        <v>26</v>
      </c>
      <c r="D155" s="3" t="str">
        <f t="shared" si="56"/>
        <v>N/A</v>
      </c>
      <c r="E155" s="3" t="str">
        <f t="shared" si="57"/>
        <v/>
      </c>
      <c r="F155" s="3" t="str">
        <f t="shared" si="58"/>
        <v/>
      </c>
      <c r="G155" s="3" t="str">
        <f t="shared" si="59"/>
        <v/>
      </c>
    </row>
    <row r="156" spans="1:7" x14ac:dyDescent="0.2">
      <c r="A156" s="40" t="s">
        <v>91</v>
      </c>
      <c r="B156" s="76">
        <v>495</v>
      </c>
      <c r="C156" s="72">
        <v>10</v>
      </c>
      <c r="D156" s="3">
        <f t="shared" si="56"/>
        <v>10</v>
      </c>
      <c r="E156" s="3" t="str">
        <f t="shared" si="57"/>
        <v/>
      </c>
      <c r="F156" s="3" t="str">
        <f t="shared" si="58"/>
        <v/>
      </c>
      <c r="G156" s="3" t="str">
        <f t="shared" si="59"/>
        <v/>
      </c>
    </row>
    <row r="157" spans="1:7" x14ac:dyDescent="0.2">
      <c r="A157" s="40" t="s">
        <v>91</v>
      </c>
      <c r="B157" s="76">
        <v>1750</v>
      </c>
      <c r="C157" s="72" t="s">
        <v>26</v>
      </c>
      <c r="D157" s="3" t="str">
        <f t="shared" si="56"/>
        <v/>
      </c>
      <c r="E157" s="3" t="str">
        <f t="shared" si="57"/>
        <v>N/A</v>
      </c>
      <c r="F157" s="3" t="str">
        <f t="shared" si="58"/>
        <v/>
      </c>
      <c r="G157" s="3" t="str">
        <f t="shared" si="59"/>
        <v/>
      </c>
    </row>
    <row r="158" spans="1:7" x14ac:dyDescent="0.2">
      <c r="A158" s="40" t="s">
        <v>91</v>
      </c>
      <c r="B158" s="113">
        <v>3739.8</v>
      </c>
      <c r="C158" s="72" t="s">
        <v>26</v>
      </c>
      <c r="D158" s="3" t="str">
        <f>IF(AND(B158&gt;0,B158&lt;1000),C158,"")</f>
        <v/>
      </c>
      <c r="E158" s="3" t="str">
        <f>IF(AND(B158&gt;1000,B158&lt;2500),C158,"")</f>
        <v/>
      </c>
      <c r="F158" s="3" t="str">
        <f>IF(AND(B158&gt;2500,B158&lt;5000),C158,"")</f>
        <v>N/A</v>
      </c>
      <c r="G158" s="3" t="str">
        <f>IF(B158&gt;=5000,C158,"")</f>
        <v/>
      </c>
    </row>
    <row r="159" spans="1:7" x14ac:dyDescent="0.2">
      <c r="A159" s="40" t="s">
        <v>91</v>
      </c>
      <c r="B159" s="113">
        <v>630</v>
      </c>
      <c r="C159" s="72" t="s">
        <v>26</v>
      </c>
      <c r="D159" s="3" t="str">
        <f>IF(AND(B159&gt;0,B159&lt;1000),C159,"")</f>
        <v>N/A</v>
      </c>
      <c r="E159" s="3" t="str">
        <f>IF(AND(B159&gt;1000,B159&lt;2500),C159,"")</f>
        <v/>
      </c>
      <c r="F159" s="3" t="str">
        <f>IF(AND(B159&gt;2500,B159&lt;5000),C159,"")</f>
        <v/>
      </c>
      <c r="G159" s="3" t="str">
        <f>IF(B159&gt;=5000,C159,"")</f>
        <v/>
      </c>
    </row>
    <row r="160" spans="1:7" x14ac:dyDescent="0.2">
      <c r="A160" s="40" t="s">
        <v>91</v>
      </c>
      <c r="B160" s="113">
        <v>750</v>
      </c>
      <c r="C160" s="72" t="s">
        <v>26</v>
      </c>
      <c r="D160" s="3" t="str">
        <f>IF(AND(B160&gt;0,B160&lt;1000),C160,"")</f>
        <v>N/A</v>
      </c>
      <c r="E160" s="3" t="str">
        <f>IF(AND(B160&gt;1000,B160&lt;2500),C160,"")</f>
        <v/>
      </c>
      <c r="F160" s="3" t="str">
        <f>IF(AND(B160&gt;2500,B160&lt;5000),C160,"")</f>
        <v/>
      </c>
      <c r="G160" s="3" t="str">
        <f>IF(B160&gt;=5000,C160,"")</f>
        <v/>
      </c>
    </row>
    <row r="161" spans="1:7" x14ac:dyDescent="0.2">
      <c r="A161" s="40" t="s">
        <v>91</v>
      </c>
      <c r="B161" s="76">
        <v>2000</v>
      </c>
      <c r="C161" s="72" t="s">
        <v>26</v>
      </c>
      <c r="D161" s="3" t="str">
        <f t="shared" si="56"/>
        <v/>
      </c>
      <c r="E161" s="3" t="str">
        <f t="shared" si="57"/>
        <v>N/A</v>
      </c>
      <c r="F161" s="3" t="str">
        <f t="shared" si="58"/>
        <v/>
      </c>
      <c r="G161" s="3" t="str">
        <f t="shared" si="59"/>
        <v/>
      </c>
    </row>
    <row r="162" spans="1:7" x14ac:dyDescent="0.2">
      <c r="A162" s="40" t="s">
        <v>91</v>
      </c>
      <c r="B162" s="78">
        <v>350</v>
      </c>
      <c r="C162" s="72" t="s">
        <v>26</v>
      </c>
      <c r="D162" s="3" t="str">
        <f t="shared" ref="D162:D167" si="60">IF(AND(B162&gt;0,B162&lt;1000),C162,"")</f>
        <v>N/A</v>
      </c>
      <c r="E162" s="3" t="str">
        <f t="shared" ref="E162:E167" si="61">IF(AND(B162&gt;1000,B162&lt;2500),C162,"")</f>
        <v/>
      </c>
      <c r="F162" s="3" t="str">
        <f t="shared" ref="F162:F167" si="62">IF(AND(B162&gt;2500,B162&lt;5000),C162,"")</f>
        <v/>
      </c>
      <c r="G162" s="3" t="str">
        <f t="shared" ref="G162:G167" si="63">IF(B162&gt;=5000,C162,"")</f>
        <v/>
      </c>
    </row>
    <row r="163" spans="1:7" x14ac:dyDescent="0.2">
      <c r="A163" s="40" t="s">
        <v>91</v>
      </c>
      <c r="B163" s="103">
        <v>805</v>
      </c>
      <c r="C163" s="72" t="s">
        <v>26</v>
      </c>
      <c r="D163" s="3" t="str">
        <f t="shared" si="60"/>
        <v>N/A</v>
      </c>
      <c r="E163" s="3" t="str">
        <f t="shared" si="61"/>
        <v/>
      </c>
      <c r="F163" s="3" t="str">
        <f t="shared" si="62"/>
        <v/>
      </c>
      <c r="G163" s="3" t="str">
        <f t="shared" si="63"/>
        <v/>
      </c>
    </row>
    <row r="164" spans="1:7" x14ac:dyDescent="0.2">
      <c r="A164" s="40" t="s">
        <v>91</v>
      </c>
      <c r="B164" s="103">
        <v>1575</v>
      </c>
      <c r="C164" s="72" t="s">
        <v>26</v>
      </c>
      <c r="D164" s="3" t="str">
        <f t="shared" si="60"/>
        <v/>
      </c>
      <c r="E164" s="3" t="str">
        <f t="shared" si="61"/>
        <v>N/A</v>
      </c>
      <c r="F164" s="3" t="str">
        <f t="shared" si="62"/>
        <v/>
      </c>
      <c r="G164" s="3" t="str">
        <f t="shared" si="63"/>
        <v/>
      </c>
    </row>
    <row r="165" spans="1:7" x14ac:dyDescent="0.2">
      <c r="A165" s="40" t="s">
        <v>91</v>
      </c>
      <c r="B165" s="103">
        <v>2100</v>
      </c>
      <c r="C165" s="72" t="s">
        <v>26</v>
      </c>
      <c r="D165" s="3" t="str">
        <f t="shared" si="60"/>
        <v/>
      </c>
      <c r="E165" s="3" t="str">
        <f t="shared" si="61"/>
        <v>N/A</v>
      </c>
      <c r="F165" s="3" t="str">
        <f t="shared" si="62"/>
        <v/>
      </c>
      <c r="G165" s="3" t="str">
        <f t="shared" si="63"/>
        <v/>
      </c>
    </row>
    <row r="166" spans="1:7" x14ac:dyDescent="0.2">
      <c r="A166" s="40" t="s">
        <v>126</v>
      </c>
      <c r="B166" s="103">
        <v>7400</v>
      </c>
      <c r="C166" s="72" t="s">
        <v>26</v>
      </c>
      <c r="D166" s="3" t="str">
        <f t="shared" si="60"/>
        <v/>
      </c>
      <c r="E166" s="3" t="str">
        <f t="shared" si="61"/>
        <v/>
      </c>
      <c r="F166" s="3" t="str">
        <f t="shared" si="62"/>
        <v/>
      </c>
      <c r="G166" s="3" t="str">
        <f t="shared" si="63"/>
        <v>N/A</v>
      </c>
    </row>
    <row r="167" spans="1:7" x14ac:dyDescent="0.2">
      <c r="A167" s="40" t="s">
        <v>126</v>
      </c>
      <c r="B167" s="103">
        <v>1350</v>
      </c>
      <c r="C167" s="72" t="s">
        <v>26</v>
      </c>
      <c r="D167" s="3" t="str">
        <f t="shared" si="60"/>
        <v/>
      </c>
      <c r="E167" s="3" t="str">
        <f t="shared" si="61"/>
        <v>N/A</v>
      </c>
      <c r="F167" s="3" t="str">
        <f t="shared" si="62"/>
        <v/>
      </c>
      <c r="G167" s="3" t="str">
        <f t="shared" si="63"/>
        <v/>
      </c>
    </row>
    <row r="168" spans="1:7" x14ac:dyDescent="0.2">
      <c r="A168" s="40" t="s">
        <v>126</v>
      </c>
      <c r="B168" s="76">
        <v>7500</v>
      </c>
      <c r="C168" s="72" t="s">
        <v>26</v>
      </c>
      <c r="D168" s="3" t="str">
        <f t="shared" si="56"/>
        <v/>
      </c>
      <c r="E168" s="3" t="str">
        <f t="shared" si="57"/>
        <v/>
      </c>
      <c r="F168" s="3" t="str">
        <f t="shared" si="58"/>
        <v/>
      </c>
      <c r="G168" s="3" t="str">
        <f t="shared" si="59"/>
        <v>N/A</v>
      </c>
    </row>
    <row r="169" spans="1:7" x14ac:dyDescent="0.2">
      <c r="A169" s="40" t="s">
        <v>126</v>
      </c>
      <c r="B169" s="76">
        <v>6100</v>
      </c>
      <c r="C169" s="72">
        <v>9</v>
      </c>
      <c r="D169" s="3" t="str">
        <f t="shared" si="56"/>
        <v/>
      </c>
      <c r="E169" s="3" t="str">
        <f t="shared" si="57"/>
        <v/>
      </c>
      <c r="F169" s="3" t="str">
        <f t="shared" si="58"/>
        <v/>
      </c>
      <c r="G169" s="3">
        <f t="shared" si="59"/>
        <v>9</v>
      </c>
    </row>
    <row r="170" spans="1:7" x14ac:dyDescent="0.2">
      <c r="A170" s="40" t="s">
        <v>126</v>
      </c>
      <c r="B170" s="76">
        <v>4950</v>
      </c>
      <c r="C170" s="72">
        <v>9</v>
      </c>
      <c r="D170" s="3" t="str">
        <f t="shared" si="56"/>
        <v/>
      </c>
      <c r="E170" s="3" t="str">
        <f t="shared" si="57"/>
        <v/>
      </c>
      <c r="F170" s="3">
        <f t="shared" si="58"/>
        <v>9</v>
      </c>
      <c r="G170" s="3" t="str">
        <f t="shared" si="59"/>
        <v/>
      </c>
    </row>
    <row r="171" spans="1:7" x14ac:dyDescent="0.2">
      <c r="A171" s="40" t="s">
        <v>126</v>
      </c>
      <c r="B171" s="76">
        <v>6100</v>
      </c>
      <c r="C171" s="72">
        <v>6</v>
      </c>
      <c r="D171" s="3" t="str">
        <f t="shared" si="56"/>
        <v/>
      </c>
      <c r="E171" s="3" t="str">
        <f t="shared" si="57"/>
        <v/>
      </c>
      <c r="F171" s="3" t="str">
        <f t="shared" si="58"/>
        <v/>
      </c>
      <c r="G171" s="3">
        <f t="shared" si="59"/>
        <v>6</v>
      </c>
    </row>
    <row r="172" spans="1:7" x14ac:dyDescent="0.2">
      <c r="A172" s="40" t="s">
        <v>126</v>
      </c>
      <c r="B172" s="76">
        <v>14760</v>
      </c>
      <c r="C172" s="72" t="s">
        <v>26</v>
      </c>
      <c r="D172" s="3" t="str">
        <f t="shared" si="56"/>
        <v/>
      </c>
      <c r="E172" s="3" t="str">
        <f t="shared" si="57"/>
        <v/>
      </c>
      <c r="F172" s="3" t="str">
        <f t="shared" si="58"/>
        <v/>
      </c>
      <c r="G172" s="3" t="str">
        <f t="shared" si="59"/>
        <v>N/A</v>
      </c>
    </row>
    <row r="173" spans="1:7" x14ac:dyDescent="0.2">
      <c r="A173" s="40" t="s">
        <v>126</v>
      </c>
      <c r="B173" s="76">
        <v>8500</v>
      </c>
      <c r="C173" s="72" t="s">
        <v>26</v>
      </c>
      <c r="D173" s="3" t="str">
        <f t="shared" si="56"/>
        <v/>
      </c>
      <c r="E173" s="3" t="str">
        <f t="shared" si="57"/>
        <v/>
      </c>
      <c r="F173" s="3" t="str">
        <f t="shared" si="58"/>
        <v/>
      </c>
      <c r="G173" s="3" t="str">
        <f t="shared" si="59"/>
        <v>N/A</v>
      </c>
    </row>
    <row r="174" spans="1:7" x14ac:dyDescent="0.2">
      <c r="A174" s="40" t="s">
        <v>126</v>
      </c>
      <c r="B174" s="76">
        <v>12210</v>
      </c>
      <c r="C174" s="72" t="s">
        <v>26</v>
      </c>
      <c r="D174" s="3" t="str">
        <f t="shared" si="56"/>
        <v/>
      </c>
      <c r="E174" s="3" t="str">
        <f t="shared" si="57"/>
        <v/>
      </c>
      <c r="F174" s="3" t="str">
        <f t="shared" si="58"/>
        <v/>
      </c>
      <c r="G174" s="3" t="str">
        <f t="shared" si="59"/>
        <v>N/A</v>
      </c>
    </row>
    <row r="175" spans="1:7" x14ac:dyDescent="0.2">
      <c r="A175" s="40" t="s">
        <v>126</v>
      </c>
      <c r="B175" s="113">
        <v>4600</v>
      </c>
      <c r="C175" s="114">
        <v>9</v>
      </c>
      <c r="D175" s="3" t="str">
        <f>IF(AND(B175&gt;0,B175&lt;1000),C175,"")</f>
        <v/>
      </c>
      <c r="E175" s="3" t="str">
        <f>IF(AND(B175&gt;1000,B175&lt;2500),C175,"")</f>
        <v/>
      </c>
      <c r="F175" s="3">
        <f>IF(AND(B175&gt;2500,B175&lt;5000),C175,"")</f>
        <v>9</v>
      </c>
      <c r="G175" s="3" t="str">
        <f>IF(B175&gt;=5000,C175,"")</f>
        <v/>
      </c>
    </row>
    <row r="176" spans="1:7" x14ac:dyDescent="0.2">
      <c r="A176" t="s">
        <v>73</v>
      </c>
      <c r="B176" s="113">
        <v>810</v>
      </c>
      <c r="C176" s="72" t="s">
        <v>26</v>
      </c>
      <c r="D176" s="3" t="str">
        <f>IF(AND(B176&gt;0,B176&lt;1000),C176,"")</f>
        <v>N/A</v>
      </c>
      <c r="E176" s="3" t="str">
        <f>IF(AND(B176&gt;1000,B176&lt;2500),C176,"")</f>
        <v/>
      </c>
      <c r="F176" s="3" t="str">
        <f>IF(AND(B176&gt;2500,B176&lt;5000),C176,"")</f>
        <v/>
      </c>
      <c r="G176" s="3" t="str">
        <f>IF(B176&gt;=5000,C176,"")</f>
        <v/>
      </c>
    </row>
    <row r="177" spans="1:7" x14ac:dyDescent="0.2">
      <c r="A177" s="40" t="s">
        <v>56</v>
      </c>
      <c r="B177" s="76">
        <v>2700</v>
      </c>
      <c r="C177" s="72" t="s">
        <v>26</v>
      </c>
      <c r="D177" s="3" t="str">
        <f t="shared" ref="D177:D190" si="64">IF(AND(B177&gt;0,B177&lt;1000),C177,"")</f>
        <v/>
      </c>
      <c r="E177" s="3" t="str">
        <f t="shared" ref="E177:E190" si="65">IF(AND(B177&gt;1000,B177&lt;2500),C177,"")</f>
        <v/>
      </c>
      <c r="F177" s="3" t="str">
        <f t="shared" ref="F177:F190" si="66">IF(AND(B177&gt;2500,B177&lt;5000),C177,"")</f>
        <v>N/A</v>
      </c>
      <c r="G177" s="3" t="str">
        <f t="shared" ref="G177:G190" si="67">IF(B177&gt;=5000,C177,"")</f>
        <v/>
      </c>
    </row>
    <row r="178" spans="1:7" x14ac:dyDescent="0.2">
      <c r="A178" t="s">
        <v>300</v>
      </c>
      <c r="B178" s="113">
        <v>100</v>
      </c>
      <c r="C178" s="72" t="s">
        <v>26</v>
      </c>
      <c r="D178" s="3" t="str">
        <f t="shared" ref="D178:D182" si="68">IF(AND(B178&gt;0,B178&lt;1000),C178,"")</f>
        <v>N/A</v>
      </c>
      <c r="E178" s="3" t="str">
        <f t="shared" ref="E178:E182" si="69">IF(AND(B178&gt;1000,B178&lt;2500),C178,"")</f>
        <v/>
      </c>
      <c r="F178" s="3" t="str">
        <f t="shared" ref="F178:F182" si="70">IF(AND(B178&gt;2500,B178&lt;5000),C178,"")</f>
        <v/>
      </c>
      <c r="G178" s="3" t="str">
        <f t="shared" ref="G178:G182" si="71">IF(B178&gt;=5000,C178,"")</f>
        <v/>
      </c>
    </row>
    <row r="179" spans="1:7" x14ac:dyDescent="0.2">
      <c r="A179" t="s">
        <v>300</v>
      </c>
      <c r="B179" s="113">
        <v>210</v>
      </c>
      <c r="C179" s="72" t="s">
        <v>26</v>
      </c>
      <c r="D179" s="3" t="str">
        <f t="shared" si="68"/>
        <v>N/A</v>
      </c>
      <c r="E179" s="3" t="str">
        <f t="shared" si="69"/>
        <v/>
      </c>
      <c r="F179" s="3" t="str">
        <f t="shared" si="70"/>
        <v/>
      </c>
      <c r="G179" s="3" t="str">
        <f t="shared" si="71"/>
        <v/>
      </c>
    </row>
    <row r="180" spans="1:7" x14ac:dyDescent="0.2">
      <c r="A180" t="s">
        <v>300</v>
      </c>
      <c r="B180" s="113">
        <v>210162</v>
      </c>
      <c r="C180" s="72" t="s">
        <v>26</v>
      </c>
      <c r="D180" s="3" t="str">
        <f t="shared" si="68"/>
        <v/>
      </c>
      <c r="E180" s="3" t="str">
        <f t="shared" si="69"/>
        <v/>
      </c>
      <c r="F180" s="3" t="str">
        <f t="shared" si="70"/>
        <v/>
      </c>
      <c r="G180" s="3" t="str">
        <f t="shared" si="71"/>
        <v>N/A</v>
      </c>
    </row>
    <row r="181" spans="1:7" x14ac:dyDescent="0.2">
      <c r="A181" t="s">
        <v>300</v>
      </c>
      <c r="B181" s="113">
        <v>210</v>
      </c>
      <c r="C181" s="72" t="s">
        <v>26</v>
      </c>
      <c r="D181" s="3" t="str">
        <f t="shared" si="68"/>
        <v>N/A</v>
      </c>
      <c r="E181" s="3" t="str">
        <f t="shared" si="69"/>
        <v/>
      </c>
      <c r="F181" s="3" t="str">
        <f t="shared" si="70"/>
        <v/>
      </c>
      <c r="G181" s="3" t="str">
        <f t="shared" si="71"/>
        <v/>
      </c>
    </row>
    <row r="182" spans="1:7" x14ac:dyDescent="0.2">
      <c r="A182" t="s">
        <v>300</v>
      </c>
      <c r="B182" s="113">
        <v>210</v>
      </c>
      <c r="C182" s="72" t="s">
        <v>26</v>
      </c>
      <c r="D182" s="3" t="str">
        <f t="shared" si="68"/>
        <v>N/A</v>
      </c>
      <c r="E182" s="3" t="str">
        <f t="shared" si="69"/>
        <v/>
      </c>
      <c r="F182" s="3" t="str">
        <f t="shared" si="70"/>
        <v/>
      </c>
      <c r="G182" s="3" t="str">
        <f t="shared" si="71"/>
        <v/>
      </c>
    </row>
    <row r="183" spans="1:7" x14ac:dyDescent="0.2">
      <c r="A183" s="40" t="s">
        <v>90</v>
      </c>
      <c r="B183" s="103">
        <v>1350</v>
      </c>
      <c r="C183" s="72" t="s">
        <v>26</v>
      </c>
      <c r="D183" s="3" t="str">
        <f>IF(AND(B183&gt;0,B183&lt;1000),C183,"")</f>
        <v/>
      </c>
      <c r="E183" s="3" t="str">
        <f>IF(AND(B183&gt;1000,B183&lt;2500),C183,"")</f>
        <v>N/A</v>
      </c>
      <c r="F183" s="3" t="str">
        <f>IF(AND(B183&gt;2500,B183&lt;5000),C183,"")</f>
        <v/>
      </c>
      <c r="G183" s="3" t="str">
        <f>IF(B183&gt;=5000,C183,"")</f>
        <v/>
      </c>
    </row>
    <row r="184" spans="1:7" x14ac:dyDescent="0.2">
      <c r="A184" s="40" t="s">
        <v>90</v>
      </c>
      <c r="B184" s="76">
        <v>12600</v>
      </c>
      <c r="C184" s="72">
        <v>10</v>
      </c>
      <c r="D184" s="3" t="str">
        <f t="shared" si="64"/>
        <v/>
      </c>
      <c r="E184" s="3" t="str">
        <f t="shared" si="65"/>
        <v/>
      </c>
      <c r="F184" s="3" t="str">
        <f t="shared" si="66"/>
        <v/>
      </c>
      <c r="G184" s="3">
        <f t="shared" si="67"/>
        <v>10</v>
      </c>
    </row>
    <row r="185" spans="1:7" x14ac:dyDescent="0.2">
      <c r="A185" s="40" t="s">
        <v>90</v>
      </c>
      <c r="B185" s="76">
        <v>16800</v>
      </c>
      <c r="C185" s="72" t="s">
        <v>26</v>
      </c>
      <c r="D185" s="3" t="str">
        <f t="shared" si="64"/>
        <v/>
      </c>
      <c r="E185" s="3" t="str">
        <f t="shared" si="65"/>
        <v/>
      </c>
      <c r="F185" s="3" t="str">
        <f t="shared" si="66"/>
        <v/>
      </c>
      <c r="G185" s="3" t="str">
        <f t="shared" si="67"/>
        <v>N/A</v>
      </c>
    </row>
    <row r="186" spans="1:7" x14ac:dyDescent="0.2">
      <c r="A186" s="40" t="s">
        <v>90</v>
      </c>
      <c r="B186" s="76">
        <v>11682</v>
      </c>
      <c r="C186" s="72">
        <v>10</v>
      </c>
      <c r="D186" s="3" t="str">
        <f t="shared" si="64"/>
        <v/>
      </c>
      <c r="E186" s="3" t="str">
        <f t="shared" si="65"/>
        <v/>
      </c>
      <c r="F186" s="3" t="str">
        <f t="shared" si="66"/>
        <v/>
      </c>
      <c r="G186" s="3">
        <f t="shared" si="67"/>
        <v>10</v>
      </c>
    </row>
    <row r="187" spans="1:7" x14ac:dyDescent="0.2">
      <c r="A187" s="40" t="s">
        <v>90</v>
      </c>
      <c r="B187" s="76">
        <v>13500</v>
      </c>
      <c r="C187" s="72" t="s">
        <v>26</v>
      </c>
      <c r="D187" s="3" t="str">
        <f t="shared" si="64"/>
        <v/>
      </c>
      <c r="E187" s="3" t="str">
        <f t="shared" si="65"/>
        <v/>
      </c>
      <c r="F187" s="3" t="str">
        <f t="shared" si="66"/>
        <v/>
      </c>
      <c r="G187" s="3" t="str">
        <f t="shared" si="67"/>
        <v>N/A</v>
      </c>
    </row>
    <row r="188" spans="1:7" x14ac:dyDescent="0.2">
      <c r="A188" s="40" t="s">
        <v>90</v>
      </c>
      <c r="B188" s="76">
        <v>34250</v>
      </c>
      <c r="C188" s="72" t="s">
        <v>26</v>
      </c>
      <c r="D188" s="3" t="str">
        <f t="shared" si="64"/>
        <v/>
      </c>
      <c r="E188" s="3" t="str">
        <f t="shared" si="65"/>
        <v/>
      </c>
      <c r="F188" s="3" t="str">
        <f t="shared" si="66"/>
        <v/>
      </c>
      <c r="G188" s="3" t="str">
        <f t="shared" si="67"/>
        <v>N/A</v>
      </c>
    </row>
    <row r="189" spans="1:7" x14ac:dyDescent="0.2">
      <c r="A189" s="40" t="s">
        <v>90</v>
      </c>
      <c r="B189" s="76">
        <v>33000</v>
      </c>
      <c r="C189" s="72" t="s">
        <v>26</v>
      </c>
      <c r="D189" s="3" t="str">
        <f t="shared" si="64"/>
        <v/>
      </c>
      <c r="E189" s="3" t="str">
        <f t="shared" si="65"/>
        <v/>
      </c>
      <c r="F189" s="3" t="str">
        <f t="shared" si="66"/>
        <v/>
      </c>
      <c r="G189" s="3" t="str">
        <f t="shared" si="67"/>
        <v>N/A</v>
      </c>
    </row>
    <row r="190" spans="1:7" x14ac:dyDescent="0.2">
      <c r="A190" s="40" t="s">
        <v>90</v>
      </c>
      <c r="B190" s="76">
        <v>12700</v>
      </c>
      <c r="C190" s="72" t="s">
        <v>26</v>
      </c>
      <c r="D190" s="3" t="str">
        <f t="shared" si="64"/>
        <v/>
      </c>
      <c r="E190" s="3" t="str">
        <f t="shared" si="65"/>
        <v/>
      </c>
      <c r="F190" s="3" t="str">
        <f t="shared" si="66"/>
        <v/>
      </c>
      <c r="G190" s="3" t="str">
        <f t="shared" si="67"/>
        <v>N/A</v>
      </c>
    </row>
    <row r="191" spans="1:7" x14ac:dyDescent="0.2">
      <c r="A191" s="40" t="s">
        <v>90</v>
      </c>
      <c r="B191" s="78">
        <v>18500</v>
      </c>
      <c r="C191" s="72" t="s">
        <v>26</v>
      </c>
      <c r="D191" s="3" t="str">
        <f>IF(AND(B191&gt;0,B191&lt;1000),C191,"")</f>
        <v/>
      </c>
      <c r="E191" s="3" t="str">
        <f>IF(AND(B191&gt;1000,B191&lt;2500),C191,"")</f>
        <v/>
      </c>
      <c r="F191" s="3" t="str">
        <f>IF(AND(B191&gt;2500,B191&lt;5000),C191,"")</f>
        <v/>
      </c>
      <c r="G191" s="3" t="str">
        <f>IF(B191&gt;=5000,C191,"")</f>
        <v>N/A</v>
      </c>
    </row>
    <row r="192" spans="1:7" x14ac:dyDescent="0.2">
      <c r="A192" s="40" t="s">
        <v>90</v>
      </c>
      <c r="B192" s="103">
        <v>5400</v>
      </c>
      <c r="C192" s="72" t="s">
        <v>26</v>
      </c>
      <c r="D192" s="3" t="str">
        <f>IF(AND(B192&gt;0,B192&lt;1000),C192,"")</f>
        <v/>
      </c>
      <c r="E192" s="3" t="str">
        <f>IF(AND(B192&gt;1000,B192&lt;2500),C192,"")</f>
        <v/>
      </c>
      <c r="F192" s="3" t="str">
        <f>IF(AND(B192&gt;2500,B192&lt;5000),C192,"")</f>
        <v/>
      </c>
      <c r="G192" s="3" t="str">
        <f>IF(B192&gt;=5000,C192,"")</f>
        <v>N/A</v>
      </c>
    </row>
    <row r="193" spans="1:7" x14ac:dyDescent="0.2">
      <c r="A193" s="40" t="s">
        <v>90</v>
      </c>
      <c r="B193" s="103">
        <v>1</v>
      </c>
      <c r="C193" s="72" t="s">
        <v>26</v>
      </c>
      <c r="D193" s="3" t="str">
        <f>IF(AND(B193&gt;0,B193&lt;1000),C193,"")</f>
        <v>N/A</v>
      </c>
      <c r="E193" s="3" t="str">
        <f>IF(AND(B193&gt;1000,B193&lt;2500),C193,"")</f>
        <v/>
      </c>
      <c r="F193" s="3" t="str">
        <f>IF(AND(B193&gt;2500,B193&lt;5000),C193,"")</f>
        <v/>
      </c>
      <c r="G193" s="3" t="str">
        <f>IF(B193&gt;=5000,C193,"")</f>
        <v/>
      </c>
    </row>
    <row r="194" spans="1:7" x14ac:dyDescent="0.2">
      <c r="A194" s="40" t="s">
        <v>90</v>
      </c>
      <c r="B194" s="103">
        <v>41739.129999999997</v>
      </c>
      <c r="C194" s="72" t="s">
        <v>26</v>
      </c>
      <c r="D194" s="3" t="str">
        <f>IF(AND(B194&gt;0,B194&lt;1000),C194,"")</f>
        <v/>
      </c>
      <c r="E194" s="3" t="str">
        <f>IF(AND(B194&gt;1000,B194&lt;2500),C194,"")</f>
        <v/>
      </c>
      <c r="F194" s="3" t="str">
        <f>IF(AND(B194&gt;2500,B194&lt;5000),C194,"")</f>
        <v/>
      </c>
      <c r="G194" s="3" t="str">
        <f>IF(B194&gt;=5000,C194,"")</f>
        <v>N/A</v>
      </c>
    </row>
    <row r="195" spans="1:7" x14ac:dyDescent="0.2">
      <c r="A195" s="40" t="s">
        <v>90</v>
      </c>
      <c r="B195" s="103">
        <v>19445.310000000001</v>
      </c>
      <c r="C195" s="72" t="s">
        <v>26</v>
      </c>
      <c r="D195" s="3" t="str">
        <f>IF(AND(B195&gt;0,B195&lt;1000),C195,"")</f>
        <v/>
      </c>
      <c r="E195" s="3" t="str">
        <f>IF(AND(B195&gt;1000,B195&lt;2500),C195,"")</f>
        <v/>
      </c>
      <c r="F195" s="3" t="str">
        <f>IF(AND(B195&gt;2500,B195&lt;5000),C195,"")</f>
        <v/>
      </c>
      <c r="G195" s="3" t="str">
        <f>IF(B195&gt;=5000,C195,"")</f>
        <v>N/A</v>
      </c>
    </row>
    <row r="196" spans="1:7" x14ac:dyDescent="0.2">
      <c r="A196" s="40" t="s">
        <v>90</v>
      </c>
      <c r="B196" s="113">
        <v>12000</v>
      </c>
      <c r="C196" s="72" t="s">
        <v>26</v>
      </c>
      <c r="D196" s="3" t="str">
        <f t="shared" ref="D196:D198" si="72">IF(AND(B196&gt;0,B196&lt;1000),C196,"")</f>
        <v/>
      </c>
      <c r="E196" s="3" t="str">
        <f t="shared" ref="E196:E198" si="73">IF(AND(B196&gt;1000,B196&lt;2500),C196,"")</f>
        <v/>
      </c>
      <c r="F196" s="3" t="str">
        <f t="shared" ref="F196:F198" si="74">IF(AND(B196&gt;2500,B196&lt;5000),C196,"")</f>
        <v/>
      </c>
      <c r="G196" s="3" t="str">
        <f t="shared" ref="G196:G198" si="75">IF(B196&gt;=5000,C196,"")</f>
        <v>N/A</v>
      </c>
    </row>
    <row r="197" spans="1:7" x14ac:dyDescent="0.2">
      <c r="A197" s="40" t="s">
        <v>90</v>
      </c>
      <c r="B197" s="113">
        <v>1</v>
      </c>
      <c r="C197" s="72" t="s">
        <v>26</v>
      </c>
      <c r="D197" s="3" t="str">
        <f t="shared" si="72"/>
        <v>N/A</v>
      </c>
      <c r="E197" s="3" t="str">
        <f t="shared" si="73"/>
        <v/>
      </c>
      <c r="F197" s="3" t="str">
        <f t="shared" si="74"/>
        <v/>
      </c>
      <c r="G197" s="3" t="str">
        <f t="shared" si="75"/>
        <v/>
      </c>
    </row>
    <row r="198" spans="1:7" x14ac:dyDescent="0.2">
      <c r="A198" s="40" t="s">
        <v>90</v>
      </c>
      <c r="B198" s="113">
        <v>1</v>
      </c>
      <c r="C198" s="72" t="s">
        <v>26</v>
      </c>
      <c r="D198" s="3" t="str">
        <f t="shared" si="72"/>
        <v>N/A</v>
      </c>
      <c r="E198" s="3" t="str">
        <f t="shared" si="73"/>
        <v/>
      </c>
      <c r="F198" s="3" t="str">
        <f t="shared" si="74"/>
        <v/>
      </c>
      <c r="G198" s="3" t="str">
        <f t="shared" si="75"/>
        <v/>
      </c>
    </row>
    <row r="199" spans="1:7" x14ac:dyDescent="0.2">
      <c r="A199" s="40" t="s">
        <v>54</v>
      </c>
      <c r="B199" s="76">
        <v>3160</v>
      </c>
      <c r="C199" s="72" t="s">
        <v>26</v>
      </c>
      <c r="D199" s="3" t="str">
        <f t="shared" ref="D199:D219" si="76">IF(AND(B199&gt;0,B199&lt;1000),C199,"")</f>
        <v/>
      </c>
      <c r="E199" s="3" t="str">
        <f t="shared" ref="E199:E219" si="77">IF(AND(B199&gt;1000,B199&lt;2500),C199,"")</f>
        <v/>
      </c>
      <c r="F199" s="3" t="str">
        <f t="shared" ref="F199:F219" si="78">IF(AND(B199&gt;2500,B199&lt;5000),C199,"")</f>
        <v>N/A</v>
      </c>
      <c r="G199" s="3" t="str">
        <f t="shared" ref="G199:G219" si="79">IF(B199&gt;=5000,C199,"")</f>
        <v/>
      </c>
    </row>
    <row r="200" spans="1:7" x14ac:dyDescent="0.2">
      <c r="A200" s="40" t="s">
        <v>54</v>
      </c>
      <c r="B200" s="78">
        <v>80</v>
      </c>
      <c r="C200" s="79">
        <v>9</v>
      </c>
      <c r="D200" s="3">
        <f t="shared" ref="D200:D205" si="80">IF(AND(B200&gt;0,B200&lt;1000),C200,"")</f>
        <v>9</v>
      </c>
      <c r="E200" s="3" t="str">
        <f t="shared" ref="E200:E205" si="81">IF(AND(B200&gt;1000,B200&lt;2500),C200,"")</f>
        <v/>
      </c>
      <c r="F200" s="3" t="str">
        <f t="shared" ref="F200:F205" si="82">IF(AND(B200&gt;2500,B200&lt;5000),C200,"")</f>
        <v/>
      </c>
      <c r="G200" s="3" t="str">
        <f t="shared" ref="G200:G205" si="83">IF(B200&gt;=5000,C200,"")</f>
        <v/>
      </c>
    </row>
    <row r="201" spans="1:7" x14ac:dyDescent="0.2">
      <c r="A201" s="40" t="s">
        <v>54</v>
      </c>
      <c r="B201" s="78">
        <v>40</v>
      </c>
      <c r="C201" s="72">
        <v>10</v>
      </c>
      <c r="D201" s="3">
        <f t="shared" si="80"/>
        <v>10</v>
      </c>
      <c r="E201" s="3" t="str">
        <f t="shared" si="81"/>
        <v/>
      </c>
      <c r="F201" s="3" t="str">
        <f t="shared" si="82"/>
        <v/>
      </c>
      <c r="G201" s="3" t="str">
        <f t="shared" si="83"/>
        <v/>
      </c>
    </row>
    <row r="202" spans="1:7" x14ac:dyDescent="0.2">
      <c r="A202" s="40" t="s">
        <v>54</v>
      </c>
      <c r="B202" s="78">
        <v>4000</v>
      </c>
      <c r="C202" s="79">
        <v>10</v>
      </c>
      <c r="D202" s="3" t="str">
        <f t="shared" si="80"/>
        <v/>
      </c>
      <c r="E202" s="3" t="str">
        <f t="shared" si="81"/>
        <v/>
      </c>
      <c r="F202" s="3">
        <f t="shared" si="82"/>
        <v>10</v>
      </c>
      <c r="G202" s="3" t="str">
        <f t="shared" si="83"/>
        <v/>
      </c>
    </row>
    <row r="203" spans="1:7" x14ac:dyDescent="0.2">
      <c r="A203" s="40" t="s">
        <v>54</v>
      </c>
      <c r="B203" s="78">
        <v>560</v>
      </c>
      <c r="C203" s="79">
        <v>10</v>
      </c>
      <c r="D203" s="3">
        <f t="shared" si="80"/>
        <v>10</v>
      </c>
      <c r="E203" s="3" t="str">
        <f t="shared" si="81"/>
        <v/>
      </c>
      <c r="F203" s="3" t="str">
        <f t="shared" si="82"/>
        <v/>
      </c>
      <c r="G203" s="3" t="str">
        <f t="shared" si="83"/>
        <v/>
      </c>
    </row>
    <row r="204" spans="1:7" x14ac:dyDescent="0.2">
      <c r="A204" s="40" t="s">
        <v>54</v>
      </c>
      <c r="B204" s="76">
        <v>80</v>
      </c>
      <c r="C204" s="72">
        <v>6</v>
      </c>
      <c r="D204" s="3">
        <f t="shared" si="80"/>
        <v>6</v>
      </c>
      <c r="E204" s="3" t="str">
        <f t="shared" si="81"/>
        <v/>
      </c>
      <c r="F204" s="3" t="str">
        <f t="shared" si="82"/>
        <v/>
      </c>
      <c r="G204" s="3" t="str">
        <f t="shared" si="83"/>
        <v/>
      </c>
    </row>
    <row r="205" spans="1:7" x14ac:dyDescent="0.2">
      <c r="A205" s="40" t="s">
        <v>54</v>
      </c>
      <c r="B205" s="103">
        <v>14405.73</v>
      </c>
      <c r="C205" s="72" t="s">
        <v>26</v>
      </c>
      <c r="D205" s="3" t="str">
        <f t="shared" si="80"/>
        <v/>
      </c>
      <c r="E205" s="3" t="str">
        <f t="shared" si="81"/>
        <v/>
      </c>
      <c r="F205" s="3" t="str">
        <f t="shared" si="82"/>
        <v/>
      </c>
      <c r="G205" s="3" t="str">
        <f t="shared" si="83"/>
        <v>N/A</v>
      </c>
    </row>
    <row r="206" spans="1:7" x14ac:dyDescent="0.2">
      <c r="A206" s="40" t="s">
        <v>54</v>
      </c>
      <c r="B206" s="113">
        <v>2550</v>
      </c>
      <c r="C206" s="72" t="s">
        <v>26</v>
      </c>
      <c r="D206" s="3" t="str">
        <f>IF(AND(B206&gt;0,B206&lt;1000),C206,"")</f>
        <v/>
      </c>
      <c r="E206" s="3" t="str">
        <f>IF(AND(B206&gt;1000,B206&lt;2500),C206,"")</f>
        <v/>
      </c>
      <c r="F206" s="3" t="str">
        <f>IF(AND(B206&gt;2500,B206&lt;5000),C206,"")</f>
        <v>N/A</v>
      </c>
      <c r="G206" s="3" t="str">
        <f>IF(B206&gt;=5000,C206,"")</f>
        <v/>
      </c>
    </row>
    <row r="207" spans="1:7" x14ac:dyDescent="0.2">
      <c r="A207" s="40" t="s">
        <v>71</v>
      </c>
      <c r="B207" s="76">
        <v>1855</v>
      </c>
      <c r="C207" s="72" t="s">
        <v>26</v>
      </c>
      <c r="D207" s="3" t="str">
        <f t="shared" si="76"/>
        <v/>
      </c>
      <c r="E207" s="3" t="str">
        <f t="shared" si="77"/>
        <v>N/A</v>
      </c>
      <c r="F207" s="3" t="str">
        <f t="shared" si="78"/>
        <v/>
      </c>
      <c r="G207" s="3" t="str">
        <f t="shared" si="79"/>
        <v/>
      </c>
    </row>
    <row r="208" spans="1:7" x14ac:dyDescent="0.2">
      <c r="A208" s="40" t="s">
        <v>71</v>
      </c>
      <c r="B208" s="76">
        <v>2655</v>
      </c>
      <c r="C208" s="72" t="s">
        <v>26</v>
      </c>
      <c r="D208" s="3" t="str">
        <f t="shared" si="76"/>
        <v/>
      </c>
      <c r="E208" s="3" t="str">
        <f t="shared" si="77"/>
        <v/>
      </c>
      <c r="F208" s="3" t="str">
        <f t="shared" si="78"/>
        <v>N/A</v>
      </c>
      <c r="G208" s="3" t="str">
        <f t="shared" si="79"/>
        <v/>
      </c>
    </row>
    <row r="209" spans="1:7" x14ac:dyDescent="0.2">
      <c r="A209" s="40" t="s">
        <v>71</v>
      </c>
      <c r="B209" s="103">
        <v>1</v>
      </c>
      <c r="C209" s="72" t="s">
        <v>26</v>
      </c>
      <c r="D209" s="3" t="str">
        <f>IF(AND(B209&gt;0,B209&lt;1000),C209,"")</f>
        <v>N/A</v>
      </c>
      <c r="E209" s="3" t="str">
        <f>IF(AND(B209&gt;1000,B209&lt;2500),C209,"")</f>
        <v/>
      </c>
      <c r="F209" s="3" t="str">
        <f>IF(AND(B209&gt;2500,B209&lt;5000),C209,"")</f>
        <v/>
      </c>
      <c r="G209" s="3" t="str">
        <f>IF(B209&gt;=5000,C209,"")</f>
        <v/>
      </c>
    </row>
    <row r="210" spans="1:7" x14ac:dyDescent="0.2">
      <c r="A210" s="40" t="s">
        <v>75</v>
      </c>
      <c r="B210" s="76">
        <v>2404.8000000000002</v>
      </c>
      <c r="C210" s="72" t="s">
        <v>26</v>
      </c>
      <c r="D210" s="3" t="str">
        <f t="shared" si="76"/>
        <v/>
      </c>
      <c r="E210" s="3" t="str">
        <f t="shared" si="77"/>
        <v>N/A</v>
      </c>
      <c r="F210" s="3" t="str">
        <f t="shared" si="78"/>
        <v/>
      </c>
      <c r="G210" s="3" t="str">
        <f t="shared" si="79"/>
        <v/>
      </c>
    </row>
    <row r="211" spans="1:7" x14ac:dyDescent="0.2">
      <c r="A211" s="40" t="s">
        <v>75</v>
      </c>
      <c r="B211" s="76">
        <v>2500</v>
      </c>
      <c r="C211" s="72" t="s">
        <v>26</v>
      </c>
      <c r="D211" s="3" t="str">
        <f t="shared" si="76"/>
        <v/>
      </c>
      <c r="E211" s="3" t="str">
        <f t="shared" si="77"/>
        <v/>
      </c>
      <c r="F211" s="3" t="str">
        <f t="shared" si="78"/>
        <v/>
      </c>
      <c r="G211" s="3" t="str">
        <f t="shared" si="79"/>
        <v/>
      </c>
    </row>
    <row r="212" spans="1:7" x14ac:dyDescent="0.2">
      <c r="A212" s="40" t="s">
        <v>75</v>
      </c>
      <c r="B212" s="76">
        <v>1680</v>
      </c>
      <c r="C212" s="72" t="s">
        <v>26</v>
      </c>
      <c r="D212" s="3" t="str">
        <f t="shared" si="76"/>
        <v/>
      </c>
      <c r="E212" s="3" t="str">
        <f t="shared" si="77"/>
        <v>N/A</v>
      </c>
      <c r="F212" s="3" t="str">
        <f t="shared" si="78"/>
        <v/>
      </c>
      <c r="G212" s="3" t="str">
        <f t="shared" si="79"/>
        <v/>
      </c>
    </row>
    <row r="213" spans="1:7" x14ac:dyDescent="0.2">
      <c r="A213" s="40" t="s">
        <v>75</v>
      </c>
      <c r="B213" s="76">
        <v>1</v>
      </c>
      <c r="C213" s="72">
        <v>10</v>
      </c>
      <c r="D213" s="3">
        <f t="shared" si="76"/>
        <v>10</v>
      </c>
      <c r="E213" s="3" t="str">
        <f t="shared" si="77"/>
        <v/>
      </c>
      <c r="F213" s="3" t="str">
        <f t="shared" si="78"/>
        <v/>
      </c>
      <c r="G213" s="3" t="str">
        <f t="shared" si="79"/>
        <v/>
      </c>
    </row>
    <row r="214" spans="1:7" x14ac:dyDescent="0.2">
      <c r="A214" s="40" t="s">
        <v>75</v>
      </c>
      <c r="B214" s="76">
        <v>540</v>
      </c>
      <c r="C214" s="72" t="s">
        <v>26</v>
      </c>
      <c r="D214" s="3" t="str">
        <f t="shared" si="76"/>
        <v>N/A</v>
      </c>
      <c r="E214" s="3" t="str">
        <f t="shared" si="77"/>
        <v/>
      </c>
      <c r="F214" s="3" t="str">
        <f t="shared" si="78"/>
        <v/>
      </c>
      <c r="G214" s="3" t="str">
        <f t="shared" si="79"/>
        <v/>
      </c>
    </row>
    <row r="215" spans="1:7" x14ac:dyDescent="0.2">
      <c r="A215" s="40" t="s">
        <v>75</v>
      </c>
      <c r="B215" s="76">
        <v>1700</v>
      </c>
      <c r="C215" s="72">
        <v>10</v>
      </c>
      <c r="D215" s="3" t="str">
        <f t="shared" si="76"/>
        <v/>
      </c>
      <c r="E215" s="3">
        <f t="shared" si="77"/>
        <v>10</v>
      </c>
      <c r="F215" s="3" t="str">
        <f t="shared" si="78"/>
        <v/>
      </c>
      <c r="G215" s="3" t="str">
        <f t="shared" si="79"/>
        <v/>
      </c>
    </row>
    <row r="216" spans="1:7" x14ac:dyDescent="0.2">
      <c r="A216" s="40" t="s">
        <v>75</v>
      </c>
      <c r="B216" s="76">
        <v>2744</v>
      </c>
      <c r="C216" s="72">
        <v>10</v>
      </c>
      <c r="D216" s="3" t="str">
        <f t="shared" si="76"/>
        <v/>
      </c>
      <c r="E216" s="3" t="str">
        <f t="shared" si="77"/>
        <v/>
      </c>
      <c r="F216" s="3">
        <f t="shared" si="78"/>
        <v>10</v>
      </c>
      <c r="G216" s="3" t="str">
        <f t="shared" si="79"/>
        <v/>
      </c>
    </row>
    <row r="217" spans="1:7" x14ac:dyDescent="0.2">
      <c r="A217" s="40" t="s">
        <v>75</v>
      </c>
      <c r="B217" s="76">
        <v>5450</v>
      </c>
      <c r="C217" s="72" t="s">
        <v>26</v>
      </c>
      <c r="D217" s="3" t="str">
        <f t="shared" si="76"/>
        <v/>
      </c>
      <c r="E217" s="3" t="str">
        <f t="shared" si="77"/>
        <v/>
      </c>
      <c r="F217" s="3" t="str">
        <f t="shared" si="78"/>
        <v/>
      </c>
      <c r="G217" s="3" t="str">
        <f t="shared" si="79"/>
        <v>N/A</v>
      </c>
    </row>
    <row r="218" spans="1:7" x14ac:dyDescent="0.2">
      <c r="A218" s="40" t="s">
        <v>75</v>
      </c>
      <c r="B218" s="76">
        <v>1</v>
      </c>
      <c r="C218" s="72">
        <v>10</v>
      </c>
      <c r="D218" s="3">
        <f t="shared" si="76"/>
        <v>10</v>
      </c>
      <c r="E218" s="3" t="str">
        <f t="shared" si="77"/>
        <v/>
      </c>
      <c r="F218" s="3" t="str">
        <f t="shared" si="78"/>
        <v/>
      </c>
      <c r="G218" s="3" t="str">
        <f t="shared" si="79"/>
        <v/>
      </c>
    </row>
    <row r="219" spans="1:7" x14ac:dyDescent="0.2">
      <c r="A219" s="40" t="s">
        <v>75</v>
      </c>
      <c r="B219" s="76">
        <v>1250</v>
      </c>
      <c r="C219" s="72" t="s">
        <v>26</v>
      </c>
      <c r="D219" s="3" t="str">
        <f t="shared" si="76"/>
        <v/>
      </c>
      <c r="E219" s="3" t="str">
        <f t="shared" si="77"/>
        <v>N/A</v>
      </c>
      <c r="F219" s="3" t="str">
        <f t="shared" si="78"/>
        <v/>
      </c>
      <c r="G219" s="3" t="str">
        <f t="shared" si="79"/>
        <v/>
      </c>
    </row>
    <row r="220" spans="1:7" x14ac:dyDescent="0.2">
      <c r="A220" s="40" t="s">
        <v>75</v>
      </c>
      <c r="B220" s="78">
        <v>1819.8</v>
      </c>
      <c r="C220" s="72">
        <v>10</v>
      </c>
      <c r="D220" s="3" t="str">
        <f>IF(AND(B220&gt;0,B220&lt;1000),C220,"")</f>
        <v/>
      </c>
      <c r="E220" s="3">
        <f>IF(AND(B220&gt;1000,B220&lt;2500),C220,"")</f>
        <v>10</v>
      </c>
      <c r="F220" s="3" t="str">
        <f>IF(AND(B220&gt;2500,B220&lt;5000),C220,"")</f>
        <v/>
      </c>
      <c r="G220" s="3" t="str">
        <f>IF(B220&gt;=5000,C220,"")</f>
        <v/>
      </c>
    </row>
    <row r="221" spans="1:7" x14ac:dyDescent="0.2">
      <c r="A221" s="40" t="s">
        <v>75</v>
      </c>
      <c r="B221" s="103">
        <v>3000</v>
      </c>
      <c r="C221" s="72" t="s">
        <v>26</v>
      </c>
      <c r="D221" s="3" t="str">
        <f>IF(AND(B221&gt;0,B221&lt;1000),C221,"")</f>
        <v/>
      </c>
      <c r="E221" s="3" t="str">
        <f>IF(AND(B221&gt;1000,B221&lt;2500),C221,"")</f>
        <v/>
      </c>
      <c r="F221" s="3" t="str">
        <f>IF(AND(B221&gt;2500,B221&lt;5000),C221,"")</f>
        <v>N/A</v>
      </c>
      <c r="G221" s="3" t="str">
        <f>IF(B221&gt;=5000,C221,"")</f>
        <v/>
      </c>
    </row>
    <row r="222" spans="1:7" x14ac:dyDescent="0.2">
      <c r="A222" s="40" t="s">
        <v>75</v>
      </c>
      <c r="B222" s="103">
        <v>545</v>
      </c>
      <c r="C222" s="72">
        <v>10</v>
      </c>
      <c r="D222" s="3">
        <f>IF(AND(B222&gt;0,B222&lt;1000),C222,"")</f>
        <v>10</v>
      </c>
      <c r="E222" s="3" t="str">
        <f>IF(AND(B222&gt;1000,B222&lt;2500),C222,"")</f>
        <v/>
      </c>
      <c r="F222" s="3" t="str">
        <f>IF(AND(B222&gt;2500,B222&lt;5000),C222,"")</f>
        <v/>
      </c>
      <c r="G222" s="3" t="str">
        <f>IF(B222&gt;=5000,C222,"")</f>
        <v/>
      </c>
    </row>
    <row r="223" spans="1:7" x14ac:dyDescent="0.2">
      <c r="A223" s="40" t="s">
        <v>75</v>
      </c>
      <c r="B223" s="113">
        <v>1350</v>
      </c>
      <c r="C223" s="72" t="s">
        <v>26</v>
      </c>
      <c r="D223" s="3" t="str">
        <f t="shared" ref="D223:D225" si="84">IF(AND(B223&gt;0,B223&lt;1000),C223,"")</f>
        <v/>
      </c>
      <c r="E223" s="3" t="str">
        <f t="shared" ref="E223:E225" si="85">IF(AND(B223&gt;1000,B223&lt;2500),C223,"")</f>
        <v>N/A</v>
      </c>
      <c r="F223" s="3" t="str">
        <f t="shared" ref="F223:F225" si="86">IF(AND(B223&gt;2500,B223&lt;5000),C223,"")</f>
        <v/>
      </c>
      <c r="G223" s="3" t="str">
        <f t="shared" ref="G223:G225" si="87">IF(B223&gt;=5000,C223,"")</f>
        <v/>
      </c>
    </row>
    <row r="224" spans="1:7" x14ac:dyDescent="0.2">
      <c r="A224" s="40" t="s">
        <v>75</v>
      </c>
      <c r="B224" s="113">
        <v>1500</v>
      </c>
      <c r="C224" s="72" t="s">
        <v>26</v>
      </c>
      <c r="D224" s="3" t="str">
        <f t="shared" si="84"/>
        <v/>
      </c>
      <c r="E224" s="3" t="str">
        <f t="shared" si="85"/>
        <v>N/A</v>
      </c>
      <c r="F224" s="3" t="str">
        <f t="shared" si="86"/>
        <v/>
      </c>
      <c r="G224" s="3" t="str">
        <f t="shared" si="87"/>
        <v/>
      </c>
    </row>
    <row r="225" spans="1:7" x14ac:dyDescent="0.2">
      <c r="A225" s="40" t="s">
        <v>75</v>
      </c>
      <c r="B225" s="113">
        <v>1</v>
      </c>
      <c r="C225" s="72" t="s">
        <v>26</v>
      </c>
      <c r="D225" s="3" t="str">
        <f t="shared" si="84"/>
        <v>N/A</v>
      </c>
      <c r="E225" s="3" t="str">
        <f t="shared" si="85"/>
        <v/>
      </c>
      <c r="F225" s="3" t="str">
        <f t="shared" si="86"/>
        <v/>
      </c>
      <c r="G225" s="3" t="str">
        <f t="shared" si="87"/>
        <v/>
      </c>
    </row>
    <row r="226" spans="1:7" x14ac:dyDescent="0.2">
      <c r="A226" s="40" t="s">
        <v>82</v>
      </c>
      <c r="B226" s="76">
        <v>1800</v>
      </c>
      <c r="C226" s="72">
        <v>8</v>
      </c>
      <c r="D226" s="3" t="str">
        <f t="shared" ref="D226:D235" si="88">IF(AND(B226&gt;0,B226&lt;1000),C226,"")</f>
        <v/>
      </c>
      <c r="E226" s="3">
        <f t="shared" ref="E226:E235" si="89">IF(AND(B226&gt;1000,B226&lt;2500),C226,"")</f>
        <v>8</v>
      </c>
      <c r="F226" s="3" t="str">
        <f t="shared" ref="F226:F235" si="90">IF(AND(B226&gt;2500,B226&lt;5000),C226,"")</f>
        <v/>
      </c>
      <c r="G226" s="3" t="str">
        <f t="shared" ref="G226:G235" si="91">IF(B226&gt;=5000,C226,"")</f>
        <v/>
      </c>
    </row>
    <row r="227" spans="1:7" x14ac:dyDescent="0.2">
      <c r="A227" s="40" t="s">
        <v>82</v>
      </c>
      <c r="B227" s="103">
        <v>2800</v>
      </c>
      <c r="C227" s="72" t="s">
        <v>26</v>
      </c>
      <c r="D227" s="3" t="str">
        <f>IF(AND(B227&gt;0,B227&lt;1000),C227,"")</f>
        <v/>
      </c>
      <c r="E227" s="3" t="str">
        <f>IF(AND(B227&gt;1000,B227&lt;2500),C227,"")</f>
        <v/>
      </c>
      <c r="F227" s="3" t="str">
        <f>IF(AND(B227&gt;2500,B227&lt;5000),C227,"")</f>
        <v>N/A</v>
      </c>
      <c r="G227" s="3" t="str">
        <f>IF(B227&gt;=5000,C227,"")</f>
        <v/>
      </c>
    </row>
    <row r="228" spans="1:7" x14ac:dyDescent="0.2">
      <c r="A228" s="40" t="s">
        <v>82</v>
      </c>
      <c r="B228" s="103">
        <v>25220</v>
      </c>
      <c r="C228" s="72" t="s">
        <v>26</v>
      </c>
      <c r="D228" s="3" t="str">
        <f>IF(AND(B228&gt;0,B228&lt;1000),C228,"")</f>
        <v/>
      </c>
      <c r="E228" s="3" t="str">
        <f>IF(AND(B228&gt;1000,B228&lt;2500),C228,"")</f>
        <v/>
      </c>
      <c r="F228" s="3" t="str">
        <f>IF(AND(B228&gt;2500,B228&lt;5000),C228,"")</f>
        <v/>
      </c>
      <c r="G228" s="3" t="str">
        <f>IF(B228&gt;=5000,C228,"")</f>
        <v>N/A</v>
      </c>
    </row>
    <row r="229" spans="1:7" x14ac:dyDescent="0.2">
      <c r="A229" s="40" t="s">
        <v>82</v>
      </c>
      <c r="B229" s="113">
        <v>34618.230000000003</v>
      </c>
      <c r="C229" s="72" t="s">
        <v>26</v>
      </c>
      <c r="D229" s="3" t="str">
        <f>IF(AND(B229&gt;0,B229&lt;1000),C229,"")</f>
        <v/>
      </c>
      <c r="E229" s="3" t="str">
        <f>IF(AND(B229&gt;1000,B229&lt;2500),C229,"")</f>
        <v/>
      </c>
      <c r="F229" s="3" t="str">
        <f>IF(AND(B229&gt;2500,B229&lt;5000),C229,"")</f>
        <v/>
      </c>
      <c r="G229" s="3" t="str">
        <f>IF(B229&gt;=5000,C229,"")</f>
        <v>N/A</v>
      </c>
    </row>
    <row r="230" spans="1:7" x14ac:dyDescent="0.2">
      <c r="A230" s="40" t="s">
        <v>135</v>
      </c>
      <c r="B230" s="76">
        <v>1400</v>
      </c>
      <c r="C230" s="72" t="s">
        <v>26</v>
      </c>
      <c r="D230" s="3" t="str">
        <f t="shared" si="88"/>
        <v/>
      </c>
      <c r="E230" s="3" t="str">
        <f t="shared" si="89"/>
        <v>N/A</v>
      </c>
      <c r="F230" s="3" t="str">
        <f t="shared" si="90"/>
        <v/>
      </c>
      <c r="G230" s="3" t="str">
        <f t="shared" si="91"/>
        <v/>
      </c>
    </row>
    <row r="231" spans="1:7" x14ac:dyDescent="0.2">
      <c r="A231" s="40" t="s">
        <v>135</v>
      </c>
      <c r="B231" s="113">
        <v>1400</v>
      </c>
      <c r="C231" s="72" t="s">
        <v>26</v>
      </c>
      <c r="D231" s="3" t="str">
        <f t="shared" ref="D231:D232" si="92">IF(AND(B231&gt;0,B231&lt;1000),C231,"")</f>
        <v/>
      </c>
      <c r="E231" s="3" t="str">
        <f t="shared" ref="E231:E232" si="93">IF(AND(B231&gt;1000,B231&lt;2500),C231,"")</f>
        <v>N/A</v>
      </c>
      <c r="F231" s="3" t="str">
        <f t="shared" ref="F231:F232" si="94">IF(AND(B231&gt;2500,B231&lt;5000),C231,"")</f>
        <v/>
      </c>
      <c r="G231" s="3" t="str">
        <f t="shared" ref="G231:G232" si="95">IF(B231&gt;=5000,C231,"")</f>
        <v/>
      </c>
    </row>
    <row r="232" spans="1:7" x14ac:dyDescent="0.2">
      <c r="A232" s="40" t="s">
        <v>135</v>
      </c>
      <c r="B232" s="113">
        <v>1200</v>
      </c>
      <c r="C232" s="72" t="s">
        <v>26</v>
      </c>
      <c r="D232" s="3" t="str">
        <f t="shared" si="92"/>
        <v/>
      </c>
      <c r="E232" s="3" t="str">
        <f t="shared" si="93"/>
        <v>N/A</v>
      </c>
      <c r="F232" s="3" t="str">
        <f t="shared" si="94"/>
        <v/>
      </c>
      <c r="G232" s="3" t="str">
        <f t="shared" si="95"/>
        <v/>
      </c>
    </row>
    <row r="233" spans="1:7" x14ac:dyDescent="0.2">
      <c r="A233" s="40" t="s">
        <v>103</v>
      </c>
      <c r="B233" s="76">
        <v>6300</v>
      </c>
      <c r="C233" s="72" t="s">
        <v>26</v>
      </c>
      <c r="D233" s="3" t="str">
        <f t="shared" si="88"/>
        <v/>
      </c>
      <c r="E233" s="3" t="str">
        <f t="shared" si="89"/>
        <v/>
      </c>
      <c r="F233" s="3" t="str">
        <f t="shared" si="90"/>
        <v/>
      </c>
      <c r="G233" s="3" t="str">
        <f t="shared" si="91"/>
        <v>N/A</v>
      </c>
    </row>
    <row r="234" spans="1:7" x14ac:dyDescent="0.2">
      <c r="A234" s="40" t="s">
        <v>103</v>
      </c>
      <c r="B234" s="76">
        <v>1700</v>
      </c>
      <c r="C234" s="72" t="s">
        <v>26</v>
      </c>
      <c r="D234" s="3" t="str">
        <f t="shared" si="88"/>
        <v/>
      </c>
      <c r="E234" s="3" t="str">
        <f t="shared" si="89"/>
        <v>N/A</v>
      </c>
      <c r="F234" s="3" t="str">
        <f t="shared" si="90"/>
        <v/>
      </c>
      <c r="G234" s="3" t="str">
        <f t="shared" si="91"/>
        <v/>
      </c>
    </row>
    <row r="235" spans="1:7" x14ac:dyDescent="0.2">
      <c r="A235" s="40" t="s">
        <v>103</v>
      </c>
      <c r="B235" s="76">
        <v>3900</v>
      </c>
      <c r="C235" s="72" t="s">
        <v>26</v>
      </c>
      <c r="D235" s="3" t="str">
        <f t="shared" si="88"/>
        <v/>
      </c>
      <c r="E235" s="3" t="str">
        <f t="shared" si="89"/>
        <v/>
      </c>
      <c r="F235" s="3" t="str">
        <f t="shared" si="90"/>
        <v>N/A</v>
      </c>
      <c r="G235" s="3" t="str">
        <f t="shared" si="91"/>
        <v/>
      </c>
    </row>
    <row r="236" spans="1:7" x14ac:dyDescent="0.2">
      <c r="A236" s="40" t="s">
        <v>121</v>
      </c>
      <c r="B236" s="76">
        <v>19880</v>
      </c>
      <c r="C236" s="72" t="s">
        <v>26</v>
      </c>
      <c r="D236" s="3" t="str">
        <f t="shared" ref="D236:D256" si="96">IF(AND(B236&gt;0,B236&lt;1000),C236,"")</f>
        <v/>
      </c>
      <c r="E236" s="3" t="str">
        <f t="shared" ref="E236:E256" si="97">IF(AND(B236&gt;1000,B236&lt;2500),C236,"")</f>
        <v/>
      </c>
      <c r="F236" s="3" t="str">
        <f t="shared" ref="F236:F256" si="98">IF(AND(B236&gt;2500,B236&lt;5000),C236,"")</f>
        <v/>
      </c>
      <c r="G236" s="3" t="str">
        <f t="shared" ref="G236:G256" si="99">IF(B236&gt;=5000,C236,"")</f>
        <v>N/A</v>
      </c>
    </row>
    <row r="237" spans="1:7" x14ac:dyDescent="0.2">
      <c r="A237" s="40" t="s">
        <v>121</v>
      </c>
      <c r="B237" s="76">
        <v>9000</v>
      </c>
      <c r="C237" s="72">
        <v>9</v>
      </c>
      <c r="D237" s="3" t="str">
        <f t="shared" si="96"/>
        <v/>
      </c>
      <c r="E237" s="3" t="str">
        <f t="shared" si="97"/>
        <v/>
      </c>
      <c r="F237" s="3" t="str">
        <f t="shared" si="98"/>
        <v/>
      </c>
      <c r="G237" s="3">
        <f t="shared" si="99"/>
        <v>9</v>
      </c>
    </row>
    <row r="238" spans="1:7" x14ac:dyDescent="0.2">
      <c r="A238" s="40" t="s">
        <v>121</v>
      </c>
      <c r="B238" s="76">
        <v>4600</v>
      </c>
      <c r="C238" s="72" t="s">
        <v>26</v>
      </c>
      <c r="D238" s="3" t="str">
        <f t="shared" si="96"/>
        <v/>
      </c>
      <c r="E238" s="3" t="str">
        <f t="shared" si="97"/>
        <v/>
      </c>
      <c r="F238" s="3" t="str">
        <f t="shared" si="98"/>
        <v>N/A</v>
      </c>
      <c r="G238" s="3" t="str">
        <f t="shared" si="99"/>
        <v/>
      </c>
    </row>
    <row r="239" spans="1:7" x14ac:dyDescent="0.2">
      <c r="A239" s="40" t="s">
        <v>121</v>
      </c>
      <c r="B239" s="76">
        <v>12880</v>
      </c>
      <c r="C239" s="72" t="s">
        <v>26</v>
      </c>
      <c r="D239" s="3" t="str">
        <f t="shared" si="96"/>
        <v/>
      </c>
      <c r="E239" s="3" t="str">
        <f t="shared" si="97"/>
        <v/>
      </c>
      <c r="F239" s="3" t="str">
        <f t="shared" si="98"/>
        <v/>
      </c>
      <c r="G239" s="3" t="str">
        <f t="shared" si="99"/>
        <v>N/A</v>
      </c>
    </row>
    <row r="240" spans="1:7" x14ac:dyDescent="0.2">
      <c r="A240" s="40" t="s">
        <v>121</v>
      </c>
      <c r="B240" s="113">
        <v>34618.230000000003</v>
      </c>
      <c r="C240" s="72" t="s">
        <v>26</v>
      </c>
      <c r="D240" s="3" t="str">
        <f>IF(AND(B240&gt;0,B240&lt;1000),C240,"")</f>
        <v/>
      </c>
      <c r="E240" s="3" t="str">
        <f>IF(AND(B240&gt;1000,B240&lt;2500),C240,"")</f>
        <v/>
      </c>
      <c r="F240" s="3" t="str">
        <f>IF(AND(B240&gt;2500,B240&lt;5000),C240,"")</f>
        <v/>
      </c>
      <c r="G240" s="3" t="str">
        <f>IF(B240&gt;=5000,C240,"")</f>
        <v>N/A</v>
      </c>
    </row>
    <row r="241" spans="1:7" x14ac:dyDescent="0.2">
      <c r="A241" s="40" t="s">
        <v>121</v>
      </c>
      <c r="B241" s="78">
        <v>296.39999999999998</v>
      </c>
      <c r="C241" s="72">
        <v>10</v>
      </c>
      <c r="D241" s="3">
        <f>IF(AND(B241&gt;0,B241&lt;1000),C241,"")</f>
        <v>10</v>
      </c>
      <c r="E241" s="3" t="str">
        <f>IF(AND(B241&gt;1000,B241&lt;2500),C241,"")</f>
        <v/>
      </c>
      <c r="F241" s="3" t="str">
        <f>IF(AND(B241&gt;2500,B241&lt;5000),C241,"")</f>
        <v/>
      </c>
      <c r="G241" s="3" t="str">
        <f>IF(B241&gt;=5000,C241,"")</f>
        <v/>
      </c>
    </row>
    <row r="242" spans="1:7" x14ac:dyDescent="0.2">
      <c r="A242" s="40" t="s">
        <v>116</v>
      </c>
      <c r="B242" s="76">
        <v>10</v>
      </c>
      <c r="C242" s="72">
        <v>10</v>
      </c>
      <c r="D242" s="3">
        <f t="shared" si="96"/>
        <v>10</v>
      </c>
      <c r="E242" s="3" t="str">
        <f t="shared" si="97"/>
        <v/>
      </c>
      <c r="F242" s="3" t="str">
        <f t="shared" si="98"/>
        <v/>
      </c>
      <c r="G242" s="3" t="str">
        <f t="shared" si="99"/>
        <v/>
      </c>
    </row>
    <row r="243" spans="1:7" x14ac:dyDescent="0.2">
      <c r="A243" s="40" t="s">
        <v>116</v>
      </c>
      <c r="B243" s="78">
        <v>144</v>
      </c>
      <c r="C243" s="72">
        <v>10</v>
      </c>
      <c r="D243" s="3">
        <f>IF(AND(B243&gt;0,B243&lt;1000),C243,"")</f>
        <v>10</v>
      </c>
      <c r="E243" s="3" t="str">
        <f>IF(AND(B243&gt;1000,B243&lt;2500),C243,"")</f>
        <v/>
      </c>
      <c r="F243" s="3" t="str">
        <f>IF(AND(B243&gt;2500,B243&lt;5000),C243,"")</f>
        <v/>
      </c>
      <c r="G243" s="3" t="str">
        <f>IF(B243&gt;=5000,C243,"")</f>
        <v/>
      </c>
    </row>
    <row r="244" spans="1:7" x14ac:dyDescent="0.2">
      <c r="A244" s="40" t="s">
        <v>116</v>
      </c>
      <c r="B244" s="78">
        <v>60</v>
      </c>
      <c r="C244" s="72">
        <v>10</v>
      </c>
      <c r="D244" s="3">
        <f>IF(AND(B244&gt;0,B244&lt;1000),C244,"")</f>
        <v>10</v>
      </c>
      <c r="E244" s="3" t="str">
        <f>IF(AND(B244&gt;1000,B244&lt;2500),C244,"")</f>
        <v/>
      </c>
      <c r="F244" s="3" t="str">
        <f>IF(AND(B244&gt;2500,B244&lt;5000),C244,"")</f>
        <v/>
      </c>
      <c r="G244" s="3" t="str">
        <f>IF(B244&gt;=5000,C244,"")</f>
        <v/>
      </c>
    </row>
    <row r="245" spans="1:7" x14ac:dyDescent="0.2">
      <c r="A245" s="40" t="s">
        <v>106</v>
      </c>
      <c r="B245" s="76">
        <v>10515</v>
      </c>
      <c r="C245" s="72" t="s">
        <v>26</v>
      </c>
      <c r="D245" s="3" t="str">
        <f t="shared" si="96"/>
        <v/>
      </c>
      <c r="E245" s="3" t="str">
        <f t="shared" si="97"/>
        <v/>
      </c>
      <c r="F245" s="3" t="str">
        <f t="shared" si="98"/>
        <v/>
      </c>
      <c r="G245" s="3" t="str">
        <f t="shared" si="99"/>
        <v>N/A</v>
      </c>
    </row>
    <row r="246" spans="1:7" x14ac:dyDescent="0.2">
      <c r="A246" s="40" t="s">
        <v>106</v>
      </c>
      <c r="B246" s="103">
        <v>6000</v>
      </c>
      <c r="C246" s="72" t="s">
        <v>26</v>
      </c>
      <c r="D246" s="3" t="str">
        <f>IF(AND(B246&gt;0,B246&lt;1000),C246,"")</f>
        <v/>
      </c>
      <c r="E246" s="3" t="str">
        <f>IF(AND(B246&gt;1000,B246&lt;2500),C246,"")</f>
        <v/>
      </c>
      <c r="F246" s="3" t="str">
        <f>IF(AND(B246&gt;2500,B246&lt;5000),C246,"")</f>
        <v/>
      </c>
      <c r="G246" s="3" t="str">
        <f>IF(B246&gt;=5000,C246,"")</f>
        <v>N/A</v>
      </c>
    </row>
    <row r="247" spans="1:7" x14ac:dyDescent="0.2">
      <c r="A247" s="40" t="s">
        <v>106</v>
      </c>
      <c r="B247" s="76">
        <v>5810</v>
      </c>
      <c r="C247" s="72" t="s">
        <v>26</v>
      </c>
      <c r="D247" s="3" t="str">
        <f t="shared" si="96"/>
        <v/>
      </c>
      <c r="E247" s="3" t="str">
        <f t="shared" si="97"/>
        <v/>
      </c>
      <c r="F247" s="3" t="str">
        <f t="shared" si="98"/>
        <v/>
      </c>
      <c r="G247" s="3" t="str">
        <f t="shared" si="99"/>
        <v>N/A</v>
      </c>
    </row>
    <row r="248" spans="1:7" x14ac:dyDescent="0.2">
      <c r="A248" s="40" t="s">
        <v>106</v>
      </c>
      <c r="B248" s="103">
        <v>2544</v>
      </c>
      <c r="C248" s="72" t="s">
        <v>26</v>
      </c>
      <c r="D248" s="3" t="str">
        <f>IF(AND(B248&gt;0,B248&lt;1000),C248,"")</f>
        <v/>
      </c>
      <c r="E248" s="3" t="str">
        <f>IF(AND(B248&gt;1000,B248&lt;2500),C248,"")</f>
        <v/>
      </c>
      <c r="F248" s="3" t="str">
        <f>IF(AND(B248&gt;2500,B248&lt;5000),C248,"")</f>
        <v>N/A</v>
      </c>
      <c r="G248" s="3" t="str">
        <f>IF(B248&gt;=5000,C248,"")</f>
        <v/>
      </c>
    </row>
    <row r="249" spans="1:7" x14ac:dyDescent="0.2">
      <c r="A249" s="40" t="s">
        <v>106</v>
      </c>
      <c r="B249" s="76">
        <v>5400</v>
      </c>
      <c r="C249" s="72" t="s">
        <v>26</v>
      </c>
      <c r="D249" s="3" t="str">
        <f t="shared" si="96"/>
        <v/>
      </c>
      <c r="E249" s="3" t="str">
        <f t="shared" si="97"/>
        <v/>
      </c>
      <c r="F249" s="3" t="str">
        <f t="shared" si="98"/>
        <v/>
      </c>
      <c r="G249" s="3" t="str">
        <f t="shared" si="99"/>
        <v>N/A</v>
      </c>
    </row>
    <row r="250" spans="1:7" x14ac:dyDescent="0.2">
      <c r="A250" s="40" t="s">
        <v>106</v>
      </c>
      <c r="B250" s="103">
        <v>3600</v>
      </c>
      <c r="C250" s="72" t="s">
        <v>26</v>
      </c>
      <c r="D250" s="3" t="str">
        <f>IF(AND(B250&gt;0,B250&lt;1000),C250,"")</f>
        <v/>
      </c>
      <c r="E250" s="3" t="str">
        <f>IF(AND(B250&gt;1000,B250&lt;2500),C250,"")</f>
        <v/>
      </c>
      <c r="F250" s="3" t="str">
        <f>IF(AND(B250&gt;2500,B250&lt;5000),C250,"")</f>
        <v>N/A</v>
      </c>
      <c r="G250" s="3" t="str">
        <f>IF(B250&gt;=5000,C250,"")</f>
        <v/>
      </c>
    </row>
    <row r="251" spans="1:7" x14ac:dyDescent="0.2">
      <c r="A251" t="s">
        <v>31</v>
      </c>
      <c r="B251" s="103">
        <v>977.4</v>
      </c>
      <c r="C251" s="72" t="s">
        <v>26</v>
      </c>
      <c r="D251" s="3" t="str">
        <f>IF(AND(B251&gt;0,B251&lt;1000),C251,"")</f>
        <v>N/A</v>
      </c>
      <c r="E251" s="3" t="str">
        <f>IF(AND(B251&gt;1000,B251&lt;2500),C251,"")</f>
        <v/>
      </c>
      <c r="F251" s="3" t="str">
        <f>IF(AND(B251&gt;2500,B251&lt;5000),C251,"")</f>
        <v/>
      </c>
      <c r="G251" s="3" t="str">
        <f>IF(B251&gt;=5000,C251,"")</f>
        <v/>
      </c>
    </row>
    <row r="252" spans="1:7" x14ac:dyDescent="0.2">
      <c r="A252" s="40" t="s">
        <v>143</v>
      </c>
      <c r="B252" s="76">
        <v>6300</v>
      </c>
      <c r="C252" s="72" t="s">
        <v>26</v>
      </c>
      <c r="D252" s="3" t="str">
        <f t="shared" si="96"/>
        <v/>
      </c>
      <c r="E252" s="3" t="str">
        <f t="shared" si="97"/>
        <v/>
      </c>
      <c r="F252" s="3" t="str">
        <f t="shared" si="98"/>
        <v/>
      </c>
      <c r="G252" s="3" t="str">
        <f t="shared" si="99"/>
        <v>N/A</v>
      </c>
    </row>
    <row r="253" spans="1:7" x14ac:dyDescent="0.2">
      <c r="A253" s="40" t="s">
        <v>143</v>
      </c>
      <c r="B253" s="76">
        <v>1800</v>
      </c>
      <c r="C253" s="72">
        <v>10</v>
      </c>
      <c r="D253" s="3" t="str">
        <f t="shared" si="96"/>
        <v/>
      </c>
      <c r="E253" s="3">
        <f t="shared" si="97"/>
        <v>10</v>
      </c>
      <c r="F253" s="3" t="str">
        <f t="shared" si="98"/>
        <v/>
      </c>
      <c r="G253" s="3" t="str">
        <f t="shared" si="99"/>
        <v/>
      </c>
    </row>
    <row r="254" spans="1:7" x14ac:dyDescent="0.2">
      <c r="A254" s="40" t="s">
        <v>143</v>
      </c>
      <c r="B254" s="76">
        <v>6000</v>
      </c>
      <c r="C254" s="72" t="s">
        <v>26</v>
      </c>
      <c r="D254" s="3" t="str">
        <f t="shared" si="96"/>
        <v/>
      </c>
      <c r="E254" s="3" t="str">
        <f t="shared" si="97"/>
        <v/>
      </c>
      <c r="F254" s="3" t="str">
        <f t="shared" si="98"/>
        <v/>
      </c>
      <c r="G254" s="3" t="str">
        <f t="shared" si="99"/>
        <v>N/A</v>
      </c>
    </row>
    <row r="255" spans="1:7" x14ac:dyDescent="0.2">
      <c r="A255" s="40" t="s">
        <v>143</v>
      </c>
      <c r="B255" s="76">
        <v>2000</v>
      </c>
      <c r="C255" s="72">
        <v>9</v>
      </c>
      <c r="D255" s="3" t="str">
        <f t="shared" si="96"/>
        <v/>
      </c>
      <c r="E255" s="3">
        <f t="shared" si="97"/>
        <v>9</v>
      </c>
      <c r="F255" s="3" t="str">
        <f t="shared" si="98"/>
        <v/>
      </c>
      <c r="G255" s="3" t="str">
        <f t="shared" si="99"/>
        <v/>
      </c>
    </row>
    <row r="256" spans="1:7" x14ac:dyDescent="0.2">
      <c r="A256" s="40" t="s">
        <v>143</v>
      </c>
      <c r="B256" s="76">
        <v>750</v>
      </c>
      <c r="C256" s="72">
        <v>10</v>
      </c>
      <c r="D256" s="3">
        <f t="shared" si="96"/>
        <v>10</v>
      </c>
      <c r="E256" s="3" t="str">
        <f t="shared" si="97"/>
        <v/>
      </c>
      <c r="F256" s="3" t="str">
        <f t="shared" si="98"/>
        <v/>
      </c>
      <c r="G256" s="3" t="str">
        <f t="shared" si="99"/>
        <v/>
      </c>
    </row>
    <row r="257" spans="1:7" x14ac:dyDescent="0.2">
      <c r="A257" s="40" t="s">
        <v>143</v>
      </c>
      <c r="B257" s="76">
        <v>3000</v>
      </c>
      <c r="C257" s="72" t="s">
        <v>26</v>
      </c>
      <c r="D257" s="3" t="str">
        <f t="shared" ref="D257:D293" si="100">IF(AND(B257&gt;0,B257&lt;1000),C257,"")</f>
        <v/>
      </c>
      <c r="E257" s="3" t="str">
        <f t="shared" ref="E257:E293" si="101">IF(AND(B257&gt;1000,B257&lt;2500),C257,"")</f>
        <v/>
      </c>
      <c r="F257" s="3" t="str">
        <f t="shared" ref="F257:F293" si="102">IF(AND(B257&gt;2500,B257&lt;5000),C257,"")</f>
        <v>N/A</v>
      </c>
      <c r="G257" s="3" t="str">
        <f t="shared" ref="G257:G293" si="103">IF(B257&gt;=5000,C257,"")</f>
        <v/>
      </c>
    </row>
    <row r="258" spans="1:7" x14ac:dyDescent="0.2">
      <c r="A258" s="40" t="s">
        <v>143</v>
      </c>
      <c r="B258" s="76">
        <v>2150</v>
      </c>
      <c r="C258" s="72" t="s">
        <v>26</v>
      </c>
      <c r="D258" s="3" t="str">
        <f t="shared" si="100"/>
        <v/>
      </c>
      <c r="E258" s="3" t="str">
        <f t="shared" si="101"/>
        <v>N/A</v>
      </c>
      <c r="F258" s="3" t="str">
        <f t="shared" si="102"/>
        <v/>
      </c>
      <c r="G258" s="3" t="str">
        <f t="shared" si="103"/>
        <v/>
      </c>
    </row>
    <row r="259" spans="1:7" x14ac:dyDescent="0.2">
      <c r="A259" s="40" t="s">
        <v>143</v>
      </c>
      <c r="B259" s="103">
        <v>2000</v>
      </c>
      <c r="C259" s="72" t="s">
        <v>26</v>
      </c>
      <c r="D259" s="3" t="str">
        <f>IF(AND(B259&gt;0,B259&lt;1000),C259,"")</f>
        <v/>
      </c>
      <c r="E259" s="3" t="str">
        <f>IF(AND(B259&gt;1000,B259&lt;2500),C259,"")</f>
        <v>N/A</v>
      </c>
      <c r="F259" s="3" t="str">
        <f>IF(AND(B259&gt;2500,B259&lt;5000),C259,"")</f>
        <v/>
      </c>
      <c r="G259" s="3" t="str">
        <f>IF(B259&gt;=5000,C259,"")</f>
        <v/>
      </c>
    </row>
    <row r="260" spans="1:7" x14ac:dyDescent="0.2">
      <c r="A260" s="40" t="s">
        <v>143</v>
      </c>
      <c r="B260" s="103">
        <v>7980</v>
      </c>
      <c r="C260" s="72" t="s">
        <v>26</v>
      </c>
      <c r="D260" s="3" t="str">
        <f>IF(AND(B260&gt;0,B260&lt;1000),C260,"")</f>
        <v/>
      </c>
      <c r="E260" s="3" t="str">
        <f>IF(AND(B260&gt;1000,B260&lt;2500),C260,"")</f>
        <v/>
      </c>
      <c r="F260" s="3" t="str">
        <f>IF(AND(B260&gt;2500,B260&lt;5000),C260,"")</f>
        <v/>
      </c>
      <c r="G260" s="3" t="str">
        <f>IF(B260&gt;=5000,C260,"")</f>
        <v>N/A</v>
      </c>
    </row>
    <row r="261" spans="1:7" x14ac:dyDescent="0.2">
      <c r="A261" s="40" t="s">
        <v>143</v>
      </c>
      <c r="B261" s="113">
        <v>5000</v>
      </c>
      <c r="C261" s="72" t="s">
        <v>26</v>
      </c>
      <c r="D261" s="3" t="str">
        <f t="shared" ref="D261:D263" si="104">IF(AND(B261&gt;0,B261&lt;1000),C261,"")</f>
        <v/>
      </c>
      <c r="E261" s="3" t="str">
        <f t="shared" ref="E261:E263" si="105">IF(AND(B261&gt;1000,B261&lt;2500),C261,"")</f>
        <v/>
      </c>
      <c r="F261" s="3" t="str">
        <f t="shared" ref="F261:F263" si="106">IF(AND(B261&gt;2500,B261&lt;5000),C261,"")</f>
        <v/>
      </c>
      <c r="G261" s="3" t="str">
        <f t="shared" ref="G261:G263" si="107">IF(B261&gt;=5000,C261,"")</f>
        <v>N/A</v>
      </c>
    </row>
    <row r="262" spans="1:7" x14ac:dyDescent="0.2">
      <c r="A262" s="40" t="s">
        <v>143</v>
      </c>
      <c r="B262" s="113">
        <v>3500</v>
      </c>
      <c r="C262" s="72" t="s">
        <v>26</v>
      </c>
      <c r="D262" s="3" t="str">
        <f t="shared" si="104"/>
        <v/>
      </c>
      <c r="E262" s="3" t="str">
        <f t="shared" si="105"/>
        <v/>
      </c>
      <c r="F262" s="3" t="str">
        <f t="shared" si="106"/>
        <v>N/A</v>
      </c>
      <c r="G262" s="3" t="str">
        <f t="shared" si="107"/>
        <v/>
      </c>
    </row>
    <row r="263" spans="1:7" x14ac:dyDescent="0.2">
      <c r="A263" s="40" t="s">
        <v>143</v>
      </c>
      <c r="B263" s="113">
        <v>70</v>
      </c>
      <c r="C263" s="114">
        <v>10</v>
      </c>
      <c r="D263" s="3">
        <f t="shared" si="104"/>
        <v>10</v>
      </c>
      <c r="E263" s="3" t="str">
        <f t="shared" si="105"/>
        <v/>
      </c>
      <c r="F263" s="3" t="str">
        <f t="shared" si="106"/>
        <v/>
      </c>
      <c r="G263" s="3" t="str">
        <f t="shared" si="107"/>
        <v/>
      </c>
    </row>
    <row r="264" spans="1:7" x14ac:dyDescent="0.2">
      <c r="A264" s="40" t="s">
        <v>70</v>
      </c>
      <c r="B264" s="76">
        <v>1400</v>
      </c>
      <c r="C264" s="72" t="s">
        <v>26</v>
      </c>
      <c r="D264" s="3" t="str">
        <f t="shared" si="100"/>
        <v/>
      </c>
      <c r="E264" s="3" t="str">
        <f t="shared" si="101"/>
        <v>N/A</v>
      </c>
      <c r="F264" s="3" t="str">
        <f t="shared" si="102"/>
        <v/>
      </c>
      <c r="G264" s="3" t="str">
        <f t="shared" si="103"/>
        <v/>
      </c>
    </row>
    <row r="265" spans="1:7" x14ac:dyDescent="0.2">
      <c r="A265" s="40" t="s">
        <v>70</v>
      </c>
      <c r="B265" s="78">
        <v>4300</v>
      </c>
      <c r="C265" s="72" t="s">
        <v>26</v>
      </c>
      <c r="D265" s="3" t="str">
        <f>IF(AND(B265&gt;0,B265&lt;1000),C265,"")</f>
        <v/>
      </c>
      <c r="E265" s="3" t="str">
        <f>IF(AND(B265&gt;1000,B265&lt;2500),C265,"")</f>
        <v/>
      </c>
      <c r="F265" s="3" t="str">
        <f>IF(AND(B265&gt;2500,B265&lt;5000),C265,"")</f>
        <v>N/A</v>
      </c>
      <c r="G265" s="3" t="str">
        <f>IF(B265&gt;=5000,C265,"")</f>
        <v/>
      </c>
    </row>
    <row r="266" spans="1:7" x14ac:dyDescent="0.2">
      <c r="A266" s="40" t="s">
        <v>70</v>
      </c>
      <c r="B266" s="113">
        <v>1500</v>
      </c>
      <c r="C266" s="72" t="s">
        <v>26</v>
      </c>
      <c r="D266" s="3" t="str">
        <f>IF(AND(B266&gt;0,B266&lt;1000),C266,"")</f>
        <v/>
      </c>
      <c r="E266" s="3" t="str">
        <f>IF(AND(B266&gt;1000,B266&lt;2500),C266,"")</f>
        <v>N/A</v>
      </c>
      <c r="F266" s="3" t="str">
        <f>IF(AND(B266&gt;2500,B266&lt;5000),C266,"")</f>
        <v/>
      </c>
      <c r="G266" s="3" t="str">
        <f>IF(B266&gt;=5000,C266,"")</f>
        <v/>
      </c>
    </row>
    <row r="267" spans="1:7" x14ac:dyDescent="0.2">
      <c r="A267" s="40" t="s">
        <v>77</v>
      </c>
      <c r="B267" s="76">
        <v>400</v>
      </c>
      <c r="C267" s="72" t="s">
        <v>26</v>
      </c>
      <c r="D267" s="3" t="str">
        <f t="shared" si="100"/>
        <v>N/A</v>
      </c>
      <c r="E267" s="3" t="str">
        <f t="shared" si="101"/>
        <v/>
      </c>
      <c r="F267" s="3" t="str">
        <f t="shared" si="102"/>
        <v/>
      </c>
      <c r="G267" s="3" t="str">
        <f t="shared" si="103"/>
        <v/>
      </c>
    </row>
    <row r="268" spans="1:7" x14ac:dyDescent="0.2">
      <c r="A268" s="40" t="s">
        <v>77</v>
      </c>
      <c r="B268" s="76">
        <v>200</v>
      </c>
      <c r="C268" s="72">
        <v>10</v>
      </c>
      <c r="D268" s="3">
        <f t="shared" si="100"/>
        <v>10</v>
      </c>
      <c r="E268" s="3" t="str">
        <f t="shared" si="101"/>
        <v/>
      </c>
      <c r="F268" s="3" t="str">
        <f t="shared" si="102"/>
        <v/>
      </c>
      <c r="G268" s="3" t="str">
        <f t="shared" si="103"/>
        <v/>
      </c>
    </row>
    <row r="269" spans="1:7" x14ac:dyDescent="0.2">
      <c r="A269" s="40" t="s">
        <v>52</v>
      </c>
      <c r="B269" s="76">
        <v>1300</v>
      </c>
      <c r="C269" s="72" t="s">
        <v>26</v>
      </c>
      <c r="D269" s="3" t="str">
        <f t="shared" si="100"/>
        <v/>
      </c>
      <c r="E269" s="3" t="str">
        <f t="shared" si="101"/>
        <v>N/A</v>
      </c>
      <c r="F269" s="3" t="str">
        <f t="shared" si="102"/>
        <v/>
      </c>
      <c r="G269" s="3" t="str">
        <f t="shared" si="103"/>
        <v/>
      </c>
    </row>
    <row r="270" spans="1:7" x14ac:dyDescent="0.2">
      <c r="A270" s="40" t="s">
        <v>52</v>
      </c>
      <c r="B270" s="76">
        <v>3000</v>
      </c>
      <c r="C270" s="72" t="s">
        <v>26</v>
      </c>
      <c r="D270" s="3" t="str">
        <f t="shared" si="100"/>
        <v/>
      </c>
      <c r="E270" s="3" t="str">
        <f t="shared" si="101"/>
        <v/>
      </c>
      <c r="F270" s="3" t="str">
        <f t="shared" si="102"/>
        <v>N/A</v>
      </c>
      <c r="G270" s="3" t="str">
        <f t="shared" si="103"/>
        <v/>
      </c>
    </row>
    <row r="271" spans="1:7" x14ac:dyDescent="0.2">
      <c r="A271" s="40" t="s">
        <v>98</v>
      </c>
      <c r="B271" s="76">
        <v>6371</v>
      </c>
      <c r="C271" s="72" t="s">
        <v>26</v>
      </c>
      <c r="D271" s="3" t="str">
        <f t="shared" si="100"/>
        <v/>
      </c>
      <c r="E271" s="3" t="str">
        <f t="shared" si="101"/>
        <v/>
      </c>
      <c r="F271" s="3" t="str">
        <f t="shared" si="102"/>
        <v/>
      </c>
      <c r="G271" s="3" t="str">
        <f t="shared" si="103"/>
        <v>N/A</v>
      </c>
    </row>
    <row r="272" spans="1:7" x14ac:dyDescent="0.2">
      <c r="A272" s="40" t="s">
        <v>98</v>
      </c>
      <c r="B272" s="76">
        <v>7000</v>
      </c>
      <c r="C272" s="72" t="s">
        <v>26</v>
      </c>
      <c r="D272" s="3" t="str">
        <f t="shared" si="100"/>
        <v/>
      </c>
      <c r="E272" s="3" t="str">
        <f t="shared" si="101"/>
        <v/>
      </c>
      <c r="F272" s="3" t="str">
        <f t="shared" si="102"/>
        <v/>
      </c>
      <c r="G272" s="3" t="str">
        <f t="shared" si="103"/>
        <v>N/A</v>
      </c>
    </row>
    <row r="273" spans="1:7" x14ac:dyDescent="0.2">
      <c r="A273" s="40" t="s">
        <v>98</v>
      </c>
      <c r="B273" s="113">
        <v>6430.93</v>
      </c>
      <c r="C273" s="72" t="s">
        <v>26</v>
      </c>
      <c r="D273" s="3" t="str">
        <f>IF(AND(B273&gt;0,B273&lt;1000),C273,"")</f>
        <v/>
      </c>
      <c r="E273" s="3" t="str">
        <f>IF(AND(B273&gt;1000,B273&lt;2500),C273,"")</f>
        <v/>
      </c>
      <c r="F273" s="3" t="str">
        <f>IF(AND(B273&gt;2500,B273&lt;5000),C273,"")</f>
        <v/>
      </c>
      <c r="G273" s="3" t="str">
        <f>IF(B273&gt;=5000,C273,"")</f>
        <v>N/A</v>
      </c>
    </row>
    <row r="274" spans="1:7" x14ac:dyDescent="0.2">
      <c r="A274" s="40" t="s">
        <v>98</v>
      </c>
      <c r="B274" s="113">
        <v>7000</v>
      </c>
      <c r="C274" s="72" t="s">
        <v>26</v>
      </c>
      <c r="D274" s="3" t="str">
        <f>IF(AND(B274&gt;0,B274&lt;1000),C274,"")</f>
        <v/>
      </c>
      <c r="E274" s="3" t="str">
        <f>IF(AND(B274&gt;1000,B274&lt;2500),C274,"")</f>
        <v/>
      </c>
      <c r="F274" s="3" t="str">
        <f>IF(AND(B274&gt;2500,B274&lt;5000),C274,"")</f>
        <v/>
      </c>
      <c r="G274" s="3" t="str">
        <f>IF(B274&gt;=5000,C274,"")</f>
        <v>N/A</v>
      </c>
    </row>
    <row r="275" spans="1:7" x14ac:dyDescent="0.2">
      <c r="A275" s="40" t="s">
        <v>98</v>
      </c>
      <c r="B275" s="76">
        <v>6930</v>
      </c>
      <c r="C275" s="72" t="s">
        <v>26</v>
      </c>
      <c r="D275" s="3" t="str">
        <f t="shared" si="100"/>
        <v/>
      </c>
      <c r="E275" s="3" t="str">
        <f t="shared" si="101"/>
        <v/>
      </c>
      <c r="F275" s="3" t="str">
        <f t="shared" si="102"/>
        <v/>
      </c>
      <c r="G275" s="3" t="str">
        <f t="shared" si="103"/>
        <v>N/A</v>
      </c>
    </row>
    <row r="276" spans="1:7" x14ac:dyDescent="0.2">
      <c r="A276" s="40" t="s">
        <v>98</v>
      </c>
      <c r="B276" s="103">
        <v>3530</v>
      </c>
      <c r="C276" s="72" t="s">
        <v>26</v>
      </c>
      <c r="D276" s="3" t="str">
        <f>IF(AND(B276&gt;0,B276&lt;1000),C276,"")</f>
        <v/>
      </c>
      <c r="E276" s="3" t="str">
        <f>IF(AND(B276&gt;1000,B276&lt;2500),C276,"")</f>
        <v/>
      </c>
      <c r="F276" s="3" t="str">
        <f>IF(AND(B276&gt;2500,B276&lt;5000),C276,"")</f>
        <v>N/A</v>
      </c>
      <c r="G276" s="3" t="str">
        <f>IF(B276&gt;=5000,C276,"")</f>
        <v/>
      </c>
    </row>
    <row r="277" spans="1:7" x14ac:dyDescent="0.2">
      <c r="A277" s="40" t="s">
        <v>98</v>
      </c>
      <c r="B277" s="76">
        <v>9427.81</v>
      </c>
      <c r="C277" s="72" t="s">
        <v>26</v>
      </c>
      <c r="D277" s="3" t="str">
        <f t="shared" si="100"/>
        <v/>
      </c>
      <c r="E277" s="3" t="str">
        <f t="shared" si="101"/>
        <v/>
      </c>
      <c r="F277" s="3" t="str">
        <f t="shared" si="102"/>
        <v/>
      </c>
      <c r="G277" s="3" t="str">
        <f t="shared" si="103"/>
        <v>N/A</v>
      </c>
    </row>
    <row r="278" spans="1:7" x14ac:dyDescent="0.2">
      <c r="A278" s="40" t="s">
        <v>98</v>
      </c>
      <c r="B278" s="76">
        <v>6300</v>
      </c>
      <c r="C278" s="72" t="s">
        <v>26</v>
      </c>
      <c r="D278" s="3" t="str">
        <f t="shared" si="100"/>
        <v/>
      </c>
      <c r="E278" s="3" t="str">
        <f t="shared" si="101"/>
        <v/>
      </c>
      <c r="F278" s="3" t="str">
        <f t="shared" si="102"/>
        <v/>
      </c>
      <c r="G278" s="3" t="str">
        <f t="shared" si="103"/>
        <v>N/A</v>
      </c>
    </row>
    <row r="279" spans="1:7" x14ac:dyDescent="0.2">
      <c r="A279" s="40" t="s">
        <v>98</v>
      </c>
      <c r="B279" s="76">
        <v>7000</v>
      </c>
      <c r="C279" s="72" t="s">
        <v>26</v>
      </c>
      <c r="D279" s="3" t="str">
        <f t="shared" si="100"/>
        <v/>
      </c>
      <c r="E279" s="3" t="str">
        <f t="shared" si="101"/>
        <v/>
      </c>
      <c r="F279" s="3" t="str">
        <f t="shared" si="102"/>
        <v/>
      </c>
      <c r="G279" s="3" t="str">
        <f t="shared" si="103"/>
        <v>N/A</v>
      </c>
    </row>
    <row r="280" spans="1:7" x14ac:dyDescent="0.2">
      <c r="A280" s="40" t="s">
        <v>98</v>
      </c>
      <c r="B280" s="76">
        <v>4000</v>
      </c>
      <c r="C280" s="72" t="s">
        <v>26</v>
      </c>
      <c r="D280" s="3" t="str">
        <f t="shared" si="100"/>
        <v/>
      </c>
      <c r="E280" s="3" t="str">
        <f t="shared" si="101"/>
        <v/>
      </c>
      <c r="F280" s="3" t="str">
        <f t="shared" si="102"/>
        <v>N/A</v>
      </c>
      <c r="G280" s="3" t="str">
        <f t="shared" si="103"/>
        <v/>
      </c>
    </row>
    <row r="281" spans="1:7" x14ac:dyDescent="0.2">
      <c r="A281" s="40" t="s">
        <v>98</v>
      </c>
      <c r="B281" s="76">
        <v>7000</v>
      </c>
      <c r="C281" s="72">
        <v>9</v>
      </c>
      <c r="D281" s="3" t="str">
        <f t="shared" si="100"/>
        <v/>
      </c>
      <c r="E281" s="3" t="str">
        <f t="shared" si="101"/>
        <v/>
      </c>
      <c r="F281" s="3" t="str">
        <f t="shared" si="102"/>
        <v/>
      </c>
      <c r="G281" s="3">
        <f t="shared" si="103"/>
        <v>9</v>
      </c>
    </row>
    <row r="282" spans="1:7" x14ac:dyDescent="0.2">
      <c r="A282" s="40" t="s">
        <v>98</v>
      </c>
      <c r="B282" s="103">
        <v>1350</v>
      </c>
      <c r="C282" s="72" t="s">
        <v>26</v>
      </c>
      <c r="D282" s="3" t="str">
        <f>IF(AND(B282&gt;0,B282&lt;1000),C282,"")</f>
        <v/>
      </c>
      <c r="E282" s="3" t="str">
        <f>IF(AND(B282&gt;1000,B282&lt;2500),C282,"")</f>
        <v>N/A</v>
      </c>
      <c r="F282" s="3" t="str">
        <f>IF(AND(B282&gt;2500,B282&lt;5000),C282,"")</f>
        <v/>
      </c>
      <c r="G282" s="3" t="str">
        <f>IF(B282&gt;=5000,C282,"")</f>
        <v/>
      </c>
    </row>
    <row r="283" spans="1:7" x14ac:dyDescent="0.2">
      <c r="A283" s="40" t="s">
        <v>98</v>
      </c>
      <c r="B283" s="76">
        <v>4210.5</v>
      </c>
      <c r="C283" s="72" t="s">
        <v>26</v>
      </c>
      <c r="D283" s="3" t="str">
        <f t="shared" si="100"/>
        <v/>
      </c>
      <c r="E283" s="3" t="str">
        <f t="shared" si="101"/>
        <v/>
      </c>
      <c r="F283" s="3" t="str">
        <f t="shared" si="102"/>
        <v>N/A</v>
      </c>
      <c r="G283" s="3" t="str">
        <f t="shared" si="103"/>
        <v/>
      </c>
    </row>
    <row r="284" spans="1:7" x14ac:dyDescent="0.2">
      <c r="A284" s="40" t="s">
        <v>98</v>
      </c>
      <c r="B284" s="76">
        <v>5263.2</v>
      </c>
      <c r="C284" s="72" t="s">
        <v>26</v>
      </c>
      <c r="D284" s="3" t="str">
        <f t="shared" si="100"/>
        <v/>
      </c>
      <c r="E284" s="3" t="str">
        <f t="shared" si="101"/>
        <v/>
      </c>
      <c r="F284" s="3" t="str">
        <f t="shared" si="102"/>
        <v/>
      </c>
      <c r="G284" s="3" t="str">
        <f t="shared" si="103"/>
        <v>N/A</v>
      </c>
    </row>
    <row r="285" spans="1:7" x14ac:dyDescent="0.2">
      <c r="A285" s="40" t="s">
        <v>98</v>
      </c>
      <c r="B285" s="76">
        <v>7764.47</v>
      </c>
      <c r="C285" s="72" t="s">
        <v>26</v>
      </c>
      <c r="D285" s="3" t="str">
        <f t="shared" si="100"/>
        <v/>
      </c>
      <c r="E285" s="3" t="str">
        <f t="shared" si="101"/>
        <v/>
      </c>
      <c r="F285" s="3" t="str">
        <f t="shared" si="102"/>
        <v/>
      </c>
      <c r="G285" s="3" t="str">
        <f t="shared" si="103"/>
        <v>N/A</v>
      </c>
    </row>
    <row r="286" spans="1:7" x14ac:dyDescent="0.2">
      <c r="A286" s="40" t="s">
        <v>98</v>
      </c>
      <c r="B286" s="113">
        <v>1</v>
      </c>
      <c r="C286" s="72" t="s">
        <v>26</v>
      </c>
      <c r="D286" s="3" t="str">
        <f>IF(AND(B286&gt;0,B286&lt;1000),C286,"")</f>
        <v>N/A</v>
      </c>
      <c r="E286" s="3" t="str">
        <f>IF(AND(B286&gt;1000,B286&lt;2500),C286,"")</f>
        <v/>
      </c>
      <c r="F286" s="3" t="str">
        <f>IF(AND(B286&gt;2500,B286&lt;5000),C286,"")</f>
        <v/>
      </c>
      <c r="G286" s="3" t="str">
        <f>IF(B286&gt;=5000,C286,"")</f>
        <v/>
      </c>
    </row>
    <row r="287" spans="1:7" x14ac:dyDescent="0.2">
      <c r="A287" s="40" t="s">
        <v>98</v>
      </c>
      <c r="B287" s="76">
        <v>10290</v>
      </c>
      <c r="C287" s="72" t="s">
        <v>26</v>
      </c>
      <c r="D287" s="3" t="str">
        <f t="shared" si="100"/>
        <v/>
      </c>
      <c r="E287" s="3" t="str">
        <f t="shared" si="101"/>
        <v/>
      </c>
      <c r="F287" s="3" t="str">
        <f t="shared" si="102"/>
        <v/>
      </c>
      <c r="G287" s="3" t="str">
        <f t="shared" si="103"/>
        <v>N/A</v>
      </c>
    </row>
    <row r="288" spans="1:7" x14ac:dyDescent="0.2">
      <c r="A288" s="40" t="s">
        <v>98</v>
      </c>
      <c r="B288" s="76">
        <v>210</v>
      </c>
      <c r="C288" s="72">
        <v>10</v>
      </c>
      <c r="D288" s="3">
        <f t="shared" si="100"/>
        <v>10</v>
      </c>
      <c r="E288" s="3" t="str">
        <f t="shared" si="101"/>
        <v/>
      </c>
      <c r="F288" s="3" t="str">
        <f t="shared" si="102"/>
        <v/>
      </c>
      <c r="G288" s="3" t="str">
        <f t="shared" si="103"/>
        <v/>
      </c>
    </row>
    <row r="289" spans="1:7" x14ac:dyDescent="0.2">
      <c r="A289" s="40" t="s">
        <v>98</v>
      </c>
      <c r="B289" s="76">
        <v>7400</v>
      </c>
      <c r="C289" s="72" t="s">
        <v>26</v>
      </c>
      <c r="D289" s="3" t="str">
        <f t="shared" si="100"/>
        <v/>
      </c>
      <c r="E289" s="3" t="str">
        <f t="shared" si="101"/>
        <v/>
      </c>
      <c r="F289" s="3" t="str">
        <f t="shared" si="102"/>
        <v/>
      </c>
      <c r="G289" s="3" t="str">
        <f t="shared" si="103"/>
        <v>N/A</v>
      </c>
    </row>
    <row r="290" spans="1:7" x14ac:dyDescent="0.2">
      <c r="A290" s="40" t="s">
        <v>98</v>
      </c>
      <c r="B290" s="76">
        <v>100</v>
      </c>
      <c r="C290" s="72" t="s">
        <v>26</v>
      </c>
      <c r="D290" s="3" t="str">
        <f t="shared" si="100"/>
        <v>N/A</v>
      </c>
      <c r="E290" s="3" t="str">
        <f t="shared" si="101"/>
        <v/>
      </c>
      <c r="F290" s="3" t="str">
        <f t="shared" si="102"/>
        <v/>
      </c>
      <c r="G290" s="3" t="str">
        <f t="shared" si="103"/>
        <v/>
      </c>
    </row>
    <row r="291" spans="1:7" x14ac:dyDescent="0.2">
      <c r="A291" s="40" t="s">
        <v>98</v>
      </c>
      <c r="B291" s="76">
        <v>4564</v>
      </c>
      <c r="C291" s="72" t="s">
        <v>26</v>
      </c>
      <c r="D291" s="3" t="str">
        <f t="shared" si="100"/>
        <v/>
      </c>
      <c r="E291" s="3" t="str">
        <f t="shared" si="101"/>
        <v/>
      </c>
      <c r="F291" s="3" t="str">
        <f t="shared" si="102"/>
        <v>N/A</v>
      </c>
      <c r="G291" s="3" t="str">
        <f t="shared" si="103"/>
        <v/>
      </c>
    </row>
    <row r="292" spans="1:7" x14ac:dyDescent="0.2">
      <c r="A292" s="40" t="s">
        <v>98</v>
      </c>
      <c r="B292" s="76">
        <v>1</v>
      </c>
      <c r="C292" s="72" t="s">
        <v>26</v>
      </c>
      <c r="D292" s="3" t="str">
        <f t="shared" si="100"/>
        <v>N/A</v>
      </c>
      <c r="E292" s="3" t="str">
        <f t="shared" si="101"/>
        <v/>
      </c>
      <c r="F292" s="3" t="str">
        <f t="shared" si="102"/>
        <v/>
      </c>
      <c r="G292" s="3" t="str">
        <f t="shared" si="103"/>
        <v/>
      </c>
    </row>
    <row r="293" spans="1:7" x14ac:dyDescent="0.2">
      <c r="A293" s="40" t="s">
        <v>98</v>
      </c>
      <c r="B293" s="76">
        <v>100</v>
      </c>
      <c r="C293" s="72" t="s">
        <v>26</v>
      </c>
      <c r="D293" s="3" t="str">
        <f t="shared" si="100"/>
        <v>N/A</v>
      </c>
      <c r="E293" s="3" t="str">
        <f t="shared" si="101"/>
        <v/>
      </c>
      <c r="F293" s="3" t="str">
        <f t="shared" si="102"/>
        <v/>
      </c>
      <c r="G293" s="3" t="str">
        <f t="shared" si="103"/>
        <v/>
      </c>
    </row>
    <row r="294" spans="1:7" x14ac:dyDescent="0.2">
      <c r="A294" s="40" t="s">
        <v>98</v>
      </c>
      <c r="B294" s="78">
        <v>1</v>
      </c>
      <c r="C294" s="72">
        <v>10</v>
      </c>
      <c r="D294" s="3">
        <f t="shared" ref="D294:D314" si="108">IF(AND(B294&gt;0,B294&lt;1000),C294,"")</f>
        <v>10</v>
      </c>
      <c r="E294" s="3" t="str">
        <f t="shared" ref="E294:E314" si="109">IF(AND(B294&gt;1000,B294&lt;2500),C294,"")</f>
        <v/>
      </c>
      <c r="F294" s="3" t="str">
        <f t="shared" ref="F294:F314" si="110">IF(AND(B294&gt;2500,B294&lt;5000),C294,"")</f>
        <v/>
      </c>
      <c r="G294" s="3" t="str">
        <f t="shared" ref="G294:G314" si="111">IF(B294&gt;=5000,C294,"")</f>
        <v/>
      </c>
    </row>
    <row r="295" spans="1:7" x14ac:dyDescent="0.2">
      <c r="A295" s="40" t="s">
        <v>98</v>
      </c>
      <c r="B295" s="78">
        <v>3825.27</v>
      </c>
      <c r="C295" s="72" t="s">
        <v>26</v>
      </c>
      <c r="D295" s="3" t="str">
        <f t="shared" si="108"/>
        <v/>
      </c>
      <c r="E295" s="3" t="str">
        <f t="shared" si="109"/>
        <v/>
      </c>
      <c r="F295" s="3" t="str">
        <f t="shared" si="110"/>
        <v>N/A</v>
      </c>
      <c r="G295" s="3" t="str">
        <f t="shared" si="111"/>
        <v/>
      </c>
    </row>
    <row r="296" spans="1:7" x14ac:dyDescent="0.2">
      <c r="A296" s="40" t="s">
        <v>98</v>
      </c>
      <c r="B296" s="78">
        <v>1</v>
      </c>
      <c r="C296" s="72" t="s">
        <v>26</v>
      </c>
      <c r="D296" s="3" t="str">
        <f t="shared" si="108"/>
        <v>N/A</v>
      </c>
      <c r="E296" s="3" t="str">
        <f t="shared" si="109"/>
        <v/>
      </c>
      <c r="F296" s="3" t="str">
        <f t="shared" si="110"/>
        <v/>
      </c>
      <c r="G296" s="3" t="str">
        <f t="shared" si="111"/>
        <v/>
      </c>
    </row>
    <row r="297" spans="1:7" x14ac:dyDescent="0.2">
      <c r="A297" s="40" t="s">
        <v>98</v>
      </c>
      <c r="B297" s="103">
        <v>2370</v>
      </c>
      <c r="C297" s="72" t="s">
        <v>26</v>
      </c>
      <c r="D297" s="3" t="str">
        <f t="shared" si="108"/>
        <v/>
      </c>
      <c r="E297" s="3" t="str">
        <f t="shared" si="109"/>
        <v>N/A</v>
      </c>
      <c r="F297" s="3" t="str">
        <f t="shared" si="110"/>
        <v/>
      </c>
      <c r="G297" s="3" t="str">
        <f t="shared" si="111"/>
        <v/>
      </c>
    </row>
    <row r="298" spans="1:7" x14ac:dyDescent="0.2">
      <c r="A298" s="40" t="s">
        <v>98</v>
      </c>
      <c r="B298" s="103">
        <v>1</v>
      </c>
      <c r="C298" s="72" t="s">
        <v>26</v>
      </c>
      <c r="D298" s="3" t="str">
        <f t="shared" si="108"/>
        <v>N/A</v>
      </c>
      <c r="E298" s="3" t="str">
        <f t="shared" si="109"/>
        <v/>
      </c>
      <c r="F298" s="3" t="str">
        <f t="shared" si="110"/>
        <v/>
      </c>
      <c r="G298" s="3" t="str">
        <f t="shared" si="111"/>
        <v/>
      </c>
    </row>
    <row r="299" spans="1:7" x14ac:dyDescent="0.2">
      <c r="A299" s="40" t="s">
        <v>98</v>
      </c>
      <c r="B299" s="103">
        <v>2970</v>
      </c>
      <c r="C299" s="72" t="s">
        <v>26</v>
      </c>
      <c r="D299" s="3" t="str">
        <f t="shared" si="108"/>
        <v/>
      </c>
      <c r="E299" s="3" t="str">
        <f t="shared" si="109"/>
        <v/>
      </c>
      <c r="F299" s="3" t="str">
        <f t="shared" si="110"/>
        <v>N/A</v>
      </c>
      <c r="G299" s="3" t="str">
        <f t="shared" si="111"/>
        <v/>
      </c>
    </row>
    <row r="300" spans="1:7" x14ac:dyDescent="0.2">
      <c r="A300" s="40" t="s">
        <v>98</v>
      </c>
      <c r="B300" s="103">
        <v>18148.96</v>
      </c>
      <c r="C300" s="72" t="s">
        <v>26</v>
      </c>
      <c r="D300" s="3" t="str">
        <f t="shared" si="108"/>
        <v/>
      </c>
      <c r="E300" s="3" t="str">
        <f t="shared" si="109"/>
        <v/>
      </c>
      <c r="F300" s="3" t="str">
        <f t="shared" si="110"/>
        <v/>
      </c>
      <c r="G300" s="3" t="str">
        <f t="shared" si="111"/>
        <v>N/A</v>
      </c>
    </row>
    <row r="301" spans="1:7" x14ac:dyDescent="0.2">
      <c r="A301" s="40" t="s">
        <v>98</v>
      </c>
      <c r="B301" s="103">
        <v>1</v>
      </c>
      <c r="C301" s="72" t="s">
        <v>26</v>
      </c>
      <c r="D301" s="3" t="str">
        <f t="shared" si="108"/>
        <v>N/A</v>
      </c>
      <c r="E301" s="3" t="str">
        <f t="shared" si="109"/>
        <v/>
      </c>
      <c r="F301" s="3" t="str">
        <f t="shared" si="110"/>
        <v/>
      </c>
      <c r="G301" s="3" t="str">
        <f t="shared" si="111"/>
        <v/>
      </c>
    </row>
    <row r="302" spans="1:7" x14ac:dyDescent="0.2">
      <c r="A302" s="40" t="s">
        <v>98</v>
      </c>
      <c r="B302" s="113">
        <v>38260.870000000003</v>
      </c>
      <c r="C302" s="72" t="s">
        <v>26</v>
      </c>
      <c r="D302" s="3" t="str">
        <f t="shared" ref="D302:D307" si="112">IF(AND(B302&gt;0,B302&lt;1000),C302,"")</f>
        <v/>
      </c>
      <c r="E302" s="3" t="str">
        <f t="shared" ref="E302:E307" si="113">IF(AND(B302&gt;1000,B302&lt;2500),C302,"")</f>
        <v/>
      </c>
      <c r="F302" s="3" t="str">
        <f t="shared" ref="F302:F307" si="114">IF(AND(B302&gt;2500,B302&lt;5000),C302,"")</f>
        <v/>
      </c>
      <c r="G302" s="3" t="str">
        <f t="shared" ref="G302:G307" si="115">IF(B302&gt;=5000,C302,"")</f>
        <v>N/A</v>
      </c>
    </row>
    <row r="303" spans="1:7" x14ac:dyDescent="0.2">
      <c r="A303" s="40" t="s">
        <v>98</v>
      </c>
      <c r="B303" s="113">
        <v>1000</v>
      </c>
      <c r="C303" s="72" t="s">
        <v>26</v>
      </c>
      <c r="D303" s="3" t="str">
        <f t="shared" si="112"/>
        <v/>
      </c>
      <c r="E303" s="3" t="str">
        <f t="shared" si="113"/>
        <v/>
      </c>
      <c r="F303" s="3" t="str">
        <f t="shared" si="114"/>
        <v/>
      </c>
      <c r="G303" s="3" t="str">
        <f t="shared" si="115"/>
        <v/>
      </c>
    </row>
    <row r="304" spans="1:7" x14ac:dyDescent="0.2">
      <c r="A304" s="40" t="s">
        <v>98</v>
      </c>
      <c r="B304" s="113">
        <v>1</v>
      </c>
      <c r="C304" s="72" t="s">
        <v>26</v>
      </c>
      <c r="D304" s="3" t="str">
        <f t="shared" si="112"/>
        <v>N/A</v>
      </c>
      <c r="E304" s="3" t="str">
        <f t="shared" si="113"/>
        <v/>
      </c>
      <c r="F304" s="3" t="str">
        <f t="shared" si="114"/>
        <v/>
      </c>
      <c r="G304" s="3" t="str">
        <f t="shared" si="115"/>
        <v/>
      </c>
    </row>
    <row r="305" spans="1:7" x14ac:dyDescent="0.2">
      <c r="A305" s="40" t="s">
        <v>98</v>
      </c>
      <c r="B305" s="113">
        <v>4200</v>
      </c>
      <c r="C305" s="72" t="s">
        <v>26</v>
      </c>
      <c r="D305" s="3" t="str">
        <f t="shared" si="112"/>
        <v/>
      </c>
      <c r="E305" s="3" t="str">
        <f t="shared" si="113"/>
        <v/>
      </c>
      <c r="F305" s="3" t="str">
        <f t="shared" si="114"/>
        <v>N/A</v>
      </c>
      <c r="G305" s="3" t="str">
        <f t="shared" si="115"/>
        <v/>
      </c>
    </row>
    <row r="306" spans="1:7" x14ac:dyDescent="0.2">
      <c r="A306" s="40" t="s">
        <v>98</v>
      </c>
      <c r="B306" s="113">
        <v>5000</v>
      </c>
      <c r="C306" s="72" t="s">
        <v>26</v>
      </c>
      <c r="D306" s="3" t="str">
        <f t="shared" si="112"/>
        <v/>
      </c>
      <c r="E306" s="3" t="str">
        <f t="shared" si="113"/>
        <v/>
      </c>
      <c r="F306" s="3" t="str">
        <f t="shared" si="114"/>
        <v/>
      </c>
      <c r="G306" s="3" t="str">
        <f t="shared" si="115"/>
        <v>N/A</v>
      </c>
    </row>
    <row r="307" spans="1:7" x14ac:dyDescent="0.2">
      <c r="A307" s="40" t="s">
        <v>98</v>
      </c>
      <c r="B307" s="113">
        <v>4800</v>
      </c>
      <c r="C307" s="72" t="s">
        <v>26</v>
      </c>
      <c r="D307" s="3" t="str">
        <f t="shared" si="112"/>
        <v/>
      </c>
      <c r="E307" s="3" t="str">
        <f t="shared" si="113"/>
        <v/>
      </c>
      <c r="F307" s="3" t="str">
        <f t="shared" si="114"/>
        <v>N/A</v>
      </c>
      <c r="G307" s="3" t="str">
        <f t="shared" si="115"/>
        <v/>
      </c>
    </row>
    <row r="308" spans="1:7" x14ac:dyDescent="0.2">
      <c r="A308" t="s">
        <v>111</v>
      </c>
      <c r="B308" s="113">
        <v>1200</v>
      </c>
      <c r="C308" s="114">
        <v>9</v>
      </c>
      <c r="D308" s="3" t="str">
        <f t="shared" ref="D308:D311" si="116">IF(AND(B308&gt;0,B308&lt;1000),C308,"")</f>
        <v/>
      </c>
      <c r="E308" s="3">
        <f t="shared" ref="E308:E311" si="117">IF(AND(B308&gt;1000,B308&lt;2500),C308,"")</f>
        <v>9</v>
      </c>
      <c r="F308" s="3" t="str">
        <f t="shared" ref="F308:F311" si="118">IF(AND(B308&gt;2500,B308&lt;5000),C308,"")</f>
        <v/>
      </c>
      <c r="G308" s="3" t="str">
        <f t="shared" ref="G308:G311" si="119">IF(B308&gt;=5000,C308,"")</f>
        <v/>
      </c>
    </row>
    <row r="309" spans="1:7" x14ac:dyDescent="0.2">
      <c r="A309" t="s">
        <v>111</v>
      </c>
      <c r="B309" s="113">
        <v>1845</v>
      </c>
      <c r="C309" s="114">
        <v>10</v>
      </c>
      <c r="D309" s="3" t="str">
        <f t="shared" si="116"/>
        <v/>
      </c>
      <c r="E309" s="3">
        <f t="shared" si="117"/>
        <v>10</v>
      </c>
      <c r="F309" s="3" t="str">
        <f t="shared" si="118"/>
        <v/>
      </c>
      <c r="G309" s="3" t="str">
        <f t="shared" si="119"/>
        <v/>
      </c>
    </row>
    <row r="310" spans="1:7" x14ac:dyDescent="0.2">
      <c r="A310" t="s">
        <v>111</v>
      </c>
      <c r="B310" s="113">
        <v>1</v>
      </c>
      <c r="C310" s="72" t="s">
        <v>26</v>
      </c>
      <c r="D310" s="3" t="str">
        <f t="shared" si="116"/>
        <v>N/A</v>
      </c>
      <c r="E310" s="3" t="str">
        <f t="shared" si="117"/>
        <v/>
      </c>
      <c r="F310" s="3" t="str">
        <f t="shared" si="118"/>
        <v/>
      </c>
      <c r="G310" s="3" t="str">
        <f t="shared" si="119"/>
        <v/>
      </c>
    </row>
    <row r="311" spans="1:7" x14ac:dyDescent="0.2">
      <c r="A311" t="s">
        <v>111</v>
      </c>
      <c r="B311" s="113">
        <v>1200</v>
      </c>
      <c r="C311" s="72">
        <v>10</v>
      </c>
      <c r="D311" s="3" t="str">
        <f t="shared" si="116"/>
        <v/>
      </c>
      <c r="E311" s="3">
        <f t="shared" si="117"/>
        <v>10</v>
      </c>
      <c r="F311" s="3" t="str">
        <f t="shared" si="118"/>
        <v/>
      </c>
      <c r="G311" s="3" t="str">
        <f t="shared" si="119"/>
        <v/>
      </c>
    </row>
    <row r="312" spans="1:7" x14ac:dyDescent="0.2">
      <c r="A312" t="s">
        <v>111</v>
      </c>
      <c r="B312" s="113">
        <v>2174.89</v>
      </c>
      <c r="C312" s="72" t="s">
        <v>26</v>
      </c>
      <c r="D312" s="3" t="str">
        <f>IF(AND(B312&gt;0,B312&lt;1000),C312,"")</f>
        <v/>
      </c>
      <c r="E312" s="3" t="str">
        <f>IF(AND(B312&gt;1000,B312&lt;2500),C312,"")</f>
        <v>N/A</v>
      </c>
      <c r="F312" s="3" t="str">
        <f>IF(AND(B312&gt;2500,B312&lt;5000),C312,"")</f>
        <v/>
      </c>
      <c r="G312" s="3" t="str">
        <f>IF(B312&gt;=5000,C312,"")</f>
        <v/>
      </c>
    </row>
    <row r="313" spans="1:7" x14ac:dyDescent="0.2">
      <c r="A313" s="77" t="s">
        <v>96</v>
      </c>
      <c r="B313" s="78">
        <v>5640</v>
      </c>
      <c r="C313" s="72" t="s">
        <v>26</v>
      </c>
      <c r="D313" s="3" t="str">
        <f t="shared" si="108"/>
        <v/>
      </c>
      <c r="E313" s="3" t="str">
        <f t="shared" si="109"/>
        <v/>
      </c>
      <c r="F313" s="3" t="str">
        <f t="shared" si="110"/>
        <v/>
      </c>
      <c r="G313" s="3" t="str">
        <f t="shared" si="111"/>
        <v>N/A</v>
      </c>
    </row>
    <row r="314" spans="1:7" x14ac:dyDescent="0.2">
      <c r="A314" s="40" t="s">
        <v>66</v>
      </c>
      <c r="B314" s="103">
        <v>600</v>
      </c>
      <c r="C314" s="72" t="s">
        <v>26</v>
      </c>
      <c r="D314" s="3" t="str">
        <f t="shared" si="108"/>
        <v>N/A</v>
      </c>
      <c r="E314" s="3" t="str">
        <f t="shared" si="109"/>
        <v/>
      </c>
      <c r="F314" s="3" t="str">
        <f t="shared" si="110"/>
        <v/>
      </c>
      <c r="G314" s="3" t="str">
        <f t="shared" si="111"/>
        <v/>
      </c>
    </row>
    <row r="315" spans="1:7" x14ac:dyDescent="0.2">
      <c r="A315" s="40" t="s">
        <v>66</v>
      </c>
      <c r="B315" s="76">
        <v>3420</v>
      </c>
      <c r="C315" s="72">
        <v>10</v>
      </c>
      <c r="D315" s="3" t="str">
        <f t="shared" ref="D315:D318" si="120">IF(AND(B315&gt;0,B315&lt;1000),C315,"")</f>
        <v/>
      </c>
      <c r="E315" s="3" t="str">
        <f t="shared" ref="E315:E318" si="121">IF(AND(B315&gt;1000,B315&lt;2500),C315,"")</f>
        <v/>
      </c>
      <c r="F315" s="3">
        <f t="shared" ref="F315:F318" si="122">IF(AND(B315&gt;2500,B315&lt;5000),C315,"")</f>
        <v>10</v>
      </c>
      <c r="G315" s="3" t="str">
        <f t="shared" ref="G315:G318" si="123">IF(B315&gt;=5000,C315,"")</f>
        <v/>
      </c>
    </row>
    <row r="316" spans="1:7" x14ac:dyDescent="0.2">
      <c r="A316" s="40" t="s">
        <v>66</v>
      </c>
      <c r="B316" s="103">
        <v>574</v>
      </c>
      <c r="C316" s="72" t="s">
        <v>26</v>
      </c>
      <c r="D316" s="3" t="str">
        <f>IF(AND(B316&gt;0,B316&lt;1000),C316,"")</f>
        <v>N/A</v>
      </c>
      <c r="E316" s="3" t="str">
        <f>IF(AND(B316&gt;1000,B316&lt;2500),C316,"")</f>
        <v/>
      </c>
      <c r="F316" s="3" t="str">
        <f>IF(AND(B316&gt;2500,B316&lt;5000),C316,"")</f>
        <v/>
      </c>
      <c r="G316" s="3" t="str">
        <f>IF(B316&gt;=5000,C316,"")</f>
        <v/>
      </c>
    </row>
    <row r="317" spans="1:7" x14ac:dyDescent="0.2">
      <c r="A317" s="40" t="s">
        <v>66</v>
      </c>
      <c r="B317" s="103">
        <v>746</v>
      </c>
      <c r="C317" s="72" t="s">
        <v>26</v>
      </c>
      <c r="D317" s="3" t="str">
        <f>IF(AND(B317&gt;0,B317&lt;1000),C317,"")</f>
        <v>N/A</v>
      </c>
      <c r="E317" s="3" t="str">
        <f>IF(AND(B317&gt;1000,B317&lt;2500),C317,"")</f>
        <v/>
      </c>
      <c r="F317" s="3" t="str">
        <f>IF(AND(B317&gt;2500,B317&lt;5000),C317,"")</f>
        <v/>
      </c>
      <c r="G317" s="3" t="str">
        <f>IF(B317&gt;=5000,C317,"")</f>
        <v/>
      </c>
    </row>
    <row r="318" spans="1:7" x14ac:dyDescent="0.2">
      <c r="A318" s="40" t="s">
        <v>146</v>
      </c>
      <c r="B318" s="76">
        <v>1102</v>
      </c>
      <c r="C318" s="72" t="s">
        <v>26</v>
      </c>
      <c r="D318" s="3" t="str">
        <f t="shared" si="120"/>
        <v/>
      </c>
      <c r="E318" s="3" t="str">
        <f t="shared" si="121"/>
        <v>N/A</v>
      </c>
      <c r="F318" s="3" t="str">
        <f t="shared" si="122"/>
        <v/>
      </c>
      <c r="G318" s="3" t="str">
        <f t="shared" si="123"/>
        <v/>
      </c>
    </row>
    <row r="319" spans="1:7" x14ac:dyDescent="0.2">
      <c r="A319" s="40" t="s">
        <v>146</v>
      </c>
      <c r="B319" s="113">
        <v>2550</v>
      </c>
      <c r="C319" s="72" t="s">
        <v>26</v>
      </c>
      <c r="D319" s="3" t="str">
        <f t="shared" ref="D319:D321" si="124">IF(AND(B319&gt;0,B319&lt;1000),C319,"")</f>
        <v/>
      </c>
      <c r="E319" s="3" t="str">
        <f t="shared" ref="E319:E321" si="125">IF(AND(B319&gt;1000,B319&lt;2500),C319,"")</f>
        <v/>
      </c>
      <c r="F319" s="3" t="str">
        <f t="shared" ref="F319:F321" si="126">IF(AND(B319&gt;2500,B319&lt;5000),C319,"")</f>
        <v>N/A</v>
      </c>
      <c r="G319" s="3" t="str">
        <f t="shared" ref="G319:G321" si="127">IF(B319&gt;=5000,C319,"")</f>
        <v/>
      </c>
    </row>
    <row r="320" spans="1:7" x14ac:dyDescent="0.2">
      <c r="A320" s="40" t="s">
        <v>146</v>
      </c>
      <c r="B320" s="113">
        <v>1000</v>
      </c>
      <c r="C320" s="72" t="s">
        <v>26</v>
      </c>
      <c r="D320" s="3" t="str">
        <f t="shared" si="124"/>
        <v/>
      </c>
      <c r="E320" s="3" t="str">
        <f t="shared" si="125"/>
        <v/>
      </c>
      <c r="F320" s="3" t="str">
        <f t="shared" si="126"/>
        <v/>
      </c>
      <c r="G320" s="3" t="str">
        <f t="shared" si="127"/>
        <v/>
      </c>
    </row>
    <row r="321" spans="1:7" x14ac:dyDescent="0.2">
      <c r="A321" s="40" t="s">
        <v>146</v>
      </c>
      <c r="B321" s="113">
        <v>1114.95</v>
      </c>
      <c r="C321" s="72" t="s">
        <v>26</v>
      </c>
      <c r="D321" s="3" t="str">
        <f t="shared" si="124"/>
        <v/>
      </c>
      <c r="E321" s="3" t="str">
        <f t="shared" si="125"/>
        <v>N/A</v>
      </c>
      <c r="F321" s="3" t="str">
        <f t="shared" si="126"/>
        <v/>
      </c>
      <c r="G321" s="3" t="str">
        <f t="shared" si="127"/>
        <v/>
      </c>
    </row>
    <row r="322" spans="1:7" x14ac:dyDescent="0.2">
      <c r="A322" s="40" t="s">
        <v>131</v>
      </c>
      <c r="B322" s="76">
        <v>1600</v>
      </c>
      <c r="C322" s="72">
        <v>9</v>
      </c>
      <c r="D322" s="3" t="str">
        <f t="shared" ref="D322:D334" si="128">IF(AND(B322&gt;0,B322&lt;1000),C322,"")</f>
        <v/>
      </c>
      <c r="E322" s="3">
        <f t="shared" ref="E322:E334" si="129">IF(AND(B322&gt;1000,B322&lt;2500),C322,"")</f>
        <v>9</v>
      </c>
      <c r="F322" s="3" t="str">
        <f t="shared" ref="F322:F334" si="130">IF(AND(B322&gt;2500,B322&lt;5000),C322,"")</f>
        <v/>
      </c>
      <c r="G322" s="3" t="str">
        <f t="shared" ref="G322:G334" si="131">IF(B322&gt;=5000,C322,"")</f>
        <v/>
      </c>
    </row>
    <row r="323" spans="1:7" x14ac:dyDescent="0.2">
      <c r="A323" s="40" t="s">
        <v>131</v>
      </c>
      <c r="B323" s="76">
        <v>2350</v>
      </c>
      <c r="C323" s="72" t="s">
        <v>26</v>
      </c>
      <c r="D323" s="3" t="str">
        <f t="shared" si="128"/>
        <v/>
      </c>
      <c r="E323" s="3" t="str">
        <f t="shared" si="129"/>
        <v>N/A</v>
      </c>
      <c r="F323" s="3" t="str">
        <f t="shared" si="130"/>
        <v/>
      </c>
      <c r="G323" s="3" t="str">
        <f t="shared" si="131"/>
        <v/>
      </c>
    </row>
    <row r="324" spans="1:7" x14ac:dyDescent="0.2">
      <c r="A324" s="40" t="s">
        <v>131</v>
      </c>
      <c r="B324" s="76">
        <v>1500</v>
      </c>
      <c r="C324" s="72">
        <v>10</v>
      </c>
      <c r="D324" s="3" t="str">
        <f t="shared" si="128"/>
        <v/>
      </c>
      <c r="E324" s="3">
        <f t="shared" si="129"/>
        <v>10</v>
      </c>
      <c r="F324" s="3" t="str">
        <f t="shared" si="130"/>
        <v/>
      </c>
      <c r="G324" s="3" t="str">
        <f t="shared" si="131"/>
        <v/>
      </c>
    </row>
    <row r="325" spans="1:7" x14ac:dyDescent="0.2">
      <c r="A325" s="40" t="s">
        <v>131</v>
      </c>
      <c r="B325" s="76">
        <v>5050</v>
      </c>
      <c r="C325" s="72" t="s">
        <v>26</v>
      </c>
      <c r="D325" s="3" t="str">
        <f t="shared" si="128"/>
        <v/>
      </c>
      <c r="E325" s="3" t="str">
        <f t="shared" si="129"/>
        <v/>
      </c>
      <c r="F325" s="3" t="str">
        <f t="shared" si="130"/>
        <v/>
      </c>
      <c r="G325" s="3" t="str">
        <f t="shared" si="131"/>
        <v>N/A</v>
      </c>
    </row>
    <row r="326" spans="1:7" x14ac:dyDescent="0.2">
      <c r="A326" s="40" t="s">
        <v>131</v>
      </c>
      <c r="B326" s="103">
        <v>250</v>
      </c>
      <c r="C326" s="110">
        <v>10</v>
      </c>
      <c r="D326" s="3">
        <f>IF(AND(B326&gt;0,B326&lt;1000),C326,"")</f>
        <v>10</v>
      </c>
      <c r="E326" s="3" t="str">
        <f>IF(AND(B326&gt;1000,B326&lt;2500),C326,"")</f>
        <v/>
      </c>
      <c r="F326" s="3" t="str">
        <f>IF(AND(B326&gt;2500,B326&lt;5000),C326,"")</f>
        <v/>
      </c>
      <c r="G326" s="3" t="str">
        <f>IF(B326&gt;=5000,C326,"")</f>
        <v/>
      </c>
    </row>
    <row r="327" spans="1:7" x14ac:dyDescent="0.2">
      <c r="A327" s="40" t="s">
        <v>131</v>
      </c>
      <c r="B327" s="113">
        <v>450</v>
      </c>
      <c r="C327" s="72" t="s">
        <v>26</v>
      </c>
      <c r="D327" s="3" t="str">
        <f>IF(AND(B327&gt;0,B327&lt;1000),C327,"")</f>
        <v>N/A</v>
      </c>
      <c r="E327" s="3" t="str">
        <f>IF(AND(B327&gt;1000,B327&lt;2500),C327,"")</f>
        <v/>
      </c>
      <c r="F327" s="3" t="str">
        <f>IF(AND(B327&gt;2500,B327&lt;5000),C327,"")</f>
        <v/>
      </c>
      <c r="G327" s="3" t="str">
        <f>IF(B327&gt;=5000,C327,"")</f>
        <v/>
      </c>
    </row>
    <row r="328" spans="1:7" x14ac:dyDescent="0.2">
      <c r="A328" s="40" t="s">
        <v>42</v>
      </c>
      <c r="B328" s="113">
        <v>150</v>
      </c>
      <c r="C328" s="72" t="s">
        <v>26</v>
      </c>
      <c r="D328" s="3" t="str">
        <f>IF(AND(B328&gt;0,B328&lt;1000),C328,"")</f>
        <v>N/A</v>
      </c>
      <c r="E328" s="3" t="str">
        <f>IF(AND(B328&gt;1000,B328&lt;2500),C328,"")</f>
        <v/>
      </c>
      <c r="F328" s="3" t="str">
        <f>IF(AND(B328&gt;2500,B328&lt;5000),C328,"")</f>
        <v/>
      </c>
      <c r="G328" s="3" t="str">
        <f>IF(B328&gt;=5000,C328,"")</f>
        <v/>
      </c>
    </row>
    <row r="329" spans="1:7" x14ac:dyDescent="0.2">
      <c r="A329" s="40" t="s">
        <v>42</v>
      </c>
      <c r="B329" s="76">
        <v>600</v>
      </c>
      <c r="C329" s="72" t="s">
        <v>26</v>
      </c>
      <c r="D329" s="3" t="str">
        <f t="shared" si="128"/>
        <v>N/A</v>
      </c>
      <c r="E329" s="3" t="str">
        <f t="shared" si="129"/>
        <v/>
      </c>
      <c r="F329" s="3" t="str">
        <f t="shared" si="130"/>
        <v/>
      </c>
      <c r="G329" s="3" t="str">
        <f t="shared" si="131"/>
        <v/>
      </c>
    </row>
    <row r="330" spans="1:7" x14ac:dyDescent="0.2">
      <c r="A330" s="40" t="s">
        <v>42</v>
      </c>
      <c r="B330" s="76">
        <v>283.5</v>
      </c>
      <c r="C330" s="72">
        <v>9</v>
      </c>
      <c r="D330" s="3">
        <f t="shared" si="128"/>
        <v>9</v>
      </c>
      <c r="E330" s="3" t="str">
        <f t="shared" si="129"/>
        <v/>
      </c>
      <c r="F330" s="3" t="str">
        <f t="shared" si="130"/>
        <v/>
      </c>
      <c r="G330" s="3" t="str">
        <f t="shared" si="131"/>
        <v/>
      </c>
    </row>
    <row r="331" spans="1:7" x14ac:dyDescent="0.2">
      <c r="A331" s="40" t="s">
        <v>125</v>
      </c>
      <c r="B331" s="113">
        <v>942.3</v>
      </c>
      <c r="C331" s="72" t="s">
        <v>26</v>
      </c>
      <c r="D331" s="3" t="str">
        <f t="shared" ref="D331:D332" si="132">IF(AND(B331&gt;0,B331&lt;1000),C331,"")</f>
        <v>N/A</v>
      </c>
      <c r="E331" s="3" t="str">
        <f t="shared" ref="E331:E332" si="133">IF(AND(B331&gt;1000,B331&lt;2500),C331,"")</f>
        <v/>
      </c>
      <c r="F331" s="3" t="str">
        <f t="shared" ref="F331:F332" si="134">IF(AND(B331&gt;2500,B331&lt;5000),C331,"")</f>
        <v/>
      </c>
      <c r="G331" s="3" t="str">
        <f t="shared" ref="G331:G332" si="135">IF(B331&gt;=5000,C331,"")</f>
        <v/>
      </c>
    </row>
    <row r="332" spans="1:7" x14ac:dyDescent="0.2">
      <c r="A332" s="40" t="s">
        <v>125</v>
      </c>
      <c r="B332" s="113">
        <v>550</v>
      </c>
      <c r="C332" s="72" t="s">
        <v>26</v>
      </c>
      <c r="D332" s="3" t="str">
        <f t="shared" si="132"/>
        <v>N/A</v>
      </c>
      <c r="E332" s="3" t="str">
        <f t="shared" si="133"/>
        <v/>
      </c>
      <c r="F332" s="3" t="str">
        <f t="shared" si="134"/>
        <v/>
      </c>
      <c r="G332" s="3" t="str">
        <f t="shared" si="135"/>
        <v/>
      </c>
    </row>
    <row r="333" spans="1:7" x14ac:dyDescent="0.2">
      <c r="A333" s="40" t="s">
        <v>125</v>
      </c>
      <c r="B333" s="103">
        <v>1610</v>
      </c>
      <c r="C333" s="72" t="s">
        <v>26</v>
      </c>
      <c r="D333" s="3" t="str">
        <f>IF(AND(B333&gt;0,B333&lt;1000),C333,"")</f>
        <v/>
      </c>
      <c r="E333" s="3" t="str">
        <f>IF(AND(B333&gt;1000,B333&lt;2500),C333,"")</f>
        <v>N/A</v>
      </c>
      <c r="F333" s="3" t="str">
        <f>IF(AND(B333&gt;2500,B333&lt;5000),C333,"")</f>
        <v/>
      </c>
      <c r="G333" s="3" t="str">
        <f>IF(B333&gt;=5000,C333,"")</f>
        <v/>
      </c>
    </row>
    <row r="334" spans="1:7" x14ac:dyDescent="0.2">
      <c r="A334" s="40" t="s">
        <v>125</v>
      </c>
      <c r="B334" s="76">
        <v>1500</v>
      </c>
      <c r="C334" s="72" t="s">
        <v>26</v>
      </c>
      <c r="D334" s="3" t="str">
        <f t="shared" si="128"/>
        <v/>
      </c>
      <c r="E334" s="3" t="str">
        <f t="shared" si="129"/>
        <v>N/A</v>
      </c>
      <c r="F334" s="3" t="str">
        <f t="shared" si="130"/>
        <v/>
      </c>
      <c r="G334" s="3" t="str">
        <f t="shared" si="131"/>
        <v/>
      </c>
    </row>
    <row r="335" spans="1:7" x14ac:dyDescent="0.2">
      <c r="A335" s="54" t="s">
        <v>238</v>
      </c>
      <c r="B335" s="55"/>
      <c r="C335" s="54"/>
      <c r="D335" s="54">
        <f>AVERAGE(D2:D334)</f>
        <v>9.7241379310344822</v>
      </c>
      <c r="E335" s="54">
        <f>AVERAGE(E2:E334)</f>
        <v>9.5714285714285712</v>
      </c>
      <c r="F335" s="54">
        <f>AVERAGE(F2:F334)</f>
        <v>9.7142857142857135</v>
      </c>
      <c r="G335" s="54">
        <f>AVERAGE(G2:G334)</f>
        <v>8.8333333333333339</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2020-07-28T18:30:06Z</dcterms:modified>
</cp:coreProperties>
</file>