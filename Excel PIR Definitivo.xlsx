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67" documentId="13_ncr:1_{7F4D7D7C-D954-4F49-9963-846A0FAF0857}" xr6:coauthVersionLast="45" xr6:coauthVersionMax="45" xr10:uidLastSave="{954CA75A-DF6D-43FD-A439-E2886F2E364D}"/>
  <bookViews>
    <workbookView xWindow="28680" yWindow="-120" windowWidth="29040" windowHeight="15840" tabRatio="953" activeTab="7"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77" i="27" l="1"/>
  <c r="S76" i="27"/>
  <c r="R77" i="27"/>
  <c r="R76" i="27"/>
  <c r="R161" i="27"/>
  <c r="S161" i="27"/>
  <c r="S185" i="27"/>
  <c r="R185" i="27"/>
  <c r="S233" i="27"/>
  <c r="S232" i="27"/>
  <c r="R233" i="27"/>
  <c r="R232" i="27"/>
  <c r="S245" i="27"/>
  <c r="R245" i="27"/>
  <c r="S329" i="27"/>
  <c r="S365" i="27"/>
  <c r="L2" i="5"/>
  <c r="J5" i="14"/>
  <c r="S569" i="27"/>
  <c r="S568" i="27"/>
  <c r="S5" i="27"/>
  <c r="S4" i="27"/>
  <c r="S592" i="27"/>
  <c r="S593" i="27" s="1"/>
  <c r="S594" i="27" s="1"/>
  <c r="S534" i="27"/>
  <c r="R534" i="27"/>
  <c r="S474" i="27"/>
  <c r="S473" i="27"/>
  <c r="S472" i="27"/>
  <c r="S471" i="27"/>
  <c r="S462" i="27"/>
  <c r="S294" i="27"/>
  <c r="R294" i="27"/>
  <c r="S150" i="27"/>
  <c r="S114" i="27"/>
  <c r="S113" i="27"/>
  <c r="S112" i="27"/>
  <c r="S111" i="27"/>
  <c r="R102" i="27"/>
  <c r="S66" i="27"/>
  <c r="BD2" i="8" l="1"/>
  <c r="S197" i="27" l="1"/>
  <c r="S198" i="27" s="1"/>
  <c r="S88" i="27"/>
  <c r="S89" i="27" s="1"/>
  <c r="S90" i="27" s="1"/>
  <c r="R66" i="27"/>
  <c r="S173" i="27"/>
  <c r="S174" i="27" s="1"/>
  <c r="S210" i="27"/>
  <c r="S209" i="27"/>
  <c r="S41" i="27"/>
  <c r="S42" i="27" s="1"/>
  <c r="S138" i="27"/>
  <c r="S437" i="27"/>
  <c r="S293" i="27"/>
  <c r="R293" i="27"/>
  <c r="S101" i="27"/>
  <c r="S102" i="27" s="1"/>
  <c r="R101" i="27"/>
  <c r="S65" i="27"/>
  <c r="S17" i="27"/>
  <c r="S389" i="27"/>
  <c r="S29" i="27"/>
  <c r="S281" i="27"/>
  <c r="S461" i="27"/>
  <c r="S533" i="27"/>
  <c r="S137" i="27"/>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X7" i="14" s="1"/>
  <c r="W8" i="14"/>
  <c r="W9" i="14"/>
  <c r="X9" i="14" s="1"/>
  <c r="W10" i="14"/>
  <c r="W11" i="14"/>
  <c r="X11" i="14" s="1"/>
  <c r="W12" i="14"/>
  <c r="X12" i="14" s="1"/>
  <c r="W13" i="14"/>
  <c r="X13" i="14" s="1"/>
  <c r="W14" i="14"/>
  <c r="X14" i="14" s="1"/>
  <c r="W15" i="14"/>
  <c r="W16" i="14"/>
  <c r="X16" i="14" s="1"/>
  <c r="W17" i="14"/>
  <c r="W18" i="14"/>
  <c r="X18" i="14" s="1"/>
  <c r="W19" i="14"/>
  <c r="X19" i="14" s="1"/>
  <c r="W20" i="14"/>
  <c r="X20" i="14" s="1"/>
  <c r="W21" i="14"/>
  <c r="X21" i="14" s="1"/>
  <c r="W22" i="14"/>
  <c r="X22" i="14" s="1"/>
  <c r="W23" i="14"/>
  <c r="X23" i="14" s="1"/>
  <c r="W24" i="14"/>
  <c r="X24" i="14" s="1"/>
  <c r="W25" i="14"/>
  <c r="X25" i="14" s="1"/>
  <c r="W26" i="14"/>
  <c r="X26" i="14" s="1"/>
  <c r="W27" i="14"/>
  <c r="W28" i="14"/>
  <c r="W29" i="14"/>
  <c r="X29" i="14" s="1"/>
  <c r="W30" i="14"/>
  <c r="X30" i="14" s="1"/>
  <c r="W31" i="14"/>
  <c r="X31" i="14" s="1"/>
  <c r="W32" i="14"/>
  <c r="W33" i="14"/>
  <c r="W34" i="14"/>
  <c r="W35" i="14"/>
  <c r="X35" i="14" s="1"/>
  <c r="W36" i="14"/>
  <c r="W37" i="14"/>
  <c r="X37" i="14" s="1"/>
  <c r="W38" i="14"/>
  <c r="W39" i="14"/>
  <c r="W40" i="14"/>
  <c r="W41" i="14"/>
  <c r="X41" i="14" s="1"/>
  <c r="W42" i="14"/>
  <c r="W43" i="14"/>
  <c r="X43" i="14" s="1"/>
  <c r="W44" i="14"/>
  <c r="W45" i="14"/>
  <c r="X45" i="14" s="1"/>
  <c r="W46" i="14"/>
  <c r="W47" i="14"/>
  <c r="W48" i="14"/>
  <c r="X48" i="14" s="1"/>
  <c r="W49" i="14"/>
  <c r="X49" i="14" s="1"/>
  <c r="W50" i="14"/>
  <c r="X50" i="14" s="1"/>
  <c r="W51" i="14"/>
  <c r="X51" i="14" s="1"/>
  <c r="W52" i="14"/>
  <c r="X52" i="14" s="1"/>
  <c r="W53" i="14"/>
  <c r="W54" i="14"/>
  <c r="X54" i="14" s="1"/>
  <c r="W55" i="14"/>
  <c r="X55" i="14" s="1"/>
  <c r="W56" i="14"/>
  <c r="X56" i="14" s="1"/>
  <c r="W57" i="14"/>
  <c r="X57" i="14" s="1"/>
  <c r="W58" i="14"/>
  <c r="W59" i="14"/>
  <c r="X59" i="14" s="1"/>
  <c r="W2" i="14"/>
  <c r="X3" i="14"/>
  <c r="X4" i="14"/>
  <c r="X5" i="14"/>
  <c r="X8" i="14"/>
  <c r="X10" i="14"/>
  <c r="X15" i="14"/>
  <c r="X17" i="14"/>
  <c r="X27" i="14"/>
  <c r="X28" i="14"/>
  <c r="X32" i="14"/>
  <c r="X33" i="14"/>
  <c r="X34" i="14"/>
  <c r="X36" i="14"/>
  <c r="X38" i="14"/>
  <c r="X39" i="14"/>
  <c r="X40" i="14"/>
  <c r="X42" i="14"/>
  <c r="X44" i="14"/>
  <c r="X46" i="14"/>
  <c r="X47" i="14"/>
  <c r="X53" i="14"/>
  <c r="X58"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L14" i="5"/>
  <c r="M4" i="5" l="1"/>
  <c r="M5" i="5" s="1"/>
  <c r="M6" i="5" s="1"/>
  <c r="M7" i="5" s="1"/>
  <c r="M8" i="5" s="1"/>
  <c r="M9" i="5" s="1"/>
  <c r="M10" i="5" s="1"/>
  <c r="M11" i="5" s="1"/>
  <c r="M12" i="5" s="1"/>
  <c r="M13" i="5" s="1"/>
  <c r="L15" i="5"/>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63" i="21" l="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64" i="21" l="1"/>
  <c r="J5" i="21" s="1"/>
  <c r="F164" i="21"/>
  <c r="J4" i="21" s="1"/>
  <c r="D164" i="21"/>
  <c r="J2" i="21" s="1"/>
  <c r="E164"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18" l="1"/>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21"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F25" i="5"/>
  <c r="D25" i="5"/>
  <c r="F24" i="5"/>
  <c r="D24" i="5"/>
  <c r="F23" i="5"/>
  <c r="D23" i="5"/>
  <c r="F22" i="5"/>
  <c r="D22" i="5"/>
  <c r="F21" i="5"/>
  <c r="D21" i="5"/>
  <c r="F20" i="5"/>
  <c r="D20" i="5"/>
  <c r="F19" i="5"/>
  <c r="D19" i="5"/>
  <c r="D18" i="5"/>
  <c r="H18" i="5" s="1"/>
  <c r="F17" i="5"/>
  <c r="D17" i="5"/>
  <c r="F16" i="5"/>
  <c r="D16" i="5"/>
  <c r="D15" i="5"/>
  <c r="D14" i="5"/>
  <c r="H14" i="5" s="1"/>
  <c r="D13" i="5"/>
  <c r="F12" i="5"/>
  <c r="D12" i="5"/>
  <c r="F11" i="5"/>
  <c r="D11" i="5"/>
  <c r="F10" i="5"/>
  <c r="D10" i="5"/>
  <c r="F9" i="5"/>
  <c r="D9" i="5"/>
  <c r="F8" i="5"/>
  <c r="D8" i="5"/>
  <c r="F7" i="5"/>
  <c r="D7" i="5"/>
  <c r="F6" i="5"/>
  <c r="D6" i="5"/>
  <c r="F5" i="5"/>
  <c r="D5" i="5"/>
  <c r="F4" i="5"/>
  <c r="D4" i="5"/>
  <c r="F3" i="5"/>
  <c r="D3" i="5"/>
  <c r="F2" i="5"/>
  <c r="D2" i="5"/>
  <c r="H22" i="5" l="1"/>
  <c r="H26" i="5"/>
  <c r="H30" i="5"/>
  <c r="H34" i="5"/>
  <c r="H38" i="5"/>
  <c r="H42" i="5"/>
  <c r="H46" i="5"/>
  <c r="H50" i="5"/>
  <c r="H54" i="5"/>
  <c r="H58" i="5"/>
  <c r="H62" i="5"/>
  <c r="H66" i="5"/>
  <c r="H70" i="5"/>
  <c r="H74" i="5"/>
  <c r="H78" i="5"/>
  <c r="H82" i="5"/>
  <c r="H86" i="5"/>
  <c r="H90" i="5"/>
  <c r="H94" i="5"/>
  <c r="H98" i="5"/>
  <c r="H102" i="5"/>
  <c r="H106" i="5"/>
  <c r="H110" i="5"/>
  <c r="H114" i="5"/>
  <c r="H118"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66" i="5"/>
  <c r="H270" i="5"/>
  <c r="H274" i="5"/>
  <c r="H278" i="5"/>
  <c r="H282" i="5"/>
  <c r="H286" i="5"/>
  <c r="H290" i="5"/>
  <c r="H294" i="5"/>
  <c r="H298"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14" i="5"/>
  <c r="H618" i="5"/>
  <c r="H622" i="5"/>
  <c r="H626" i="5"/>
  <c r="H630" i="5"/>
  <c r="H634" i="5"/>
  <c r="H638" i="5"/>
  <c r="H642" i="5"/>
  <c r="H2" i="5"/>
  <c r="H6" i="5"/>
  <c r="H10" i="5"/>
  <c r="H646" i="5"/>
  <c r="M10" i="12"/>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<sst xmlns="http://schemas.openxmlformats.org/spreadsheetml/2006/main" count="7353" uniqueCount="295">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</sst>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4">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0" fillId="0" borderId="0" xfId="0" applyProtection="1">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64" totalsRowShown="0" headerRowDxfId="10" dataDxfId="9" tableBorderDxfId="8">
  <autoFilter ref="A1:G164"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N2" activePane="bottomRight" state="frozen"/>
      <selection pane="topRight" activeCell="D1" sqref="D1"/>
      <selection pane="bottomLeft" activeCell="A2" sqref="A2"/>
      <selection pane="bottomRight" activeCell="S1" sqref="S1"/>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c r="P4">
        <v>0</v>
      </c>
      <c r="Q4">
        <v>0</v>
      </c>
      <c r="R4">
        <v>9</v>
      </c>
      <c r="S4">
        <f>S3</f>
        <v>7497</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c r="P5">
        <v>0</v>
      </c>
      <c r="Q5">
        <v>0</v>
      </c>
      <c r="R5">
        <v>9</v>
      </c>
      <c r="S5">
        <f>S4</f>
        <v>7497</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2</v>
      </c>
      <c r="Q42">
        <v>6900</v>
      </c>
      <c r="R42">
        <v>7</v>
      </c>
      <c r="S42">
        <f>S41+Q42</f>
        <v>18073.8</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c r="P53">
        <v>0</v>
      </c>
      <c r="Q53">
        <v>0</v>
      </c>
      <c r="R53">
        <v>4</v>
      </c>
      <c r="S53">
        <v>5200</v>
      </c>
    </row>
    <row r="54" spans="1:19"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3</v>
      </c>
      <c r="Q66">
        <v>3710</v>
      </c>
      <c r="R66">
        <f>R65+P66</f>
        <v>634</v>
      </c>
      <c r="S66">
        <f>S65+Q66</f>
        <v>26900</v>
      </c>
    </row>
    <row r="67" spans="1:19"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c r="P76">
        <v>0</v>
      </c>
      <c r="Q76">
        <v>0</v>
      </c>
      <c r="R76">
        <f>R75</f>
        <v>1</v>
      </c>
      <c r="S76">
        <f>S75</f>
        <v>600</v>
      </c>
    </row>
    <row r="77" spans="1:19"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c r="P77">
        <v>0</v>
      </c>
      <c r="Q77">
        <v>0</v>
      </c>
      <c r="R77">
        <f>R76</f>
        <v>1</v>
      </c>
      <c r="S77">
        <f>S76</f>
        <v>600</v>
      </c>
    </row>
    <row r="78" spans="1:19"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5</v>
      </c>
      <c r="Q90">
        <v>14306.91</v>
      </c>
      <c r="R90">
        <v>7</v>
      </c>
      <c r="S90">
        <f>S89+Q90</f>
        <v>19056.91</v>
      </c>
    </row>
    <row r="91" spans="1:19"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14</v>
      </c>
      <c r="Q102">
        <v>2288</v>
      </c>
      <c r="R102">
        <f>R101+P102</f>
        <v>65</v>
      </c>
      <c r="S102">
        <f>S101+Q102</f>
        <v>10326</v>
      </c>
    </row>
    <row r="103" spans="1:19"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c r="P111">
        <v>0</v>
      </c>
      <c r="Q111">
        <v>0</v>
      </c>
      <c r="R111">
        <v>1</v>
      </c>
      <c r="S111">
        <f>S110</f>
        <v>1040</v>
      </c>
    </row>
    <row r="112" spans="1:19"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c r="P112">
        <v>0</v>
      </c>
      <c r="Q112">
        <v>0</v>
      </c>
      <c r="R112">
        <v>1</v>
      </c>
      <c r="S112">
        <f>S111</f>
        <v>1040</v>
      </c>
    </row>
    <row r="113" spans="1:19"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c r="P113">
        <v>0</v>
      </c>
      <c r="Q113">
        <v>0</v>
      </c>
      <c r="R113">
        <v>1</v>
      </c>
      <c r="S113">
        <f>S112</f>
        <v>1040</v>
      </c>
    </row>
    <row r="114" spans="1:19"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c r="P114">
        <v>2</v>
      </c>
      <c r="Q114">
        <v>4100</v>
      </c>
      <c r="R114">
        <v>3</v>
      </c>
      <c r="S114">
        <f>S113+Q114</f>
        <v>5140</v>
      </c>
    </row>
    <row r="115" spans="1:19"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9"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9"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9"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9"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9"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9"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9"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c r="P122">
        <v>0</v>
      </c>
      <c r="Q122">
        <v>0</v>
      </c>
      <c r="R122">
        <v>0</v>
      </c>
      <c r="S122">
        <v>0</v>
      </c>
    </row>
    <row r="123" spans="1:19"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c r="P123">
        <v>0</v>
      </c>
      <c r="Q123">
        <v>0</v>
      </c>
      <c r="R123">
        <v>0</v>
      </c>
      <c r="S123">
        <v>0</v>
      </c>
    </row>
    <row r="124" spans="1:19"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c r="P124">
        <v>0</v>
      </c>
      <c r="Q124">
        <v>0</v>
      </c>
      <c r="R124">
        <v>0</v>
      </c>
      <c r="S124">
        <v>0</v>
      </c>
    </row>
    <row r="125" spans="1:19"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c r="P125">
        <v>0</v>
      </c>
      <c r="Q125">
        <v>0</v>
      </c>
      <c r="R125">
        <v>0</v>
      </c>
      <c r="S125">
        <v>0</v>
      </c>
    </row>
    <row r="126" spans="1:19"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9"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9"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2</v>
      </c>
      <c r="Q138">
        <v>1445</v>
      </c>
      <c r="R138">
        <v>6</v>
      </c>
      <c r="S138">
        <f>Q138+S137</f>
        <v>3083.88</v>
      </c>
    </row>
    <row r="139" spans="1:19"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4</v>
      </c>
      <c r="Q150">
        <v>577.5</v>
      </c>
      <c r="R150">
        <v>8</v>
      </c>
      <c r="S150">
        <f>S149+Q150</f>
        <v>822.5</v>
      </c>
    </row>
    <row r="151" spans="1:19"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c r="P161">
        <v>0</v>
      </c>
      <c r="Q161">
        <v>0</v>
      </c>
      <c r="R161">
        <f>R160</f>
        <v>1</v>
      </c>
      <c r="S161">
        <f>S160</f>
        <v>1400</v>
      </c>
    </row>
    <row r="162" spans="1:19"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2</v>
      </c>
      <c r="Q174">
        <v>6600</v>
      </c>
      <c r="R174">
        <v>4</v>
      </c>
      <c r="S174">
        <f>S173+Q174</f>
        <v>10875</v>
      </c>
    </row>
    <row r="175" spans="1:19"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c r="P185">
        <v>0</v>
      </c>
      <c r="Q185">
        <v>0</v>
      </c>
      <c r="R185">
        <f>R184</f>
        <v>2</v>
      </c>
      <c r="S185">
        <f>S184</f>
        <v>1800</v>
      </c>
    </row>
    <row r="186" spans="1:19"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c r="P218">
        <v>0</v>
      </c>
      <c r="Q218">
        <v>0</v>
      </c>
      <c r="R218">
        <v>0</v>
      </c>
      <c r="S218">
        <v>0</v>
      </c>
    </row>
    <row r="219" spans="1:19"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c r="P219">
        <v>0</v>
      </c>
      <c r="Q219">
        <v>0</v>
      </c>
      <c r="R219">
        <v>0</v>
      </c>
      <c r="S219">
        <v>0</v>
      </c>
    </row>
    <row r="220" spans="1:19"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c r="P220">
        <v>0</v>
      </c>
      <c r="Q220">
        <v>0</v>
      </c>
      <c r="R220">
        <v>0</v>
      </c>
      <c r="S220">
        <v>0</v>
      </c>
    </row>
    <row r="221" spans="1:19"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c r="P221">
        <v>0</v>
      </c>
      <c r="Q221">
        <v>0</v>
      </c>
      <c r="R221">
        <v>0</v>
      </c>
      <c r="S221">
        <v>0</v>
      </c>
    </row>
    <row r="222" spans="1:19"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c r="P232">
        <v>0</v>
      </c>
      <c r="Q232">
        <v>0</v>
      </c>
      <c r="R232">
        <f>R231</f>
        <v>1</v>
      </c>
      <c r="S232">
        <f>S231</f>
        <v>2700</v>
      </c>
    </row>
    <row r="233" spans="1:19"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c r="P233">
        <v>0</v>
      </c>
      <c r="Q233">
        <v>0</v>
      </c>
      <c r="R233">
        <f>R232</f>
        <v>1</v>
      </c>
      <c r="S233">
        <f>S232</f>
        <v>2700</v>
      </c>
    </row>
    <row r="234" spans="1:19"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3">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3">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3">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c r="P245">
        <v>0</v>
      </c>
      <c r="Q245">
        <v>0</v>
      </c>
      <c r="R245">
        <f>R244</f>
        <v>7</v>
      </c>
      <c r="S245">
        <f>S244</f>
        <v>134532</v>
      </c>
    </row>
    <row r="246" spans="1:19" x14ac:dyDescent="0.3">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3">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3">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3">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3">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3">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3">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3">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3">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3">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9" x14ac:dyDescent="0.3">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c r="P257">
        <v>0</v>
      </c>
      <c r="Q257">
        <v>0</v>
      </c>
      <c r="R257">
        <v>0</v>
      </c>
      <c r="S257">
        <v>0</v>
      </c>
    </row>
    <row r="258" spans="1:19" x14ac:dyDescent="0.3">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9" x14ac:dyDescent="0.3">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9" x14ac:dyDescent="0.3">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9" x14ac:dyDescent="0.3">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9" x14ac:dyDescent="0.3">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9" x14ac:dyDescent="0.3">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9" x14ac:dyDescent="0.3">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9" x14ac:dyDescent="0.3">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9"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c r="P266">
        <v>0</v>
      </c>
      <c r="Q266">
        <v>0</v>
      </c>
      <c r="R266">
        <v>0</v>
      </c>
      <c r="S266">
        <v>0</v>
      </c>
    </row>
    <row r="267" spans="1:19" x14ac:dyDescent="0.3">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c r="P267">
        <v>0</v>
      </c>
      <c r="Q267">
        <v>0</v>
      </c>
      <c r="R267">
        <v>0</v>
      </c>
      <c r="S267">
        <v>0</v>
      </c>
    </row>
    <row r="268" spans="1:19" x14ac:dyDescent="0.3">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c r="P268">
        <v>0</v>
      </c>
      <c r="Q268">
        <v>0</v>
      </c>
      <c r="R268">
        <v>0</v>
      </c>
      <c r="S268">
        <v>0</v>
      </c>
    </row>
    <row r="269" spans="1:19" x14ac:dyDescent="0.3">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c r="P269">
        <v>0</v>
      </c>
      <c r="Q269">
        <v>0</v>
      </c>
      <c r="R269">
        <v>0</v>
      </c>
      <c r="S269">
        <v>0</v>
      </c>
    </row>
    <row r="270" spans="1:19" x14ac:dyDescent="0.3">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9" x14ac:dyDescent="0.3">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9" x14ac:dyDescent="0.3">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3">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3">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3">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3">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3">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3">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3">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3">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3">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3">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3">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3">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3">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3">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3">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3">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3">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3">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3">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3">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c r="P294">
        <v>4</v>
      </c>
      <c r="Q294">
        <v>4251</v>
      </c>
      <c r="R294">
        <f>R293+P294</f>
        <v>17</v>
      </c>
      <c r="S294">
        <f>S293+Q294</f>
        <v>15780.8</v>
      </c>
    </row>
    <row r="295" spans="1:19" x14ac:dyDescent="0.3">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3">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3">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3">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3">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3">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3">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c r="P302">
        <v>0</v>
      </c>
      <c r="Q302">
        <v>0</v>
      </c>
      <c r="R302">
        <v>0</v>
      </c>
      <c r="S302">
        <v>0</v>
      </c>
    </row>
    <row r="303" spans="1:19" x14ac:dyDescent="0.3">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c r="P303">
        <v>0</v>
      </c>
      <c r="Q303">
        <v>0</v>
      </c>
      <c r="R303">
        <v>0</v>
      </c>
      <c r="S303">
        <v>0</v>
      </c>
    </row>
    <row r="304" spans="1:19" x14ac:dyDescent="0.3">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c r="P304">
        <v>0</v>
      </c>
      <c r="Q304">
        <v>0</v>
      </c>
      <c r="R304">
        <v>0</v>
      </c>
      <c r="S304">
        <v>0</v>
      </c>
    </row>
    <row r="305" spans="1:19" x14ac:dyDescent="0.3">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c r="P305">
        <v>0</v>
      </c>
      <c r="Q305">
        <v>0</v>
      </c>
      <c r="R305">
        <v>0</v>
      </c>
      <c r="S305">
        <v>0</v>
      </c>
    </row>
    <row r="306" spans="1:19" x14ac:dyDescent="0.3">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9" x14ac:dyDescent="0.3">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9" x14ac:dyDescent="0.3">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9" x14ac:dyDescent="0.3">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9" x14ac:dyDescent="0.3">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9" x14ac:dyDescent="0.3">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9" x14ac:dyDescent="0.3">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9" x14ac:dyDescent="0.3">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9"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c r="P314">
        <v>0</v>
      </c>
      <c r="Q314">
        <v>0</v>
      </c>
      <c r="R314">
        <v>0</v>
      </c>
      <c r="S314">
        <v>0</v>
      </c>
    </row>
    <row r="315" spans="1:19" x14ac:dyDescent="0.3">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c r="P315">
        <v>0</v>
      </c>
      <c r="Q315">
        <v>0</v>
      </c>
      <c r="R315">
        <v>0</v>
      </c>
      <c r="S315">
        <v>0</v>
      </c>
    </row>
    <row r="316" spans="1:19" x14ac:dyDescent="0.3">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c r="P316">
        <v>0</v>
      </c>
      <c r="Q316">
        <v>0</v>
      </c>
      <c r="R316">
        <v>0</v>
      </c>
      <c r="S316">
        <v>0</v>
      </c>
    </row>
    <row r="317" spans="1:19" x14ac:dyDescent="0.3">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c r="P317">
        <v>0</v>
      </c>
      <c r="Q317">
        <v>0</v>
      </c>
      <c r="R317">
        <v>0</v>
      </c>
      <c r="S317">
        <v>0</v>
      </c>
    </row>
    <row r="318" spans="1:19" x14ac:dyDescent="0.3">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9" x14ac:dyDescent="0.3">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9" x14ac:dyDescent="0.3">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3">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3">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3">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3">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3">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3">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3">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3">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c r="P329">
        <v>0</v>
      </c>
      <c r="Q329">
        <v>0</v>
      </c>
      <c r="R329">
        <v>3</v>
      </c>
      <c r="S329">
        <f>S328</f>
        <v>1800</v>
      </c>
    </row>
    <row r="330" spans="1:19" x14ac:dyDescent="0.3">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3">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3">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3">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3">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3">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3">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3">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c r="P338">
        <v>0</v>
      </c>
      <c r="Q338">
        <v>0</v>
      </c>
      <c r="R338">
        <v>0</v>
      </c>
      <c r="S338">
        <v>0</v>
      </c>
    </row>
    <row r="339" spans="1:19" x14ac:dyDescent="0.3">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c r="P339">
        <v>0</v>
      </c>
      <c r="Q339">
        <v>0</v>
      </c>
      <c r="R339">
        <v>0</v>
      </c>
      <c r="S339">
        <v>0</v>
      </c>
    </row>
    <row r="340" spans="1:19" x14ac:dyDescent="0.3">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c r="P340">
        <v>0</v>
      </c>
      <c r="Q340">
        <v>0</v>
      </c>
      <c r="R340">
        <v>0</v>
      </c>
      <c r="S340">
        <v>0</v>
      </c>
    </row>
    <row r="341" spans="1:19" x14ac:dyDescent="0.3">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c r="P341">
        <v>0</v>
      </c>
      <c r="Q341">
        <v>0</v>
      </c>
      <c r="R341">
        <v>0</v>
      </c>
      <c r="S341">
        <v>0</v>
      </c>
    </row>
    <row r="342" spans="1:19" x14ac:dyDescent="0.3">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3">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3">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3">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3">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3">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3">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3">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3">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3">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3">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3">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3">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3">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3">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3">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3">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3">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3">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3">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3">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3">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c r="P365">
        <v>0</v>
      </c>
      <c r="Q365">
        <v>0</v>
      </c>
      <c r="R365">
        <v>5</v>
      </c>
      <c r="S365">
        <f>S364</f>
        <v>11900</v>
      </c>
    </row>
    <row r="366" spans="1:19" x14ac:dyDescent="0.3">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3">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3">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9" x14ac:dyDescent="0.3">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9" x14ac:dyDescent="0.3">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9" x14ac:dyDescent="0.3">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9" x14ac:dyDescent="0.3">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9" x14ac:dyDescent="0.3">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9"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c r="P374">
        <v>0</v>
      </c>
      <c r="Q374">
        <v>0</v>
      </c>
      <c r="R374">
        <v>0</v>
      </c>
      <c r="S374">
        <v>0</v>
      </c>
    </row>
    <row r="375" spans="1:19" x14ac:dyDescent="0.3">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c r="P375">
        <v>0</v>
      </c>
      <c r="Q375">
        <v>0</v>
      </c>
      <c r="R375">
        <v>0</v>
      </c>
      <c r="S375">
        <v>0</v>
      </c>
    </row>
    <row r="376" spans="1:19" x14ac:dyDescent="0.3">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c r="P376">
        <v>0</v>
      </c>
      <c r="Q376">
        <v>0</v>
      </c>
      <c r="R376">
        <v>0</v>
      </c>
      <c r="S376">
        <v>0</v>
      </c>
    </row>
    <row r="377" spans="1:19" x14ac:dyDescent="0.3">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c r="P377">
        <v>0</v>
      </c>
      <c r="Q377">
        <v>0</v>
      </c>
      <c r="R377">
        <v>0</v>
      </c>
      <c r="S377">
        <v>0</v>
      </c>
    </row>
    <row r="378" spans="1:19" x14ac:dyDescent="0.3">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9" x14ac:dyDescent="0.3">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9" x14ac:dyDescent="0.3">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9" x14ac:dyDescent="0.3">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9" x14ac:dyDescent="0.3">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9" x14ac:dyDescent="0.3">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9" x14ac:dyDescent="0.3">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3">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3">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3">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3">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3">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3">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3">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3">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3">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3">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3">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3">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c r="P399">
        <v>0</v>
      </c>
      <c r="Q399">
        <v>0</v>
      </c>
      <c r="R399">
        <v>1</v>
      </c>
      <c r="S399">
        <v>10</v>
      </c>
    </row>
    <row r="400" spans="1:19" x14ac:dyDescent="0.3">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c r="P400">
        <v>0</v>
      </c>
      <c r="Q400">
        <v>0</v>
      </c>
      <c r="R400">
        <v>1</v>
      </c>
      <c r="S400">
        <v>10</v>
      </c>
    </row>
    <row r="401" spans="1:19" x14ac:dyDescent="0.3">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c r="P401">
        <v>0</v>
      </c>
      <c r="Q401">
        <v>0</v>
      </c>
      <c r="R401">
        <v>1</v>
      </c>
      <c r="S401">
        <v>10</v>
      </c>
    </row>
    <row r="402" spans="1:19" x14ac:dyDescent="0.3">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c r="P402">
        <v>1</v>
      </c>
      <c r="Q402">
        <v>144</v>
      </c>
      <c r="R402">
        <v>2</v>
      </c>
      <c r="S402">
        <v>154</v>
      </c>
    </row>
    <row r="403" spans="1:19" x14ac:dyDescent="0.3">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9" x14ac:dyDescent="0.3">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9" x14ac:dyDescent="0.3">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9" x14ac:dyDescent="0.3">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9" x14ac:dyDescent="0.3">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9" x14ac:dyDescent="0.3">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9" x14ac:dyDescent="0.3">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9"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c r="P410">
        <v>0</v>
      </c>
      <c r="Q410">
        <v>0</v>
      </c>
      <c r="R410">
        <v>0</v>
      </c>
      <c r="S410">
        <v>0</v>
      </c>
    </row>
    <row r="411" spans="1:19" x14ac:dyDescent="0.3">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c r="P411">
        <v>0</v>
      </c>
      <c r="Q411">
        <v>0</v>
      </c>
      <c r="R411">
        <v>0</v>
      </c>
      <c r="S411">
        <v>0</v>
      </c>
    </row>
    <row r="412" spans="1:19" x14ac:dyDescent="0.3">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c r="P412">
        <v>0</v>
      </c>
      <c r="Q412">
        <v>0</v>
      </c>
      <c r="R412">
        <v>0</v>
      </c>
      <c r="S412">
        <v>0</v>
      </c>
    </row>
    <row r="413" spans="1:19" x14ac:dyDescent="0.3">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c r="P413">
        <v>0</v>
      </c>
      <c r="Q413">
        <v>0</v>
      </c>
      <c r="R413">
        <v>0</v>
      </c>
      <c r="S413">
        <v>0</v>
      </c>
    </row>
    <row r="414" spans="1:19" x14ac:dyDescent="0.3">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9" x14ac:dyDescent="0.3">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9" x14ac:dyDescent="0.3">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3">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3">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3">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3">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3">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3">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3">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0</v>
      </c>
      <c r="Q424">
        <v>0</v>
      </c>
      <c r="R424">
        <v>0</v>
      </c>
      <c r="S424">
        <v>0</v>
      </c>
    </row>
    <row r="425" spans="1:19" x14ac:dyDescent="0.3">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c r="P425">
        <v>0</v>
      </c>
      <c r="Q425">
        <v>0</v>
      </c>
      <c r="R425">
        <v>0</v>
      </c>
      <c r="S425">
        <v>0</v>
      </c>
    </row>
    <row r="426" spans="1:19" x14ac:dyDescent="0.3">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3">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3">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3">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3">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3">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3">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3">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3">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3">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3">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3">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3">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3">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3">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3">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3">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3">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3">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c r="P446">
        <v>0</v>
      </c>
      <c r="Q446">
        <v>0</v>
      </c>
      <c r="R446">
        <v>0</v>
      </c>
      <c r="S446">
        <v>0</v>
      </c>
    </row>
    <row r="447" spans="1:19" x14ac:dyDescent="0.3">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c r="P447">
        <v>0</v>
      </c>
      <c r="Q447">
        <v>0</v>
      </c>
      <c r="R447">
        <v>0</v>
      </c>
      <c r="S447">
        <v>0</v>
      </c>
    </row>
    <row r="448" spans="1:19" x14ac:dyDescent="0.3">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c r="P448">
        <v>0</v>
      </c>
      <c r="Q448">
        <v>0</v>
      </c>
      <c r="R448">
        <v>0</v>
      </c>
      <c r="S448">
        <v>0</v>
      </c>
    </row>
    <row r="449" spans="1:19" x14ac:dyDescent="0.3">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c r="P449">
        <v>0</v>
      </c>
      <c r="Q449">
        <v>0</v>
      </c>
      <c r="R449">
        <v>0</v>
      </c>
      <c r="S449">
        <v>0</v>
      </c>
    </row>
    <row r="450" spans="1:19" x14ac:dyDescent="0.3">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3">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3">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3">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3">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3">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3">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3">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3">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3">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3">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c r="P462">
        <v>1</v>
      </c>
      <c r="Q462">
        <v>5000</v>
      </c>
      <c r="R462">
        <v>7</v>
      </c>
      <c r="S462">
        <f>S461+Q462</f>
        <v>23100</v>
      </c>
    </row>
    <row r="463" spans="1:19" x14ac:dyDescent="0.3">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3">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3">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3">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3">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3">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3">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3">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c r="P471">
        <v>0</v>
      </c>
      <c r="Q471">
        <v>0</v>
      </c>
      <c r="R471">
        <v>1</v>
      </c>
      <c r="S471">
        <f>S470</f>
        <v>1400</v>
      </c>
    </row>
    <row r="472" spans="1:19" x14ac:dyDescent="0.3">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c r="P472">
        <v>0</v>
      </c>
      <c r="Q472">
        <v>0</v>
      </c>
      <c r="R472">
        <v>1</v>
      </c>
      <c r="S472">
        <f>S471</f>
        <v>1400</v>
      </c>
    </row>
    <row r="473" spans="1:19" x14ac:dyDescent="0.3">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c r="P473">
        <v>0</v>
      </c>
      <c r="Q473">
        <v>0</v>
      </c>
      <c r="R473">
        <v>1</v>
      </c>
      <c r="S473">
        <f>S472</f>
        <v>1400</v>
      </c>
    </row>
    <row r="474" spans="1:19" x14ac:dyDescent="0.3">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c r="P474">
        <v>2</v>
      </c>
      <c r="Q474">
        <v>4300</v>
      </c>
      <c r="R474">
        <v>3</v>
      </c>
      <c r="S474">
        <f>S473+Q474</f>
        <v>5700</v>
      </c>
    </row>
    <row r="475" spans="1:19" x14ac:dyDescent="0.3">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3">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3">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3">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3">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3">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3">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c r="P482">
        <v>0</v>
      </c>
      <c r="Q482">
        <v>0</v>
      </c>
      <c r="R482">
        <v>0</v>
      </c>
      <c r="S482">
        <v>0</v>
      </c>
    </row>
    <row r="483" spans="1:19" x14ac:dyDescent="0.3">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c r="P483">
        <v>0</v>
      </c>
      <c r="Q483">
        <v>0</v>
      </c>
      <c r="R483">
        <v>0</v>
      </c>
      <c r="S483">
        <v>0</v>
      </c>
    </row>
    <row r="484" spans="1:19" x14ac:dyDescent="0.3">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c r="P484">
        <v>0</v>
      </c>
      <c r="Q484">
        <v>0</v>
      </c>
      <c r="R484">
        <v>0</v>
      </c>
      <c r="S484">
        <v>0</v>
      </c>
    </row>
    <row r="485" spans="1:19" x14ac:dyDescent="0.3">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c r="P485">
        <v>0</v>
      </c>
      <c r="Q485">
        <v>0</v>
      </c>
      <c r="R485">
        <v>0</v>
      </c>
      <c r="S485">
        <v>0</v>
      </c>
    </row>
    <row r="486" spans="1:19" x14ac:dyDescent="0.3">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3">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3">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3">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3">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3">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3">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3">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3">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3">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3">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3">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3">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3">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3">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3">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3">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3">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3">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3">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3">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3">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c r="P509">
        <v>0</v>
      </c>
      <c r="Q509">
        <v>0</v>
      </c>
      <c r="R509">
        <v>2</v>
      </c>
      <c r="S509">
        <v>4300</v>
      </c>
    </row>
    <row r="510" spans="1:19" x14ac:dyDescent="0.3">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3">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3">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9" x14ac:dyDescent="0.3">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9" x14ac:dyDescent="0.3">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9" x14ac:dyDescent="0.3">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9" x14ac:dyDescent="0.3">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9" x14ac:dyDescent="0.3">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9"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c r="P518">
        <v>0</v>
      </c>
      <c r="Q518">
        <v>0</v>
      </c>
      <c r="R518">
        <v>0</v>
      </c>
      <c r="S518">
        <v>0</v>
      </c>
    </row>
    <row r="519" spans="1:19" x14ac:dyDescent="0.3">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c r="P519">
        <v>0</v>
      </c>
      <c r="Q519">
        <v>0</v>
      </c>
      <c r="R519">
        <v>0</v>
      </c>
      <c r="S519">
        <v>0</v>
      </c>
    </row>
    <row r="520" spans="1:19" x14ac:dyDescent="0.3">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c r="P520">
        <v>0</v>
      </c>
      <c r="Q520">
        <v>0</v>
      </c>
      <c r="R520">
        <v>0</v>
      </c>
      <c r="S520">
        <v>0</v>
      </c>
    </row>
    <row r="521" spans="1:19" x14ac:dyDescent="0.3">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c r="P521">
        <v>0</v>
      </c>
      <c r="Q521">
        <v>0</v>
      </c>
      <c r="R521">
        <v>0</v>
      </c>
      <c r="S521">
        <v>0</v>
      </c>
    </row>
    <row r="522" spans="1:19" x14ac:dyDescent="0.3">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9" x14ac:dyDescent="0.3">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9" x14ac:dyDescent="0.3">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9" x14ac:dyDescent="0.3">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9" x14ac:dyDescent="0.3">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9" x14ac:dyDescent="0.3">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9" x14ac:dyDescent="0.3">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3">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3">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3">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3">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6</v>
      </c>
      <c r="Q534">
        <v>9168.27</v>
      </c>
      <c r="R534">
        <f>R533+P534</f>
        <v>19</v>
      </c>
      <c r="S534">
        <f>S533+Q534</f>
        <v>90995.180000000008</v>
      </c>
    </row>
    <row r="535" spans="1:19" x14ac:dyDescent="0.3">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3">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3">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3">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3">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3">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3">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c r="P542">
        <v>0</v>
      </c>
      <c r="Q542">
        <v>0</v>
      </c>
      <c r="R542">
        <v>0</v>
      </c>
      <c r="S542">
        <v>0</v>
      </c>
    </row>
    <row r="543" spans="1:19" x14ac:dyDescent="0.3">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c r="P543">
        <v>0</v>
      </c>
      <c r="Q543">
        <v>0</v>
      </c>
      <c r="R543">
        <v>0</v>
      </c>
      <c r="S543">
        <v>0</v>
      </c>
    </row>
    <row r="544" spans="1:19" x14ac:dyDescent="0.3">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c r="P544">
        <v>0</v>
      </c>
      <c r="Q544">
        <v>0</v>
      </c>
      <c r="R544">
        <v>0</v>
      </c>
      <c r="S544">
        <v>0</v>
      </c>
    </row>
    <row r="545" spans="1:19" x14ac:dyDescent="0.3">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c r="P545">
        <v>0</v>
      </c>
      <c r="Q545">
        <v>0</v>
      </c>
      <c r="R545">
        <v>0</v>
      </c>
      <c r="S545">
        <v>0</v>
      </c>
    </row>
    <row r="546" spans="1:19" x14ac:dyDescent="0.3">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9" x14ac:dyDescent="0.3">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9" x14ac:dyDescent="0.3">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9" x14ac:dyDescent="0.3">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9" x14ac:dyDescent="0.3">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9" x14ac:dyDescent="0.3">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9" x14ac:dyDescent="0.3">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9" x14ac:dyDescent="0.3">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9"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c r="P554">
        <v>0</v>
      </c>
      <c r="Q554">
        <v>0</v>
      </c>
      <c r="R554">
        <v>0</v>
      </c>
      <c r="S554">
        <v>0</v>
      </c>
    </row>
    <row r="555" spans="1:19" x14ac:dyDescent="0.3">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c r="P555">
        <v>0</v>
      </c>
      <c r="Q555">
        <v>0</v>
      </c>
      <c r="R555">
        <v>0</v>
      </c>
      <c r="S555">
        <v>0</v>
      </c>
    </row>
    <row r="556" spans="1:19" x14ac:dyDescent="0.3">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c r="P556">
        <v>0</v>
      </c>
      <c r="Q556">
        <v>0</v>
      </c>
      <c r="R556">
        <v>0</v>
      </c>
      <c r="S556">
        <v>0</v>
      </c>
    </row>
    <row r="557" spans="1:19" x14ac:dyDescent="0.3">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c r="P557">
        <v>0</v>
      </c>
      <c r="Q557">
        <v>0</v>
      </c>
      <c r="R557">
        <v>0</v>
      </c>
      <c r="S557">
        <v>0</v>
      </c>
    </row>
    <row r="558" spans="1:19" x14ac:dyDescent="0.3">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9" x14ac:dyDescent="0.3">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9" x14ac:dyDescent="0.3">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3">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3">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3">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3">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3">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3">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3">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c r="P568">
        <v>0</v>
      </c>
      <c r="Q568">
        <v>0</v>
      </c>
      <c r="R568">
        <v>1</v>
      </c>
      <c r="S568">
        <f>S567</f>
        <v>3420</v>
      </c>
    </row>
    <row r="569" spans="1:19" x14ac:dyDescent="0.3">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c r="P569">
        <v>0</v>
      </c>
      <c r="Q569">
        <v>0</v>
      </c>
      <c r="R569">
        <v>1</v>
      </c>
      <c r="S569">
        <f>S568</f>
        <v>3420</v>
      </c>
    </row>
    <row r="570" spans="1:19" x14ac:dyDescent="0.3">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3">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3">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3">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3">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3">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3">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3">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3">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3">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3">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3">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3">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3">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3">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3">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3">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3">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3">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3">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3">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c r="P592">
        <v>1</v>
      </c>
      <c r="Q592">
        <v>1500</v>
      </c>
      <c r="R592">
        <v>3</v>
      </c>
      <c r="S592">
        <f>S591+Q592</f>
        <v>5450</v>
      </c>
    </row>
    <row r="593" spans="1:19" x14ac:dyDescent="0.3">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c r="P593">
        <v>0</v>
      </c>
      <c r="Q593">
        <v>0</v>
      </c>
      <c r="R593">
        <v>3</v>
      </c>
      <c r="S593">
        <f>S592</f>
        <v>5450</v>
      </c>
    </row>
    <row r="594" spans="1:19" x14ac:dyDescent="0.3">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c r="P594">
        <v>1</v>
      </c>
      <c r="Q594">
        <v>5050</v>
      </c>
      <c r="R594">
        <v>4</v>
      </c>
      <c r="S594">
        <f>S593+Q594</f>
        <v>10500</v>
      </c>
    </row>
    <row r="595" spans="1:19" x14ac:dyDescent="0.3">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3">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3">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3">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3">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3">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3">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3">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3">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c r="P604">
        <v>0</v>
      </c>
      <c r="Q604">
        <v>0</v>
      </c>
      <c r="R604">
        <v>1</v>
      </c>
      <c r="S604">
        <v>600</v>
      </c>
    </row>
    <row r="605" spans="1:19" x14ac:dyDescent="0.3">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c r="P605">
        <v>0</v>
      </c>
      <c r="Q605">
        <v>0</v>
      </c>
      <c r="R605">
        <v>1</v>
      </c>
      <c r="S605">
        <v>600</v>
      </c>
    </row>
    <row r="606" spans="1:19" x14ac:dyDescent="0.3">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c r="P606">
        <v>1</v>
      </c>
      <c r="Q606">
        <v>283.5</v>
      </c>
      <c r="R606">
        <v>2</v>
      </c>
      <c r="S606">
        <v>883.5</v>
      </c>
    </row>
    <row r="607" spans="1:19" x14ac:dyDescent="0.3">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3">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9" x14ac:dyDescent="0.3">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9" x14ac:dyDescent="0.3">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9" x14ac:dyDescent="0.3">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9" x14ac:dyDescent="0.3">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9" x14ac:dyDescent="0.3">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9"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c r="P614">
        <v>0</v>
      </c>
      <c r="Q614">
        <v>0</v>
      </c>
      <c r="R614">
        <v>0</v>
      </c>
      <c r="S614">
        <v>0</v>
      </c>
    </row>
    <row r="615" spans="1:19" x14ac:dyDescent="0.3">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c r="P615">
        <v>0</v>
      </c>
      <c r="Q615">
        <v>0</v>
      </c>
      <c r="R615">
        <v>0</v>
      </c>
      <c r="S615">
        <v>0</v>
      </c>
    </row>
    <row r="616" spans="1:19" x14ac:dyDescent="0.3">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c r="P616">
        <v>0</v>
      </c>
      <c r="Q616">
        <v>0</v>
      </c>
      <c r="R616">
        <v>0</v>
      </c>
      <c r="S616">
        <v>0</v>
      </c>
    </row>
    <row r="617" spans="1:19" x14ac:dyDescent="0.3">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c r="P617">
        <v>0</v>
      </c>
      <c r="Q617">
        <v>0</v>
      </c>
      <c r="R617">
        <v>0</v>
      </c>
      <c r="S617">
        <v>0</v>
      </c>
    </row>
    <row r="618" spans="1:19" x14ac:dyDescent="0.3">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9" x14ac:dyDescent="0.3">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9" x14ac:dyDescent="0.3">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9" x14ac:dyDescent="0.3">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9" x14ac:dyDescent="0.3">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9" x14ac:dyDescent="0.3">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9" x14ac:dyDescent="0.3">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3">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c r="P626">
        <v>0</v>
      </c>
      <c r="Q626">
        <v>0</v>
      </c>
      <c r="R626">
        <v>0</v>
      </c>
      <c r="S626">
        <v>0</v>
      </c>
    </row>
    <row r="627" spans="1:19" x14ac:dyDescent="0.3">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c r="P627">
        <v>0</v>
      </c>
      <c r="Q627">
        <v>0</v>
      </c>
      <c r="R627">
        <v>0</v>
      </c>
      <c r="S627">
        <v>0</v>
      </c>
    </row>
    <row r="628" spans="1:19" x14ac:dyDescent="0.3">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c r="P628">
        <v>0</v>
      </c>
      <c r="Q628">
        <v>0</v>
      </c>
      <c r="R628">
        <v>0</v>
      </c>
      <c r="S628">
        <v>0</v>
      </c>
    </row>
    <row r="629" spans="1:19" x14ac:dyDescent="0.3">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c r="P629">
        <v>0</v>
      </c>
      <c r="Q629">
        <v>0</v>
      </c>
      <c r="R629">
        <v>0</v>
      </c>
      <c r="S629">
        <v>0</v>
      </c>
    </row>
    <row r="630" spans="1:19" x14ac:dyDescent="0.3">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3">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3">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3">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3">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3">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3">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3">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3">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3">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9" x14ac:dyDescent="0.3">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c r="P641">
        <v>0</v>
      </c>
      <c r="Q641">
        <v>0</v>
      </c>
      <c r="R641">
        <v>1</v>
      </c>
      <c r="S641">
        <v>1500</v>
      </c>
    </row>
    <row r="642" spans="1:19" x14ac:dyDescent="0.3">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9" x14ac:dyDescent="0.3">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9" x14ac:dyDescent="0.3">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9" x14ac:dyDescent="0.3">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9" x14ac:dyDescent="0.3">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9" x14ac:dyDescent="0.3">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9" x14ac:dyDescent="0.3">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9" x14ac:dyDescent="0.3">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9" x14ac:dyDescent="0.3">
      <c r="A650" s="7"/>
    </row>
    <row r="651" spans="1:19" x14ac:dyDescent="0.3">
      <c r="A651" s="7"/>
    </row>
    <row r="652" spans="1:19"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590" activePane="bottomRight" state="frozen"/>
      <selection pane="topRight" activeCell="C1" sqref="C1"/>
      <selection pane="bottomLeft" activeCell="A2" sqref="A2"/>
      <selection pane="bottomRight" activeCell="C598" sqref="C598"/>
    </sheetView>
  </sheetViews>
  <sheetFormatPr defaultColWidth="40.5" defaultRowHeight="14" x14ac:dyDescent="0.3"/>
  <cols>
    <col min="1" max="1" width="19" style="7" customWidth="1"/>
    <col min="2" max="2" width="10.58203125" style="7" customWidth="1"/>
    <col min="3" max="3" width="39.58203125" style="7" customWidth="1"/>
    <col min="4" max="4" width="34.3320312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4.5" x14ac:dyDescent="0.3">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4.5" x14ac:dyDescent="0.3">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4.5" x14ac:dyDescent="0.3">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4.5" x14ac:dyDescent="0.3">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4.5" x14ac:dyDescent="0.3">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4.5" x14ac:dyDescent="0.3">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4.5" x14ac:dyDescent="0.3">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4.5" x14ac:dyDescent="0.3">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4.5" x14ac:dyDescent="0.3">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4.5" x14ac:dyDescent="0.3">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4.5" x14ac:dyDescent="0.3">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3">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3">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3">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3">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3">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3">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3">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3">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3">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3">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3">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3">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3">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3">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3">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3">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3">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3">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3">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3">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3">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3">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3">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3">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3">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3">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3">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3">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3">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3">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3">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3">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3">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3">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3">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3">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3">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3">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3">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3">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3">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3">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3">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3">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3">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3">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3">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3">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3">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3">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3">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3">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3">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3">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3">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3">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3">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3">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3">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3">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3">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3">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3">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3">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3">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3">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3">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3">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3">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3">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3">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3">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3">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3">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3">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3">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3">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3">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3">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3">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3">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3">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3">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3">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3">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3">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3">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3">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3">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3">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3">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3">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3">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3">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3">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3">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3">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3">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3">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3">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3">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3">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3">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3">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3">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3">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3">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3">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3">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3">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3">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3">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3">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3">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3">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3">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3">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3">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3">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3">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3">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3">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3">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3">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3">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3">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3">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3">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3">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3">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3">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3">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3">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3">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3">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3">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3">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3">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3">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3">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3">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3">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3">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3">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3">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3">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3">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3">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3">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3">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3">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3">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3">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3">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3">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3">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3">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3">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3">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3">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3">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3">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3">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3">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3">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3">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3">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3">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3">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3">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3">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3">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3">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3">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3">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3">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3">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3">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3">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3">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3">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3">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3">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3">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3">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3">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3">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3">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3">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3">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3">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3">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3">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3">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3">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3">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3">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3">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3">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3">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3">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3">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3">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3">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3">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3">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3">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3">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3">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3">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3">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3">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3">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3">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3">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3">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3">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3">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3">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3">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3">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3">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3">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3">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3">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3">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3">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3">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3">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3">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3">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3">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3">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3">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3">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3">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3">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3">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3">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3">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3">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3">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3">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3">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3">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3">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3">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3">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3">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3">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3">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3">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3">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3">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3">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3">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3">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3">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3">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3">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3">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3">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3">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3">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3">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3">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3">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3">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3">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3">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3">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3">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3">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3">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3">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3">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3">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3">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3">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3">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3">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3">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3">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3">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3">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3">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3">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3">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3">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3">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3">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3">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3">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3">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3">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3">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3">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3">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3">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3">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3">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3">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3">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3">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3">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3">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3">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3">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3">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3">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3">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3">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3">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3">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3">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3">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3">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3">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3">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3">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3">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3">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3">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3">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3">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3">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3">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3">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3">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3">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3">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3">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3">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3">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3">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3">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3">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3">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3">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3">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3">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3">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3">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3">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3">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3">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3">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3">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3">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3">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3">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3">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3">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3">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3">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3">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3">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3">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3">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3">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3">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3">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3">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3">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3">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3">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3">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3">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3">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3">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3">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3">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3">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3">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3">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3">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3">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3">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3">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3">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3">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3">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3">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3">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3">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3">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3">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3">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3">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3">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3">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3">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3">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3">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3">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3">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3">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3">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3">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3">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3">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3">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3">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3">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3">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3">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3">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3">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3">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3">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3">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3">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3">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3">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3">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3">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3">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3">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3">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3">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3">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3">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3">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3">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3">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3">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3">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3">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3">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3">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3">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3">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3">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3">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3">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3">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3">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3">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3">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3">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3">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3">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3">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3">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3">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3">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3">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3">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3">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3">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3">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3">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3">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3">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3">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3">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3">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3">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3">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3">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3">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3">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3">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3">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3">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3">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3">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3">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3">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3">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3">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3">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3">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3">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3">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3">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3">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3">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3">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3">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3">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3">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3">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3">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3">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3">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3">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3">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3">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3">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3">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3">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3">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3">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3">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3">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3">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3">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3">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3">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3">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3">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3">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3">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3">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3">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3">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3">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3">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3">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3">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3">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3">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3">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3">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3">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3">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3">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3">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3">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3">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3">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3">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3">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3">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3">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3">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3">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3">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3">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3">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3">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3">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3">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3">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3">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3">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3">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3">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3">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3">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3">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3">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3">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3">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3">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3">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3">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3">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3">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3">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3">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3">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3">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3">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3">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3">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3">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3">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3">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3">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3">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3">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3">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3">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3">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3">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3">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3">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3">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3">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3">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3">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3">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3">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3">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3">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3">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3">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3">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3">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3">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3">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3">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3">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3">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3">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3">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3">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3">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3">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3">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3">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3">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3">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3">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3">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3">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3">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3">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3">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3">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3">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3">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3">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3">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3">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3">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3">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3">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3">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3">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3">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3">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3">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3">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3">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3">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3">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3">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3">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3">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3">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3">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3">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3">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3">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3">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3">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3">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3">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3">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3">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3">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3">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3">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B2" activePane="bottomRight" state="frozen"/>
      <selection pane="topRight" activeCell="B1" sqref="B1"/>
      <selection pane="bottomLeft" activeCell="A2" sqref="A2"/>
      <selection pane="bottomRight" activeCell="BD2" sqref="BD2"/>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4.5" x14ac:dyDescent="0.3">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4.5" x14ac:dyDescent="0.3">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4.5" x14ac:dyDescent="0.3">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4.5" x14ac:dyDescent="0.3">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4.5" x14ac:dyDescent="0.3">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4.5" x14ac:dyDescent="0.3">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4.5" x14ac:dyDescent="0.3">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4.5" x14ac:dyDescent="0.3">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4.5" x14ac:dyDescent="0.3">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4.5" x14ac:dyDescent="0.3">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4.5" x14ac:dyDescent="0.3">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BC2" activePane="bottomRight" state="frozen"/>
      <selection pane="topRight" activeCell="B1" sqref="B1"/>
      <selection pane="bottomLeft" activeCell="A2" sqref="A2"/>
      <selection pane="bottomRight" activeCell="BD11" sqref="BD11"/>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4.5" x14ac:dyDescent="0.3">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4.5" x14ac:dyDescent="0.3">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4.5" x14ac:dyDescent="0.3">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4.5" x14ac:dyDescent="0.3">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4.5" x14ac:dyDescent="0.3">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4.5" x14ac:dyDescent="0.3">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4.5" x14ac:dyDescent="0.3">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4.5" x14ac:dyDescent="0.3">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4.5" x14ac:dyDescent="0.3">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4.5" x14ac:dyDescent="0.3">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4.5" x14ac:dyDescent="0.3">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C12" sqref="C12"/>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4.5" x14ac:dyDescent="0.3">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4.5" x14ac:dyDescent="0.3">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4.5" x14ac:dyDescent="0.3">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4.5" x14ac:dyDescent="0.3">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4.5" x14ac:dyDescent="0.3">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4.5" x14ac:dyDescent="0.3">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4.5" x14ac:dyDescent="0.3">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4.5" x14ac:dyDescent="0.3">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4.5" x14ac:dyDescent="0.3">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4.5" x14ac:dyDescent="0.3">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4.5" x14ac:dyDescent="0.3">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pane xSplit="1" topLeftCell="G1" activePane="topRight" state="frozen"/>
      <selection pane="topRight" activeCell="J640" sqref="J640"/>
    </sheetView>
  </sheetViews>
  <sheetFormatPr defaultColWidth="12.08203125" defaultRowHeight="14" x14ac:dyDescent="0.3"/>
  <cols>
    <col min="1" max="1" width="36.08203125" style="3" customWidth="1"/>
    <col min="2" max="2" width="12" style="3"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6">
        <v>7</v>
      </c>
      <c r="E2" s="76">
        <v>58</v>
      </c>
      <c r="F2" s="76">
        <v>0</v>
      </c>
      <c r="G2" s="76">
        <v>0</v>
      </c>
      <c r="H2" s="76">
        <v>0</v>
      </c>
      <c r="I2" s="76">
        <v>0</v>
      </c>
      <c r="J2" s="76">
        <v>1</v>
      </c>
      <c r="K2" s="46"/>
    </row>
    <row r="3" spans="1:11" x14ac:dyDescent="0.3">
      <c r="A3" s="36" t="s">
        <v>87</v>
      </c>
      <c r="B3" s="36" t="s">
        <v>159</v>
      </c>
      <c r="C3" s="6">
        <f t="shared" si="0"/>
        <v>2</v>
      </c>
      <c r="D3" s="75">
        <v>9</v>
      </c>
      <c r="E3" s="75">
        <v>75</v>
      </c>
      <c r="F3" s="76">
        <v>0</v>
      </c>
      <c r="G3" s="76">
        <v>0</v>
      </c>
      <c r="H3" s="76">
        <v>0</v>
      </c>
      <c r="I3" s="76">
        <v>0</v>
      </c>
      <c r="J3" s="76">
        <v>2</v>
      </c>
      <c r="K3" s="46"/>
    </row>
    <row r="4" spans="1:11" x14ac:dyDescent="0.3">
      <c r="A4" s="35" t="s">
        <v>87</v>
      </c>
      <c r="B4" s="35" t="s">
        <v>160</v>
      </c>
      <c r="C4" s="6">
        <f t="shared" si="0"/>
        <v>3</v>
      </c>
      <c r="D4" s="76">
        <v>0</v>
      </c>
      <c r="E4" s="76">
        <v>0</v>
      </c>
      <c r="F4" s="76">
        <v>0</v>
      </c>
      <c r="G4" s="76">
        <v>0</v>
      </c>
      <c r="H4" s="76">
        <v>0</v>
      </c>
      <c r="I4" s="76">
        <v>0</v>
      </c>
      <c r="J4" s="76">
        <v>0</v>
      </c>
      <c r="K4" s="46"/>
    </row>
    <row r="5" spans="1:11" x14ac:dyDescent="0.3">
      <c r="A5" s="36" t="s">
        <v>87</v>
      </c>
      <c r="B5" s="36" t="s">
        <v>161</v>
      </c>
      <c r="C5" s="6">
        <f t="shared" si="0"/>
        <v>4</v>
      </c>
      <c r="D5" s="75">
        <v>0</v>
      </c>
      <c r="E5" s="75">
        <v>0</v>
      </c>
      <c r="F5" s="76">
        <v>0</v>
      </c>
      <c r="G5" s="76">
        <v>0</v>
      </c>
      <c r="H5" s="76">
        <v>0</v>
      </c>
      <c r="I5" s="76">
        <v>0</v>
      </c>
      <c r="J5" s="76">
        <v>0</v>
      </c>
      <c r="K5" s="46"/>
    </row>
    <row r="6" spans="1:11" x14ac:dyDescent="0.3">
      <c r="A6" s="35" t="s">
        <v>87</v>
      </c>
      <c r="B6" s="35" t="s">
        <v>162</v>
      </c>
      <c r="C6" s="6">
        <f t="shared" si="0"/>
        <v>5</v>
      </c>
      <c r="D6" s="76">
        <v>0</v>
      </c>
      <c r="E6" s="76">
        <v>0</v>
      </c>
      <c r="F6" s="76">
        <v>0</v>
      </c>
      <c r="G6" s="76">
        <v>0</v>
      </c>
      <c r="H6" s="76">
        <v>0</v>
      </c>
      <c r="I6" s="76">
        <v>0</v>
      </c>
      <c r="J6" s="76">
        <v>0</v>
      </c>
      <c r="K6" s="46"/>
    </row>
    <row r="7" spans="1:11" x14ac:dyDescent="0.3">
      <c r="A7" s="36" t="s">
        <v>87</v>
      </c>
      <c r="B7" s="36" t="s">
        <v>163</v>
      </c>
      <c r="C7" s="6">
        <f t="shared" si="0"/>
        <v>6</v>
      </c>
      <c r="D7" s="75">
        <v>0</v>
      </c>
      <c r="E7" s="75">
        <v>0</v>
      </c>
      <c r="F7" s="76">
        <v>0</v>
      </c>
      <c r="G7" s="76">
        <v>0</v>
      </c>
      <c r="H7" s="76">
        <v>0</v>
      </c>
      <c r="I7" s="76">
        <v>0</v>
      </c>
      <c r="J7" s="76">
        <v>0</v>
      </c>
      <c r="K7" s="46"/>
    </row>
    <row r="8" spans="1:11" x14ac:dyDescent="0.3">
      <c r="A8" s="35" t="s">
        <v>87</v>
      </c>
      <c r="B8" s="35" t="s">
        <v>164</v>
      </c>
      <c r="C8" s="6">
        <f t="shared" si="0"/>
        <v>7</v>
      </c>
      <c r="D8" s="76">
        <v>0</v>
      </c>
      <c r="E8" s="76">
        <v>0</v>
      </c>
      <c r="F8" s="76">
        <v>0</v>
      </c>
      <c r="G8" s="76">
        <v>0</v>
      </c>
      <c r="H8" s="76">
        <v>0</v>
      </c>
      <c r="I8" s="76">
        <v>0</v>
      </c>
      <c r="J8" s="76">
        <v>0</v>
      </c>
    </row>
    <row r="9" spans="1:11" x14ac:dyDescent="0.3">
      <c r="A9" s="36" t="s">
        <v>87</v>
      </c>
      <c r="B9" s="36" t="s">
        <v>165</v>
      </c>
      <c r="C9" s="6">
        <f t="shared" si="0"/>
        <v>8</v>
      </c>
      <c r="D9" s="75">
        <v>0</v>
      </c>
      <c r="E9" s="75">
        <v>0</v>
      </c>
      <c r="F9" s="76">
        <v>0</v>
      </c>
      <c r="G9" s="76">
        <v>0</v>
      </c>
      <c r="H9" s="76">
        <v>0</v>
      </c>
      <c r="I9" s="76">
        <v>0</v>
      </c>
      <c r="J9" s="76">
        <v>0</v>
      </c>
    </row>
    <row r="10" spans="1:11" x14ac:dyDescent="0.3">
      <c r="A10" s="35" t="s">
        <v>87</v>
      </c>
      <c r="B10" s="35" t="s">
        <v>166</v>
      </c>
      <c r="C10" s="6">
        <f t="shared" si="0"/>
        <v>9</v>
      </c>
      <c r="D10" s="76">
        <v>0</v>
      </c>
      <c r="E10" s="76">
        <v>0</v>
      </c>
      <c r="F10" s="76">
        <v>0</v>
      </c>
      <c r="G10" s="76">
        <v>0</v>
      </c>
      <c r="H10" s="76">
        <v>0</v>
      </c>
      <c r="I10" s="76">
        <v>0</v>
      </c>
      <c r="J10" s="76">
        <v>0</v>
      </c>
    </row>
    <row r="11" spans="1:11" x14ac:dyDescent="0.3">
      <c r="A11" s="36" t="s">
        <v>87</v>
      </c>
      <c r="B11" s="36" t="s">
        <v>167</v>
      </c>
      <c r="C11" s="6">
        <f t="shared" si="0"/>
        <v>10</v>
      </c>
      <c r="D11" s="75">
        <v>0</v>
      </c>
      <c r="E11" s="75">
        <v>0</v>
      </c>
      <c r="F11" s="76">
        <v>0</v>
      </c>
      <c r="G11" s="76">
        <v>0</v>
      </c>
      <c r="H11" s="76">
        <v>0</v>
      </c>
      <c r="I11" s="76">
        <v>0</v>
      </c>
      <c r="J11" s="76">
        <v>0</v>
      </c>
    </row>
    <row r="12" spans="1:11" x14ac:dyDescent="0.3">
      <c r="A12" s="35" t="s">
        <v>87</v>
      </c>
      <c r="B12" s="35" t="s">
        <v>168</v>
      </c>
      <c r="C12" s="6">
        <f t="shared" si="0"/>
        <v>11</v>
      </c>
      <c r="D12" s="76">
        <v>0</v>
      </c>
      <c r="E12" s="76">
        <v>0</v>
      </c>
      <c r="F12" s="76">
        <v>0</v>
      </c>
      <c r="G12" s="76">
        <v>0</v>
      </c>
      <c r="H12" s="76">
        <v>0</v>
      </c>
      <c r="I12" s="76">
        <v>0</v>
      </c>
      <c r="J12" s="76">
        <v>0</v>
      </c>
    </row>
    <row r="13" spans="1:11" x14ac:dyDescent="0.3">
      <c r="A13" s="36" t="s">
        <v>87</v>
      </c>
      <c r="B13" s="36" t="s">
        <v>169</v>
      </c>
      <c r="C13" s="6">
        <f t="shared" si="0"/>
        <v>12</v>
      </c>
      <c r="D13" s="75">
        <v>0</v>
      </c>
      <c r="E13" s="75">
        <v>0</v>
      </c>
      <c r="F13" s="76">
        <v>0</v>
      </c>
      <c r="G13" s="76">
        <v>0</v>
      </c>
      <c r="H13" s="76">
        <v>0</v>
      </c>
      <c r="I13" s="76">
        <v>0</v>
      </c>
      <c r="J13" s="76">
        <v>0</v>
      </c>
    </row>
    <row r="14" spans="1:11" x14ac:dyDescent="0.3">
      <c r="A14" s="35" t="s">
        <v>98</v>
      </c>
      <c r="B14" s="35" t="s">
        <v>158</v>
      </c>
      <c r="C14" s="6">
        <f t="shared" si="0"/>
        <v>1</v>
      </c>
      <c r="D14" s="76">
        <v>2</v>
      </c>
      <c r="E14" s="76">
        <v>18</v>
      </c>
      <c r="F14" s="76">
        <v>0</v>
      </c>
      <c r="G14" s="76">
        <v>0</v>
      </c>
      <c r="H14" s="76">
        <v>0</v>
      </c>
      <c r="I14" s="76">
        <v>0</v>
      </c>
      <c r="J14" s="76">
        <v>1</v>
      </c>
    </row>
    <row r="15" spans="1:11" x14ac:dyDescent="0.3">
      <c r="A15" s="36" t="s">
        <v>98</v>
      </c>
      <c r="B15" s="36" t="s">
        <v>159</v>
      </c>
      <c r="C15" s="6">
        <f t="shared" si="0"/>
        <v>2</v>
      </c>
      <c r="D15" s="75">
        <v>0</v>
      </c>
      <c r="E15" s="75">
        <v>0</v>
      </c>
      <c r="F15" s="76">
        <v>0</v>
      </c>
      <c r="G15" s="76">
        <v>0</v>
      </c>
      <c r="H15" s="76">
        <v>0</v>
      </c>
      <c r="I15" s="76">
        <v>0</v>
      </c>
      <c r="J15" s="76">
        <v>0</v>
      </c>
    </row>
    <row r="16" spans="1:11" x14ac:dyDescent="0.3">
      <c r="A16" s="35" t="s">
        <v>98</v>
      </c>
      <c r="B16" s="35" t="s">
        <v>160</v>
      </c>
      <c r="C16" s="6">
        <f t="shared" si="0"/>
        <v>3</v>
      </c>
      <c r="D16" s="76">
        <v>0</v>
      </c>
      <c r="E16" s="76">
        <v>0</v>
      </c>
      <c r="F16" s="76">
        <v>0</v>
      </c>
      <c r="G16" s="76">
        <v>0</v>
      </c>
      <c r="H16" s="76">
        <v>0</v>
      </c>
      <c r="I16" s="76">
        <v>0</v>
      </c>
      <c r="J16" s="76">
        <v>0</v>
      </c>
    </row>
    <row r="17" spans="1:10" x14ac:dyDescent="0.3">
      <c r="A17" s="36" t="s">
        <v>98</v>
      </c>
      <c r="B17" s="36" t="s">
        <v>161</v>
      </c>
      <c r="C17" s="6">
        <f t="shared" si="0"/>
        <v>4</v>
      </c>
      <c r="D17" s="75">
        <v>4</v>
      </c>
      <c r="E17" s="75">
        <v>36</v>
      </c>
      <c r="F17" s="76">
        <v>0</v>
      </c>
      <c r="G17" s="76">
        <v>0</v>
      </c>
      <c r="H17" s="76">
        <v>0</v>
      </c>
      <c r="I17" s="76">
        <v>0</v>
      </c>
      <c r="J17" s="76">
        <v>1</v>
      </c>
    </row>
    <row r="18" spans="1:10" x14ac:dyDescent="0.3">
      <c r="A18" s="35" t="s">
        <v>98</v>
      </c>
      <c r="B18" s="35" t="s">
        <v>162</v>
      </c>
      <c r="C18" s="6">
        <f t="shared" si="0"/>
        <v>5</v>
      </c>
      <c r="D18" s="76">
        <v>0</v>
      </c>
      <c r="E18" s="76">
        <v>0</v>
      </c>
      <c r="F18" s="76">
        <v>0</v>
      </c>
      <c r="G18" s="76">
        <v>0</v>
      </c>
      <c r="H18" s="76">
        <v>0</v>
      </c>
      <c r="I18" s="76">
        <v>0</v>
      </c>
      <c r="J18" s="76">
        <v>0</v>
      </c>
    </row>
    <row r="19" spans="1:10" x14ac:dyDescent="0.3">
      <c r="A19" s="36" t="s">
        <v>98</v>
      </c>
      <c r="B19" s="36" t="s">
        <v>163</v>
      </c>
      <c r="C19" s="6">
        <f t="shared" si="0"/>
        <v>6</v>
      </c>
      <c r="D19" s="75">
        <v>0</v>
      </c>
      <c r="E19" s="75">
        <v>0</v>
      </c>
      <c r="F19" s="76">
        <v>0</v>
      </c>
      <c r="G19" s="76">
        <v>0</v>
      </c>
      <c r="H19" s="76">
        <v>0</v>
      </c>
      <c r="I19" s="76">
        <v>0</v>
      </c>
      <c r="J19" s="76">
        <v>0</v>
      </c>
    </row>
    <row r="20" spans="1:10" x14ac:dyDescent="0.3">
      <c r="A20" s="35" t="s">
        <v>98</v>
      </c>
      <c r="B20" s="35" t="s">
        <v>164</v>
      </c>
      <c r="C20" s="6">
        <f t="shared" si="0"/>
        <v>7</v>
      </c>
      <c r="D20" s="76">
        <v>0</v>
      </c>
      <c r="E20" s="76">
        <v>0</v>
      </c>
      <c r="F20" s="76">
        <v>0</v>
      </c>
      <c r="G20" s="76">
        <v>0</v>
      </c>
      <c r="H20" s="76">
        <v>0</v>
      </c>
      <c r="I20" s="76">
        <v>0</v>
      </c>
      <c r="J20" s="76">
        <v>0</v>
      </c>
    </row>
    <row r="21" spans="1:10" x14ac:dyDescent="0.3">
      <c r="A21" s="36" t="s">
        <v>98</v>
      </c>
      <c r="B21" s="36" t="s">
        <v>165</v>
      </c>
      <c r="C21" s="6">
        <f t="shared" si="0"/>
        <v>8</v>
      </c>
      <c r="D21" s="75">
        <v>0</v>
      </c>
      <c r="E21" s="75">
        <v>0</v>
      </c>
      <c r="F21" s="76">
        <v>0</v>
      </c>
      <c r="G21" s="76">
        <v>0</v>
      </c>
      <c r="H21" s="76">
        <v>0</v>
      </c>
      <c r="I21" s="76">
        <v>0</v>
      </c>
      <c r="J21" s="76">
        <v>0</v>
      </c>
    </row>
    <row r="22" spans="1:10" x14ac:dyDescent="0.3">
      <c r="A22" s="35" t="s">
        <v>98</v>
      </c>
      <c r="B22" s="35" t="s">
        <v>166</v>
      </c>
      <c r="C22" s="6">
        <f t="shared" si="0"/>
        <v>9</v>
      </c>
      <c r="D22" s="76">
        <v>0</v>
      </c>
      <c r="E22" s="76">
        <v>0</v>
      </c>
      <c r="F22" s="76">
        <v>0</v>
      </c>
      <c r="G22" s="76">
        <v>0</v>
      </c>
      <c r="H22" s="76">
        <v>0</v>
      </c>
      <c r="I22" s="76">
        <v>0</v>
      </c>
      <c r="J22" s="76">
        <v>0</v>
      </c>
    </row>
    <row r="23" spans="1:10" x14ac:dyDescent="0.3">
      <c r="A23" s="36" t="s">
        <v>98</v>
      </c>
      <c r="B23" s="36" t="s">
        <v>167</v>
      </c>
      <c r="C23" s="6">
        <f t="shared" si="0"/>
        <v>10</v>
      </c>
      <c r="D23" s="75">
        <v>0</v>
      </c>
      <c r="E23" s="75">
        <v>0</v>
      </c>
      <c r="F23" s="76">
        <v>0</v>
      </c>
      <c r="G23" s="76">
        <v>0</v>
      </c>
      <c r="H23" s="76">
        <v>0</v>
      </c>
      <c r="I23" s="76">
        <v>0</v>
      </c>
      <c r="J23" s="76">
        <v>0</v>
      </c>
    </row>
    <row r="24" spans="1:10" x14ac:dyDescent="0.3">
      <c r="A24" s="35" t="s">
        <v>98</v>
      </c>
      <c r="B24" s="35" t="s">
        <v>168</v>
      </c>
      <c r="C24" s="6">
        <f t="shared" si="0"/>
        <v>11</v>
      </c>
      <c r="D24" s="76">
        <v>0</v>
      </c>
      <c r="E24" s="76">
        <v>0</v>
      </c>
      <c r="F24" s="76">
        <v>0</v>
      </c>
      <c r="G24" s="76">
        <v>0</v>
      </c>
      <c r="H24" s="76">
        <v>0</v>
      </c>
      <c r="I24" s="76">
        <v>0</v>
      </c>
      <c r="J24" s="76">
        <v>0</v>
      </c>
    </row>
    <row r="25" spans="1:10" x14ac:dyDescent="0.3">
      <c r="A25" s="36" t="s">
        <v>98</v>
      </c>
      <c r="B25" s="36" t="s">
        <v>169</v>
      </c>
      <c r="C25" s="6">
        <f t="shared" si="0"/>
        <v>12</v>
      </c>
      <c r="D25" s="75">
        <v>0</v>
      </c>
      <c r="E25" s="75">
        <v>0</v>
      </c>
      <c r="F25" s="76">
        <v>0</v>
      </c>
      <c r="G25" s="76">
        <v>0</v>
      </c>
      <c r="H25" s="76">
        <v>0</v>
      </c>
      <c r="I25" s="76">
        <v>0</v>
      </c>
      <c r="J25" s="76">
        <v>0</v>
      </c>
    </row>
    <row r="26" spans="1:10" x14ac:dyDescent="0.3">
      <c r="A26" s="35" t="s">
        <v>56</v>
      </c>
      <c r="B26" s="35" t="s">
        <v>158</v>
      </c>
      <c r="C26" s="6">
        <f t="shared" si="0"/>
        <v>1</v>
      </c>
      <c r="D26" s="76">
        <v>0</v>
      </c>
      <c r="E26" s="76">
        <v>0</v>
      </c>
      <c r="F26" s="76">
        <v>0</v>
      </c>
      <c r="G26" s="76">
        <v>0</v>
      </c>
      <c r="H26" s="76">
        <v>0</v>
      </c>
      <c r="I26" s="76">
        <v>0</v>
      </c>
      <c r="J26" s="76">
        <v>0</v>
      </c>
    </row>
    <row r="27" spans="1:10" x14ac:dyDescent="0.3">
      <c r="A27" s="36" t="s">
        <v>56</v>
      </c>
      <c r="B27" s="36" t="s">
        <v>159</v>
      </c>
      <c r="C27" s="6">
        <f t="shared" si="0"/>
        <v>2</v>
      </c>
      <c r="D27" s="75">
        <v>2</v>
      </c>
      <c r="E27" s="75">
        <v>12</v>
      </c>
      <c r="F27" s="76">
        <v>0</v>
      </c>
      <c r="G27" s="76">
        <v>0</v>
      </c>
      <c r="H27" s="76">
        <v>0</v>
      </c>
      <c r="I27" s="76">
        <v>0</v>
      </c>
      <c r="J27" s="76">
        <v>1</v>
      </c>
    </row>
    <row r="28" spans="1:10" x14ac:dyDescent="0.3">
      <c r="A28" s="35" t="s">
        <v>56</v>
      </c>
      <c r="B28" s="35" t="s">
        <v>160</v>
      </c>
      <c r="C28" s="6">
        <f t="shared" si="0"/>
        <v>3</v>
      </c>
      <c r="D28" s="76">
        <v>5</v>
      </c>
      <c r="E28" s="76">
        <v>31</v>
      </c>
      <c r="F28" s="76">
        <v>0</v>
      </c>
      <c r="G28" s="76">
        <v>0</v>
      </c>
      <c r="H28" s="76">
        <v>0</v>
      </c>
      <c r="I28" s="76">
        <v>0</v>
      </c>
      <c r="J28" s="76">
        <v>2</v>
      </c>
    </row>
    <row r="29" spans="1:10" x14ac:dyDescent="0.3">
      <c r="A29" s="36" t="s">
        <v>56</v>
      </c>
      <c r="B29" s="36" t="s">
        <v>161</v>
      </c>
      <c r="C29" s="6">
        <f t="shared" si="0"/>
        <v>4</v>
      </c>
      <c r="D29" s="75">
        <v>3</v>
      </c>
      <c r="E29" s="75">
        <v>18</v>
      </c>
      <c r="F29" s="76">
        <v>0</v>
      </c>
      <c r="G29" s="76">
        <v>0</v>
      </c>
      <c r="H29" s="76">
        <v>0</v>
      </c>
      <c r="I29" s="76">
        <v>0</v>
      </c>
      <c r="J29" s="76">
        <v>1</v>
      </c>
    </row>
    <row r="30" spans="1:10" x14ac:dyDescent="0.3">
      <c r="A30" s="35" t="s">
        <v>56</v>
      </c>
      <c r="B30" s="35" t="s">
        <v>162</v>
      </c>
      <c r="C30" s="6">
        <f t="shared" si="0"/>
        <v>5</v>
      </c>
      <c r="D30" s="76">
        <v>0</v>
      </c>
      <c r="E30" s="76">
        <v>0</v>
      </c>
      <c r="F30" s="76">
        <v>0</v>
      </c>
      <c r="G30" s="76">
        <v>0</v>
      </c>
      <c r="H30" s="76">
        <v>0</v>
      </c>
      <c r="I30" s="76">
        <v>0</v>
      </c>
      <c r="J30" s="76">
        <v>0</v>
      </c>
    </row>
    <row r="31" spans="1:10" x14ac:dyDescent="0.3">
      <c r="A31" s="36" t="s">
        <v>56</v>
      </c>
      <c r="B31" s="36" t="s">
        <v>163</v>
      </c>
      <c r="C31" s="6">
        <f t="shared" si="0"/>
        <v>6</v>
      </c>
      <c r="D31" s="75">
        <v>0</v>
      </c>
      <c r="E31" s="75">
        <v>0</v>
      </c>
      <c r="F31" s="76">
        <v>0</v>
      </c>
      <c r="G31" s="76">
        <v>0</v>
      </c>
      <c r="H31" s="76">
        <v>0</v>
      </c>
      <c r="I31" s="76">
        <v>0</v>
      </c>
      <c r="J31" s="76">
        <v>0</v>
      </c>
    </row>
    <row r="32" spans="1:10" x14ac:dyDescent="0.3">
      <c r="A32" s="35" t="s">
        <v>56</v>
      </c>
      <c r="B32" s="35" t="s">
        <v>164</v>
      </c>
      <c r="C32" s="6">
        <f t="shared" si="0"/>
        <v>7</v>
      </c>
      <c r="D32" s="76">
        <v>0</v>
      </c>
      <c r="E32" s="76">
        <v>0</v>
      </c>
      <c r="F32" s="76">
        <v>0</v>
      </c>
      <c r="G32" s="76">
        <v>0</v>
      </c>
      <c r="H32" s="76">
        <v>0</v>
      </c>
      <c r="I32" s="76">
        <v>0</v>
      </c>
      <c r="J32" s="76">
        <v>0</v>
      </c>
    </row>
    <row r="33" spans="1:10" x14ac:dyDescent="0.3">
      <c r="A33" s="36" t="s">
        <v>56</v>
      </c>
      <c r="B33" s="36" t="s">
        <v>165</v>
      </c>
      <c r="C33" s="6">
        <f t="shared" si="0"/>
        <v>8</v>
      </c>
      <c r="D33" s="75">
        <v>0</v>
      </c>
      <c r="E33" s="75">
        <v>0</v>
      </c>
      <c r="F33" s="76">
        <v>0</v>
      </c>
      <c r="G33" s="76">
        <v>0</v>
      </c>
      <c r="H33" s="76">
        <v>0</v>
      </c>
      <c r="I33" s="76">
        <v>0</v>
      </c>
      <c r="J33" s="76">
        <v>0</v>
      </c>
    </row>
    <row r="34" spans="1:10" x14ac:dyDescent="0.3">
      <c r="A34" s="35" t="s">
        <v>56</v>
      </c>
      <c r="B34" s="35" t="s">
        <v>166</v>
      </c>
      <c r="C34" s="6">
        <f t="shared" si="0"/>
        <v>9</v>
      </c>
      <c r="D34" s="76">
        <v>0</v>
      </c>
      <c r="E34" s="76">
        <v>0</v>
      </c>
      <c r="F34" s="76">
        <v>0</v>
      </c>
      <c r="G34" s="76">
        <v>0</v>
      </c>
      <c r="H34" s="76">
        <v>0</v>
      </c>
      <c r="I34" s="76">
        <v>0</v>
      </c>
      <c r="J34" s="76">
        <v>0</v>
      </c>
    </row>
    <row r="35" spans="1:10" x14ac:dyDescent="0.3">
      <c r="A35" s="36" t="s">
        <v>56</v>
      </c>
      <c r="B35" s="36" t="s">
        <v>167</v>
      </c>
      <c r="C35" s="6">
        <f t="shared" si="0"/>
        <v>10</v>
      </c>
      <c r="D35" s="75">
        <v>0</v>
      </c>
      <c r="E35" s="75">
        <v>0</v>
      </c>
      <c r="F35" s="76">
        <v>0</v>
      </c>
      <c r="G35" s="76">
        <v>0</v>
      </c>
      <c r="H35" s="76">
        <v>0</v>
      </c>
      <c r="I35" s="76">
        <v>0</v>
      </c>
      <c r="J35" s="76">
        <v>0</v>
      </c>
    </row>
    <row r="36" spans="1:10" x14ac:dyDescent="0.3">
      <c r="A36" s="35" t="s">
        <v>56</v>
      </c>
      <c r="B36" s="35" t="s">
        <v>168</v>
      </c>
      <c r="C36" s="6">
        <f t="shared" si="0"/>
        <v>11</v>
      </c>
      <c r="D36" s="76">
        <v>0</v>
      </c>
      <c r="E36" s="76">
        <v>0</v>
      </c>
      <c r="F36" s="76">
        <v>0</v>
      </c>
      <c r="G36" s="76">
        <v>0</v>
      </c>
      <c r="H36" s="76">
        <v>0</v>
      </c>
      <c r="I36" s="76">
        <v>0</v>
      </c>
      <c r="J36" s="76">
        <v>0</v>
      </c>
    </row>
    <row r="37" spans="1:10" x14ac:dyDescent="0.3">
      <c r="A37" s="36" t="s">
        <v>56</v>
      </c>
      <c r="B37" s="36" t="s">
        <v>169</v>
      </c>
      <c r="C37" s="6">
        <f t="shared" si="0"/>
        <v>12</v>
      </c>
      <c r="D37" s="75">
        <v>0</v>
      </c>
      <c r="E37" s="75">
        <v>0</v>
      </c>
      <c r="F37" s="76">
        <v>0</v>
      </c>
      <c r="G37" s="76">
        <v>0</v>
      </c>
      <c r="H37" s="76">
        <v>0</v>
      </c>
      <c r="I37" s="76">
        <v>0</v>
      </c>
      <c r="J37" s="76">
        <v>0</v>
      </c>
    </row>
    <row r="38" spans="1:10" x14ac:dyDescent="0.3">
      <c r="A38" s="35" t="s">
        <v>149</v>
      </c>
      <c r="B38" s="35" t="s">
        <v>158</v>
      </c>
      <c r="C38" s="6">
        <f t="shared" si="0"/>
        <v>1</v>
      </c>
      <c r="D38" s="76">
        <v>1</v>
      </c>
      <c r="E38" s="76">
        <v>8</v>
      </c>
      <c r="F38" s="76">
        <v>0</v>
      </c>
      <c r="G38" s="76">
        <v>0</v>
      </c>
      <c r="H38" s="76">
        <v>0</v>
      </c>
      <c r="I38" s="76">
        <v>0</v>
      </c>
      <c r="J38" s="76">
        <v>1</v>
      </c>
    </row>
    <row r="39" spans="1:10" x14ac:dyDescent="0.3">
      <c r="A39" s="36" t="s">
        <v>149</v>
      </c>
      <c r="B39" s="36" t="s">
        <v>159</v>
      </c>
      <c r="C39" s="6">
        <f t="shared" si="0"/>
        <v>2</v>
      </c>
      <c r="D39" s="75">
        <v>4</v>
      </c>
      <c r="E39" s="75">
        <v>33</v>
      </c>
      <c r="F39" s="76">
        <v>0</v>
      </c>
      <c r="G39" s="76">
        <v>0</v>
      </c>
      <c r="H39" s="76">
        <v>0</v>
      </c>
      <c r="I39" s="76">
        <v>0</v>
      </c>
      <c r="J39" s="76">
        <v>3</v>
      </c>
    </row>
    <row r="40" spans="1:10" x14ac:dyDescent="0.3">
      <c r="A40" s="35" t="s">
        <v>149</v>
      </c>
      <c r="B40" s="35" t="s">
        <v>160</v>
      </c>
      <c r="C40" s="6">
        <f t="shared" si="0"/>
        <v>3</v>
      </c>
      <c r="D40" s="76">
        <v>1</v>
      </c>
      <c r="E40" s="76">
        <v>8</v>
      </c>
      <c r="F40" s="76">
        <v>0</v>
      </c>
      <c r="G40" s="76">
        <v>0</v>
      </c>
      <c r="H40" s="76">
        <v>0</v>
      </c>
      <c r="I40" s="76">
        <v>0</v>
      </c>
      <c r="J40" s="76">
        <v>1</v>
      </c>
    </row>
    <row r="41" spans="1:10" x14ac:dyDescent="0.3">
      <c r="A41" s="36" t="s">
        <v>149</v>
      </c>
      <c r="B41" s="36" t="s">
        <v>161</v>
      </c>
      <c r="C41" s="6">
        <f t="shared" si="0"/>
        <v>4</v>
      </c>
      <c r="D41" s="75">
        <v>0</v>
      </c>
      <c r="E41" s="75">
        <v>0</v>
      </c>
      <c r="F41" s="76">
        <v>0</v>
      </c>
      <c r="G41" s="76">
        <v>0</v>
      </c>
      <c r="H41" s="76">
        <v>0</v>
      </c>
      <c r="I41" s="76">
        <v>0</v>
      </c>
      <c r="J41" s="76">
        <v>0</v>
      </c>
    </row>
    <row r="42" spans="1:10" x14ac:dyDescent="0.3">
      <c r="A42" s="35" t="s">
        <v>149</v>
      </c>
      <c r="B42" s="35" t="s">
        <v>162</v>
      </c>
      <c r="C42" s="6">
        <f t="shared" si="0"/>
        <v>5</v>
      </c>
      <c r="D42" s="76">
        <v>2</v>
      </c>
      <c r="E42" s="76">
        <v>16</v>
      </c>
      <c r="F42" s="76">
        <v>0</v>
      </c>
      <c r="G42" s="76">
        <v>0</v>
      </c>
      <c r="H42" s="76">
        <v>0</v>
      </c>
      <c r="I42" s="76">
        <v>0</v>
      </c>
      <c r="J42" s="76">
        <v>1</v>
      </c>
    </row>
    <row r="43" spans="1:10" x14ac:dyDescent="0.3">
      <c r="A43" s="36" t="s">
        <v>149</v>
      </c>
      <c r="B43" s="36" t="s">
        <v>163</v>
      </c>
      <c r="C43" s="6">
        <f t="shared" si="0"/>
        <v>6</v>
      </c>
      <c r="D43" s="75">
        <v>0</v>
      </c>
      <c r="E43" s="75">
        <v>0</v>
      </c>
      <c r="F43" s="76">
        <v>0</v>
      </c>
      <c r="G43" s="76">
        <v>0</v>
      </c>
      <c r="H43" s="76">
        <v>0</v>
      </c>
      <c r="I43" s="76">
        <v>0</v>
      </c>
      <c r="J43" s="76">
        <v>0</v>
      </c>
    </row>
    <row r="44" spans="1:10" x14ac:dyDescent="0.3">
      <c r="A44" s="35" t="s">
        <v>149</v>
      </c>
      <c r="B44" s="35" t="s">
        <v>164</v>
      </c>
      <c r="C44" s="6">
        <f t="shared" si="0"/>
        <v>7</v>
      </c>
      <c r="D44" s="76">
        <v>0</v>
      </c>
      <c r="E44" s="76">
        <v>0</v>
      </c>
      <c r="F44" s="76">
        <v>0</v>
      </c>
      <c r="G44" s="76">
        <v>0</v>
      </c>
      <c r="H44" s="76">
        <v>0</v>
      </c>
      <c r="I44" s="76">
        <v>0</v>
      </c>
      <c r="J44" s="76">
        <v>0</v>
      </c>
    </row>
    <row r="45" spans="1:10" x14ac:dyDescent="0.3">
      <c r="A45" s="36" t="s">
        <v>149</v>
      </c>
      <c r="B45" s="36" t="s">
        <v>165</v>
      </c>
      <c r="C45" s="6">
        <f t="shared" si="0"/>
        <v>8</v>
      </c>
      <c r="D45" s="75">
        <v>0</v>
      </c>
      <c r="E45" s="75">
        <v>0</v>
      </c>
      <c r="F45" s="76">
        <v>0</v>
      </c>
      <c r="G45" s="76">
        <v>0</v>
      </c>
      <c r="H45" s="76">
        <v>0</v>
      </c>
      <c r="I45" s="76">
        <v>0</v>
      </c>
      <c r="J45" s="76">
        <v>0</v>
      </c>
    </row>
    <row r="46" spans="1:10" x14ac:dyDescent="0.3">
      <c r="A46" s="35" t="s">
        <v>149</v>
      </c>
      <c r="B46" s="35" t="s">
        <v>166</v>
      </c>
      <c r="C46" s="6">
        <f t="shared" si="0"/>
        <v>9</v>
      </c>
      <c r="D46" s="76">
        <v>0</v>
      </c>
      <c r="E46" s="76">
        <v>0</v>
      </c>
      <c r="F46" s="76">
        <v>0</v>
      </c>
      <c r="G46" s="76">
        <v>0</v>
      </c>
      <c r="H46" s="76">
        <v>0</v>
      </c>
      <c r="I46" s="76">
        <v>0</v>
      </c>
      <c r="J46" s="76">
        <v>0</v>
      </c>
    </row>
    <row r="47" spans="1:10" x14ac:dyDescent="0.3">
      <c r="A47" s="36" t="s">
        <v>149</v>
      </c>
      <c r="B47" s="36" t="s">
        <v>167</v>
      </c>
      <c r="C47" s="6">
        <f t="shared" si="0"/>
        <v>10</v>
      </c>
      <c r="D47" s="75">
        <v>0</v>
      </c>
      <c r="E47" s="75">
        <v>0</v>
      </c>
      <c r="F47" s="76">
        <v>0</v>
      </c>
      <c r="G47" s="76">
        <v>0</v>
      </c>
      <c r="H47" s="76">
        <v>0</v>
      </c>
      <c r="I47" s="76">
        <v>0</v>
      </c>
      <c r="J47" s="76">
        <v>0</v>
      </c>
    </row>
    <row r="48" spans="1:10" x14ac:dyDescent="0.3">
      <c r="A48" s="35" t="s">
        <v>149</v>
      </c>
      <c r="B48" s="35" t="s">
        <v>168</v>
      </c>
      <c r="C48" s="6">
        <f t="shared" si="0"/>
        <v>11</v>
      </c>
      <c r="D48" s="76">
        <v>0</v>
      </c>
      <c r="E48" s="76">
        <v>0</v>
      </c>
      <c r="F48" s="76">
        <v>0</v>
      </c>
      <c r="G48" s="76">
        <v>0</v>
      </c>
      <c r="H48" s="76">
        <v>0</v>
      </c>
      <c r="I48" s="76">
        <v>0</v>
      </c>
      <c r="J48" s="76">
        <v>0</v>
      </c>
    </row>
    <row r="49" spans="1:10" x14ac:dyDescent="0.3">
      <c r="A49" s="36" t="s">
        <v>149</v>
      </c>
      <c r="B49" s="36" t="s">
        <v>169</v>
      </c>
      <c r="C49" s="6">
        <f t="shared" si="0"/>
        <v>12</v>
      </c>
      <c r="D49" s="75">
        <v>0</v>
      </c>
      <c r="E49" s="75">
        <v>0</v>
      </c>
      <c r="F49" s="76">
        <v>0</v>
      </c>
      <c r="G49" s="76">
        <v>0</v>
      </c>
      <c r="H49" s="76">
        <v>0</v>
      </c>
      <c r="I49" s="76">
        <v>0</v>
      </c>
      <c r="J49" s="76">
        <v>0</v>
      </c>
    </row>
    <row r="50" spans="1:10" x14ac:dyDescent="0.3">
      <c r="A50" s="35" t="s">
        <v>66</v>
      </c>
      <c r="B50" s="35" t="s">
        <v>158</v>
      </c>
      <c r="C50" s="6">
        <f t="shared" si="0"/>
        <v>1</v>
      </c>
      <c r="D50" s="76">
        <v>6</v>
      </c>
      <c r="E50" s="76">
        <v>50</v>
      </c>
      <c r="F50" s="76">
        <v>0</v>
      </c>
      <c r="G50" s="76">
        <v>0</v>
      </c>
      <c r="H50" s="76">
        <v>0</v>
      </c>
      <c r="I50" s="76">
        <v>0</v>
      </c>
      <c r="J50" s="76">
        <v>1</v>
      </c>
    </row>
    <row r="51" spans="1:10" x14ac:dyDescent="0.3">
      <c r="A51" s="36" t="s">
        <v>66</v>
      </c>
      <c r="B51" s="36" t="s">
        <v>159</v>
      </c>
      <c r="C51" s="6">
        <f t="shared" si="0"/>
        <v>2</v>
      </c>
      <c r="D51" s="75">
        <v>0</v>
      </c>
      <c r="E51" s="75">
        <v>0</v>
      </c>
      <c r="F51" s="76">
        <v>0</v>
      </c>
      <c r="G51" s="76">
        <v>0</v>
      </c>
      <c r="H51" s="76">
        <v>0</v>
      </c>
      <c r="I51" s="76">
        <v>0</v>
      </c>
      <c r="J51" s="76">
        <v>0</v>
      </c>
    </row>
    <row r="52" spans="1:10" x14ac:dyDescent="0.3">
      <c r="A52" s="35" t="s">
        <v>66</v>
      </c>
      <c r="B52" s="35" t="s">
        <v>160</v>
      </c>
      <c r="C52" s="6">
        <f t="shared" si="0"/>
        <v>3</v>
      </c>
      <c r="D52" s="76">
        <v>3</v>
      </c>
      <c r="E52" s="76">
        <v>25</v>
      </c>
      <c r="F52" s="76">
        <v>0</v>
      </c>
      <c r="G52" s="76">
        <v>0</v>
      </c>
      <c r="H52" s="76">
        <v>0</v>
      </c>
      <c r="I52" s="76">
        <v>0</v>
      </c>
      <c r="J52" s="76">
        <v>1</v>
      </c>
    </row>
    <row r="53" spans="1:10" x14ac:dyDescent="0.3">
      <c r="A53" s="36" t="s">
        <v>66</v>
      </c>
      <c r="B53" s="36" t="s">
        <v>161</v>
      </c>
      <c r="C53" s="6">
        <f t="shared" si="0"/>
        <v>4</v>
      </c>
      <c r="D53" s="75">
        <v>0</v>
      </c>
      <c r="E53" s="75">
        <v>0</v>
      </c>
      <c r="F53" s="76">
        <v>0</v>
      </c>
      <c r="G53" s="76">
        <v>0</v>
      </c>
      <c r="H53" s="76">
        <v>0</v>
      </c>
      <c r="I53" s="76">
        <v>0</v>
      </c>
      <c r="J53" s="76">
        <v>0</v>
      </c>
    </row>
    <row r="54" spans="1:10" x14ac:dyDescent="0.3">
      <c r="A54" s="35" t="s">
        <v>66</v>
      </c>
      <c r="B54" s="35" t="s">
        <v>162</v>
      </c>
      <c r="C54" s="6">
        <f t="shared" si="0"/>
        <v>5</v>
      </c>
      <c r="D54" s="76">
        <v>0</v>
      </c>
      <c r="E54" s="76">
        <v>0</v>
      </c>
      <c r="F54" s="76">
        <v>0</v>
      </c>
      <c r="G54" s="76">
        <v>0</v>
      </c>
      <c r="H54" s="76">
        <v>0</v>
      </c>
      <c r="I54" s="76">
        <v>0</v>
      </c>
      <c r="J54" s="76">
        <v>0</v>
      </c>
    </row>
    <row r="55" spans="1:10" x14ac:dyDescent="0.3">
      <c r="A55" s="36" t="s">
        <v>66</v>
      </c>
      <c r="B55" s="36" t="s">
        <v>163</v>
      </c>
      <c r="C55" s="6">
        <f t="shared" si="0"/>
        <v>6</v>
      </c>
      <c r="D55" s="75">
        <v>0</v>
      </c>
      <c r="E55" s="75">
        <v>0</v>
      </c>
      <c r="F55" s="76">
        <v>0</v>
      </c>
      <c r="G55" s="76">
        <v>0</v>
      </c>
      <c r="H55" s="76">
        <v>0</v>
      </c>
      <c r="I55" s="76">
        <v>0</v>
      </c>
      <c r="J55" s="76">
        <v>0</v>
      </c>
    </row>
    <row r="56" spans="1:10" x14ac:dyDescent="0.3">
      <c r="A56" s="35" t="s">
        <v>66</v>
      </c>
      <c r="B56" s="35" t="s">
        <v>164</v>
      </c>
      <c r="C56" s="6">
        <f t="shared" si="0"/>
        <v>7</v>
      </c>
      <c r="D56" s="76">
        <v>0</v>
      </c>
      <c r="E56" s="76">
        <v>0</v>
      </c>
      <c r="F56" s="76">
        <v>0</v>
      </c>
      <c r="G56" s="76">
        <v>0</v>
      </c>
      <c r="H56" s="76">
        <v>0</v>
      </c>
      <c r="I56" s="76">
        <v>0</v>
      </c>
      <c r="J56" s="76">
        <v>0</v>
      </c>
    </row>
    <row r="57" spans="1:10" x14ac:dyDescent="0.3">
      <c r="A57" s="36" t="s">
        <v>66</v>
      </c>
      <c r="B57" s="36" t="s">
        <v>165</v>
      </c>
      <c r="C57" s="6">
        <f t="shared" si="0"/>
        <v>8</v>
      </c>
      <c r="D57" s="75">
        <v>0</v>
      </c>
      <c r="E57" s="75">
        <v>0</v>
      </c>
      <c r="F57" s="76">
        <v>0</v>
      </c>
      <c r="G57" s="76">
        <v>0</v>
      </c>
      <c r="H57" s="76">
        <v>0</v>
      </c>
      <c r="I57" s="76">
        <v>0</v>
      </c>
      <c r="J57" s="76">
        <v>0</v>
      </c>
    </row>
    <row r="58" spans="1:10" x14ac:dyDescent="0.3">
      <c r="A58" s="35" t="s">
        <v>66</v>
      </c>
      <c r="B58" s="35" t="s">
        <v>166</v>
      </c>
      <c r="C58" s="6">
        <f t="shared" si="0"/>
        <v>9</v>
      </c>
      <c r="D58" s="76">
        <v>0</v>
      </c>
      <c r="E58" s="76">
        <v>0</v>
      </c>
      <c r="F58" s="76">
        <v>0</v>
      </c>
      <c r="G58" s="76">
        <v>0</v>
      </c>
      <c r="H58" s="76">
        <v>0</v>
      </c>
      <c r="I58" s="76">
        <v>0</v>
      </c>
      <c r="J58" s="76">
        <v>0</v>
      </c>
    </row>
    <row r="59" spans="1:10" x14ac:dyDescent="0.3">
      <c r="A59" s="36" t="s">
        <v>66</v>
      </c>
      <c r="B59" s="36" t="s">
        <v>167</v>
      </c>
      <c r="C59" s="6">
        <f t="shared" si="0"/>
        <v>10</v>
      </c>
      <c r="D59" s="75">
        <v>0</v>
      </c>
      <c r="E59" s="75">
        <v>0</v>
      </c>
      <c r="F59" s="76">
        <v>0</v>
      </c>
      <c r="G59" s="76">
        <v>0</v>
      </c>
      <c r="H59" s="76">
        <v>0</v>
      </c>
      <c r="I59" s="76">
        <v>0</v>
      </c>
      <c r="J59" s="76">
        <v>0</v>
      </c>
    </row>
    <row r="60" spans="1:10" x14ac:dyDescent="0.3">
      <c r="A60" s="35" t="s">
        <v>66</v>
      </c>
      <c r="B60" s="35" t="s">
        <v>168</v>
      </c>
      <c r="C60" s="6">
        <f t="shared" si="0"/>
        <v>11</v>
      </c>
      <c r="D60" s="76">
        <v>0</v>
      </c>
      <c r="E60" s="76">
        <v>0</v>
      </c>
      <c r="F60" s="76">
        <v>0</v>
      </c>
      <c r="G60" s="76">
        <v>0</v>
      </c>
      <c r="H60" s="76">
        <v>0</v>
      </c>
      <c r="I60" s="76">
        <v>0</v>
      </c>
      <c r="J60" s="76">
        <v>0</v>
      </c>
    </row>
    <row r="61" spans="1:10" x14ac:dyDescent="0.3">
      <c r="A61" s="36" t="s">
        <v>66</v>
      </c>
      <c r="B61" s="36" t="s">
        <v>169</v>
      </c>
      <c r="C61" s="6">
        <f t="shared" si="0"/>
        <v>12</v>
      </c>
      <c r="D61" s="75">
        <v>0</v>
      </c>
      <c r="E61" s="75">
        <v>0</v>
      </c>
      <c r="F61" s="76">
        <v>0</v>
      </c>
      <c r="G61" s="76">
        <v>0</v>
      </c>
      <c r="H61" s="76">
        <v>0</v>
      </c>
      <c r="I61" s="76">
        <v>0</v>
      </c>
      <c r="J61" s="76">
        <v>0</v>
      </c>
    </row>
    <row r="62" spans="1:10" x14ac:dyDescent="0.3">
      <c r="A62" s="35" t="s">
        <v>42</v>
      </c>
      <c r="B62" s="35" t="s">
        <v>158</v>
      </c>
      <c r="C62" s="6">
        <f t="shared" si="0"/>
        <v>1</v>
      </c>
      <c r="D62" s="76">
        <v>4</v>
      </c>
      <c r="E62" s="76">
        <v>25</v>
      </c>
      <c r="F62" s="76">
        <v>0</v>
      </c>
      <c r="G62" s="76">
        <v>0</v>
      </c>
      <c r="H62" s="76">
        <v>0</v>
      </c>
      <c r="I62" s="76">
        <v>0</v>
      </c>
      <c r="J62" s="76">
        <v>7</v>
      </c>
    </row>
    <row r="63" spans="1:10" x14ac:dyDescent="0.3">
      <c r="A63" s="36" t="s">
        <v>42</v>
      </c>
      <c r="B63" s="36" t="s">
        <v>159</v>
      </c>
      <c r="C63" s="6">
        <f t="shared" si="0"/>
        <v>2</v>
      </c>
      <c r="D63" s="75">
        <v>2</v>
      </c>
      <c r="E63" s="75">
        <v>12</v>
      </c>
      <c r="F63" s="76">
        <v>0</v>
      </c>
      <c r="G63" s="76">
        <v>0</v>
      </c>
      <c r="H63" s="76">
        <v>0</v>
      </c>
      <c r="I63" s="76">
        <v>0</v>
      </c>
      <c r="J63" s="76">
        <v>6</v>
      </c>
    </row>
    <row r="64" spans="1:10" x14ac:dyDescent="0.3">
      <c r="A64" s="35" t="s">
        <v>42</v>
      </c>
      <c r="B64" s="35" t="s">
        <v>160</v>
      </c>
      <c r="C64" s="6">
        <f t="shared" si="0"/>
        <v>3</v>
      </c>
      <c r="D64" s="76">
        <v>2</v>
      </c>
      <c r="E64" s="76">
        <v>12</v>
      </c>
      <c r="F64" s="76">
        <v>0</v>
      </c>
      <c r="G64" s="76">
        <v>0</v>
      </c>
      <c r="H64" s="76">
        <v>0</v>
      </c>
      <c r="I64" s="76">
        <v>0</v>
      </c>
      <c r="J64" s="76">
        <v>1</v>
      </c>
    </row>
    <row r="65" spans="1:10" x14ac:dyDescent="0.3">
      <c r="A65" s="36" t="s">
        <v>42</v>
      </c>
      <c r="B65" s="36" t="s">
        <v>161</v>
      </c>
      <c r="C65" s="6">
        <f t="shared" si="0"/>
        <v>4</v>
      </c>
      <c r="D65" s="75">
        <v>4</v>
      </c>
      <c r="E65" s="75">
        <v>25</v>
      </c>
      <c r="F65" s="76">
        <v>0</v>
      </c>
      <c r="G65" s="76">
        <v>0</v>
      </c>
      <c r="H65" s="76">
        <v>0</v>
      </c>
      <c r="I65" s="76">
        <v>0</v>
      </c>
      <c r="J65" s="76">
        <v>4</v>
      </c>
    </row>
    <row r="66" spans="1:10" x14ac:dyDescent="0.3">
      <c r="A66" s="35" t="s">
        <v>42</v>
      </c>
      <c r="B66" s="35" t="s">
        <v>162</v>
      </c>
      <c r="C66" s="6">
        <f t="shared" ref="C66:C129" si="1">_xlfn.IFS(B66="Janeiro",1,B66="Fevereiro",2,B66="Março",3,B66="Abril",4,B66="Maio",5,B66="Junho",6,B66="Julho",7,B66="Agosto",8,B66="Setembro",9,B66="Outubro",10,B66="Novembro",11,B66="Dezembro",12,TRUE,0)</f>
        <v>5</v>
      </c>
      <c r="D66" s="76">
        <v>3</v>
      </c>
      <c r="E66" s="76">
        <v>18</v>
      </c>
      <c r="F66" s="76">
        <v>0</v>
      </c>
      <c r="G66" s="76">
        <v>0</v>
      </c>
      <c r="H66" s="76">
        <v>0</v>
      </c>
      <c r="I66" s="76">
        <v>0</v>
      </c>
      <c r="J66" s="76">
        <v>2</v>
      </c>
    </row>
    <row r="67" spans="1:10" x14ac:dyDescent="0.3">
      <c r="A67" s="36" t="s">
        <v>42</v>
      </c>
      <c r="B67" s="36" t="s">
        <v>163</v>
      </c>
      <c r="C67" s="6">
        <f t="shared" si="1"/>
        <v>6</v>
      </c>
      <c r="D67" s="75">
        <v>0</v>
      </c>
      <c r="E67" s="75">
        <v>0</v>
      </c>
      <c r="F67" s="76">
        <v>0</v>
      </c>
      <c r="G67" s="76">
        <v>0</v>
      </c>
      <c r="H67" s="76">
        <v>0</v>
      </c>
      <c r="I67" s="76">
        <v>0</v>
      </c>
      <c r="J67" s="76">
        <v>0</v>
      </c>
    </row>
    <row r="68" spans="1:10" x14ac:dyDescent="0.3">
      <c r="A68" s="35" t="s">
        <v>42</v>
      </c>
      <c r="B68" s="35" t="s">
        <v>164</v>
      </c>
      <c r="C68" s="6">
        <f t="shared" si="1"/>
        <v>7</v>
      </c>
      <c r="D68" s="76">
        <v>0</v>
      </c>
      <c r="E68" s="76">
        <v>0</v>
      </c>
      <c r="F68" s="76">
        <v>0</v>
      </c>
      <c r="G68" s="76">
        <v>0</v>
      </c>
      <c r="H68" s="76">
        <v>0</v>
      </c>
      <c r="I68" s="76">
        <v>0</v>
      </c>
      <c r="J68" s="76">
        <v>0</v>
      </c>
    </row>
    <row r="69" spans="1:10" x14ac:dyDescent="0.3">
      <c r="A69" s="36" t="s">
        <v>42</v>
      </c>
      <c r="B69" s="36" t="s">
        <v>165</v>
      </c>
      <c r="C69" s="6">
        <f t="shared" si="1"/>
        <v>8</v>
      </c>
      <c r="D69" s="75">
        <v>0</v>
      </c>
      <c r="E69" s="75">
        <v>0</v>
      </c>
      <c r="F69" s="76">
        <v>0</v>
      </c>
      <c r="G69" s="76">
        <v>0</v>
      </c>
      <c r="H69" s="76">
        <v>0</v>
      </c>
      <c r="I69" s="76">
        <v>0</v>
      </c>
      <c r="J69" s="76">
        <v>0</v>
      </c>
    </row>
    <row r="70" spans="1:10" x14ac:dyDescent="0.3">
      <c r="A70" s="35" t="s">
        <v>42</v>
      </c>
      <c r="B70" s="35" t="s">
        <v>166</v>
      </c>
      <c r="C70" s="6">
        <f t="shared" si="1"/>
        <v>9</v>
      </c>
      <c r="D70" s="76">
        <v>0</v>
      </c>
      <c r="E70" s="76">
        <v>0</v>
      </c>
      <c r="F70" s="76">
        <v>0</v>
      </c>
      <c r="G70" s="76">
        <v>0</v>
      </c>
      <c r="H70" s="76">
        <v>0</v>
      </c>
      <c r="I70" s="76">
        <v>0</v>
      </c>
      <c r="J70" s="76">
        <v>0</v>
      </c>
    </row>
    <row r="71" spans="1:10" x14ac:dyDescent="0.3">
      <c r="A71" s="36" t="s">
        <v>42</v>
      </c>
      <c r="B71" s="36" t="s">
        <v>167</v>
      </c>
      <c r="C71" s="6">
        <f t="shared" si="1"/>
        <v>10</v>
      </c>
      <c r="D71" s="75">
        <v>0</v>
      </c>
      <c r="E71" s="75">
        <v>0</v>
      </c>
      <c r="F71" s="76">
        <v>0</v>
      </c>
      <c r="G71" s="76">
        <v>0</v>
      </c>
      <c r="H71" s="76">
        <v>0</v>
      </c>
      <c r="I71" s="76">
        <v>0</v>
      </c>
      <c r="J71" s="76">
        <v>0</v>
      </c>
    </row>
    <row r="72" spans="1:10" x14ac:dyDescent="0.3">
      <c r="A72" s="35" t="s">
        <v>42</v>
      </c>
      <c r="B72" s="35" t="s">
        <v>168</v>
      </c>
      <c r="C72" s="6">
        <f t="shared" si="1"/>
        <v>11</v>
      </c>
      <c r="D72" s="76">
        <v>0</v>
      </c>
      <c r="E72" s="76">
        <v>0</v>
      </c>
      <c r="F72" s="76">
        <v>0</v>
      </c>
      <c r="G72" s="76">
        <v>0</v>
      </c>
      <c r="H72" s="76">
        <v>0</v>
      </c>
      <c r="I72" s="76">
        <v>0</v>
      </c>
      <c r="J72" s="76">
        <v>0</v>
      </c>
    </row>
    <row r="73" spans="1:10" x14ac:dyDescent="0.3">
      <c r="A73" s="36" t="s">
        <v>42</v>
      </c>
      <c r="B73" s="36" t="s">
        <v>169</v>
      </c>
      <c r="C73" s="6">
        <f t="shared" si="1"/>
        <v>12</v>
      </c>
      <c r="D73" s="75">
        <v>0</v>
      </c>
      <c r="E73" s="75">
        <v>0</v>
      </c>
      <c r="F73" s="76">
        <v>0</v>
      </c>
      <c r="G73" s="76">
        <v>0</v>
      </c>
      <c r="H73" s="76">
        <v>0</v>
      </c>
      <c r="I73" s="76">
        <v>0</v>
      </c>
      <c r="J73" s="76">
        <v>0</v>
      </c>
    </row>
    <row r="74" spans="1:10" x14ac:dyDescent="0.3">
      <c r="A74" s="35" t="s">
        <v>63</v>
      </c>
      <c r="B74" s="35" t="s">
        <v>158</v>
      </c>
      <c r="C74" s="6">
        <f t="shared" si="1"/>
        <v>1</v>
      </c>
      <c r="D74" s="76">
        <v>0</v>
      </c>
      <c r="E74" s="76">
        <v>0</v>
      </c>
      <c r="F74" s="76">
        <v>0</v>
      </c>
      <c r="G74" s="76">
        <v>0</v>
      </c>
      <c r="H74" s="76">
        <v>0</v>
      </c>
      <c r="I74" s="76">
        <v>0</v>
      </c>
      <c r="J74" s="76">
        <v>0</v>
      </c>
    </row>
    <row r="75" spans="1:10" x14ac:dyDescent="0.3">
      <c r="A75" s="36" t="s">
        <v>63</v>
      </c>
      <c r="B75" s="36" t="s">
        <v>159</v>
      </c>
      <c r="C75" s="6">
        <f t="shared" si="1"/>
        <v>2</v>
      </c>
      <c r="D75" s="75">
        <v>2</v>
      </c>
      <c r="E75" s="75">
        <v>16</v>
      </c>
      <c r="F75" s="76">
        <v>0</v>
      </c>
      <c r="G75" s="76">
        <v>0</v>
      </c>
      <c r="H75" s="76">
        <v>0</v>
      </c>
      <c r="I75" s="76">
        <v>0</v>
      </c>
      <c r="J75" s="76">
        <v>1</v>
      </c>
    </row>
    <row r="76" spans="1:10" x14ac:dyDescent="0.3">
      <c r="A76" s="35" t="s">
        <v>63</v>
      </c>
      <c r="B76" s="35" t="s">
        <v>160</v>
      </c>
      <c r="C76" s="6">
        <f t="shared" si="1"/>
        <v>3</v>
      </c>
      <c r="D76" s="76">
        <v>0</v>
      </c>
      <c r="E76" s="76">
        <v>0</v>
      </c>
      <c r="F76" s="76">
        <v>0</v>
      </c>
      <c r="G76" s="76">
        <v>0</v>
      </c>
      <c r="H76" s="76">
        <v>0</v>
      </c>
      <c r="I76" s="76">
        <v>0</v>
      </c>
      <c r="J76" s="76">
        <v>0</v>
      </c>
    </row>
    <row r="77" spans="1:10" x14ac:dyDescent="0.3">
      <c r="A77" s="36" t="s">
        <v>63</v>
      </c>
      <c r="B77" s="36" t="s">
        <v>161</v>
      </c>
      <c r="C77" s="6">
        <f t="shared" si="1"/>
        <v>4</v>
      </c>
      <c r="D77" s="75">
        <v>0</v>
      </c>
      <c r="E77" s="75">
        <v>0</v>
      </c>
      <c r="F77" s="76">
        <v>0</v>
      </c>
      <c r="G77" s="76">
        <v>0</v>
      </c>
      <c r="H77" s="76">
        <v>0</v>
      </c>
      <c r="I77" s="76">
        <v>0</v>
      </c>
      <c r="J77" s="76">
        <v>0</v>
      </c>
    </row>
    <row r="78" spans="1:10" x14ac:dyDescent="0.3">
      <c r="A78" s="35" t="s">
        <v>63</v>
      </c>
      <c r="B78" s="35" t="s">
        <v>162</v>
      </c>
      <c r="C78" s="6">
        <f t="shared" si="1"/>
        <v>5</v>
      </c>
      <c r="D78" s="76">
        <v>0</v>
      </c>
      <c r="E78" s="76">
        <v>0</v>
      </c>
      <c r="F78" s="76">
        <v>0</v>
      </c>
      <c r="G78" s="76">
        <v>0</v>
      </c>
      <c r="H78" s="76">
        <v>0</v>
      </c>
      <c r="I78" s="76">
        <v>0</v>
      </c>
      <c r="J78" s="76">
        <v>0</v>
      </c>
    </row>
    <row r="79" spans="1:10" x14ac:dyDescent="0.3">
      <c r="A79" s="36" t="s">
        <v>63</v>
      </c>
      <c r="B79" s="36" t="s">
        <v>163</v>
      </c>
      <c r="C79" s="6">
        <f t="shared" si="1"/>
        <v>6</v>
      </c>
      <c r="D79" s="75">
        <v>0</v>
      </c>
      <c r="E79" s="75">
        <v>0</v>
      </c>
      <c r="F79" s="76">
        <v>0</v>
      </c>
      <c r="G79" s="76">
        <v>0</v>
      </c>
      <c r="H79" s="76">
        <v>0</v>
      </c>
      <c r="I79" s="76">
        <v>0</v>
      </c>
      <c r="J79" s="76">
        <v>0</v>
      </c>
    </row>
    <row r="80" spans="1:10" x14ac:dyDescent="0.3">
      <c r="A80" s="35" t="s">
        <v>63</v>
      </c>
      <c r="B80" s="35" t="s">
        <v>164</v>
      </c>
      <c r="C80" s="6">
        <f t="shared" si="1"/>
        <v>7</v>
      </c>
      <c r="D80" s="76">
        <v>0</v>
      </c>
      <c r="E80" s="76">
        <v>0</v>
      </c>
      <c r="F80" s="76">
        <v>0</v>
      </c>
      <c r="G80" s="76">
        <v>0</v>
      </c>
      <c r="H80" s="76">
        <v>0</v>
      </c>
      <c r="I80" s="76">
        <v>0</v>
      </c>
      <c r="J80" s="76">
        <v>0</v>
      </c>
    </row>
    <row r="81" spans="1:10" x14ac:dyDescent="0.3">
      <c r="A81" s="36" t="s">
        <v>63</v>
      </c>
      <c r="B81" s="36" t="s">
        <v>165</v>
      </c>
      <c r="C81" s="6">
        <f t="shared" si="1"/>
        <v>8</v>
      </c>
      <c r="D81" s="75">
        <v>0</v>
      </c>
      <c r="E81" s="75">
        <v>0</v>
      </c>
      <c r="F81" s="76">
        <v>0</v>
      </c>
      <c r="G81" s="76">
        <v>0</v>
      </c>
      <c r="H81" s="76">
        <v>0</v>
      </c>
      <c r="I81" s="76">
        <v>0</v>
      </c>
      <c r="J81" s="76">
        <v>0</v>
      </c>
    </row>
    <row r="82" spans="1:10" x14ac:dyDescent="0.3">
      <c r="A82" s="35" t="s">
        <v>63</v>
      </c>
      <c r="B82" s="35" t="s">
        <v>166</v>
      </c>
      <c r="C82" s="6">
        <f t="shared" si="1"/>
        <v>9</v>
      </c>
      <c r="D82" s="76">
        <v>0</v>
      </c>
      <c r="E82" s="76">
        <v>0</v>
      </c>
      <c r="F82" s="76">
        <v>0</v>
      </c>
      <c r="G82" s="76">
        <v>0</v>
      </c>
      <c r="H82" s="76">
        <v>0</v>
      </c>
      <c r="I82" s="76">
        <v>0</v>
      </c>
      <c r="J82" s="76">
        <v>0</v>
      </c>
    </row>
    <row r="83" spans="1:10" x14ac:dyDescent="0.3">
      <c r="A83" s="36" t="s">
        <v>63</v>
      </c>
      <c r="B83" s="36" t="s">
        <v>167</v>
      </c>
      <c r="C83" s="6">
        <f t="shared" si="1"/>
        <v>10</v>
      </c>
      <c r="D83" s="75">
        <v>0</v>
      </c>
      <c r="E83" s="75">
        <v>0</v>
      </c>
      <c r="F83" s="76">
        <v>0</v>
      </c>
      <c r="G83" s="76">
        <v>0</v>
      </c>
      <c r="H83" s="76">
        <v>0</v>
      </c>
      <c r="I83" s="76">
        <v>0</v>
      </c>
      <c r="J83" s="76">
        <v>0</v>
      </c>
    </row>
    <row r="84" spans="1:10" x14ac:dyDescent="0.3">
      <c r="A84" s="35" t="s">
        <v>63</v>
      </c>
      <c r="B84" s="35" t="s">
        <v>168</v>
      </c>
      <c r="C84" s="6">
        <f t="shared" si="1"/>
        <v>11</v>
      </c>
      <c r="D84" s="76">
        <v>0</v>
      </c>
      <c r="E84" s="76">
        <v>0</v>
      </c>
      <c r="F84" s="76">
        <v>0</v>
      </c>
      <c r="G84" s="76">
        <v>0</v>
      </c>
      <c r="H84" s="76">
        <v>0</v>
      </c>
      <c r="I84" s="76">
        <v>0</v>
      </c>
      <c r="J84" s="76">
        <v>0</v>
      </c>
    </row>
    <row r="85" spans="1:10" x14ac:dyDescent="0.3">
      <c r="A85" s="36" t="s">
        <v>63</v>
      </c>
      <c r="B85" s="36" t="s">
        <v>169</v>
      </c>
      <c r="C85" s="6">
        <f t="shared" si="1"/>
        <v>12</v>
      </c>
      <c r="D85" s="75">
        <v>0</v>
      </c>
      <c r="E85" s="75">
        <v>0</v>
      </c>
      <c r="F85" s="76">
        <v>0</v>
      </c>
      <c r="G85" s="76">
        <v>0</v>
      </c>
      <c r="H85" s="76">
        <v>0</v>
      </c>
      <c r="I85" s="76">
        <v>0</v>
      </c>
      <c r="J85" s="76">
        <v>0</v>
      </c>
    </row>
    <row r="86" spans="1:10" x14ac:dyDescent="0.3">
      <c r="A86" s="35" t="s">
        <v>120</v>
      </c>
      <c r="B86" s="35" t="s">
        <v>158</v>
      </c>
      <c r="C86" s="6">
        <f t="shared" si="1"/>
        <v>1</v>
      </c>
      <c r="D86" s="76">
        <v>0</v>
      </c>
      <c r="E86" s="76">
        <v>0</v>
      </c>
      <c r="F86" s="76">
        <v>0</v>
      </c>
      <c r="G86" s="76">
        <v>0</v>
      </c>
      <c r="H86" s="76">
        <v>0</v>
      </c>
      <c r="I86" s="76">
        <v>0</v>
      </c>
      <c r="J86" s="76">
        <v>0</v>
      </c>
    </row>
    <row r="87" spans="1:10" x14ac:dyDescent="0.3">
      <c r="A87" s="36" t="s">
        <v>120</v>
      </c>
      <c r="B87" s="36" t="s">
        <v>159</v>
      </c>
      <c r="C87" s="6">
        <f t="shared" si="1"/>
        <v>2</v>
      </c>
      <c r="D87" s="75">
        <v>3</v>
      </c>
      <c r="E87" s="75">
        <v>12</v>
      </c>
      <c r="F87" s="76">
        <v>0</v>
      </c>
      <c r="G87" s="76">
        <v>0</v>
      </c>
      <c r="H87" s="76">
        <v>0</v>
      </c>
      <c r="I87" s="76">
        <v>0</v>
      </c>
      <c r="J87" s="76">
        <v>2</v>
      </c>
    </row>
    <row r="88" spans="1:10" x14ac:dyDescent="0.3">
      <c r="A88" s="35" t="s">
        <v>120</v>
      </c>
      <c r="B88" s="35" t="s">
        <v>160</v>
      </c>
      <c r="C88" s="6">
        <f t="shared" si="1"/>
        <v>3</v>
      </c>
      <c r="D88" s="76">
        <v>0</v>
      </c>
      <c r="E88" s="76">
        <v>0</v>
      </c>
      <c r="F88" s="76">
        <v>1</v>
      </c>
      <c r="G88" s="76">
        <v>0</v>
      </c>
      <c r="H88" s="76">
        <v>0</v>
      </c>
      <c r="I88" s="76">
        <v>0</v>
      </c>
      <c r="J88" s="76">
        <v>0</v>
      </c>
    </row>
    <row r="89" spans="1:10" x14ac:dyDescent="0.3">
      <c r="A89" s="36" t="s">
        <v>120</v>
      </c>
      <c r="B89" s="36" t="s">
        <v>161</v>
      </c>
      <c r="C89" s="6">
        <f t="shared" si="1"/>
        <v>4</v>
      </c>
      <c r="D89" s="75">
        <v>0</v>
      </c>
      <c r="E89" s="75">
        <v>0</v>
      </c>
      <c r="F89" s="76">
        <v>0</v>
      </c>
      <c r="G89" s="76">
        <v>0</v>
      </c>
      <c r="H89" s="76">
        <v>0</v>
      </c>
      <c r="I89" s="76">
        <v>0</v>
      </c>
      <c r="J89" s="76">
        <v>0</v>
      </c>
    </row>
    <row r="90" spans="1:10" x14ac:dyDescent="0.3">
      <c r="A90" s="35" t="s">
        <v>120</v>
      </c>
      <c r="B90" s="35" t="s">
        <v>162</v>
      </c>
      <c r="C90" s="6">
        <f t="shared" si="1"/>
        <v>5</v>
      </c>
      <c r="D90" s="76">
        <v>5</v>
      </c>
      <c r="E90" s="76">
        <v>20</v>
      </c>
      <c r="F90" s="76">
        <v>0</v>
      </c>
      <c r="G90" s="76">
        <v>0</v>
      </c>
      <c r="H90" s="76">
        <v>0</v>
      </c>
      <c r="I90" s="76">
        <v>0</v>
      </c>
      <c r="J90" s="76">
        <v>3</v>
      </c>
    </row>
    <row r="91" spans="1:10" x14ac:dyDescent="0.3">
      <c r="A91" s="36" t="s">
        <v>120</v>
      </c>
      <c r="B91" s="36" t="s">
        <v>163</v>
      </c>
      <c r="C91" s="6">
        <f t="shared" si="1"/>
        <v>6</v>
      </c>
      <c r="D91" s="75">
        <v>0</v>
      </c>
      <c r="E91" s="75">
        <v>0</v>
      </c>
      <c r="F91" s="76">
        <v>0</v>
      </c>
      <c r="G91" s="76">
        <v>0</v>
      </c>
      <c r="H91" s="76">
        <v>0</v>
      </c>
      <c r="I91" s="76">
        <v>0</v>
      </c>
      <c r="J91" s="76">
        <v>0</v>
      </c>
    </row>
    <row r="92" spans="1:10" x14ac:dyDescent="0.3">
      <c r="A92" s="35" t="s">
        <v>120</v>
      </c>
      <c r="B92" s="35" t="s">
        <v>164</v>
      </c>
      <c r="C92" s="6">
        <f t="shared" si="1"/>
        <v>7</v>
      </c>
      <c r="D92" s="76">
        <v>0</v>
      </c>
      <c r="E92" s="76">
        <v>0</v>
      </c>
      <c r="F92" s="76">
        <v>0</v>
      </c>
      <c r="G92" s="76">
        <v>0</v>
      </c>
      <c r="H92" s="76">
        <v>0</v>
      </c>
      <c r="I92" s="76">
        <v>0</v>
      </c>
      <c r="J92" s="76">
        <v>0</v>
      </c>
    </row>
    <row r="93" spans="1:10" x14ac:dyDescent="0.3">
      <c r="A93" s="36" t="s">
        <v>120</v>
      </c>
      <c r="B93" s="36" t="s">
        <v>165</v>
      </c>
      <c r="C93" s="6">
        <f t="shared" si="1"/>
        <v>8</v>
      </c>
      <c r="D93" s="75">
        <v>0</v>
      </c>
      <c r="E93" s="75">
        <v>0</v>
      </c>
      <c r="F93" s="76">
        <v>0</v>
      </c>
      <c r="G93" s="76">
        <v>0</v>
      </c>
      <c r="H93" s="76">
        <v>0</v>
      </c>
      <c r="I93" s="76">
        <v>0</v>
      </c>
      <c r="J93" s="76">
        <v>0</v>
      </c>
    </row>
    <row r="94" spans="1:10" x14ac:dyDescent="0.3">
      <c r="A94" s="35" t="s">
        <v>120</v>
      </c>
      <c r="B94" s="35" t="s">
        <v>166</v>
      </c>
      <c r="C94" s="6">
        <f t="shared" si="1"/>
        <v>9</v>
      </c>
      <c r="D94" s="76">
        <v>0</v>
      </c>
      <c r="E94" s="76">
        <v>0</v>
      </c>
      <c r="F94" s="76">
        <v>0</v>
      </c>
      <c r="G94" s="76">
        <v>0</v>
      </c>
      <c r="H94" s="76">
        <v>0</v>
      </c>
      <c r="I94" s="76">
        <v>0</v>
      </c>
      <c r="J94" s="76">
        <v>0</v>
      </c>
    </row>
    <row r="95" spans="1:10" x14ac:dyDescent="0.3">
      <c r="A95" s="36" t="s">
        <v>120</v>
      </c>
      <c r="B95" s="36" t="s">
        <v>167</v>
      </c>
      <c r="C95" s="6">
        <f t="shared" si="1"/>
        <v>10</v>
      </c>
      <c r="D95" s="75">
        <v>0</v>
      </c>
      <c r="E95" s="75">
        <v>0</v>
      </c>
      <c r="F95" s="76">
        <v>0</v>
      </c>
      <c r="G95" s="76">
        <v>0</v>
      </c>
      <c r="H95" s="76">
        <v>0</v>
      </c>
      <c r="I95" s="76">
        <v>0</v>
      </c>
      <c r="J95" s="76">
        <v>0</v>
      </c>
    </row>
    <row r="96" spans="1:10" x14ac:dyDescent="0.3">
      <c r="A96" s="35" t="s">
        <v>120</v>
      </c>
      <c r="B96" s="35" t="s">
        <v>168</v>
      </c>
      <c r="C96" s="6">
        <f t="shared" si="1"/>
        <v>11</v>
      </c>
      <c r="D96" s="76">
        <v>0</v>
      </c>
      <c r="E96" s="76">
        <v>0</v>
      </c>
      <c r="F96" s="76">
        <v>0</v>
      </c>
      <c r="G96" s="76">
        <v>0</v>
      </c>
      <c r="H96" s="76">
        <v>0</v>
      </c>
      <c r="I96" s="76">
        <v>0</v>
      </c>
      <c r="J96" s="76">
        <v>0</v>
      </c>
    </row>
    <row r="97" spans="1:10" x14ac:dyDescent="0.3">
      <c r="A97" s="36" t="s">
        <v>120</v>
      </c>
      <c r="B97" s="36" t="s">
        <v>169</v>
      </c>
      <c r="C97" s="6">
        <f t="shared" si="1"/>
        <v>12</v>
      </c>
      <c r="D97" s="75">
        <v>0</v>
      </c>
      <c r="E97" s="75">
        <v>0</v>
      </c>
      <c r="F97" s="76">
        <v>0</v>
      </c>
      <c r="G97" s="76">
        <v>0</v>
      </c>
      <c r="H97" s="76">
        <v>0</v>
      </c>
      <c r="I97" s="76">
        <v>0</v>
      </c>
      <c r="J97" s="76">
        <v>0</v>
      </c>
    </row>
    <row r="98" spans="1:10" x14ac:dyDescent="0.3">
      <c r="A98" s="35" t="s">
        <v>48</v>
      </c>
      <c r="B98" s="35" t="s">
        <v>158</v>
      </c>
      <c r="C98" s="6">
        <f t="shared" si="1"/>
        <v>1</v>
      </c>
      <c r="D98" s="76">
        <v>5</v>
      </c>
      <c r="E98" s="76">
        <v>23</v>
      </c>
      <c r="F98" s="76">
        <v>0</v>
      </c>
      <c r="G98" s="76">
        <v>0</v>
      </c>
      <c r="H98" s="76">
        <v>0</v>
      </c>
      <c r="I98" s="76">
        <v>0</v>
      </c>
      <c r="J98" s="76">
        <v>5</v>
      </c>
    </row>
    <row r="99" spans="1:10" x14ac:dyDescent="0.3">
      <c r="A99" s="36" t="s">
        <v>48</v>
      </c>
      <c r="B99" s="36" t="s">
        <v>159</v>
      </c>
      <c r="C99" s="6">
        <f t="shared" si="1"/>
        <v>2</v>
      </c>
      <c r="D99" s="75">
        <v>4</v>
      </c>
      <c r="E99" s="75">
        <v>19</v>
      </c>
      <c r="F99" s="76">
        <v>0</v>
      </c>
      <c r="G99" s="76">
        <v>0</v>
      </c>
      <c r="H99" s="76">
        <v>0</v>
      </c>
      <c r="I99" s="76">
        <v>0</v>
      </c>
      <c r="J99" s="76">
        <v>1</v>
      </c>
    </row>
    <row r="100" spans="1:10" x14ac:dyDescent="0.3">
      <c r="A100" s="35" t="s">
        <v>48</v>
      </c>
      <c r="B100" s="35" t="s">
        <v>160</v>
      </c>
      <c r="C100" s="6">
        <f t="shared" si="1"/>
        <v>3</v>
      </c>
      <c r="D100" s="76">
        <v>17</v>
      </c>
      <c r="E100" s="76">
        <v>80</v>
      </c>
      <c r="F100" s="76">
        <v>0</v>
      </c>
      <c r="G100" s="76">
        <v>0</v>
      </c>
      <c r="H100" s="76">
        <v>0</v>
      </c>
      <c r="I100" s="76">
        <v>0</v>
      </c>
      <c r="J100" s="76">
        <v>2</v>
      </c>
    </row>
    <row r="101" spans="1:10" x14ac:dyDescent="0.3">
      <c r="A101" s="36" t="s">
        <v>48</v>
      </c>
      <c r="B101" s="36" t="s">
        <v>161</v>
      </c>
      <c r="C101" s="6">
        <f t="shared" si="1"/>
        <v>4</v>
      </c>
      <c r="D101" s="75">
        <v>17</v>
      </c>
      <c r="E101" s="75">
        <v>80</v>
      </c>
      <c r="F101" s="76">
        <v>0</v>
      </c>
      <c r="G101" s="76">
        <v>0</v>
      </c>
      <c r="H101" s="76">
        <v>0</v>
      </c>
      <c r="I101" s="76">
        <v>0</v>
      </c>
      <c r="J101" s="76">
        <v>1</v>
      </c>
    </row>
    <row r="102" spans="1:10" x14ac:dyDescent="0.3">
      <c r="A102" s="35" t="s">
        <v>48</v>
      </c>
      <c r="B102" s="35" t="s">
        <v>162</v>
      </c>
      <c r="C102" s="6">
        <f t="shared" si="1"/>
        <v>5</v>
      </c>
      <c r="D102" s="76">
        <v>4</v>
      </c>
      <c r="E102" s="76">
        <v>19</v>
      </c>
      <c r="F102" s="76">
        <v>1</v>
      </c>
      <c r="G102" s="76">
        <v>1</v>
      </c>
      <c r="H102" s="76">
        <v>0</v>
      </c>
      <c r="I102" s="76">
        <v>0</v>
      </c>
      <c r="J102" s="76">
        <v>2</v>
      </c>
    </row>
    <row r="103" spans="1:10" x14ac:dyDescent="0.3">
      <c r="A103" s="36" t="s">
        <v>48</v>
      </c>
      <c r="B103" s="36" t="s">
        <v>163</v>
      </c>
      <c r="C103" s="6">
        <f t="shared" si="1"/>
        <v>6</v>
      </c>
      <c r="D103" s="75">
        <v>0</v>
      </c>
      <c r="E103" s="75">
        <v>0</v>
      </c>
      <c r="F103" s="76">
        <v>0</v>
      </c>
      <c r="G103" s="76">
        <v>0</v>
      </c>
      <c r="H103" s="76">
        <v>0</v>
      </c>
      <c r="I103" s="76">
        <v>0</v>
      </c>
      <c r="J103" s="76">
        <v>0</v>
      </c>
    </row>
    <row r="104" spans="1:10" x14ac:dyDescent="0.3">
      <c r="A104" s="35" t="s">
        <v>48</v>
      </c>
      <c r="B104" s="35" t="s">
        <v>164</v>
      </c>
      <c r="C104" s="6">
        <f t="shared" si="1"/>
        <v>7</v>
      </c>
      <c r="D104" s="76">
        <v>0</v>
      </c>
      <c r="E104" s="76">
        <v>0</v>
      </c>
      <c r="F104" s="76">
        <v>0</v>
      </c>
      <c r="G104" s="76">
        <v>0</v>
      </c>
      <c r="H104" s="76">
        <v>0</v>
      </c>
      <c r="I104" s="76">
        <v>0</v>
      </c>
      <c r="J104" s="76">
        <v>0</v>
      </c>
    </row>
    <row r="105" spans="1:10" x14ac:dyDescent="0.3">
      <c r="A105" s="36" t="s">
        <v>48</v>
      </c>
      <c r="B105" s="36" t="s">
        <v>165</v>
      </c>
      <c r="C105" s="6">
        <f t="shared" si="1"/>
        <v>8</v>
      </c>
      <c r="D105" s="75">
        <v>0</v>
      </c>
      <c r="E105" s="75">
        <v>0</v>
      </c>
      <c r="F105" s="76">
        <v>0</v>
      </c>
      <c r="G105" s="76">
        <v>0</v>
      </c>
      <c r="H105" s="76">
        <v>0</v>
      </c>
      <c r="I105" s="76">
        <v>0</v>
      </c>
      <c r="J105" s="76">
        <v>0</v>
      </c>
    </row>
    <row r="106" spans="1:10" x14ac:dyDescent="0.3">
      <c r="A106" s="35" t="s">
        <v>48</v>
      </c>
      <c r="B106" s="35" t="s">
        <v>166</v>
      </c>
      <c r="C106" s="6">
        <f t="shared" si="1"/>
        <v>9</v>
      </c>
      <c r="D106" s="76">
        <v>0</v>
      </c>
      <c r="E106" s="76">
        <v>0</v>
      </c>
      <c r="F106" s="76">
        <v>0</v>
      </c>
      <c r="G106" s="76">
        <v>0</v>
      </c>
      <c r="H106" s="76">
        <v>0</v>
      </c>
      <c r="I106" s="76">
        <v>0</v>
      </c>
      <c r="J106" s="76">
        <v>0</v>
      </c>
    </row>
    <row r="107" spans="1:10" x14ac:dyDescent="0.3">
      <c r="A107" s="36" t="s">
        <v>48</v>
      </c>
      <c r="B107" s="36" t="s">
        <v>167</v>
      </c>
      <c r="C107" s="6">
        <f t="shared" si="1"/>
        <v>10</v>
      </c>
      <c r="D107" s="75">
        <v>0</v>
      </c>
      <c r="E107" s="75">
        <v>0</v>
      </c>
      <c r="F107" s="76">
        <v>0</v>
      </c>
      <c r="G107" s="76">
        <v>0</v>
      </c>
      <c r="H107" s="76">
        <v>0</v>
      </c>
      <c r="I107" s="76">
        <v>0</v>
      </c>
      <c r="J107" s="76">
        <v>0</v>
      </c>
    </row>
    <row r="108" spans="1:10" x14ac:dyDescent="0.3">
      <c r="A108" s="35" t="s">
        <v>48</v>
      </c>
      <c r="B108" s="35" t="s">
        <v>168</v>
      </c>
      <c r="C108" s="6">
        <f t="shared" si="1"/>
        <v>11</v>
      </c>
      <c r="D108" s="76">
        <v>0</v>
      </c>
      <c r="E108" s="76">
        <v>0</v>
      </c>
      <c r="F108" s="76">
        <v>0</v>
      </c>
      <c r="G108" s="76">
        <v>0</v>
      </c>
      <c r="H108" s="76">
        <v>0</v>
      </c>
      <c r="I108" s="76">
        <v>0</v>
      </c>
      <c r="J108" s="76">
        <v>0</v>
      </c>
    </row>
    <row r="109" spans="1:10" x14ac:dyDescent="0.3">
      <c r="A109" s="36" t="s">
        <v>48</v>
      </c>
      <c r="B109" s="36" t="s">
        <v>169</v>
      </c>
      <c r="C109" s="6">
        <f t="shared" si="1"/>
        <v>12</v>
      </c>
      <c r="D109" s="75">
        <v>0</v>
      </c>
      <c r="E109" s="75">
        <v>0</v>
      </c>
      <c r="F109" s="76">
        <v>0</v>
      </c>
      <c r="G109" s="76">
        <v>0</v>
      </c>
      <c r="H109" s="76">
        <v>0</v>
      </c>
      <c r="I109" s="76">
        <v>0</v>
      </c>
      <c r="J109" s="76">
        <v>0</v>
      </c>
    </row>
    <row r="110" spans="1:10" x14ac:dyDescent="0.3">
      <c r="A110" s="35" t="s">
        <v>93</v>
      </c>
      <c r="B110" s="35" t="s">
        <v>158</v>
      </c>
      <c r="C110" s="6">
        <f t="shared" si="1"/>
        <v>1</v>
      </c>
      <c r="D110" s="76">
        <v>3</v>
      </c>
      <c r="E110" s="76">
        <v>25</v>
      </c>
      <c r="F110" s="76">
        <v>0</v>
      </c>
      <c r="G110" s="76">
        <v>0</v>
      </c>
      <c r="H110" s="76">
        <v>0</v>
      </c>
      <c r="I110" s="76">
        <v>0</v>
      </c>
      <c r="J110" s="76">
        <v>1</v>
      </c>
    </row>
    <row r="111" spans="1:10" x14ac:dyDescent="0.3">
      <c r="A111" s="36" t="s">
        <v>93</v>
      </c>
      <c r="B111" s="36" t="s">
        <v>159</v>
      </c>
      <c r="C111" s="6">
        <f t="shared" si="1"/>
        <v>2</v>
      </c>
      <c r="D111" s="75">
        <v>0</v>
      </c>
      <c r="E111" s="75">
        <v>0</v>
      </c>
      <c r="F111" s="76">
        <v>0</v>
      </c>
      <c r="G111" s="76">
        <v>0</v>
      </c>
      <c r="H111" s="76">
        <v>0</v>
      </c>
      <c r="I111" s="76">
        <v>0</v>
      </c>
      <c r="J111" s="76">
        <v>0</v>
      </c>
    </row>
    <row r="112" spans="1:10" x14ac:dyDescent="0.3">
      <c r="A112" s="35" t="s">
        <v>93</v>
      </c>
      <c r="B112" s="35" t="s">
        <v>160</v>
      </c>
      <c r="C112" s="6">
        <f t="shared" si="1"/>
        <v>3</v>
      </c>
      <c r="D112" s="76">
        <v>0</v>
      </c>
      <c r="E112" s="76">
        <v>0</v>
      </c>
      <c r="F112" s="76">
        <v>0</v>
      </c>
      <c r="G112" s="76">
        <v>0</v>
      </c>
      <c r="H112" s="76">
        <v>0</v>
      </c>
      <c r="I112" s="76">
        <v>0</v>
      </c>
      <c r="J112" s="76">
        <v>0</v>
      </c>
    </row>
    <row r="113" spans="1:10" x14ac:dyDescent="0.3">
      <c r="A113" s="36" t="s">
        <v>93</v>
      </c>
      <c r="B113" s="36" t="s">
        <v>161</v>
      </c>
      <c r="C113" s="6">
        <f t="shared" si="1"/>
        <v>4</v>
      </c>
      <c r="D113" s="75">
        <v>0</v>
      </c>
      <c r="E113" s="75">
        <v>0</v>
      </c>
      <c r="F113" s="76">
        <v>0</v>
      </c>
      <c r="G113" s="76">
        <v>0</v>
      </c>
      <c r="H113" s="76">
        <v>0</v>
      </c>
      <c r="I113" s="76">
        <v>0</v>
      </c>
      <c r="J113" s="76">
        <v>0</v>
      </c>
    </row>
    <row r="114" spans="1:10" x14ac:dyDescent="0.3">
      <c r="A114" s="35" t="s">
        <v>93</v>
      </c>
      <c r="B114" s="35" t="s">
        <v>162</v>
      </c>
      <c r="C114" s="6">
        <f t="shared" si="1"/>
        <v>5</v>
      </c>
      <c r="D114" s="76">
        <v>0</v>
      </c>
      <c r="E114" s="76">
        <v>0</v>
      </c>
      <c r="F114" s="76">
        <v>0</v>
      </c>
      <c r="G114" s="76">
        <v>0</v>
      </c>
      <c r="H114" s="76">
        <v>0</v>
      </c>
      <c r="I114" s="76">
        <v>0</v>
      </c>
      <c r="J114" s="76">
        <v>0</v>
      </c>
    </row>
    <row r="115" spans="1:10" x14ac:dyDescent="0.3">
      <c r="A115" s="36" t="s">
        <v>93</v>
      </c>
      <c r="B115" s="36" t="s">
        <v>163</v>
      </c>
      <c r="C115" s="6">
        <f t="shared" si="1"/>
        <v>6</v>
      </c>
      <c r="D115" s="75">
        <v>0</v>
      </c>
      <c r="E115" s="75">
        <v>0</v>
      </c>
      <c r="F115" s="76">
        <v>0</v>
      </c>
      <c r="G115" s="76">
        <v>0</v>
      </c>
      <c r="H115" s="76">
        <v>0</v>
      </c>
      <c r="I115" s="76">
        <v>0</v>
      </c>
      <c r="J115" s="76">
        <v>0</v>
      </c>
    </row>
    <row r="116" spans="1:10" x14ac:dyDescent="0.3">
      <c r="A116" s="35" t="s">
        <v>93</v>
      </c>
      <c r="B116" s="35" t="s">
        <v>164</v>
      </c>
      <c r="C116" s="6">
        <f t="shared" si="1"/>
        <v>7</v>
      </c>
      <c r="D116" s="76">
        <v>0</v>
      </c>
      <c r="E116" s="76">
        <v>0</v>
      </c>
      <c r="F116" s="76">
        <v>0</v>
      </c>
      <c r="G116" s="76">
        <v>0</v>
      </c>
      <c r="H116" s="76">
        <v>0</v>
      </c>
      <c r="I116" s="76">
        <v>0</v>
      </c>
      <c r="J116" s="76">
        <v>0</v>
      </c>
    </row>
    <row r="117" spans="1:10" x14ac:dyDescent="0.3">
      <c r="A117" s="36" t="s">
        <v>93</v>
      </c>
      <c r="B117" s="36" t="s">
        <v>165</v>
      </c>
      <c r="C117" s="6">
        <f t="shared" si="1"/>
        <v>8</v>
      </c>
      <c r="D117" s="75">
        <v>0</v>
      </c>
      <c r="E117" s="75">
        <v>0</v>
      </c>
      <c r="F117" s="76">
        <v>0</v>
      </c>
      <c r="G117" s="76">
        <v>0</v>
      </c>
      <c r="H117" s="76">
        <v>0</v>
      </c>
      <c r="I117" s="76">
        <v>0</v>
      </c>
      <c r="J117" s="76">
        <v>0</v>
      </c>
    </row>
    <row r="118" spans="1:10" x14ac:dyDescent="0.3">
      <c r="A118" s="35" t="s">
        <v>93</v>
      </c>
      <c r="B118" s="35" t="s">
        <v>166</v>
      </c>
      <c r="C118" s="6">
        <f t="shared" si="1"/>
        <v>9</v>
      </c>
      <c r="D118" s="76">
        <v>0</v>
      </c>
      <c r="E118" s="76">
        <v>0</v>
      </c>
      <c r="F118" s="76">
        <v>0</v>
      </c>
      <c r="G118" s="76">
        <v>0</v>
      </c>
      <c r="H118" s="76">
        <v>0</v>
      </c>
      <c r="I118" s="76">
        <v>0</v>
      </c>
      <c r="J118" s="76">
        <v>0</v>
      </c>
    </row>
    <row r="119" spans="1:10" x14ac:dyDescent="0.3">
      <c r="A119" s="36" t="s">
        <v>93</v>
      </c>
      <c r="B119" s="36" t="s">
        <v>167</v>
      </c>
      <c r="C119" s="6">
        <f t="shared" si="1"/>
        <v>10</v>
      </c>
      <c r="D119" s="75">
        <v>0</v>
      </c>
      <c r="E119" s="75">
        <v>0</v>
      </c>
      <c r="F119" s="76">
        <v>0</v>
      </c>
      <c r="G119" s="76">
        <v>0</v>
      </c>
      <c r="H119" s="76">
        <v>0</v>
      </c>
      <c r="I119" s="76">
        <v>0</v>
      </c>
      <c r="J119" s="76">
        <v>0</v>
      </c>
    </row>
    <row r="120" spans="1:10" x14ac:dyDescent="0.3">
      <c r="A120" s="35" t="s">
        <v>93</v>
      </c>
      <c r="B120" s="35" t="s">
        <v>168</v>
      </c>
      <c r="C120" s="6">
        <f t="shared" si="1"/>
        <v>11</v>
      </c>
      <c r="D120" s="76">
        <v>0</v>
      </c>
      <c r="E120" s="76">
        <v>0</v>
      </c>
      <c r="F120" s="76">
        <v>0</v>
      </c>
      <c r="G120" s="76">
        <v>0</v>
      </c>
      <c r="H120" s="76">
        <v>0</v>
      </c>
      <c r="I120" s="76">
        <v>0</v>
      </c>
      <c r="J120" s="76">
        <v>0</v>
      </c>
    </row>
    <row r="121" spans="1:10" x14ac:dyDescent="0.3">
      <c r="A121" s="36" t="s">
        <v>93</v>
      </c>
      <c r="B121" s="36" t="s">
        <v>169</v>
      </c>
      <c r="C121" s="6">
        <f t="shared" si="1"/>
        <v>12</v>
      </c>
      <c r="D121" s="75">
        <v>0</v>
      </c>
      <c r="E121" s="75">
        <v>0</v>
      </c>
      <c r="F121" s="76">
        <v>0</v>
      </c>
      <c r="G121" s="76">
        <v>0</v>
      </c>
      <c r="H121" s="76">
        <v>0</v>
      </c>
      <c r="I121" s="76">
        <v>0</v>
      </c>
      <c r="J121" s="76">
        <v>0</v>
      </c>
    </row>
    <row r="122" spans="1:10" x14ac:dyDescent="0.3">
      <c r="A122" s="35" t="s">
        <v>119</v>
      </c>
      <c r="B122" s="35" t="s">
        <v>158</v>
      </c>
      <c r="C122" s="6">
        <f t="shared" si="1"/>
        <v>1</v>
      </c>
      <c r="D122" s="76">
        <v>0</v>
      </c>
      <c r="E122" s="76">
        <v>0</v>
      </c>
      <c r="F122" s="76">
        <v>0</v>
      </c>
      <c r="G122" s="76">
        <v>0</v>
      </c>
      <c r="H122" s="76">
        <v>0</v>
      </c>
      <c r="I122" s="76">
        <v>0</v>
      </c>
      <c r="J122" s="76">
        <v>0</v>
      </c>
    </row>
    <row r="123" spans="1:10" x14ac:dyDescent="0.3">
      <c r="A123" s="36" t="s">
        <v>119</v>
      </c>
      <c r="B123" s="36" t="s">
        <v>159</v>
      </c>
      <c r="C123" s="6">
        <f t="shared" si="1"/>
        <v>2</v>
      </c>
      <c r="D123" s="75">
        <v>0</v>
      </c>
      <c r="E123" s="75">
        <v>0</v>
      </c>
      <c r="F123" s="76">
        <v>0</v>
      </c>
      <c r="G123" s="76">
        <v>0</v>
      </c>
      <c r="H123" s="76">
        <v>0</v>
      </c>
      <c r="I123" s="76">
        <v>0</v>
      </c>
      <c r="J123" s="76">
        <v>0</v>
      </c>
    </row>
    <row r="124" spans="1:10" x14ac:dyDescent="0.3">
      <c r="A124" s="35" t="s">
        <v>119</v>
      </c>
      <c r="B124" s="35" t="s">
        <v>160</v>
      </c>
      <c r="C124" s="6">
        <f t="shared" si="1"/>
        <v>3</v>
      </c>
      <c r="D124" s="76">
        <v>0</v>
      </c>
      <c r="E124" s="76">
        <v>0</v>
      </c>
      <c r="F124" s="76">
        <v>0</v>
      </c>
      <c r="G124" s="76">
        <v>0</v>
      </c>
      <c r="H124" s="76">
        <v>0</v>
      </c>
      <c r="I124" s="76">
        <v>0</v>
      </c>
      <c r="J124" s="76">
        <v>0</v>
      </c>
    </row>
    <row r="125" spans="1:10" x14ac:dyDescent="0.3">
      <c r="A125" s="36" t="s">
        <v>119</v>
      </c>
      <c r="B125" s="36" t="s">
        <v>161</v>
      </c>
      <c r="C125" s="6">
        <f t="shared" si="1"/>
        <v>4</v>
      </c>
      <c r="D125" s="75">
        <v>0</v>
      </c>
      <c r="E125" s="75">
        <v>0</v>
      </c>
      <c r="F125" s="76">
        <v>0</v>
      </c>
      <c r="G125" s="76">
        <v>0</v>
      </c>
      <c r="H125" s="76">
        <v>0</v>
      </c>
      <c r="I125" s="76">
        <v>0</v>
      </c>
      <c r="J125" s="76">
        <v>0</v>
      </c>
    </row>
    <row r="126" spans="1:10" x14ac:dyDescent="0.3">
      <c r="A126" s="35" t="s">
        <v>119</v>
      </c>
      <c r="B126" s="35" t="s">
        <v>162</v>
      </c>
      <c r="C126" s="6">
        <f t="shared" si="1"/>
        <v>5</v>
      </c>
      <c r="D126" s="76">
        <v>0</v>
      </c>
      <c r="E126" s="76">
        <v>0</v>
      </c>
      <c r="F126" s="76">
        <v>0</v>
      </c>
      <c r="G126" s="76">
        <v>0</v>
      </c>
      <c r="H126" s="76">
        <v>0</v>
      </c>
      <c r="I126" s="76">
        <v>0</v>
      </c>
      <c r="J126" s="76">
        <v>0</v>
      </c>
    </row>
    <row r="127" spans="1:10" x14ac:dyDescent="0.3">
      <c r="A127" s="36" t="s">
        <v>119</v>
      </c>
      <c r="B127" s="36" t="s">
        <v>163</v>
      </c>
      <c r="C127" s="6">
        <f t="shared" si="1"/>
        <v>6</v>
      </c>
      <c r="D127" s="75">
        <v>0</v>
      </c>
      <c r="E127" s="75">
        <v>0</v>
      </c>
      <c r="F127" s="76">
        <v>0</v>
      </c>
      <c r="G127" s="76">
        <v>0</v>
      </c>
      <c r="H127" s="76">
        <v>0</v>
      </c>
      <c r="I127" s="76">
        <v>0</v>
      </c>
      <c r="J127" s="76">
        <v>0</v>
      </c>
    </row>
    <row r="128" spans="1:10" x14ac:dyDescent="0.3">
      <c r="A128" s="35" t="s">
        <v>119</v>
      </c>
      <c r="B128" s="35" t="s">
        <v>164</v>
      </c>
      <c r="C128" s="6">
        <f t="shared" si="1"/>
        <v>7</v>
      </c>
      <c r="D128" s="76">
        <v>0</v>
      </c>
      <c r="E128" s="76">
        <v>0</v>
      </c>
      <c r="F128" s="76">
        <v>0</v>
      </c>
      <c r="G128" s="76">
        <v>0</v>
      </c>
      <c r="H128" s="76">
        <v>0</v>
      </c>
      <c r="I128" s="76">
        <v>0</v>
      </c>
      <c r="J128" s="76">
        <v>0</v>
      </c>
    </row>
    <row r="129" spans="1:10" x14ac:dyDescent="0.3">
      <c r="A129" s="36" t="s">
        <v>119</v>
      </c>
      <c r="B129" s="36" t="s">
        <v>165</v>
      </c>
      <c r="C129" s="6">
        <f t="shared" si="1"/>
        <v>8</v>
      </c>
      <c r="D129" s="75">
        <v>0</v>
      </c>
      <c r="E129" s="75">
        <v>0</v>
      </c>
      <c r="F129" s="76">
        <v>0</v>
      </c>
      <c r="G129" s="76">
        <v>0</v>
      </c>
      <c r="H129" s="76">
        <v>0</v>
      </c>
      <c r="I129" s="76">
        <v>0</v>
      </c>
      <c r="J129" s="76">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6">
        <v>0</v>
      </c>
      <c r="E130" s="76">
        <v>0</v>
      </c>
      <c r="F130" s="76">
        <v>0</v>
      </c>
      <c r="G130" s="76">
        <v>0</v>
      </c>
      <c r="H130" s="76">
        <v>0</v>
      </c>
      <c r="I130" s="76">
        <v>0</v>
      </c>
      <c r="J130" s="76">
        <v>0</v>
      </c>
    </row>
    <row r="131" spans="1:10" x14ac:dyDescent="0.3">
      <c r="A131" s="36" t="s">
        <v>119</v>
      </c>
      <c r="B131" s="36" t="s">
        <v>167</v>
      </c>
      <c r="C131" s="6">
        <f t="shared" si="2"/>
        <v>10</v>
      </c>
      <c r="D131" s="75">
        <v>0</v>
      </c>
      <c r="E131" s="75">
        <v>0</v>
      </c>
      <c r="F131" s="76">
        <v>0</v>
      </c>
      <c r="G131" s="76">
        <v>0</v>
      </c>
      <c r="H131" s="76">
        <v>0</v>
      </c>
      <c r="I131" s="76">
        <v>0</v>
      </c>
      <c r="J131" s="76">
        <v>0</v>
      </c>
    </row>
    <row r="132" spans="1:10" x14ac:dyDescent="0.3">
      <c r="A132" s="35" t="s">
        <v>119</v>
      </c>
      <c r="B132" s="35" t="s">
        <v>168</v>
      </c>
      <c r="C132" s="6">
        <f t="shared" si="2"/>
        <v>11</v>
      </c>
      <c r="D132" s="76">
        <v>0</v>
      </c>
      <c r="E132" s="76">
        <v>0</v>
      </c>
      <c r="F132" s="76">
        <v>0</v>
      </c>
      <c r="G132" s="76">
        <v>0</v>
      </c>
      <c r="H132" s="76">
        <v>0</v>
      </c>
      <c r="I132" s="76">
        <v>0</v>
      </c>
      <c r="J132" s="76">
        <v>0</v>
      </c>
    </row>
    <row r="133" spans="1:10" x14ac:dyDescent="0.3">
      <c r="A133" s="36" t="s">
        <v>119</v>
      </c>
      <c r="B133" s="36" t="s">
        <v>169</v>
      </c>
      <c r="C133" s="6">
        <f t="shared" si="2"/>
        <v>12</v>
      </c>
      <c r="D133" s="75">
        <v>0</v>
      </c>
      <c r="E133" s="75">
        <v>0</v>
      </c>
      <c r="F133" s="76">
        <v>0</v>
      </c>
      <c r="G133" s="76">
        <v>0</v>
      </c>
      <c r="H133" s="76">
        <v>0</v>
      </c>
      <c r="I133" s="76">
        <v>0</v>
      </c>
      <c r="J133" s="76">
        <v>0</v>
      </c>
    </row>
    <row r="134" spans="1:10" x14ac:dyDescent="0.3">
      <c r="A134" s="35" t="s">
        <v>123</v>
      </c>
      <c r="B134" s="35" t="s">
        <v>158</v>
      </c>
      <c r="C134" s="6">
        <f t="shared" si="2"/>
        <v>1</v>
      </c>
      <c r="D134" s="76">
        <v>0</v>
      </c>
      <c r="E134" s="76">
        <v>0</v>
      </c>
      <c r="F134" s="76">
        <v>0</v>
      </c>
      <c r="G134" s="76">
        <v>0</v>
      </c>
      <c r="H134" s="76">
        <v>0</v>
      </c>
      <c r="I134" s="76">
        <v>0</v>
      </c>
      <c r="J134" s="76">
        <v>0</v>
      </c>
    </row>
    <row r="135" spans="1:10" x14ac:dyDescent="0.3">
      <c r="A135" s="36" t="s">
        <v>123</v>
      </c>
      <c r="B135" s="36" t="s">
        <v>159</v>
      </c>
      <c r="C135" s="6">
        <f t="shared" si="2"/>
        <v>2</v>
      </c>
      <c r="D135" s="75">
        <v>2</v>
      </c>
      <c r="E135" s="75">
        <v>11</v>
      </c>
      <c r="F135" s="76">
        <v>0</v>
      </c>
      <c r="G135" s="76">
        <v>0</v>
      </c>
      <c r="H135" s="76">
        <v>0</v>
      </c>
      <c r="I135" s="76">
        <v>0</v>
      </c>
      <c r="J135" s="76">
        <v>1</v>
      </c>
    </row>
    <row r="136" spans="1:10" x14ac:dyDescent="0.3">
      <c r="A136" s="35" t="s">
        <v>123</v>
      </c>
      <c r="B136" s="35" t="s">
        <v>160</v>
      </c>
      <c r="C136" s="6">
        <f t="shared" si="2"/>
        <v>3</v>
      </c>
      <c r="D136" s="76">
        <v>4</v>
      </c>
      <c r="E136" s="76">
        <v>23</v>
      </c>
      <c r="F136" s="76">
        <v>0</v>
      </c>
      <c r="G136" s="76">
        <v>0</v>
      </c>
      <c r="H136" s="76">
        <v>0</v>
      </c>
      <c r="I136" s="76">
        <v>0</v>
      </c>
      <c r="J136" s="76">
        <v>2</v>
      </c>
    </row>
    <row r="137" spans="1:10" x14ac:dyDescent="0.3">
      <c r="A137" s="36" t="s">
        <v>123</v>
      </c>
      <c r="B137" s="36" t="s">
        <v>161</v>
      </c>
      <c r="C137" s="6">
        <f t="shared" si="2"/>
        <v>4</v>
      </c>
      <c r="D137" s="75">
        <v>3</v>
      </c>
      <c r="E137" s="75">
        <v>17</v>
      </c>
      <c r="F137" s="76">
        <v>0</v>
      </c>
      <c r="G137" s="76">
        <v>0</v>
      </c>
      <c r="H137" s="76">
        <v>0</v>
      </c>
      <c r="I137" s="76">
        <v>0</v>
      </c>
      <c r="J137" s="76">
        <v>1</v>
      </c>
    </row>
    <row r="138" spans="1:10" x14ac:dyDescent="0.3">
      <c r="A138" s="35" t="s">
        <v>123</v>
      </c>
      <c r="B138" s="35" t="s">
        <v>162</v>
      </c>
      <c r="C138" s="6">
        <f t="shared" si="2"/>
        <v>5</v>
      </c>
      <c r="D138" s="76">
        <v>3</v>
      </c>
      <c r="E138" s="76">
        <v>17</v>
      </c>
      <c r="F138" s="76">
        <v>1</v>
      </c>
      <c r="G138" s="76">
        <v>1</v>
      </c>
      <c r="H138" s="76">
        <v>0</v>
      </c>
      <c r="I138" s="76">
        <v>0</v>
      </c>
      <c r="J138" s="76">
        <v>1</v>
      </c>
    </row>
    <row r="139" spans="1:10" x14ac:dyDescent="0.3">
      <c r="A139" s="36" t="s">
        <v>123</v>
      </c>
      <c r="B139" s="36" t="s">
        <v>163</v>
      </c>
      <c r="C139" s="6">
        <f t="shared" si="2"/>
        <v>6</v>
      </c>
      <c r="D139" s="75">
        <v>0</v>
      </c>
      <c r="E139" s="75">
        <v>0</v>
      </c>
      <c r="F139" s="76">
        <v>0</v>
      </c>
      <c r="G139" s="76">
        <v>0</v>
      </c>
      <c r="H139" s="76">
        <v>0</v>
      </c>
      <c r="I139" s="76">
        <v>0</v>
      </c>
      <c r="J139" s="76">
        <v>0</v>
      </c>
    </row>
    <row r="140" spans="1:10" x14ac:dyDescent="0.3">
      <c r="A140" s="35" t="s">
        <v>123</v>
      </c>
      <c r="B140" s="35" t="s">
        <v>164</v>
      </c>
      <c r="C140" s="6">
        <f t="shared" si="2"/>
        <v>7</v>
      </c>
      <c r="D140" s="76">
        <v>0</v>
      </c>
      <c r="E140" s="76">
        <v>0</v>
      </c>
      <c r="F140" s="76">
        <v>0</v>
      </c>
      <c r="G140" s="76">
        <v>0</v>
      </c>
      <c r="H140" s="76">
        <v>0</v>
      </c>
      <c r="I140" s="76">
        <v>0</v>
      </c>
      <c r="J140" s="76">
        <v>0</v>
      </c>
    </row>
    <row r="141" spans="1:10" x14ac:dyDescent="0.3">
      <c r="A141" s="36" t="s">
        <v>123</v>
      </c>
      <c r="B141" s="36" t="s">
        <v>165</v>
      </c>
      <c r="C141" s="6">
        <f t="shared" si="2"/>
        <v>8</v>
      </c>
      <c r="D141" s="75">
        <v>0</v>
      </c>
      <c r="E141" s="75">
        <v>0</v>
      </c>
      <c r="F141" s="76">
        <v>0</v>
      </c>
      <c r="G141" s="76">
        <v>0</v>
      </c>
      <c r="H141" s="76">
        <v>0</v>
      </c>
      <c r="I141" s="76">
        <v>0</v>
      </c>
      <c r="J141" s="76">
        <v>0</v>
      </c>
    </row>
    <row r="142" spans="1:10" x14ac:dyDescent="0.3">
      <c r="A142" s="35" t="s">
        <v>123</v>
      </c>
      <c r="B142" s="35" t="s">
        <v>166</v>
      </c>
      <c r="C142" s="6">
        <f t="shared" si="2"/>
        <v>9</v>
      </c>
      <c r="D142" s="76">
        <v>0</v>
      </c>
      <c r="E142" s="76">
        <v>0</v>
      </c>
      <c r="F142" s="76">
        <v>0</v>
      </c>
      <c r="G142" s="76">
        <v>0</v>
      </c>
      <c r="H142" s="76">
        <v>0</v>
      </c>
      <c r="I142" s="76">
        <v>0</v>
      </c>
      <c r="J142" s="76">
        <v>0</v>
      </c>
    </row>
    <row r="143" spans="1:10" x14ac:dyDescent="0.3">
      <c r="A143" s="36" t="s">
        <v>123</v>
      </c>
      <c r="B143" s="36" t="s">
        <v>167</v>
      </c>
      <c r="C143" s="6">
        <f t="shared" si="2"/>
        <v>10</v>
      </c>
      <c r="D143" s="75">
        <v>0</v>
      </c>
      <c r="E143" s="75">
        <v>0</v>
      </c>
      <c r="F143" s="76">
        <v>0</v>
      </c>
      <c r="G143" s="76">
        <v>0</v>
      </c>
      <c r="H143" s="76">
        <v>0</v>
      </c>
      <c r="I143" s="76">
        <v>0</v>
      </c>
      <c r="J143" s="76">
        <v>0</v>
      </c>
    </row>
    <row r="144" spans="1:10" x14ac:dyDescent="0.3">
      <c r="A144" s="35" t="s">
        <v>123</v>
      </c>
      <c r="B144" s="35" t="s">
        <v>168</v>
      </c>
      <c r="C144" s="6">
        <f t="shared" si="2"/>
        <v>11</v>
      </c>
      <c r="D144" s="76">
        <v>0</v>
      </c>
      <c r="E144" s="76">
        <v>0</v>
      </c>
      <c r="F144" s="76">
        <v>0</v>
      </c>
      <c r="G144" s="76">
        <v>0</v>
      </c>
      <c r="H144" s="76">
        <v>0</v>
      </c>
      <c r="I144" s="76">
        <v>0</v>
      </c>
      <c r="J144" s="76">
        <v>0</v>
      </c>
    </row>
    <row r="145" spans="1:10" x14ac:dyDescent="0.3">
      <c r="A145" s="36" t="s">
        <v>123</v>
      </c>
      <c r="B145" s="36" t="s">
        <v>169</v>
      </c>
      <c r="C145" s="6">
        <f t="shared" si="2"/>
        <v>12</v>
      </c>
      <c r="D145" s="75">
        <v>0</v>
      </c>
      <c r="E145" s="75">
        <v>0</v>
      </c>
      <c r="F145" s="76">
        <v>0</v>
      </c>
      <c r="G145" s="76">
        <v>0</v>
      </c>
      <c r="H145" s="76">
        <v>0</v>
      </c>
      <c r="I145" s="76">
        <v>0</v>
      </c>
      <c r="J145" s="76">
        <v>0</v>
      </c>
    </row>
    <row r="146" spans="1:10" x14ac:dyDescent="0.3">
      <c r="A146" s="35" t="s">
        <v>103</v>
      </c>
      <c r="B146" s="35" t="s">
        <v>158</v>
      </c>
      <c r="C146" s="6">
        <f t="shared" si="2"/>
        <v>1</v>
      </c>
      <c r="D146" s="76">
        <v>0</v>
      </c>
      <c r="E146" s="76">
        <v>0</v>
      </c>
      <c r="F146" s="76">
        <v>0</v>
      </c>
      <c r="G146" s="76">
        <v>0</v>
      </c>
      <c r="H146" s="76">
        <v>0</v>
      </c>
      <c r="I146" s="76">
        <v>0</v>
      </c>
      <c r="J146" s="76">
        <v>0</v>
      </c>
    </row>
    <row r="147" spans="1:10" x14ac:dyDescent="0.3">
      <c r="A147" s="36" t="s">
        <v>103</v>
      </c>
      <c r="B147" s="36" t="s">
        <v>159</v>
      </c>
      <c r="C147" s="6">
        <f t="shared" si="2"/>
        <v>2</v>
      </c>
      <c r="D147" s="75">
        <v>0</v>
      </c>
      <c r="E147" s="75">
        <v>0</v>
      </c>
      <c r="F147" s="76">
        <v>0</v>
      </c>
      <c r="G147" s="76">
        <v>0</v>
      </c>
      <c r="H147" s="76">
        <v>0</v>
      </c>
      <c r="I147" s="76">
        <v>0</v>
      </c>
      <c r="J147" s="76">
        <v>0</v>
      </c>
    </row>
    <row r="148" spans="1:10" x14ac:dyDescent="0.3">
      <c r="A148" s="35" t="s">
        <v>103</v>
      </c>
      <c r="B148" s="35" t="s">
        <v>160</v>
      </c>
      <c r="C148" s="6">
        <f t="shared" si="2"/>
        <v>3</v>
      </c>
      <c r="D148" s="76">
        <v>0</v>
      </c>
      <c r="E148" s="76">
        <v>0</v>
      </c>
      <c r="F148" s="76">
        <v>0</v>
      </c>
      <c r="G148" s="76">
        <v>0</v>
      </c>
      <c r="H148" s="76">
        <v>0</v>
      </c>
      <c r="I148" s="76">
        <v>0</v>
      </c>
      <c r="J148" s="76">
        <v>0</v>
      </c>
    </row>
    <row r="149" spans="1:10" x14ac:dyDescent="0.3">
      <c r="A149" s="36" t="s">
        <v>103</v>
      </c>
      <c r="B149" s="36" t="s">
        <v>161</v>
      </c>
      <c r="C149" s="6">
        <f t="shared" si="2"/>
        <v>4</v>
      </c>
      <c r="D149" s="75">
        <v>5</v>
      </c>
      <c r="E149" s="75">
        <v>31</v>
      </c>
      <c r="F149" s="76">
        <v>0</v>
      </c>
      <c r="G149" s="76">
        <v>0</v>
      </c>
      <c r="H149" s="76">
        <v>0</v>
      </c>
      <c r="I149" s="76">
        <v>0</v>
      </c>
      <c r="J149" s="76">
        <v>2</v>
      </c>
    </row>
    <row r="150" spans="1:10" x14ac:dyDescent="0.3">
      <c r="A150" s="35" t="s">
        <v>103</v>
      </c>
      <c r="B150" s="35" t="s">
        <v>162</v>
      </c>
      <c r="C150" s="6">
        <f t="shared" si="2"/>
        <v>5</v>
      </c>
      <c r="D150" s="76">
        <v>2</v>
      </c>
      <c r="E150" s="76">
        <v>12</v>
      </c>
      <c r="F150" s="76">
        <v>0</v>
      </c>
      <c r="G150" s="76">
        <v>0</v>
      </c>
      <c r="H150" s="76">
        <v>0</v>
      </c>
      <c r="I150" s="76">
        <v>0</v>
      </c>
      <c r="J150" s="76">
        <v>1</v>
      </c>
    </row>
    <row r="151" spans="1:10" x14ac:dyDescent="0.3">
      <c r="A151" s="36" t="s">
        <v>103</v>
      </c>
      <c r="B151" s="36" t="s">
        <v>163</v>
      </c>
      <c r="C151" s="6">
        <f t="shared" si="2"/>
        <v>6</v>
      </c>
      <c r="D151" s="75">
        <v>0</v>
      </c>
      <c r="E151" s="75">
        <v>0</v>
      </c>
      <c r="F151" s="76">
        <v>0</v>
      </c>
      <c r="G151" s="76">
        <v>0</v>
      </c>
      <c r="H151" s="76">
        <v>0</v>
      </c>
      <c r="I151" s="76">
        <v>0</v>
      </c>
      <c r="J151" s="76">
        <v>0</v>
      </c>
    </row>
    <row r="152" spans="1:10" x14ac:dyDescent="0.3">
      <c r="A152" s="35" t="s">
        <v>103</v>
      </c>
      <c r="B152" s="35" t="s">
        <v>164</v>
      </c>
      <c r="C152" s="6">
        <f t="shared" si="2"/>
        <v>7</v>
      </c>
      <c r="D152" s="76">
        <v>0</v>
      </c>
      <c r="E152" s="76">
        <v>0</v>
      </c>
      <c r="F152" s="76">
        <v>0</v>
      </c>
      <c r="G152" s="76">
        <v>0</v>
      </c>
      <c r="H152" s="76">
        <v>0</v>
      </c>
      <c r="I152" s="76">
        <v>0</v>
      </c>
      <c r="J152" s="76">
        <v>0</v>
      </c>
    </row>
    <row r="153" spans="1:10" x14ac:dyDescent="0.3">
      <c r="A153" s="36" t="s">
        <v>103</v>
      </c>
      <c r="B153" s="36" t="s">
        <v>165</v>
      </c>
      <c r="C153" s="6">
        <f t="shared" si="2"/>
        <v>8</v>
      </c>
      <c r="D153" s="75">
        <v>0</v>
      </c>
      <c r="E153" s="75">
        <v>0</v>
      </c>
      <c r="F153" s="76">
        <v>0</v>
      </c>
      <c r="G153" s="76">
        <v>0</v>
      </c>
      <c r="H153" s="76">
        <v>0</v>
      </c>
      <c r="I153" s="76">
        <v>0</v>
      </c>
      <c r="J153" s="76">
        <v>0</v>
      </c>
    </row>
    <row r="154" spans="1:10" x14ac:dyDescent="0.3">
      <c r="A154" s="35" t="s">
        <v>103</v>
      </c>
      <c r="B154" s="35" t="s">
        <v>166</v>
      </c>
      <c r="C154" s="6">
        <f t="shared" si="2"/>
        <v>9</v>
      </c>
      <c r="D154" s="76">
        <v>0</v>
      </c>
      <c r="E154" s="76">
        <v>0</v>
      </c>
      <c r="F154" s="76">
        <v>0</v>
      </c>
      <c r="G154" s="76">
        <v>0</v>
      </c>
      <c r="H154" s="76">
        <v>0</v>
      </c>
      <c r="I154" s="76">
        <v>0</v>
      </c>
      <c r="J154" s="76">
        <v>0</v>
      </c>
    </row>
    <row r="155" spans="1:10" x14ac:dyDescent="0.3">
      <c r="A155" s="36" t="s">
        <v>103</v>
      </c>
      <c r="B155" s="36" t="s">
        <v>167</v>
      </c>
      <c r="C155" s="6">
        <f t="shared" si="2"/>
        <v>10</v>
      </c>
      <c r="D155" s="75">
        <v>0</v>
      </c>
      <c r="E155" s="75">
        <v>0</v>
      </c>
      <c r="F155" s="76">
        <v>0</v>
      </c>
      <c r="G155" s="76">
        <v>0</v>
      </c>
      <c r="H155" s="76">
        <v>0</v>
      </c>
      <c r="I155" s="76">
        <v>0</v>
      </c>
      <c r="J155" s="76">
        <v>0</v>
      </c>
    </row>
    <row r="156" spans="1:10" x14ac:dyDescent="0.3">
      <c r="A156" s="35" t="s">
        <v>103</v>
      </c>
      <c r="B156" s="35" t="s">
        <v>168</v>
      </c>
      <c r="C156" s="6">
        <f t="shared" si="2"/>
        <v>11</v>
      </c>
      <c r="D156" s="76">
        <v>0</v>
      </c>
      <c r="E156" s="76">
        <v>0</v>
      </c>
      <c r="F156" s="76">
        <v>0</v>
      </c>
      <c r="G156" s="76">
        <v>0</v>
      </c>
      <c r="H156" s="76">
        <v>0</v>
      </c>
      <c r="I156" s="76">
        <v>0</v>
      </c>
      <c r="J156" s="76">
        <v>0</v>
      </c>
    </row>
    <row r="157" spans="1:10" x14ac:dyDescent="0.3">
      <c r="A157" s="36" t="s">
        <v>103</v>
      </c>
      <c r="B157" s="36" t="s">
        <v>169</v>
      </c>
      <c r="C157" s="6">
        <f t="shared" si="2"/>
        <v>12</v>
      </c>
      <c r="D157" s="75">
        <v>0</v>
      </c>
      <c r="E157" s="75">
        <v>0</v>
      </c>
      <c r="F157" s="76">
        <v>0</v>
      </c>
      <c r="G157" s="76">
        <v>0</v>
      </c>
      <c r="H157" s="76">
        <v>0</v>
      </c>
      <c r="I157" s="76">
        <v>0</v>
      </c>
      <c r="J157" s="76">
        <v>0</v>
      </c>
    </row>
    <row r="158" spans="1:10" x14ac:dyDescent="0.3">
      <c r="A158" s="35" t="s">
        <v>129</v>
      </c>
      <c r="B158" s="35" t="s">
        <v>158</v>
      </c>
      <c r="C158" s="6">
        <f t="shared" si="2"/>
        <v>1</v>
      </c>
      <c r="D158" s="76">
        <v>4</v>
      </c>
      <c r="E158" s="76">
        <v>20</v>
      </c>
      <c r="F158" s="76">
        <v>0</v>
      </c>
      <c r="G158" s="76">
        <v>0</v>
      </c>
      <c r="H158" s="76">
        <v>0</v>
      </c>
      <c r="I158" s="76">
        <v>0</v>
      </c>
      <c r="J158" s="76">
        <v>1</v>
      </c>
    </row>
    <row r="159" spans="1:10" x14ac:dyDescent="0.3">
      <c r="A159" s="36" t="s">
        <v>129</v>
      </c>
      <c r="B159" s="36" t="s">
        <v>159</v>
      </c>
      <c r="C159" s="6">
        <f t="shared" si="2"/>
        <v>2</v>
      </c>
      <c r="D159" s="75">
        <v>0</v>
      </c>
      <c r="E159" s="75">
        <v>0</v>
      </c>
      <c r="F159" s="76">
        <v>0</v>
      </c>
      <c r="G159" s="76">
        <v>0</v>
      </c>
      <c r="H159" s="76">
        <v>0</v>
      </c>
      <c r="I159" s="76">
        <v>0</v>
      </c>
      <c r="J159" s="76">
        <v>0</v>
      </c>
    </row>
    <row r="160" spans="1:10" x14ac:dyDescent="0.3">
      <c r="A160" s="35" t="s">
        <v>129</v>
      </c>
      <c r="B160" s="35" t="s">
        <v>160</v>
      </c>
      <c r="C160" s="6">
        <f t="shared" si="2"/>
        <v>3</v>
      </c>
      <c r="D160" s="76">
        <v>0</v>
      </c>
      <c r="E160" s="76">
        <v>0</v>
      </c>
      <c r="F160" s="76">
        <v>0</v>
      </c>
      <c r="G160" s="76">
        <v>0</v>
      </c>
      <c r="H160" s="76">
        <v>0</v>
      </c>
      <c r="I160" s="76">
        <v>0</v>
      </c>
      <c r="J160" s="76">
        <v>0</v>
      </c>
    </row>
    <row r="161" spans="1:10" x14ac:dyDescent="0.3">
      <c r="A161" s="36" t="s">
        <v>129</v>
      </c>
      <c r="B161" s="36" t="s">
        <v>161</v>
      </c>
      <c r="C161" s="6">
        <f t="shared" si="2"/>
        <v>4</v>
      </c>
      <c r="D161" s="75">
        <v>0</v>
      </c>
      <c r="E161" s="75">
        <v>0</v>
      </c>
      <c r="F161" s="76">
        <v>0</v>
      </c>
      <c r="G161" s="76">
        <v>0</v>
      </c>
      <c r="H161" s="76">
        <v>0</v>
      </c>
      <c r="I161" s="76">
        <v>0</v>
      </c>
      <c r="J161" s="76">
        <v>0</v>
      </c>
    </row>
    <row r="162" spans="1:10" x14ac:dyDescent="0.3">
      <c r="A162" s="35" t="s">
        <v>129</v>
      </c>
      <c r="B162" s="35" t="s">
        <v>162</v>
      </c>
      <c r="C162" s="6">
        <f t="shared" si="2"/>
        <v>5</v>
      </c>
      <c r="D162" s="76">
        <v>0</v>
      </c>
      <c r="E162" s="76">
        <v>0</v>
      </c>
      <c r="F162" s="76">
        <v>0</v>
      </c>
      <c r="G162" s="76">
        <v>0</v>
      </c>
      <c r="H162" s="76">
        <v>0</v>
      </c>
      <c r="I162" s="76">
        <v>0</v>
      </c>
      <c r="J162" s="76">
        <v>0</v>
      </c>
    </row>
    <row r="163" spans="1:10" x14ac:dyDescent="0.3">
      <c r="A163" s="36" t="s">
        <v>129</v>
      </c>
      <c r="B163" s="36" t="s">
        <v>163</v>
      </c>
      <c r="C163" s="6">
        <f t="shared" si="2"/>
        <v>6</v>
      </c>
      <c r="D163" s="75">
        <v>0</v>
      </c>
      <c r="E163" s="75">
        <v>0</v>
      </c>
      <c r="F163" s="76">
        <v>0</v>
      </c>
      <c r="G163" s="76">
        <v>0</v>
      </c>
      <c r="H163" s="76">
        <v>0</v>
      </c>
      <c r="I163" s="76">
        <v>0</v>
      </c>
      <c r="J163" s="76">
        <v>0</v>
      </c>
    </row>
    <row r="164" spans="1:10" x14ac:dyDescent="0.3">
      <c r="A164" s="35" t="s">
        <v>129</v>
      </c>
      <c r="B164" s="35" t="s">
        <v>164</v>
      </c>
      <c r="C164" s="6">
        <f t="shared" si="2"/>
        <v>7</v>
      </c>
      <c r="D164" s="76">
        <v>0</v>
      </c>
      <c r="E164" s="76">
        <v>0</v>
      </c>
      <c r="F164" s="76">
        <v>0</v>
      </c>
      <c r="G164" s="76">
        <v>0</v>
      </c>
      <c r="H164" s="76">
        <v>0</v>
      </c>
      <c r="I164" s="76">
        <v>0</v>
      </c>
      <c r="J164" s="76">
        <v>0</v>
      </c>
    </row>
    <row r="165" spans="1:10" x14ac:dyDescent="0.3">
      <c r="A165" s="36" t="s">
        <v>129</v>
      </c>
      <c r="B165" s="36" t="s">
        <v>165</v>
      </c>
      <c r="C165" s="6">
        <f t="shared" si="2"/>
        <v>8</v>
      </c>
      <c r="D165" s="75">
        <v>0</v>
      </c>
      <c r="E165" s="75">
        <v>0</v>
      </c>
      <c r="F165" s="76">
        <v>0</v>
      </c>
      <c r="G165" s="76">
        <v>0</v>
      </c>
      <c r="H165" s="76">
        <v>0</v>
      </c>
      <c r="I165" s="76">
        <v>0</v>
      </c>
      <c r="J165" s="76">
        <v>0</v>
      </c>
    </row>
    <row r="166" spans="1:10" x14ac:dyDescent="0.3">
      <c r="A166" s="35" t="s">
        <v>129</v>
      </c>
      <c r="B166" s="35" t="s">
        <v>166</v>
      </c>
      <c r="C166" s="6">
        <f t="shared" si="2"/>
        <v>9</v>
      </c>
      <c r="D166" s="76">
        <v>0</v>
      </c>
      <c r="E166" s="76">
        <v>0</v>
      </c>
      <c r="F166" s="76">
        <v>0</v>
      </c>
      <c r="G166" s="76">
        <v>0</v>
      </c>
      <c r="H166" s="76">
        <v>0</v>
      </c>
      <c r="I166" s="76">
        <v>0</v>
      </c>
      <c r="J166" s="76">
        <v>0</v>
      </c>
    </row>
    <row r="167" spans="1:10" x14ac:dyDescent="0.3">
      <c r="A167" s="36" t="s">
        <v>129</v>
      </c>
      <c r="B167" s="36" t="s">
        <v>167</v>
      </c>
      <c r="C167" s="6">
        <f t="shared" si="2"/>
        <v>10</v>
      </c>
      <c r="D167" s="75">
        <v>0</v>
      </c>
      <c r="E167" s="75">
        <v>0</v>
      </c>
      <c r="F167" s="76">
        <v>0</v>
      </c>
      <c r="G167" s="76">
        <v>0</v>
      </c>
      <c r="H167" s="76">
        <v>0</v>
      </c>
      <c r="I167" s="76">
        <v>0</v>
      </c>
      <c r="J167" s="76">
        <v>0</v>
      </c>
    </row>
    <row r="168" spans="1:10" x14ac:dyDescent="0.3">
      <c r="A168" s="35" t="s">
        <v>129</v>
      </c>
      <c r="B168" s="35" t="s">
        <v>168</v>
      </c>
      <c r="C168" s="6">
        <f t="shared" si="2"/>
        <v>11</v>
      </c>
      <c r="D168" s="76">
        <v>0</v>
      </c>
      <c r="E168" s="76">
        <v>0</v>
      </c>
      <c r="F168" s="76">
        <v>0</v>
      </c>
      <c r="G168" s="76">
        <v>0</v>
      </c>
      <c r="H168" s="76">
        <v>0</v>
      </c>
      <c r="I168" s="76">
        <v>0</v>
      </c>
      <c r="J168" s="76">
        <v>0</v>
      </c>
    </row>
    <row r="169" spans="1:10" x14ac:dyDescent="0.3">
      <c r="A169" s="36" t="s">
        <v>129</v>
      </c>
      <c r="B169" s="36" t="s">
        <v>169</v>
      </c>
      <c r="C169" s="6">
        <f t="shared" si="2"/>
        <v>12</v>
      </c>
      <c r="D169" s="75">
        <v>0</v>
      </c>
      <c r="E169" s="75">
        <v>0</v>
      </c>
      <c r="F169" s="76">
        <v>0</v>
      </c>
      <c r="G169" s="76">
        <v>0</v>
      </c>
      <c r="H169" s="76">
        <v>0</v>
      </c>
      <c r="I169" s="76">
        <v>0</v>
      </c>
      <c r="J169" s="76">
        <v>0</v>
      </c>
    </row>
    <row r="170" spans="1:10" x14ac:dyDescent="0.3">
      <c r="A170" s="35" t="s">
        <v>96</v>
      </c>
      <c r="B170" s="35" t="s">
        <v>158</v>
      </c>
      <c r="C170" s="6">
        <f t="shared" si="2"/>
        <v>1</v>
      </c>
      <c r="D170" s="76">
        <v>0</v>
      </c>
      <c r="E170" s="76">
        <v>0</v>
      </c>
      <c r="F170" s="76">
        <v>0</v>
      </c>
      <c r="G170" s="76">
        <v>0</v>
      </c>
      <c r="H170" s="76">
        <v>0</v>
      </c>
      <c r="I170" s="76">
        <v>0</v>
      </c>
      <c r="J170" s="76">
        <v>0</v>
      </c>
    </row>
    <row r="171" spans="1:10" x14ac:dyDescent="0.3">
      <c r="A171" s="36" t="s">
        <v>96</v>
      </c>
      <c r="B171" s="36" t="s">
        <v>159</v>
      </c>
      <c r="C171" s="6">
        <f t="shared" si="2"/>
        <v>2</v>
      </c>
      <c r="D171" s="75">
        <v>0</v>
      </c>
      <c r="E171" s="75">
        <v>0</v>
      </c>
      <c r="F171" s="76">
        <v>0</v>
      </c>
      <c r="G171" s="76">
        <v>0</v>
      </c>
      <c r="H171" s="76">
        <v>0</v>
      </c>
      <c r="I171" s="76">
        <v>0</v>
      </c>
      <c r="J171" s="76">
        <v>0</v>
      </c>
    </row>
    <row r="172" spans="1:10" x14ac:dyDescent="0.3">
      <c r="A172" s="35" t="s">
        <v>96</v>
      </c>
      <c r="B172" s="35" t="s">
        <v>160</v>
      </c>
      <c r="C172" s="6">
        <f t="shared" si="2"/>
        <v>3</v>
      </c>
      <c r="D172" s="76">
        <v>2</v>
      </c>
      <c r="E172" s="76">
        <v>7</v>
      </c>
      <c r="F172" s="76">
        <v>0</v>
      </c>
      <c r="G172" s="76">
        <v>0</v>
      </c>
      <c r="H172" s="76">
        <v>0</v>
      </c>
      <c r="I172" s="76">
        <v>0</v>
      </c>
      <c r="J172" s="76">
        <v>2</v>
      </c>
    </row>
    <row r="173" spans="1:10" x14ac:dyDescent="0.3">
      <c r="A173" s="36" t="s">
        <v>96</v>
      </c>
      <c r="B173" s="36" t="s">
        <v>161</v>
      </c>
      <c r="C173" s="6">
        <f t="shared" si="2"/>
        <v>4</v>
      </c>
      <c r="D173" s="75">
        <v>0</v>
      </c>
      <c r="E173" s="75">
        <v>0</v>
      </c>
      <c r="F173" s="76">
        <v>0</v>
      </c>
      <c r="G173" s="76">
        <v>0</v>
      </c>
      <c r="H173" s="76">
        <v>0</v>
      </c>
      <c r="I173" s="76">
        <v>0</v>
      </c>
      <c r="J173" s="76">
        <v>0</v>
      </c>
    </row>
    <row r="174" spans="1:10" x14ac:dyDescent="0.3">
      <c r="A174" s="35" t="s">
        <v>96</v>
      </c>
      <c r="B174" s="35" t="s">
        <v>162</v>
      </c>
      <c r="C174" s="6">
        <f t="shared" si="2"/>
        <v>5</v>
      </c>
      <c r="D174" s="76">
        <v>2</v>
      </c>
      <c r="E174" s="76">
        <v>7</v>
      </c>
      <c r="F174" s="76">
        <v>0</v>
      </c>
      <c r="G174" s="76">
        <v>0</v>
      </c>
      <c r="H174" s="76">
        <v>0</v>
      </c>
      <c r="I174" s="76">
        <v>0</v>
      </c>
      <c r="J174" s="76">
        <v>1</v>
      </c>
    </row>
    <row r="175" spans="1:10" x14ac:dyDescent="0.3">
      <c r="A175" s="36" t="s">
        <v>96</v>
      </c>
      <c r="B175" s="36" t="s">
        <v>163</v>
      </c>
      <c r="C175" s="6">
        <f t="shared" si="2"/>
        <v>6</v>
      </c>
      <c r="D175" s="75">
        <v>0</v>
      </c>
      <c r="E175" s="75">
        <v>0</v>
      </c>
      <c r="F175" s="76">
        <v>0</v>
      </c>
      <c r="G175" s="76">
        <v>0</v>
      </c>
      <c r="H175" s="76">
        <v>0</v>
      </c>
      <c r="I175" s="76">
        <v>0</v>
      </c>
      <c r="J175" s="76">
        <v>0</v>
      </c>
    </row>
    <row r="176" spans="1:10" x14ac:dyDescent="0.3">
      <c r="A176" s="35" t="s">
        <v>96</v>
      </c>
      <c r="B176" s="35" t="s">
        <v>164</v>
      </c>
      <c r="C176" s="6">
        <f t="shared" si="2"/>
        <v>7</v>
      </c>
      <c r="D176" s="76">
        <v>0</v>
      </c>
      <c r="E176" s="76">
        <v>0</v>
      </c>
      <c r="F176" s="76">
        <v>0</v>
      </c>
      <c r="G176" s="76">
        <v>0</v>
      </c>
      <c r="H176" s="76">
        <v>0</v>
      </c>
      <c r="I176" s="76">
        <v>0</v>
      </c>
      <c r="J176" s="76">
        <v>0</v>
      </c>
    </row>
    <row r="177" spans="1:10" x14ac:dyDescent="0.3">
      <c r="A177" s="36" t="s">
        <v>96</v>
      </c>
      <c r="B177" s="36" t="s">
        <v>165</v>
      </c>
      <c r="C177" s="6">
        <f t="shared" si="2"/>
        <v>8</v>
      </c>
      <c r="D177" s="75">
        <v>0</v>
      </c>
      <c r="E177" s="75">
        <v>0</v>
      </c>
      <c r="F177" s="76">
        <v>0</v>
      </c>
      <c r="G177" s="76">
        <v>0</v>
      </c>
      <c r="H177" s="76">
        <v>0</v>
      </c>
      <c r="I177" s="76">
        <v>0</v>
      </c>
      <c r="J177" s="76">
        <v>0</v>
      </c>
    </row>
    <row r="178" spans="1:10" x14ac:dyDescent="0.3">
      <c r="A178" s="35" t="s">
        <v>96</v>
      </c>
      <c r="B178" s="35" t="s">
        <v>166</v>
      </c>
      <c r="C178" s="6">
        <f t="shared" si="2"/>
        <v>9</v>
      </c>
      <c r="D178" s="76">
        <v>0</v>
      </c>
      <c r="E178" s="76">
        <v>0</v>
      </c>
      <c r="F178" s="76">
        <v>0</v>
      </c>
      <c r="G178" s="76">
        <v>0</v>
      </c>
      <c r="H178" s="76">
        <v>0</v>
      </c>
      <c r="I178" s="76">
        <v>0</v>
      </c>
      <c r="J178" s="76">
        <v>0</v>
      </c>
    </row>
    <row r="179" spans="1:10" x14ac:dyDescent="0.3">
      <c r="A179" s="36" t="s">
        <v>96</v>
      </c>
      <c r="B179" s="36" t="s">
        <v>167</v>
      </c>
      <c r="C179" s="6">
        <f t="shared" si="2"/>
        <v>10</v>
      </c>
      <c r="D179" s="75">
        <v>0</v>
      </c>
      <c r="E179" s="75">
        <v>0</v>
      </c>
      <c r="F179" s="76">
        <v>0</v>
      </c>
      <c r="G179" s="76">
        <v>0</v>
      </c>
      <c r="H179" s="76">
        <v>0</v>
      </c>
      <c r="I179" s="76">
        <v>0</v>
      </c>
      <c r="J179" s="76">
        <v>0</v>
      </c>
    </row>
    <row r="180" spans="1:10" x14ac:dyDescent="0.3">
      <c r="A180" s="35" t="s">
        <v>96</v>
      </c>
      <c r="B180" s="35" t="s">
        <v>168</v>
      </c>
      <c r="C180" s="6">
        <f t="shared" si="2"/>
        <v>11</v>
      </c>
      <c r="D180" s="76">
        <v>0</v>
      </c>
      <c r="E180" s="76">
        <v>0</v>
      </c>
      <c r="F180" s="76">
        <v>0</v>
      </c>
      <c r="G180" s="76">
        <v>0</v>
      </c>
      <c r="H180" s="76">
        <v>0</v>
      </c>
      <c r="I180" s="76">
        <v>0</v>
      </c>
      <c r="J180" s="76">
        <v>0</v>
      </c>
    </row>
    <row r="181" spans="1:10" x14ac:dyDescent="0.3">
      <c r="A181" s="36" t="s">
        <v>96</v>
      </c>
      <c r="B181" s="36" t="s">
        <v>169</v>
      </c>
      <c r="C181" s="6">
        <f t="shared" si="2"/>
        <v>12</v>
      </c>
      <c r="D181" s="75">
        <v>0</v>
      </c>
      <c r="E181" s="75">
        <v>0</v>
      </c>
      <c r="F181" s="76">
        <v>0</v>
      </c>
      <c r="G181" s="76">
        <v>0</v>
      </c>
      <c r="H181" s="76">
        <v>0</v>
      </c>
      <c r="I181" s="76">
        <v>0</v>
      </c>
      <c r="J181" s="76">
        <v>0</v>
      </c>
    </row>
    <row r="182" spans="1:10" x14ac:dyDescent="0.3">
      <c r="A182" s="35" t="s">
        <v>38</v>
      </c>
      <c r="B182" s="35" t="s">
        <v>158</v>
      </c>
      <c r="C182" s="6">
        <f t="shared" si="2"/>
        <v>1</v>
      </c>
      <c r="D182" s="76">
        <v>0</v>
      </c>
      <c r="E182" s="76">
        <v>0</v>
      </c>
      <c r="F182" s="76">
        <v>0</v>
      </c>
      <c r="G182" s="76">
        <v>0</v>
      </c>
      <c r="H182" s="76">
        <v>0</v>
      </c>
      <c r="I182" s="76">
        <v>0</v>
      </c>
      <c r="J182" s="76">
        <v>0</v>
      </c>
    </row>
    <row r="183" spans="1:10" x14ac:dyDescent="0.3">
      <c r="A183" s="36" t="s">
        <v>38</v>
      </c>
      <c r="B183" s="36" t="s">
        <v>159</v>
      </c>
      <c r="C183" s="6">
        <f t="shared" si="2"/>
        <v>2</v>
      </c>
      <c r="D183" s="75">
        <v>0</v>
      </c>
      <c r="E183" s="75">
        <v>0</v>
      </c>
      <c r="F183" s="76">
        <v>0</v>
      </c>
      <c r="G183" s="76">
        <v>0</v>
      </c>
      <c r="H183" s="76">
        <v>0</v>
      </c>
      <c r="I183" s="76">
        <v>0</v>
      </c>
      <c r="J183" s="76">
        <v>0</v>
      </c>
    </row>
    <row r="184" spans="1:10" x14ac:dyDescent="0.3">
      <c r="A184" s="35" t="s">
        <v>38</v>
      </c>
      <c r="B184" s="35" t="s">
        <v>160</v>
      </c>
      <c r="C184" s="6">
        <f t="shared" si="2"/>
        <v>3</v>
      </c>
      <c r="D184" s="76">
        <v>4</v>
      </c>
      <c r="E184" s="76">
        <v>80</v>
      </c>
      <c r="F184" s="76">
        <v>0</v>
      </c>
      <c r="G184" s="76">
        <v>0</v>
      </c>
      <c r="H184" s="76">
        <v>0</v>
      </c>
      <c r="I184" s="76">
        <v>0</v>
      </c>
      <c r="J184" s="76">
        <v>2</v>
      </c>
    </row>
    <row r="185" spans="1:10" x14ac:dyDescent="0.3">
      <c r="A185" s="36" t="s">
        <v>38</v>
      </c>
      <c r="B185" s="36" t="s">
        <v>161</v>
      </c>
      <c r="C185" s="6">
        <f t="shared" si="2"/>
        <v>4</v>
      </c>
      <c r="D185" s="75">
        <v>0</v>
      </c>
      <c r="E185" s="75">
        <v>0</v>
      </c>
      <c r="F185" s="76">
        <v>0</v>
      </c>
      <c r="G185" s="76">
        <v>0</v>
      </c>
      <c r="H185" s="76">
        <v>0</v>
      </c>
      <c r="I185" s="76">
        <v>0</v>
      </c>
      <c r="J185" s="76">
        <v>0</v>
      </c>
    </row>
    <row r="186" spans="1:10" x14ac:dyDescent="0.3">
      <c r="A186" s="35" t="s">
        <v>38</v>
      </c>
      <c r="B186" s="35" t="s">
        <v>162</v>
      </c>
      <c r="C186" s="6">
        <f t="shared" si="2"/>
        <v>5</v>
      </c>
      <c r="D186" s="76">
        <v>0</v>
      </c>
      <c r="E186" s="76">
        <v>0</v>
      </c>
      <c r="F186" s="76">
        <v>0</v>
      </c>
      <c r="G186" s="76">
        <v>0</v>
      </c>
      <c r="H186" s="76">
        <v>0</v>
      </c>
      <c r="I186" s="76">
        <v>0</v>
      </c>
      <c r="J186" s="76">
        <v>0</v>
      </c>
    </row>
    <row r="187" spans="1:10" x14ac:dyDescent="0.3">
      <c r="A187" s="36" t="s">
        <v>38</v>
      </c>
      <c r="B187" s="36" t="s">
        <v>163</v>
      </c>
      <c r="C187" s="6">
        <f t="shared" si="2"/>
        <v>6</v>
      </c>
      <c r="D187" s="75">
        <v>0</v>
      </c>
      <c r="E187" s="75">
        <v>0</v>
      </c>
      <c r="F187" s="76">
        <v>0</v>
      </c>
      <c r="G187" s="76">
        <v>0</v>
      </c>
      <c r="H187" s="76">
        <v>0</v>
      </c>
      <c r="I187" s="76">
        <v>0</v>
      </c>
      <c r="J187" s="76">
        <v>0</v>
      </c>
    </row>
    <row r="188" spans="1:10" x14ac:dyDescent="0.3">
      <c r="A188" s="35" t="s">
        <v>38</v>
      </c>
      <c r="B188" s="35" t="s">
        <v>164</v>
      </c>
      <c r="C188" s="6">
        <f t="shared" si="2"/>
        <v>7</v>
      </c>
      <c r="D188" s="76">
        <v>0</v>
      </c>
      <c r="E188" s="76">
        <v>0</v>
      </c>
      <c r="F188" s="76">
        <v>0</v>
      </c>
      <c r="G188" s="76">
        <v>0</v>
      </c>
      <c r="H188" s="76">
        <v>0</v>
      </c>
      <c r="I188" s="76">
        <v>0</v>
      </c>
      <c r="J188" s="76">
        <v>0</v>
      </c>
    </row>
    <row r="189" spans="1:10" x14ac:dyDescent="0.3">
      <c r="A189" s="36" t="s">
        <v>38</v>
      </c>
      <c r="B189" s="36" t="s">
        <v>165</v>
      </c>
      <c r="C189" s="6">
        <f t="shared" si="2"/>
        <v>8</v>
      </c>
      <c r="D189" s="75">
        <v>0</v>
      </c>
      <c r="E189" s="75">
        <v>0</v>
      </c>
      <c r="F189" s="76">
        <v>0</v>
      </c>
      <c r="G189" s="76">
        <v>0</v>
      </c>
      <c r="H189" s="76">
        <v>0</v>
      </c>
      <c r="I189" s="76">
        <v>0</v>
      </c>
      <c r="J189" s="76">
        <v>0</v>
      </c>
    </row>
    <row r="190" spans="1:10" x14ac:dyDescent="0.3">
      <c r="A190" s="35" t="s">
        <v>38</v>
      </c>
      <c r="B190" s="35" t="s">
        <v>166</v>
      </c>
      <c r="C190" s="6">
        <f t="shared" si="2"/>
        <v>9</v>
      </c>
      <c r="D190" s="76">
        <v>0</v>
      </c>
      <c r="E190" s="76">
        <v>0</v>
      </c>
      <c r="F190" s="76">
        <v>0</v>
      </c>
      <c r="G190" s="76">
        <v>0</v>
      </c>
      <c r="H190" s="76">
        <v>0</v>
      </c>
      <c r="I190" s="76">
        <v>0</v>
      </c>
      <c r="J190" s="76">
        <v>0</v>
      </c>
    </row>
    <row r="191" spans="1:10" x14ac:dyDescent="0.3">
      <c r="A191" s="36" t="s">
        <v>38</v>
      </c>
      <c r="B191" s="36" t="s">
        <v>167</v>
      </c>
      <c r="C191" s="6">
        <f t="shared" si="2"/>
        <v>10</v>
      </c>
      <c r="D191" s="75">
        <v>0</v>
      </c>
      <c r="E191" s="75">
        <v>0</v>
      </c>
      <c r="F191" s="76">
        <v>0</v>
      </c>
      <c r="G191" s="76">
        <v>0</v>
      </c>
      <c r="H191" s="76">
        <v>0</v>
      </c>
      <c r="I191" s="76">
        <v>0</v>
      </c>
      <c r="J191" s="76">
        <v>0</v>
      </c>
    </row>
    <row r="192" spans="1:10" x14ac:dyDescent="0.3">
      <c r="A192" s="35" t="s">
        <v>38</v>
      </c>
      <c r="B192" s="35" t="s">
        <v>168</v>
      </c>
      <c r="C192" s="6">
        <f t="shared" si="2"/>
        <v>11</v>
      </c>
      <c r="D192" s="76">
        <v>0</v>
      </c>
      <c r="E192" s="76">
        <v>0</v>
      </c>
      <c r="F192" s="76">
        <v>0</v>
      </c>
      <c r="G192" s="76">
        <v>0</v>
      </c>
      <c r="H192" s="76">
        <v>0</v>
      </c>
      <c r="I192" s="76">
        <v>0</v>
      </c>
      <c r="J192" s="76">
        <v>0</v>
      </c>
    </row>
    <row r="193" spans="1:10" x14ac:dyDescent="0.3">
      <c r="A193" s="36" t="s">
        <v>38</v>
      </c>
      <c r="B193" s="36" t="s">
        <v>169</v>
      </c>
      <c r="C193" s="6">
        <f t="shared" si="2"/>
        <v>12</v>
      </c>
      <c r="D193" s="75">
        <v>0</v>
      </c>
      <c r="E193" s="75">
        <v>0</v>
      </c>
      <c r="F193" s="76">
        <v>0</v>
      </c>
      <c r="G193" s="76">
        <v>0</v>
      </c>
      <c r="H193" s="76">
        <v>0</v>
      </c>
      <c r="I193" s="76">
        <v>0</v>
      </c>
      <c r="J193" s="76">
        <v>0</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6">
        <v>9</v>
      </c>
      <c r="E194" s="76">
        <v>42</v>
      </c>
      <c r="F194" s="76">
        <v>1</v>
      </c>
      <c r="G194" s="76">
        <v>0</v>
      </c>
      <c r="H194" s="76">
        <v>0</v>
      </c>
      <c r="I194" s="76">
        <v>0</v>
      </c>
      <c r="J194" s="76">
        <v>4</v>
      </c>
    </row>
    <row r="195" spans="1:10" x14ac:dyDescent="0.3">
      <c r="A195" s="36" t="s">
        <v>95</v>
      </c>
      <c r="B195" s="36" t="s">
        <v>159</v>
      </c>
      <c r="C195" s="6">
        <f t="shared" si="3"/>
        <v>2</v>
      </c>
      <c r="D195" s="75">
        <v>0</v>
      </c>
      <c r="E195" s="75">
        <v>0</v>
      </c>
      <c r="F195" s="76">
        <v>0</v>
      </c>
      <c r="G195" s="76">
        <v>0</v>
      </c>
      <c r="H195" s="76">
        <v>0</v>
      </c>
      <c r="I195" s="76">
        <v>0</v>
      </c>
      <c r="J195" s="76">
        <v>0</v>
      </c>
    </row>
    <row r="196" spans="1:10" x14ac:dyDescent="0.3">
      <c r="A196" s="35" t="s">
        <v>95</v>
      </c>
      <c r="B196" s="35" t="s">
        <v>160</v>
      </c>
      <c r="C196" s="6">
        <f t="shared" si="3"/>
        <v>3</v>
      </c>
      <c r="D196" s="76">
        <v>2</v>
      </c>
      <c r="E196" s="76">
        <v>9</v>
      </c>
      <c r="F196" s="76">
        <v>1</v>
      </c>
      <c r="G196" s="76">
        <v>0</v>
      </c>
      <c r="H196" s="76">
        <v>0</v>
      </c>
      <c r="I196" s="76">
        <v>0</v>
      </c>
      <c r="J196" s="76">
        <v>1</v>
      </c>
    </row>
    <row r="197" spans="1:10" x14ac:dyDescent="0.3">
      <c r="A197" s="36" t="s">
        <v>95</v>
      </c>
      <c r="B197" s="36" t="s">
        <v>161</v>
      </c>
      <c r="C197" s="6">
        <f t="shared" si="3"/>
        <v>4</v>
      </c>
      <c r="D197" s="75">
        <v>0</v>
      </c>
      <c r="E197" s="75">
        <v>0</v>
      </c>
      <c r="F197" s="76">
        <v>0</v>
      </c>
      <c r="G197" s="76">
        <v>0</v>
      </c>
      <c r="H197" s="76">
        <v>0</v>
      </c>
      <c r="I197" s="76">
        <v>0</v>
      </c>
      <c r="J197" s="76">
        <v>0</v>
      </c>
    </row>
    <row r="198" spans="1:10" x14ac:dyDescent="0.3">
      <c r="A198" s="35" t="s">
        <v>95</v>
      </c>
      <c r="B198" s="35" t="s">
        <v>162</v>
      </c>
      <c r="C198" s="6">
        <f t="shared" si="3"/>
        <v>5</v>
      </c>
      <c r="D198" s="76">
        <v>3</v>
      </c>
      <c r="E198" s="76">
        <v>14</v>
      </c>
      <c r="F198" s="76">
        <v>0</v>
      </c>
      <c r="G198" s="76">
        <v>0</v>
      </c>
      <c r="H198" s="76">
        <v>0</v>
      </c>
      <c r="I198" s="76">
        <v>0</v>
      </c>
      <c r="J198" s="76">
        <v>1</v>
      </c>
    </row>
    <row r="199" spans="1:10" x14ac:dyDescent="0.3">
      <c r="A199" s="36" t="s">
        <v>95</v>
      </c>
      <c r="B199" s="36" t="s">
        <v>163</v>
      </c>
      <c r="C199" s="6">
        <f t="shared" si="3"/>
        <v>6</v>
      </c>
      <c r="D199" s="75">
        <v>0</v>
      </c>
      <c r="E199" s="75">
        <v>0</v>
      </c>
      <c r="F199" s="76">
        <v>0</v>
      </c>
      <c r="G199" s="76">
        <v>0</v>
      </c>
      <c r="H199" s="76">
        <v>0</v>
      </c>
      <c r="I199" s="76">
        <v>0</v>
      </c>
      <c r="J199" s="76">
        <v>0</v>
      </c>
    </row>
    <row r="200" spans="1:10" x14ac:dyDescent="0.3">
      <c r="A200" s="35" t="s">
        <v>95</v>
      </c>
      <c r="B200" s="35" t="s">
        <v>164</v>
      </c>
      <c r="C200" s="6">
        <f t="shared" si="3"/>
        <v>7</v>
      </c>
      <c r="D200" s="76">
        <v>0</v>
      </c>
      <c r="E200" s="76">
        <v>0</v>
      </c>
      <c r="F200" s="76">
        <v>0</v>
      </c>
      <c r="G200" s="76">
        <v>0</v>
      </c>
      <c r="H200" s="76">
        <v>0</v>
      </c>
      <c r="I200" s="76">
        <v>0</v>
      </c>
      <c r="J200" s="76">
        <v>0</v>
      </c>
    </row>
    <row r="201" spans="1:10" x14ac:dyDescent="0.3">
      <c r="A201" s="36" t="s">
        <v>95</v>
      </c>
      <c r="B201" s="36" t="s">
        <v>165</v>
      </c>
      <c r="C201" s="6">
        <f t="shared" si="3"/>
        <v>8</v>
      </c>
      <c r="D201" s="75">
        <v>0</v>
      </c>
      <c r="E201" s="75">
        <v>0</v>
      </c>
      <c r="F201" s="76">
        <v>0</v>
      </c>
      <c r="G201" s="76">
        <v>0</v>
      </c>
      <c r="H201" s="76">
        <v>0</v>
      </c>
      <c r="I201" s="76">
        <v>0</v>
      </c>
      <c r="J201" s="76">
        <v>0</v>
      </c>
    </row>
    <row r="202" spans="1:10" x14ac:dyDescent="0.3">
      <c r="A202" s="35" t="s">
        <v>95</v>
      </c>
      <c r="B202" s="35" t="s">
        <v>166</v>
      </c>
      <c r="C202" s="6">
        <f t="shared" si="3"/>
        <v>9</v>
      </c>
      <c r="D202" s="76">
        <v>0</v>
      </c>
      <c r="E202" s="76">
        <v>0</v>
      </c>
      <c r="F202" s="76">
        <v>0</v>
      </c>
      <c r="G202" s="76">
        <v>0</v>
      </c>
      <c r="H202" s="76">
        <v>0</v>
      </c>
      <c r="I202" s="76">
        <v>0</v>
      </c>
      <c r="J202" s="76">
        <v>0</v>
      </c>
    </row>
    <row r="203" spans="1:10" x14ac:dyDescent="0.3">
      <c r="A203" s="36" t="s">
        <v>95</v>
      </c>
      <c r="B203" s="36" t="s">
        <v>167</v>
      </c>
      <c r="C203" s="6">
        <f t="shared" si="3"/>
        <v>10</v>
      </c>
      <c r="D203" s="75">
        <v>0</v>
      </c>
      <c r="E203" s="75">
        <v>0</v>
      </c>
      <c r="F203" s="76">
        <v>0</v>
      </c>
      <c r="G203" s="76">
        <v>0</v>
      </c>
      <c r="H203" s="76">
        <v>0</v>
      </c>
      <c r="I203" s="76">
        <v>0</v>
      </c>
      <c r="J203" s="76">
        <v>0</v>
      </c>
    </row>
    <row r="204" spans="1:10" x14ac:dyDescent="0.3">
      <c r="A204" s="35" t="s">
        <v>95</v>
      </c>
      <c r="B204" s="35" t="s">
        <v>168</v>
      </c>
      <c r="C204" s="6">
        <f t="shared" si="3"/>
        <v>11</v>
      </c>
      <c r="D204" s="76">
        <v>0</v>
      </c>
      <c r="E204" s="76">
        <v>0</v>
      </c>
      <c r="F204" s="76">
        <v>0</v>
      </c>
      <c r="G204" s="76">
        <v>0</v>
      </c>
      <c r="H204" s="76">
        <v>0</v>
      </c>
      <c r="I204" s="76">
        <v>0</v>
      </c>
      <c r="J204" s="76">
        <v>0</v>
      </c>
    </row>
    <row r="205" spans="1:10" x14ac:dyDescent="0.3">
      <c r="A205" s="36" t="s">
        <v>95</v>
      </c>
      <c r="B205" s="36" t="s">
        <v>169</v>
      </c>
      <c r="C205" s="6">
        <f t="shared" si="3"/>
        <v>12</v>
      </c>
      <c r="D205" s="75">
        <v>0</v>
      </c>
      <c r="E205" s="75">
        <v>0</v>
      </c>
      <c r="F205" s="76">
        <v>0</v>
      </c>
      <c r="G205" s="76">
        <v>0</v>
      </c>
      <c r="H205" s="76">
        <v>0</v>
      </c>
      <c r="I205" s="76">
        <v>0</v>
      </c>
      <c r="J205" s="76">
        <v>0</v>
      </c>
    </row>
    <row r="206" spans="1:10" x14ac:dyDescent="0.3">
      <c r="A206" s="35" t="s">
        <v>132</v>
      </c>
      <c r="B206" s="35" t="s">
        <v>158</v>
      </c>
      <c r="C206" s="6">
        <f t="shared" si="3"/>
        <v>1</v>
      </c>
      <c r="D206" s="76">
        <v>5</v>
      </c>
      <c r="E206" s="76">
        <v>25</v>
      </c>
      <c r="F206" s="76">
        <v>0</v>
      </c>
      <c r="G206" s="76">
        <v>0</v>
      </c>
      <c r="H206" s="76">
        <v>0</v>
      </c>
      <c r="I206" s="76">
        <v>0</v>
      </c>
      <c r="J206" s="76">
        <v>2</v>
      </c>
    </row>
    <row r="207" spans="1:10" x14ac:dyDescent="0.3">
      <c r="A207" s="36" t="s">
        <v>132</v>
      </c>
      <c r="B207" s="36" t="s">
        <v>159</v>
      </c>
      <c r="C207" s="6">
        <f t="shared" si="3"/>
        <v>2</v>
      </c>
      <c r="D207" s="75">
        <v>3</v>
      </c>
      <c r="E207" s="75">
        <v>15</v>
      </c>
      <c r="F207" s="76">
        <v>0</v>
      </c>
      <c r="G207" s="76">
        <v>0</v>
      </c>
      <c r="H207" s="76">
        <v>0</v>
      </c>
      <c r="I207" s="76">
        <v>0</v>
      </c>
      <c r="J207" s="76">
        <v>1</v>
      </c>
    </row>
    <row r="208" spans="1:10" x14ac:dyDescent="0.3">
      <c r="A208" s="35" t="s">
        <v>132</v>
      </c>
      <c r="B208" s="35" t="s">
        <v>160</v>
      </c>
      <c r="C208" s="6">
        <f t="shared" si="3"/>
        <v>3</v>
      </c>
      <c r="D208" s="76">
        <v>9</v>
      </c>
      <c r="E208" s="76">
        <v>45</v>
      </c>
      <c r="F208" s="76">
        <v>0</v>
      </c>
      <c r="G208" s="76">
        <v>0</v>
      </c>
      <c r="H208" s="76">
        <v>0</v>
      </c>
      <c r="I208" s="76">
        <v>0</v>
      </c>
      <c r="J208" s="76">
        <v>3</v>
      </c>
    </row>
    <row r="209" spans="1:10" x14ac:dyDescent="0.3">
      <c r="A209" s="36" t="s">
        <v>132</v>
      </c>
      <c r="B209" s="36" t="s">
        <v>161</v>
      </c>
      <c r="C209" s="6">
        <f t="shared" si="3"/>
        <v>4</v>
      </c>
      <c r="D209" s="75">
        <v>0</v>
      </c>
      <c r="E209" s="75">
        <v>0</v>
      </c>
      <c r="F209" s="76">
        <v>0</v>
      </c>
      <c r="G209" s="76">
        <v>0</v>
      </c>
      <c r="H209" s="76">
        <v>0</v>
      </c>
      <c r="I209" s="76">
        <v>0</v>
      </c>
      <c r="J209" s="76">
        <v>0</v>
      </c>
    </row>
    <row r="210" spans="1:10" x14ac:dyDescent="0.3">
      <c r="A210" s="35" t="s">
        <v>132</v>
      </c>
      <c r="B210" s="35" t="s">
        <v>162</v>
      </c>
      <c r="C210" s="6">
        <f t="shared" si="3"/>
        <v>5</v>
      </c>
      <c r="D210" s="76">
        <v>4</v>
      </c>
      <c r="E210" s="76">
        <v>20</v>
      </c>
      <c r="F210" s="76">
        <v>0</v>
      </c>
      <c r="G210" s="76">
        <v>0</v>
      </c>
      <c r="H210" s="76">
        <v>0</v>
      </c>
      <c r="I210" s="76">
        <v>0</v>
      </c>
      <c r="J210" s="76">
        <v>1</v>
      </c>
    </row>
    <row r="211" spans="1:10" x14ac:dyDescent="0.3">
      <c r="A211" s="36" t="s">
        <v>132</v>
      </c>
      <c r="B211" s="36" t="s">
        <v>163</v>
      </c>
      <c r="C211" s="6">
        <f t="shared" si="3"/>
        <v>6</v>
      </c>
      <c r="D211" s="75">
        <v>0</v>
      </c>
      <c r="E211" s="75">
        <v>0</v>
      </c>
      <c r="F211" s="76">
        <v>0</v>
      </c>
      <c r="G211" s="76">
        <v>0</v>
      </c>
      <c r="H211" s="76">
        <v>0</v>
      </c>
      <c r="I211" s="76">
        <v>0</v>
      </c>
      <c r="J211" s="76">
        <v>0</v>
      </c>
    </row>
    <row r="212" spans="1:10" x14ac:dyDescent="0.3">
      <c r="A212" s="35" t="s">
        <v>132</v>
      </c>
      <c r="B212" s="35" t="s">
        <v>164</v>
      </c>
      <c r="C212" s="6">
        <f t="shared" si="3"/>
        <v>7</v>
      </c>
      <c r="D212" s="76">
        <v>0</v>
      </c>
      <c r="E212" s="76">
        <v>0</v>
      </c>
      <c r="F212" s="76">
        <v>0</v>
      </c>
      <c r="G212" s="76">
        <v>0</v>
      </c>
      <c r="H212" s="76">
        <v>0</v>
      </c>
      <c r="I212" s="76">
        <v>0</v>
      </c>
      <c r="J212" s="76">
        <v>0</v>
      </c>
    </row>
    <row r="213" spans="1:10" x14ac:dyDescent="0.3">
      <c r="A213" s="36" t="s">
        <v>132</v>
      </c>
      <c r="B213" s="36" t="s">
        <v>165</v>
      </c>
      <c r="C213" s="6">
        <f t="shared" si="3"/>
        <v>8</v>
      </c>
      <c r="D213" s="75">
        <v>0</v>
      </c>
      <c r="E213" s="75">
        <v>0</v>
      </c>
      <c r="F213" s="76">
        <v>0</v>
      </c>
      <c r="G213" s="76">
        <v>0</v>
      </c>
      <c r="H213" s="76">
        <v>0</v>
      </c>
      <c r="I213" s="76">
        <v>0</v>
      </c>
      <c r="J213" s="76">
        <v>0</v>
      </c>
    </row>
    <row r="214" spans="1:10" x14ac:dyDescent="0.3">
      <c r="A214" s="35" t="s">
        <v>132</v>
      </c>
      <c r="B214" s="35" t="s">
        <v>166</v>
      </c>
      <c r="C214" s="6">
        <f t="shared" si="3"/>
        <v>9</v>
      </c>
      <c r="D214" s="76">
        <v>0</v>
      </c>
      <c r="E214" s="76">
        <v>0</v>
      </c>
      <c r="F214" s="76">
        <v>0</v>
      </c>
      <c r="G214" s="76">
        <v>0</v>
      </c>
      <c r="H214" s="76">
        <v>0</v>
      </c>
      <c r="I214" s="76">
        <v>0</v>
      </c>
      <c r="J214" s="76">
        <v>0</v>
      </c>
    </row>
    <row r="215" spans="1:10" x14ac:dyDescent="0.3">
      <c r="A215" s="36" t="s">
        <v>132</v>
      </c>
      <c r="B215" s="36" t="s">
        <v>167</v>
      </c>
      <c r="C215" s="6">
        <f t="shared" si="3"/>
        <v>10</v>
      </c>
      <c r="D215" s="75">
        <v>0</v>
      </c>
      <c r="E215" s="75">
        <v>0</v>
      </c>
      <c r="F215" s="76">
        <v>0</v>
      </c>
      <c r="G215" s="76">
        <v>0</v>
      </c>
      <c r="H215" s="76">
        <v>0</v>
      </c>
      <c r="I215" s="76">
        <v>0</v>
      </c>
      <c r="J215" s="76">
        <v>0</v>
      </c>
    </row>
    <row r="216" spans="1:10" x14ac:dyDescent="0.3">
      <c r="A216" s="35" t="s">
        <v>132</v>
      </c>
      <c r="B216" s="35" t="s">
        <v>168</v>
      </c>
      <c r="C216" s="6">
        <f t="shared" si="3"/>
        <v>11</v>
      </c>
      <c r="D216" s="76">
        <v>0</v>
      </c>
      <c r="E216" s="76">
        <v>0</v>
      </c>
      <c r="F216" s="76">
        <v>0</v>
      </c>
      <c r="G216" s="76">
        <v>0</v>
      </c>
      <c r="H216" s="76">
        <v>0</v>
      </c>
      <c r="I216" s="76">
        <v>0</v>
      </c>
      <c r="J216" s="76">
        <v>0</v>
      </c>
    </row>
    <row r="217" spans="1:10" x14ac:dyDescent="0.3">
      <c r="A217" s="36" t="s">
        <v>132</v>
      </c>
      <c r="B217" s="36" t="s">
        <v>169</v>
      </c>
      <c r="C217" s="6">
        <f t="shared" si="3"/>
        <v>12</v>
      </c>
      <c r="D217" s="75">
        <v>0</v>
      </c>
      <c r="E217" s="75">
        <v>0</v>
      </c>
      <c r="F217" s="76">
        <v>0</v>
      </c>
      <c r="G217" s="76">
        <v>0</v>
      </c>
      <c r="H217" s="76">
        <v>0</v>
      </c>
      <c r="I217" s="76">
        <v>0</v>
      </c>
      <c r="J217" s="76">
        <v>0</v>
      </c>
    </row>
    <row r="218" spans="1:10" x14ac:dyDescent="0.3">
      <c r="A218" s="35" t="s">
        <v>74</v>
      </c>
      <c r="B218" s="35" t="s">
        <v>158</v>
      </c>
      <c r="C218" s="6">
        <f t="shared" si="3"/>
        <v>1</v>
      </c>
      <c r="D218" s="76">
        <v>0</v>
      </c>
      <c r="E218" s="76">
        <v>0</v>
      </c>
      <c r="F218" s="76">
        <v>0</v>
      </c>
      <c r="G218" s="76">
        <v>0</v>
      </c>
      <c r="H218" s="76">
        <v>0</v>
      </c>
      <c r="I218" s="76">
        <v>0</v>
      </c>
      <c r="J218" s="76">
        <v>0</v>
      </c>
    </row>
    <row r="219" spans="1:10" x14ac:dyDescent="0.3">
      <c r="A219" s="36" t="s">
        <v>74</v>
      </c>
      <c r="B219" s="36" t="s">
        <v>159</v>
      </c>
      <c r="C219" s="6">
        <f t="shared" si="3"/>
        <v>2</v>
      </c>
      <c r="D219" s="75">
        <v>0</v>
      </c>
      <c r="E219" s="75">
        <v>0</v>
      </c>
      <c r="F219" s="76">
        <v>0</v>
      </c>
      <c r="G219" s="76">
        <v>0</v>
      </c>
      <c r="H219" s="76">
        <v>0</v>
      </c>
      <c r="I219" s="76">
        <v>0</v>
      </c>
      <c r="J219" s="76">
        <v>0</v>
      </c>
    </row>
    <row r="220" spans="1:10" x14ac:dyDescent="0.3">
      <c r="A220" s="35" t="s">
        <v>74</v>
      </c>
      <c r="B220" s="35" t="s">
        <v>160</v>
      </c>
      <c r="C220" s="6">
        <f t="shared" si="3"/>
        <v>3</v>
      </c>
      <c r="D220" s="76">
        <v>0</v>
      </c>
      <c r="E220" s="76">
        <v>0</v>
      </c>
      <c r="F220" s="76">
        <v>0</v>
      </c>
      <c r="G220" s="76">
        <v>0</v>
      </c>
      <c r="H220" s="76">
        <v>0</v>
      </c>
      <c r="I220" s="76">
        <v>0</v>
      </c>
      <c r="J220" s="76">
        <v>0</v>
      </c>
    </row>
    <row r="221" spans="1:10" x14ac:dyDescent="0.3">
      <c r="A221" s="36" t="s">
        <v>74</v>
      </c>
      <c r="B221" s="36" t="s">
        <v>161</v>
      </c>
      <c r="C221" s="6">
        <f t="shared" si="3"/>
        <v>4</v>
      </c>
      <c r="D221" s="75">
        <v>0</v>
      </c>
      <c r="E221" s="75">
        <v>0</v>
      </c>
      <c r="F221" s="76">
        <v>0</v>
      </c>
      <c r="G221" s="76">
        <v>0</v>
      </c>
      <c r="H221" s="76">
        <v>0</v>
      </c>
      <c r="I221" s="76">
        <v>0</v>
      </c>
      <c r="J221" s="76">
        <v>0</v>
      </c>
    </row>
    <row r="222" spans="1:10" x14ac:dyDescent="0.3">
      <c r="A222" s="35" t="s">
        <v>74</v>
      </c>
      <c r="B222" s="35" t="s">
        <v>162</v>
      </c>
      <c r="C222" s="6">
        <f t="shared" si="3"/>
        <v>5</v>
      </c>
      <c r="D222" s="76">
        <v>0</v>
      </c>
      <c r="E222" s="76">
        <v>0</v>
      </c>
      <c r="F222" s="76">
        <v>0</v>
      </c>
      <c r="G222" s="76">
        <v>0</v>
      </c>
      <c r="H222" s="76">
        <v>0</v>
      </c>
      <c r="I222" s="76">
        <v>0</v>
      </c>
      <c r="J222" s="76">
        <v>0</v>
      </c>
    </row>
    <row r="223" spans="1:10" x14ac:dyDescent="0.3">
      <c r="A223" s="36" t="s">
        <v>74</v>
      </c>
      <c r="B223" s="36" t="s">
        <v>163</v>
      </c>
      <c r="C223" s="6">
        <f t="shared" si="3"/>
        <v>6</v>
      </c>
      <c r="D223" s="75">
        <v>0</v>
      </c>
      <c r="E223" s="75">
        <v>0</v>
      </c>
      <c r="F223" s="76">
        <v>0</v>
      </c>
      <c r="G223" s="76">
        <v>0</v>
      </c>
      <c r="H223" s="76">
        <v>0</v>
      </c>
      <c r="I223" s="76">
        <v>0</v>
      </c>
      <c r="J223" s="76">
        <v>0</v>
      </c>
    </row>
    <row r="224" spans="1:10" x14ac:dyDescent="0.3">
      <c r="A224" s="35" t="s">
        <v>74</v>
      </c>
      <c r="B224" s="35" t="s">
        <v>164</v>
      </c>
      <c r="C224" s="6">
        <f t="shared" si="3"/>
        <v>7</v>
      </c>
      <c r="D224" s="76">
        <v>0</v>
      </c>
      <c r="E224" s="76">
        <v>0</v>
      </c>
      <c r="F224" s="76">
        <v>0</v>
      </c>
      <c r="G224" s="76">
        <v>0</v>
      </c>
      <c r="H224" s="76">
        <v>0</v>
      </c>
      <c r="I224" s="76">
        <v>0</v>
      </c>
      <c r="J224" s="76">
        <v>0</v>
      </c>
    </row>
    <row r="225" spans="1:10" x14ac:dyDescent="0.3">
      <c r="A225" s="36" t="s">
        <v>74</v>
      </c>
      <c r="B225" s="36" t="s">
        <v>165</v>
      </c>
      <c r="C225" s="6">
        <f t="shared" si="3"/>
        <v>8</v>
      </c>
      <c r="D225" s="75">
        <v>0</v>
      </c>
      <c r="E225" s="75">
        <v>0</v>
      </c>
      <c r="F225" s="76">
        <v>0</v>
      </c>
      <c r="G225" s="76">
        <v>0</v>
      </c>
      <c r="H225" s="76">
        <v>0</v>
      </c>
      <c r="I225" s="76">
        <v>0</v>
      </c>
      <c r="J225" s="76">
        <v>0</v>
      </c>
    </row>
    <row r="226" spans="1:10" x14ac:dyDescent="0.3">
      <c r="A226" s="35" t="s">
        <v>74</v>
      </c>
      <c r="B226" s="35" t="s">
        <v>166</v>
      </c>
      <c r="C226" s="6">
        <f t="shared" si="3"/>
        <v>9</v>
      </c>
      <c r="D226" s="76">
        <v>0</v>
      </c>
      <c r="E226" s="76">
        <v>0</v>
      </c>
      <c r="F226" s="76">
        <v>0</v>
      </c>
      <c r="G226" s="76">
        <v>0</v>
      </c>
      <c r="H226" s="76">
        <v>0</v>
      </c>
      <c r="I226" s="76">
        <v>0</v>
      </c>
      <c r="J226" s="76">
        <v>0</v>
      </c>
    </row>
    <row r="227" spans="1:10" x14ac:dyDescent="0.3">
      <c r="A227" s="36" t="s">
        <v>74</v>
      </c>
      <c r="B227" s="36" t="s">
        <v>167</v>
      </c>
      <c r="C227" s="6">
        <f t="shared" si="3"/>
        <v>10</v>
      </c>
      <c r="D227" s="75">
        <v>0</v>
      </c>
      <c r="E227" s="75">
        <v>0</v>
      </c>
      <c r="F227" s="76">
        <v>0</v>
      </c>
      <c r="G227" s="76">
        <v>0</v>
      </c>
      <c r="H227" s="76">
        <v>0</v>
      </c>
      <c r="I227" s="76">
        <v>0</v>
      </c>
      <c r="J227" s="76">
        <v>0</v>
      </c>
    </row>
    <row r="228" spans="1:10" x14ac:dyDescent="0.3">
      <c r="A228" s="35" t="s">
        <v>74</v>
      </c>
      <c r="B228" s="35" t="s">
        <v>168</v>
      </c>
      <c r="C228" s="6">
        <f t="shared" si="3"/>
        <v>11</v>
      </c>
      <c r="D228" s="76">
        <v>0</v>
      </c>
      <c r="E228" s="76">
        <v>0</v>
      </c>
      <c r="F228" s="76">
        <v>0</v>
      </c>
      <c r="G228" s="76">
        <v>0</v>
      </c>
      <c r="H228" s="76">
        <v>0</v>
      </c>
      <c r="I228" s="76">
        <v>0</v>
      </c>
      <c r="J228" s="76">
        <v>0</v>
      </c>
    </row>
    <row r="229" spans="1:10" x14ac:dyDescent="0.3">
      <c r="A229" s="36" t="s">
        <v>74</v>
      </c>
      <c r="B229" s="36" t="s">
        <v>169</v>
      </c>
      <c r="C229" s="6">
        <f t="shared" si="3"/>
        <v>12</v>
      </c>
      <c r="D229" s="75">
        <v>0</v>
      </c>
      <c r="E229" s="75">
        <v>0</v>
      </c>
      <c r="F229" s="76">
        <v>0</v>
      </c>
      <c r="G229" s="76">
        <v>0</v>
      </c>
      <c r="H229" s="76">
        <v>0</v>
      </c>
      <c r="I229" s="76">
        <v>0</v>
      </c>
      <c r="J229" s="76">
        <v>0</v>
      </c>
    </row>
    <row r="230" spans="1:10" x14ac:dyDescent="0.3">
      <c r="A230" s="35" t="s">
        <v>57</v>
      </c>
      <c r="B230" s="35" t="s">
        <v>158</v>
      </c>
      <c r="C230" s="6">
        <f t="shared" si="3"/>
        <v>1</v>
      </c>
      <c r="D230" s="76">
        <v>0</v>
      </c>
      <c r="E230" s="76">
        <v>0</v>
      </c>
      <c r="F230" s="76">
        <v>0</v>
      </c>
      <c r="G230" s="76">
        <v>0</v>
      </c>
      <c r="H230" s="76">
        <v>0</v>
      </c>
      <c r="I230" s="76">
        <v>0</v>
      </c>
      <c r="J230" s="76">
        <v>0</v>
      </c>
    </row>
    <row r="231" spans="1:10" x14ac:dyDescent="0.3">
      <c r="A231" s="36" t="s">
        <v>57</v>
      </c>
      <c r="B231" s="36" t="s">
        <v>159</v>
      </c>
      <c r="C231" s="6">
        <f t="shared" si="3"/>
        <v>2</v>
      </c>
      <c r="D231" s="75">
        <v>3</v>
      </c>
      <c r="E231" s="75">
        <v>23</v>
      </c>
      <c r="F231" s="76">
        <v>1</v>
      </c>
      <c r="G231" s="76">
        <v>1</v>
      </c>
      <c r="H231" s="76">
        <v>0</v>
      </c>
      <c r="I231" s="76">
        <v>0</v>
      </c>
      <c r="J231" s="76">
        <v>1</v>
      </c>
    </row>
    <row r="232" spans="1:10" x14ac:dyDescent="0.3">
      <c r="A232" s="35" t="s">
        <v>57</v>
      </c>
      <c r="B232" s="35" t="s">
        <v>160</v>
      </c>
      <c r="C232" s="6">
        <f t="shared" si="3"/>
        <v>3</v>
      </c>
      <c r="D232" s="76">
        <v>0</v>
      </c>
      <c r="E232" s="76">
        <v>0</v>
      </c>
      <c r="F232" s="76">
        <v>0</v>
      </c>
      <c r="G232" s="76">
        <v>0</v>
      </c>
      <c r="H232" s="76">
        <v>0</v>
      </c>
      <c r="I232" s="76">
        <v>0</v>
      </c>
      <c r="J232" s="76">
        <v>0</v>
      </c>
    </row>
    <row r="233" spans="1:10" x14ac:dyDescent="0.3">
      <c r="A233" s="36" t="s">
        <v>57</v>
      </c>
      <c r="B233" s="36" t="s">
        <v>161</v>
      </c>
      <c r="C233" s="6">
        <f t="shared" si="3"/>
        <v>4</v>
      </c>
      <c r="D233" s="75">
        <v>0</v>
      </c>
      <c r="E233" s="75">
        <v>0</v>
      </c>
      <c r="F233" s="76">
        <v>0</v>
      </c>
      <c r="G233" s="76">
        <v>0</v>
      </c>
      <c r="H233" s="76">
        <v>0</v>
      </c>
      <c r="I233" s="76">
        <v>0</v>
      </c>
      <c r="J233" s="76">
        <v>0</v>
      </c>
    </row>
    <row r="234" spans="1:10" x14ac:dyDescent="0.3">
      <c r="A234" s="35" t="s">
        <v>57</v>
      </c>
      <c r="B234" s="35" t="s">
        <v>162</v>
      </c>
      <c r="C234" s="6">
        <f t="shared" si="3"/>
        <v>5</v>
      </c>
      <c r="D234" s="76">
        <v>0</v>
      </c>
      <c r="E234" s="76">
        <v>0</v>
      </c>
      <c r="F234" s="76">
        <v>0</v>
      </c>
      <c r="G234" s="76">
        <v>0</v>
      </c>
      <c r="H234" s="76">
        <v>0</v>
      </c>
      <c r="I234" s="76">
        <v>0</v>
      </c>
      <c r="J234" s="76">
        <v>0</v>
      </c>
    </row>
    <row r="235" spans="1:10" x14ac:dyDescent="0.3">
      <c r="A235" s="36" t="s">
        <v>57</v>
      </c>
      <c r="B235" s="36" t="s">
        <v>163</v>
      </c>
      <c r="C235" s="6">
        <f t="shared" si="3"/>
        <v>6</v>
      </c>
      <c r="D235" s="75">
        <v>0</v>
      </c>
      <c r="E235" s="75">
        <v>0</v>
      </c>
      <c r="F235" s="76">
        <v>0</v>
      </c>
      <c r="G235" s="76">
        <v>0</v>
      </c>
      <c r="H235" s="76">
        <v>0</v>
      </c>
      <c r="I235" s="76">
        <v>0</v>
      </c>
      <c r="J235" s="76">
        <v>0</v>
      </c>
    </row>
    <row r="236" spans="1:10" x14ac:dyDescent="0.3">
      <c r="A236" s="35" t="s">
        <v>57</v>
      </c>
      <c r="B236" s="35" t="s">
        <v>164</v>
      </c>
      <c r="C236" s="6">
        <f t="shared" si="3"/>
        <v>7</v>
      </c>
      <c r="D236" s="76">
        <v>0</v>
      </c>
      <c r="E236" s="76">
        <v>0</v>
      </c>
      <c r="F236" s="76">
        <v>0</v>
      </c>
      <c r="G236" s="76">
        <v>0</v>
      </c>
      <c r="H236" s="76">
        <v>0</v>
      </c>
      <c r="I236" s="76">
        <v>0</v>
      </c>
      <c r="J236" s="76">
        <v>0</v>
      </c>
    </row>
    <row r="237" spans="1:10" x14ac:dyDescent="0.3">
      <c r="A237" s="36" t="s">
        <v>57</v>
      </c>
      <c r="B237" s="36" t="s">
        <v>165</v>
      </c>
      <c r="C237" s="6">
        <f t="shared" si="3"/>
        <v>8</v>
      </c>
      <c r="D237" s="75">
        <v>0</v>
      </c>
      <c r="E237" s="75">
        <v>0</v>
      </c>
      <c r="F237" s="76">
        <v>0</v>
      </c>
      <c r="G237" s="76">
        <v>0</v>
      </c>
      <c r="H237" s="76">
        <v>0</v>
      </c>
      <c r="I237" s="76">
        <v>0</v>
      </c>
      <c r="J237" s="76">
        <v>0</v>
      </c>
    </row>
    <row r="238" spans="1:10" x14ac:dyDescent="0.3">
      <c r="A238" s="35" t="s">
        <v>57</v>
      </c>
      <c r="B238" s="35" t="s">
        <v>166</v>
      </c>
      <c r="C238" s="6">
        <f t="shared" si="3"/>
        <v>9</v>
      </c>
      <c r="D238" s="76">
        <v>0</v>
      </c>
      <c r="E238" s="76">
        <v>0</v>
      </c>
      <c r="F238" s="76">
        <v>0</v>
      </c>
      <c r="G238" s="76">
        <v>0</v>
      </c>
      <c r="H238" s="76">
        <v>0</v>
      </c>
      <c r="I238" s="76">
        <v>0</v>
      </c>
      <c r="J238" s="76">
        <v>0</v>
      </c>
    </row>
    <row r="239" spans="1:10" x14ac:dyDescent="0.3">
      <c r="A239" s="36" t="s">
        <v>57</v>
      </c>
      <c r="B239" s="36" t="s">
        <v>167</v>
      </c>
      <c r="C239" s="6">
        <f t="shared" si="3"/>
        <v>10</v>
      </c>
      <c r="D239" s="75">
        <v>0</v>
      </c>
      <c r="E239" s="75">
        <v>0</v>
      </c>
      <c r="F239" s="76">
        <v>0</v>
      </c>
      <c r="G239" s="76">
        <v>0</v>
      </c>
      <c r="H239" s="76">
        <v>0</v>
      </c>
      <c r="I239" s="76">
        <v>0</v>
      </c>
      <c r="J239" s="76">
        <v>0</v>
      </c>
    </row>
    <row r="240" spans="1:10" x14ac:dyDescent="0.3">
      <c r="A240" s="35" t="s">
        <v>57</v>
      </c>
      <c r="B240" s="35" t="s">
        <v>168</v>
      </c>
      <c r="C240" s="6">
        <f t="shared" si="3"/>
        <v>11</v>
      </c>
      <c r="D240" s="76">
        <v>0</v>
      </c>
      <c r="E240" s="76">
        <v>0</v>
      </c>
      <c r="F240" s="76">
        <v>0</v>
      </c>
      <c r="G240" s="76">
        <v>0</v>
      </c>
      <c r="H240" s="76">
        <v>0</v>
      </c>
      <c r="I240" s="76">
        <v>0</v>
      </c>
      <c r="J240" s="76">
        <v>0</v>
      </c>
    </row>
    <row r="241" spans="1:10" x14ac:dyDescent="0.3">
      <c r="A241" s="36" t="s">
        <v>57</v>
      </c>
      <c r="B241" s="36" t="s">
        <v>169</v>
      </c>
      <c r="C241" s="6">
        <f t="shared" si="3"/>
        <v>12</v>
      </c>
      <c r="D241" s="75">
        <v>0</v>
      </c>
      <c r="E241" s="75">
        <v>0</v>
      </c>
      <c r="F241" s="76">
        <v>0</v>
      </c>
      <c r="G241" s="76">
        <v>0</v>
      </c>
      <c r="H241" s="76">
        <v>0</v>
      </c>
      <c r="I241" s="76">
        <v>0</v>
      </c>
      <c r="J241" s="76">
        <v>0</v>
      </c>
    </row>
    <row r="242" spans="1:10" x14ac:dyDescent="0.3">
      <c r="A242" s="35" t="s">
        <v>94</v>
      </c>
      <c r="B242" s="35" t="s">
        <v>158</v>
      </c>
      <c r="C242" s="6">
        <f t="shared" si="3"/>
        <v>1</v>
      </c>
      <c r="D242" s="76">
        <v>3</v>
      </c>
      <c r="E242" s="76">
        <v>10</v>
      </c>
      <c r="F242" s="76">
        <v>1</v>
      </c>
      <c r="G242" s="76">
        <v>0</v>
      </c>
      <c r="H242" s="76">
        <v>0</v>
      </c>
      <c r="I242" s="76">
        <v>0</v>
      </c>
      <c r="J242" s="76">
        <v>1</v>
      </c>
    </row>
    <row r="243" spans="1:10" x14ac:dyDescent="0.3">
      <c r="A243" s="36" t="s">
        <v>94</v>
      </c>
      <c r="B243" s="36" t="s">
        <v>159</v>
      </c>
      <c r="C243" s="6">
        <f t="shared" si="3"/>
        <v>2</v>
      </c>
      <c r="D243" s="75">
        <v>10</v>
      </c>
      <c r="E243" s="75">
        <v>33</v>
      </c>
      <c r="F243" s="76">
        <v>0</v>
      </c>
      <c r="G243" s="76">
        <v>0</v>
      </c>
      <c r="H243" s="76">
        <v>0</v>
      </c>
      <c r="I243" s="76">
        <v>0</v>
      </c>
      <c r="J243" s="76">
        <v>3</v>
      </c>
    </row>
    <row r="244" spans="1:10" x14ac:dyDescent="0.3">
      <c r="A244" s="35" t="s">
        <v>94</v>
      </c>
      <c r="B244" s="35" t="s">
        <v>160</v>
      </c>
      <c r="C244" s="6">
        <f t="shared" si="3"/>
        <v>3</v>
      </c>
      <c r="D244" s="76">
        <v>7</v>
      </c>
      <c r="E244" s="76">
        <v>23</v>
      </c>
      <c r="F244" s="76">
        <v>0</v>
      </c>
      <c r="G244" s="76">
        <v>0</v>
      </c>
      <c r="H244" s="76">
        <v>0</v>
      </c>
      <c r="I244" s="76">
        <v>0</v>
      </c>
      <c r="J244" s="76">
        <v>3</v>
      </c>
    </row>
    <row r="245" spans="1:10" x14ac:dyDescent="0.3">
      <c r="A245" s="36" t="s">
        <v>94</v>
      </c>
      <c r="B245" s="36" t="s">
        <v>161</v>
      </c>
      <c r="C245" s="6">
        <f t="shared" si="3"/>
        <v>4</v>
      </c>
      <c r="D245" s="75">
        <v>0</v>
      </c>
      <c r="E245" s="75">
        <v>0</v>
      </c>
      <c r="F245" s="76">
        <v>0</v>
      </c>
      <c r="G245" s="76">
        <v>0</v>
      </c>
      <c r="H245" s="76">
        <v>0</v>
      </c>
      <c r="I245" s="76">
        <v>0</v>
      </c>
      <c r="J245" s="76">
        <v>0</v>
      </c>
    </row>
    <row r="246" spans="1:10" x14ac:dyDescent="0.3">
      <c r="A246" s="35" t="s">
        <v>94</v>
      </c>
      <c r="B246" s="35" t="s">
        <v>162</v>
      </c>
      <c r="C246" s="6">
        <f t="shared" si="3"/>
        <v>5</v>
      </c>
      <c r="D246" s="76">
        <v>0</v>
      </c>
      <c r="E246" s="76">
        <v>0</v>
      </c>
      <c r="F246" s="76">
        <v>0</v>
      </c>
      <c r="G246" s="76">
        <v>0</v>
      </c>
      <c r="H246" s="76">
        <v>0</v>
      </c>
      <c r="I246" s="76">
        <v>0</v>
      </c>
      <c r="J246" s="76">
        <v>0</v>
      </c>
    </row>
    <row r="247" spans="1:10" x14ac:dyDescent="0.3">
      <c r="A247" s="36" t="s">
        <v>94</v>
      </c>
      <c r="B247" s="36" t="s">
        <v>163</v>
      </c>
      <c r="C247" s="6">
        <f t="shared" si="3"/>
        <v>6</v>
      </c>
      <c r="D247" s="75">
        <v>0</v>
      </c>
      <c r="E247" s="75">
        <v>0</v>
      </c>
      <c r="F247" s="76">
        <v>0</v>
      </c>
      <c r="G247" s="76">
        <v>0</v>
      </c>
      <c r="H247" s="76">
        <v>0</v>
      </c>
      <c r="I247" s="76">
        <v>0</v>
      </c>
      <c r="J247" s="76">
        <v>0</v>
      </c>
    </row>
    <row r="248" spans="1:10" x14ac:dyDescent="0.3">
      <c r="A248" s="35" t="s">
        <v>94</v>
      </c>
      <c r="B248" s="35" t="s">
        <v>164</v>
      </c>
      <c r="C248" s="6">
        <f t="shared" si="3"/>
        <v>7</v>
      </c>
      <c r="D248" s="76">
        <v>0</v>
      </c>
      <c r="E248" s="76">
        <v>0</v>
      </c>
      <c r="F248" s="76">
        <v>0</v>
      </c>
      <c r="G248" s="76">
        <v>0</v>
      </c>
      <c r="H248" s="76">
        <v>0</v>
      </c>
      <c r="I248" s="76">
        <v>0</v>
      </c>
      <c r="J248" s="76">
        <v>0</v>
      </c>
    </row>
    <row r="249" spans="1:10" x14ac:dyDescent="0.3">
      <c r="A249" s="36" t="s">
        <v>94</v>
      </c>
      <c r="B249" s="36" t="s">
        <v>165</v>
      </c>
      <c r="C249" s="6">
        <f t="shared" si="3"/>
        <v>8</v>
      </c>
      <c r="D249" s="75">
        <v>0</v>
      </c>
      <c r="E249" s="75">
        <v>0</v>
      </c>
      <c r="F249" s="76">
        <v>0</v>
      </c>
      <c r="G249" s="76">
        <v>0</v>
      </c>
      <c r="H249" s="76">
        <v>0</v>
      </c>
      <c r="I249" s="76">
        <v>0</v>
      </c>
      <c r="J249" s="76">
        <v>0</v>
      </c>
    </row>
    <row r="250" spans="1:10" x14ac:dyDescent="0.3">
      <c r="A250" s="35" t="s">
        <v>94</v>
      </c>
      <c r="B250" s="35" t="s">
        <v>166</v>
      </c>
      <c r="C250" s="6">
        <f t="shared" si="3"/>
        <v>9</v>
      </c>
      <c r="D250" s="76">
        <v>0</v>
      </c>
      <c r="E250" s="76">
        <v>0</v>
      </c>
      <c r="F250" s="76">
        <v>0</v>
      </c>
      <c r="G250" s="76">
        <v>0</v>
      </c>
      <c r="H250" s="76">
        <v>0</v>
      </c>
      <c r="I250" s="76">
        <v>0</v>
      </c>
      <c r="J250" s="76">
        <v>0</v>
      </c>
    </row>
    <row r="251" spans="1:10" x14ac:dyDescent="0.3">
      <c r="A251" s="36" t="s">
        <v>94</v>
      </c>
      <c r="B251" s="36" t="s">
        <v>167</v>
      </c>
      <c r="C251" s="6">
        <f t="shared" si="3"/>
        <v>10</v>
      </c>
      <c r="D251" s="75">
        <v>0</v>
      </c>
      <c r="E251" s="75">
        <v>0</v>
      </c>
      <c r="F251" s="76">
        <v>0</v>
      </c>
      <c r="G251" s="76">
        <v>0</v>
      </c>
      <c r="H251" s="76">
        <v>0</v>
      </c>
      <c r="I251" s="76">
        <v>0</v>
      </c>
      <c r="J251" s="76">
        <v>0</v>
      </c>
    </row>
    <row r="252" spans="1:10" x14ac:dyDescent="0.3">
      <c r="A252" s="35" t="s">
        <v>94</v>
      </c>
      <c r="B252" s="35" t="s">
        <v>168</v>
      </c>
      <c r="C252" s="6">
        <f t="shared" si="3"/>
        <v>11</v>
      </c>
      <c r="D252" s="76">
        <v>0</v>
      </c>
      <c r="E252" s="76">
        <v>0</v>
      </c>
      <c r="F252" s="76">
        <v>0</v>
      </c>
      <c r="G252" s="76">
        <v>0</v>
      </c>
      <c r="H252" s="76">
        <v>0</v>
      </c>
      <c r="I252" s="76">
        <v>0</v>
      </c>
      <c r="J252" s="76">
        <v>0</v>
      </c>
    </row>
    <row r="253" spans="1:10" x14ac:dyDescent="0.3">
      <c r="A253" s="36" t="s">
        <v>94</v>
      </c>
      <c r="B253" s="36" t="s">
        <v>169</v>
      </c>
      <c r="C253" s="6">
        <f t="shared" si="3"/>
        <v>12</v>
      </c>
      <c r="D253" s="75">
        <v>0</v>
      </c>
      <c r="E253" s="75">
        <v>0</v>
      </c>
      <c r="F253" s="76">
        <v>0</v>
      </c>
      <c r="G253" s="76">
        <v>0</v>
      </c>
      <c r="H253" s="76">
        <v>0</v>
      </c>
      <c r="I253" s="76">
        <v>0</v>
      </c>
      <c r="J253" s="76">
        <v>0</v>
      </c>
    </row>
    <row r="254" spans="1:10" x14ac:dyDescent="0.3">
      <c r="A254" s="35" t="s">
        <v>55</v>
      </c>
      <c r="B254" s="35" t="s">
        <v>158</v>
      </c>
      <c r="C254" s="6">
        <f t="shared" si="3"/>
        <v>1</v>
      </c>
      <c r="D254" s="76">
        <v>0</v>
      </c>
      <c r="E254" s="76">
        <v>0</v>
      </c>
      <c r="F254" s="76">
        <v>0</v>
      </c>
      <c r="G254" s="76">
        <v>0</v>
      </c>
      <c r="H254" s="76">
        <v>0</v>
      </c>
      <c r="I254" s="76">
        <v>0</v>
      </c>
      <c r="J254" s="76">
        <v>0</v>
      </c>
    </row>
    <row r="255" spans="1:10" x14ac:dyDescent="0.3">
      <c r="A255" s="36" t="s">
        <v>55</v>
      </c>
      <c r="B255" s="36" t="s">
        <v>159</v>
      </c>
      <c r="C255" s="6">
        <f t="shared" si="3"/>
        <v>2</v>
      </c>
      <c r="D255" s="75">
        <v>0</v>
      </c>
      <c r="E255" s="75">
        <v>0</v>
      </c>
      <c r="F255" s="76">
        <v>0</v>
      </c>
      <c r="G255" s="76">
        <v>0</v>
      </c>
      <c r="H255" s="76">
        <v>0</v>
      </c>
      <c r="I255" s="76">
        <v>0</v>
      </c>
      <c r="J255" s="76">
        <v>0</v>
      </c>
    </row>
    <row r="256" spans="1:10" x14ac:dyDescent="0.3">
      <c r="A256" s="35" t="s">
        <v>55</v>
      </c>
      <c r="B256" s="35" t="s">
        <v>160</v>
      </c>
      <c r="C256" s="6">
        <f t="shared" si="3"/>
        <v>3</v>
      </c>
      <c r="D256" s="76">
        <v>1</v>
      </c>
      <c r="E256" s="76">
        <v>7</v>
      </c>
      <c r="F256" s="76">
        <v>0</v>
      </c>
      <c r="G256" s="76">
        <v>0</v>
      </c>
      <c r="H256" s="76">
        <v>0</v>
      </c>
      <c r="I256" s="76">
        <v>0</v>
      </c>
      <c r="J256" s="76">
        <v>1</v>
      </c>
    </row>
    <row r="257" spans="1:10" x14ac:dyDescent="0.3">
      <c r="A257" s="36" t="s">
        <v>55</v>
      </c>
      <c r="B257" s="36" t="s">
        <v>161</v>
      </c>
      <c r="C257" s="6">
        <f t="shared" si="3"/>
        <v>4</v>
      </c>
      <c r="D257" s="75">
        <v>0</v>
      </c>
      <c r="E257" s="75">
        <v>0</v>
      </c>
      <c r="F257" s="76">
        <v>0</v>
      </c>
      <c r="G257" s="76">
        <v>0</v>
      </c>
      <c r="H257" s="76">
        <v>0</v>
      </c>
      <c r="I257" s="76">
        <v>0</v>
      </c>
      <c r="J257" s="76">
        <v>0</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6">
        <v>0</v>
      </c>
      <c r="E258" s="76">
        <v>0</v>
      </c>
      <c r="F258" s="76">
        <v>0</v>
      </c>
      <c r="G258" s="76">
        <v>0</v>
      </c>
      <c r="H258" s="76">
        <v>0</v>
      </c>
      <c r="I258" s="76">
        <v>0</v>
      </c>
      <c r="J258" s="76">
        <v>0</v>
      </c>
    </row>
    <row r="259" spans="1:10" x14ac:dyDescent="0.3">
      <c r="A259" s="36" t="s">
        <v>55</v>
      </c>
      <c r="B259" s="36" t="s">
        <v>163</v>
      </c>
      <c r="C259" s="6">
        <f t="shared" si="4"/>
        <v>6</v>
      </c>
      <c r="D259" s="75">
        <v>0</v>
      </c>
      <c r="E259" s="75">
        <v>0</v>
      </c>
      <c r="F259" s="76">
        <v>0</v>
      </c>
      <c r="G259" s="76">
        <v>0</v>
      </c>
      <c r="H259" s="76">
        <v>0</v>
      </c>
      <c r="I259" s="76">
        <v>0</v>
      </c>
      <c r="J259" s="76">
        <v>0</v>
      </c>
    </row>
    <row r="260" spans="1:10" x14ac:dyDescent="0.3">
      <c r="A260" s="35" t="s">
        <v>55</v>
      </c>
      <c r="B260" s="35" t="s">
        <v>164</v>
      </c>
      <c r="C260" s="6">
        <f t="shared" si="4"/>
        <v>7</v>
      </c>
      <c r="D260" s="76">
        <v>0</v>
      </c>
      <c r="E260" s="76">
        <v>0</v>
      </c>
      <c r="F260" s="76">
        <v>0</v>
      </c>
      <c r="G260" s="76">
        <v>0</v>
      </c>
      <c r="H260" s="76">
        <v>0</v>
      </c>
      <c r="I260" s="76">
        <v>0</v>
      </c>
      <c r="J260" s="76">
        <v>0</v>
      </c>
    </row>
    <row r="261" spans="1:10" x14ac:dyDescent="0.3">
      <c r="A261" s="36" t="s">
        <v>55</v>
      </c>
      <c r="B261" s="36" t="s">
        <v>165</v>
      </c>
      <c r="C261" s="6">
        <f t="shared" si="4"/>
        <v>8</v>
      </c>
      <c r="D261" s="75">
        <v>0</v>
      </c>
      <c r="E261" s="75">
        <v>0</v>
      </c>
      <c r="F261" s="76">
        <v>0</v>
      </c>
      <c r="G261" s="76">
        <v>0</v>
      </c>
      <c r="H261" s="76">
        <v>0</v>
      </c>
      <c r="I261" s="76">
        <v>0</v>
      </c>
      <c r="J261" s="76">
        <v>0</v>
      </c>
    </row>
    <row r="262" spans="1:10" x14ac:dyDescent="0.3">
      <c r="A262" s="35" t="s">
        <v>55</v>
      </c>
      <c r="B262" s="35" t="s">
        <v>166</v>
      </c>
      <c r="C262" s="6">
        <f t="shared" si="4"/>
        <v>9</v>
      </c>
      <c r="D262" s="76">
        <v>0</v>
      </c>
      <c r="E262" s="76">
        <v>0</v>
      </c>
      <c r="F262" s="76">
        <v>0</v>
      </c>
      <c r="G262" s="76">
        <v>0</v>
      </c>
      <c r="H262" s="76">
        <v>0</v>
      </c>
      <c r="I262" s="76">
        <v>0</v>
      </c>
      <c r="J262" s="76">
        <v>0</v>
      </c>
    </row>
    <row r="263" spans="1:10" x14ac:dyDescent="0.3">
      <c r="A263" s="36" t="s">
        <v>55</v>
      </c>
      <c r="B263" s="36" t="s">
        <v>167</v>
      </c>
      <c r="C263" s="6">
        <f t="shared" si="4"/>
        <v>10</v>
      </c>
      <c r="D263" s="75">
        <v>0</v>
      </c>
      <c r="E263" s="75">
        <v>0</v>
      </c>
      <c r="F263" s="76">
        <v>0</v>
      </c>
      <c r="G263" s="76">
        <v>0</v>
      </c>
      <c r="H263" s="76">
        <v>0</v>
      </c>
      <c r="I263" s="76">
        <v>0</v>
      </c>
      <c r="J263" s="76">
        <v>0</v>
      </c>
    </row>
    <row r="264" spans="1:10" x14ac:dyDescent="0.3">
      <c r="A264" s="35" t="s">
        <v>55</v>
      </c>
      <c r="B264" s="35" t="s">
        <v>168</v>
      </c>
      <c r="C264" s="6">
        <f t="shared" si="4"/>
        <v>11</v>
      </c>
      <c r="D264" s="76">
        <v>0</v>
      </c>
      <c r="E264" s="76">
        <v>0</v>
      </c>
      <c r="F264" s="76">
        <v>0</v>
      </c>
      <c r="G264" s="76">
        <v>0</v>
      </c>
      <c r="H264" s="76">
        <v>0</v>
      </c>
      <c r="I264" s="76">
        <v>0</v>
      </c>
      <c r="J264" s="76">
        <v>0</v>
      </c>
    </row>
    <row r="265" spans="1:10" x14ac:dyDescent="0.3">
      <c r="A265" s="36" t="s">
        <v>55</v>
      </c>
      <c r="B265" s="36" t="s">
        <v>169</v>
      </c>
      <c r="C265" s="6">
        <f t="shared" si="4"/>
        <v>12</v>
      </c>
      <c r="D265" s="75">
        <v>0</v>
      </c>
      <c r="E265" s="75">
        <v>0</v>
      </c>
      <c r="F265" s="76">
        <v>0</v>
      </c>
      <c r="G265" s="76">
        <v>0</v>
      </c>
      <c r="H265" s="76">
        <v>0</v>
      </c>
      <c r="I265" s="76">
        <v>0</v>
      </c>
      <c r="J265" s="76">
        <v>0</v>
      </c>
    </row>
    <row r="266" spans="1:10" x14ac:dyDescent="0.3">
      <c r="A266" s="35" t="s">
        <v>154</v>
      </c>
      <c r="B266" s="35" t="s">
        <v>158</v>
      </c>
      <c r="C266" s="6">
        <f t="shared" si="4"/>
        <v>1</v>
      </c>
      <c r="D266" s="76">
        <v>0</v>
      </c>
      <c r="E266" s="76">
        <v>0</v>
      </c>
      <c r="F266" s="76">
        <v>0</v>
      </c>
      <c r="G266" s="76">
        <v>0</v>
      </c>
      <c r="H266" s="76">
        <v>0</v>
      </c>
      <c r="I266" s="76">
        <v>0</v>
      </c>
      <c r="J266" s="76">
        <v>0</v>
      </c>
    </row>
    <row r="267" spans="1:10" x14ac:dyDescent="0.3">
      <c r="A267" s="36" t="s">
        <v>154</v>
      </c>
      <c r="B267" s="36" t="s">
        <v>159</v>
      </c>
      <c r="C267" s="6">
        <f t="shared" si="4"/>
        <v>2</v>
      </c>
      <c r="D267" s="75">
        <v>0</v>
      </c>
      <c r="E267" s="75">
        <v>0</v>
      </c>
      <c r="F267" s="76">
        <v>0</v>
      </c>
      <c r="G267" s="76">
        <v>0</v>
      </c>
      <c r="H267" s="76">
        <v>0</v>
      </c>
      <c r="I267" s="76">
        <v>0</v>
      </c>
      <c r="J267" s="76">
        <v>0</v>
      </c>
    </row>
    <row r="268" spans="1:10" x14ac:dyDescent="0.3">
      <c r="A268" s="35" t="s">
        <v>154</v>
      </c>
      <c r="B268" s="35" t="s">
        <v>160</v>
      </c>
      <c r="C268" s="6">
        <f t="shared" si="4"/>
        <v>3</v>
      </c>
      <c r="D268" s="76">
        <v>0</v>
      </c>
      <c r="E268" s="76">
        <v>0</v>
      </c>
      <c r="F268" s="76">
        <v>0</v>
      </c>
      <c r="G268" s="76">
        <v>0</v>
      </c>
      <c r="H268" s="76">
        <v>0</v>
      </c>
      <c r="I268" s="76">
        <v>0</v>
      </c>
      <c r="J268" s="76">
        <v>0</v>
      </c>
    </row>
    <row r="269" spans="1:10" x14ac:dyDescent="0.3">
      <c r="A269" s="36" t="s">
        <v>154</v>
      </c>
      <c r="B269" s="36" t="s">
        <v>161</v>
      </c>
      <c r="C269" s="6">
        <f t="shared" si="4"/>
        <v>4</v>
      </c>
      <c r="D269" s="75">
        <v>0</v>
      </c>
      <c r="E269" s="75">
        <v>0</v>
      </c>
      <c r="F269" s="76">
        <v>0</v>
      </c>
      <c r="G269" s="76">
        <v>0</v>
      </c>
      <c r="H269" s="76">
        <v>0</v>
      </c>
      <c r="I269" s="76">
        <v>0</v>
      </c>
      <c r="J269" s="76">
        <v>0</v>
      </c>
    </row>
    <row r="270" spans="1:10" x14ac:dyDescent="0.3">
      <c r="A270" s="35" t="s">
        <v>154</v>
      </c>
      <c r="B270" s="35" t="s">
        <v>162</v>
      </c>
      <c r="C270" s="6">
        <f t="shared" si="4"/>
        <v>5</v>
      </c>
      <c r="D270" s="76">
        <v>0</v>
      </c>
      <c r="E270" s="76">
        <v>0</v>
      </c>
      <c r="F270" s="76">
        <v>0</v>
      </c>
      <c r="G270" s="76">
        <v>0</v>
      </c>
      <c r="H270" s="76">
        <v>0</v>
      </c>
      <c r="I270" s="76">
        <v>0</v>
      </c>
      <c r="J270" s="76">
        <v>0</v>
      </c>
    </row>
    <row r="271" spans="1:10" x14ac:dyDescent="0.3">
      <c r="A271" s="36" t="s">
        <v>154</v>
      </c>
      <c r="B271" s="36" t="s">
        <v>163</v>
      </c>
      <c r="C271" s="6">
        <f t="shared" si="4"/>
        <v>6</v>
      </c>
      <c r="D271" s="75">
        <v>0</v>
      </c>
      <c r="E271" s="75">
        <v>0</v>
      </c>
      <c r="F271" s="76">
        <v>0</v>
      </c>
      <c r="G271" s="76">
        <v>0</v>
      </c>
      <c r="H271" s="76">
        <v>0</v>
      </c>
      <c r="I271" s="76">
        <v>0</v>
      </c>
      <c r="J271" s="76">
        <v>0</v>
      </c>
    </row>
    <row r="272" spans="1:10" x14ac:dyDescent="0.3">
      <c r="A272" s="35" t="s">
        <v>154</v>
      </c>
      <c r="B272" s="35" t="s">
        <v>164</v>
      </c>
      <c r="C272" s="6">
        <f t="shared" si="4"/>
        <v>7</v>
      </c>
      <c r="D272" s="76">
        <v>0</v>
      </c>
      <c r="E272" s="76">
        <v>0</v>
      </c>
      <c r="F272" s="76">
        <v>0</v>
      </c>
      <c r="G272" s="76">
        <v>0</v>
      </c>
      <c r="H272" s="76">
        <v>0</v>
      </c>
      <c r="I272" s="76">
        <v>0</v>
      </c>
      <c r="J272" s="76">
        <v>0</v>
      </c>
    </row>
    <row r="273" spans="1:10" x14ac:dyDescent="0.3">
      <c r="A273" s="36" t="s">
        <v>154</v>
      </c>
      <c r="B273" s="36" t="s">
        <v>165</v>
      </c>
      <c r="C273" s="6">
        <f t="shared" si="4"/>
        <v>8</v>
      </c>
      <c r="D273" s="75">
        <v>0</v>
      </c>
      <c r="E273" s="75">
        <v>0</v>
      </c>
      <c r="F273" s="76">
        <v>0</v>
      </c>
      <c r="G273" s="76">
        <v>0</v>
      </c>
      <c r="H273" s="76">
        <v>0</v>
      </c>
      <c r="I273" s="76">
        <v>0</v>
      </c>
      <c r="J273" s="76">
        <v>0</v>
      </c>
    </row>
    <row r="274" spans="1:10" x14ac:dyDescent="0.3">
      <c r="A274" s="35" t="s">
        <v>154</v>
      </c>
      <c r="B274" s="35" t="s">
        <v>166</v>
      </c>
      <c r="C274" s="6">
        <f t="shared" si="4"/>
        <v>9</v>
      </c>
      <c r="D274" s="76">
        <v>0</v>
      </c>
      <c r="E274" s="76">
        <v>0</v>
      </c>
      <c r="F274" s="76">
        <v>0</v>
      </c>
      <c r="G274" s="76">
        <v>0</v>
      </c>
      <c r="H274" s="76">
        <v>0</v>
      </c>
      <c r="I274" s="76">
        <v>0</v>
      </c>
      <c r="J274" s="76">
        <v>0</v>
      </c>
    </row>
    <row r="275" spans="1:10" x14ac:dyDescent="0.3">
      <c r="A275" s="36" t="s">
        <v>154</v>
      </c>
      <c r="B275" s="36" t="s">
        <v>167</v>
      </c>
      <c r="C275" s="6">
        <f t="shared" si="4"/>
        <v>10</v>
      </c>
      <c r="D275" s="75">
        <v>0</v>
      </c>
      <c r="E275" s="75">
        <v>0</v>
      </c>
      <c r="F275" s="76">
        <v>0</v>
      </c>
      <c r="G275" s="76">
        <v>0</v>
      </c>
      <c r="H275" s="76">
        <v>0</v>
      </c>
      <c r="I275" s="76">
        <v>0</v>
      </c>
      <c r="J275" s="76">
        <v>0</v>
      </c>
    </row>
    <row r="276" spans="1:10" x14ac:dyDescent="0.3">
      <c r="A276" s="35" t="s">
        <v>154</v>
      </c>
      <c r="B276" s="35" t="s">
        <v>168</v>
      </c>
      <c r="C276" s="6">
        <f t="shared" si="4"/>
        <v>11</v>
      </c>
      <c r="D276" s="76">
        <v>0</v>
      </c>
      <c r="E276" s="76">
        <v>0</v>
      </c>
      <c r="F276" s="76">
        <v>0</v>
      </c>
      <c r="G276" s="76">
        <v>0</v>
      </c>
      <c r="H276" s="76">
        <v>0</v>
      </c>
      <c r="I276" s="76">
        <v>0</v>
      </c>
      <c r="J276" s="76">
        <v>0</v>
      </c>
    </row>
    <row r="277" spans="1:10" x14ac:dyDescent="0.3">
      <c r="A277" s="36" t="s">
        <v>154</v>
      </c>
      <c r="B277" s="36" t="s">
        <v>169</v>
      </c>
      <c r="C277" s="6">
        <f t="shared" si="4"/>
        <v>12</v>
      </c>
      <c r="D277" s="75">
        <v>0</v>
      </c>
      <c r="E277" s="75">
        <v>0</v>
      </c>
      <c r="F277" s="76">
        <v>0</v>
      </c>
      <c r="G277" s="76">
        <v>0</v>
      </c>
      <c r="H277" s="76">
        <v>0</v>
      </c>
      <c r="I277" s="76">
        <v>0</v>
      </c>
      <c r="J277" s="76">
        <v>0</v>
      </c>
    </row>
    <row r="278" spans="1:10" x14ac:dyDescent="0.3">
      <c r="A278" s="35" t="s">
        <v>72</v>
      </c>
      <c r="B278" s="35" t="s">
        <v>158</v>
      </c>
      <c r="C278" s="6">
        <f t="shared" si="4"/>
        <v>1</v>
      </c>
      <c r="D278" s="76">
        <v>0</v>
      </c>
      <c r="E278" s="76">
        <v>0</v>
      </c>
      <c r="F278" s="76">
        <v>0</v>
      </c>
      <c r="G278" s="76">
        <v>0</v>
      </c>
      <c r="H278" s="76">
        <v>0</v>
      </c>
      <c r="I278" s="76">
        <v>0</v>
      </c>
      <c r="J278" s="76">
        <v>0</v>
      </c>
    </row>
    <row r="279" spans="1:10" x14ac:dyDescent="0.3">
      <c r="A279" s="36" t="s">
        <v>72</v>
      </c>
      <c r="B279" s="36" t="s">
        <v>159</v>
      </c>
      <c r="C279" s="6">
        <f t="shared" si="4"/>
        <v>2</v>
      </c>
      <c r="D279" s="75">
        <v>0</v>
      </c>
      <c r="E279" s="75">
        <v>0</v>
      </c>
      <c r="F279" s="76">
        <v>0</v>
      </c>
      <c r="G279" s="76">
        <v>0</v>
      </c>
      <c r="H279" s="76">
        <v>0</v>
      </c>
      <c r="I279" s="76">
        <v>0</v>
      </c>
      <c r="J279" s="76">
        <v>0</v>
      </c>
    </row>
    <row r="280" spans="1:10" x14ac:dyDescent="0.3">
      <c r="A280" s="35" t="s">
        <v>72</v>
      </c>
      <c r="B280" s="35" t="s">
        <v>160</v>
      </c>
      <c r="C280" s="6">
        <f t="shared" si="4"/>
        <v>3</v>
      </c>
      <c r="D280" s="76">
        <v>4</v>
      </c>
      <c r="E280" s="76">
        <v>57</v>
      </c>
      <c r="F280" s="76">
        <v>0</v>
      </c>
      <c r="G280" s="76">
        <v>0</v>
      </c>
      <c r="H280" s="76">
        <v>0</v>
      </c>
      <c r="I280" s="76">
        <v>0</v>
      </c>
      <c r="J280" s="76">
        <v>1</v>
      </c>
    </row>
    <row r="281" spans="1:10" x14ac:dyDescent="0.3">
      <c r="A281" s="36" t="s">
        <v>72</v>
      </c>
      <c r="B281" s="36" t="s">
        <v>161</v>
      </c>
      <c r="C281" s="6">
        <f t="shared" si="4"/>
        <v>4</v>
      </c>
      <c r="D281" s="75">
        <v>4</v>
      </c>
      <c r="E281" s="75">
        <v>57</v>
      </c>
      <c r="F281" s="76">
        <v>1</v>
      </c>
      <c r="G281" s="76">
        <v>1</v>
      </c>
      <c r="H281" s="76">
        <v>0</v>
      </c>
      <c r="I281" s="76">
        <v>0</v>
      </c>
      <c r="J281" s="76">
        <v>1</v>
      </c>
    </row>
    <row r="282" spans="1:10" x14ac:dyDescent="0.3">
      <c r="A282" s="35" t="s">
        <v>72</v>
      </c>
      <c r="B282" s="35" t="s">
        <v>162</v>
      </c>
      <c r="C282" s="6">
        <f t="shared" si="4"/>
        <v>5</v>
      </c>
      <c r="D282" s="76">
        <v>0</v>
      </c>
      <c r="E282" s="76">
        <v>0</v>
      </c>
      <c r="F282" s="76">
        <v>0</v>
      </c>
      <c r="G282" s="76">
        <v>0</v>
      </c>
      <c r="H282" s="76">
        <v>0</v>
      </c>
      <c r="I282" s="76">
        <v>0</v>
      </c>
      <c r="J282" s="76">
        <v>0</v>
      </c>
    </row>
    <row r="283" spans="1:10" x14ac:dyDescent="0.3">
      <c r="A283" s="36" t="s">
        <v>72</v>
      </c>
      <c r="B283" s="36" t="s">
        <v>163</v>
      </c>
      <c r="C283" s="6">
        <f t="shared" si="4"/>
        <v>6</v>
      </c>
      <c r="D283" s="75">
        <v>0</v>
      </c>
      <c r="E283" s="75">
        <v>0</v>
      </c>
      <c r="F283" s="76">
        <v>0</v>
      </c>
      <c r="G283" s="76">
        <v>0</v>
      </c>
      <c r="H283" s="76">
        <v>0</v>
      </c>
      <c r="I283" s="76">
        <v>0</v>
      </c>
      <c r="J283" s="76">
        <v>0</v>
      </c>
    </row>
    <row r="284" spans="1:10" x14ac:dyDescent="0.3">
      <c r="A284" s="35" t="s">
        <v>72</v>
      </c>
      <c r="B284" s="35" t="s">
        <v>164</v>
      </c>
      <c r="C284" s="6">
        <f t="shared" si="4"/>
        <v>7</v>
      </c>
      <c r="D284" s="76">
        <v>0</v>
      </c>
      <c r="E284" s="76">
        <v>0</v>
      </c>
      <c r="F284" s="76">
        <v>0</v>
      </c>
      <c r="G284" s="76">
        <v>0</v>
      </c>
      <c r="H284" s="76">
        <v>0</v>
      </c>
      <c r="I284" s="76">
        <v>0</v>
      </c>
      <c r="J284" s="76">
        <v>0</v>
      </c>
    </row>
    <row r="285" spans="1:10" x14ac:dyDescent="0.3">
      <c r="A285" s="36" t="s">
        <v>72</v>
      </c>
      <c r="B285" s="36" t="s">
        <v>165</v>
      </c>
      <c r="C285" s="6">
        <f t="shared" si="4"/>
        <v>8</v>
      </c>
      <c r="D285" s="75">
        <v>0</v>
      </c>
      <c r="E285" s="75">
        <v>0</v>
      </c>
      <c r="F285" s="76">
        <v>0</v>
      </c>
      <c r="G285" s="76">
        <v>0</v>
      </c>
      <c r="H285" s="76">
        <v>0</v>
      </c>
      <c r="I285" s="76">
        <v>0</v>
      </c>
      <c r="J285" s="76">
        <v>0</v>
      </c>
    </row>
    <row r="286" spans="1:10" x14ac:dyDescent="0.3">
      <c r="A286" s="35" t="s">
        <v>72</v>
      </c>
      <c r="B286" s="35" t="s">
        <v>166</v>
      </c>
      <c r="C286" s="6">
        <f t="shared" si="4"/>
        <v>9</v>
      </c>
      <c r="D286" s="76">
        <v>0</v>
      </c>
      <c r="E286" s="76">
        <v>0</v>
      </c>
      <c r="F286" s="76">
        <v>0</v>
      </c>
      <c r="G286" s="76">
        <v>0</v>
      </c>
      <c r="H286" s="76">
        <v>0</v>
      </c>
      <c r="I286" s="76">
        <v>0</v>
      </c>
      <c r="J286" s="76">
        <v>0</v>
      </c>
    </row>
    <row r="287" spans="1:10" x14ac:dyDescent="0.3">
      <c r="A287" s="36" t="s">
        <v>72</v>
      </c>
      <c r="B287" s="36" t="s">
        <v>167</v>
      </c>
      <c r="C287" s="6">
        <f t="shared" si="4"/>
        <v>10</v>
      </c>
      <c r="D287" s="75">
        <v>0</v>
      </c>
      <c r="E287" s="75">
        <v>0</v>
      </c>
      <c r="F287" s="76">
        <v>0</v>
      </c>
      <c r="G287" s="76">
        <v>0</v>
      </c>
      <c r="H287" s="76">
        <v>0</v>
      </c>
      <c r="I287" s="76">
        <v>0</v>
      </c>
      <c r="J287" s="76">
        <v>0</v>
      </c>
    </row>
    <row r="288" spans="1:10" x14ac:dyDescent="0.3">
      <c r="A288" s="35" t="s">
        <v>72</v>
      </c>
      <c r="B288" s="35" t="s">
        <v>168</v>
      </c>
      <c r="C288" s="6">
        <f t="shared" si="4"/>
        <v>11</v>
      </c>
      <c r="D288" s="76">
        <v>0</v>
      </c>
      <c r="E288" s="76">
        <v>0</v>
      </c>
      <c r="F288" s="76">
        <v>0</v>
      </c>
      <c r="G288" s="76">
        <v>0</v>
      </c>
      <c r="H288" s="76">
        <v>0</v>
      </c>
      <c r="I288" s="76">
        <v>0</v>
      </c>
      <c r="J288" s="76">
        <v>0</v>
      </c>
    </row>
    <row r="289" spans="1:10" x14ac:dyDescent="0.3">
      <c r="A289" s="36" t="s">
        <v>72</v>
      </c>
      <c r="B289" s="36" t="s">
        <v>169</v>
      </c>
      <c r="C289" s="6">
        <f t="shared" si="4"/>
        <v>12</v>
      </c>
      <c r="D289" s="75">
        <v>0</v>
      </c>
      <c r="E289" s="75">
        <v>0</v>
      </c>
      <c r="F289" s="76">
        <v>0</v>
      </c>
      <c r="G289" s="76">
        <v>0</v>
      </c>
      <c r="H289" s="76">
        <v>0</v>
      </c>
      <c r="I289" s="76">
        <v>0</v>
      </c>
      <c r="J289" s="76">
        <v>0</v>
      </c>
    </row>
    <row r="290" spans="1:10" x14ac:dyDescent="0.3">
      <c r="A290" s="35" t="s">
        <v>76</v>
      </c>
      <c r="B290" s="35" t="s">
        <v>158</v>
      </c>
      <c r="C290" s="6">
        <f t="shared" si="4"/>
        <v>1</v>
      </c>
      <c r="D290" s="76">
        <v>4</v>
      </c>
      <c r="E290" s="76">
        <v>14</v>
      </c>
      <c r="F290" s="76">
        <v>1</v>
      </c>
      <c r="G290" s="76">
        <v>0</v>
      </c>
      <c r="H290" s="76">
        <v>0</v>
      </c>
      <c r="I290" s="76">
        <v>0</v>
      </c>
      <c r="J290" s="76">
        <v>2</v>
      </c>
    </row>
    <row r="291" spans="1:10" x14ac:dyDescent="0.3">
      <c r="A291" s="36" t="s">
        <v>76</v>
      </c>
      <c r="B291" s="36" t="s">
        <v>159</v>
      </c>
      <c r="C291" s="6">
        <f t="shared" si="4"/>
        <v>2</v>
      </c>
      <c r="D291" s="75">
        <v>3</v>
      </c>
      <c r="E291" s="75">
        <v>10</v>
      </c>
      <c r="F291" s="76">
        <v>0</v>
      </c>
      <c r="G291" s="76">
        <v>0</v>
      </c>
      <c r="H291" s="76">
        <v>0</v>
      </c>
      <c r="I291" s="76">
        <v>0</v>
      </c>
      <c r="J291" s="76">
        <v>2</v>
      </c>
    </row>
    <row r="292" spans="1:10" x14ac:dyDescent="0.3">
      <c r="A292" s="35" t="s">
        <v>76</v>
      </c>
      <c r="B292" s="35" t="s">
        <v>160</v>
      </c>
      <c r="C292" s="6">
        <f t="shared" si="4"/>
        <v>3</v>
      </c>
      <c r="D292" s="76">
        <v>2</v>
      </c>
      <c r="E292" s="76">
        <v>7</v>
      </c>
      <c r="F292" s="76">
        <v>0</v>
      </c>
      <c r="G292" s="76">
        <v>0</v>
      </c>
      <c r="H292" s="76">
        <v>0</v>
      </c>
      <c r="I292" s="76">
        <v>0</v>
      </c>
      <c r="J292" s="76">
        <v>1</v>
      </c>
    </row>
    <row r="293" spans="1:10" x14ac:dyDescent="0.3">
      <c r="A293" s="36" t="s">
        <v>76</v>
      </c>
      <c r="B293" s="36" t="s">
        <v>161</v>
      </c>
      <c r="C293" s="6">
        <f t="shared" si="4"/>
        <v>4</v>
      </c>
      <c r="D293" s="75">
        <v>6</v>
      </c>
      <c r="E293" s="75">
        <v>21</v>
      </c>
      <c r="F293" s="76">
        <v>0</v>
      </c>
      <c r="G293" s="76">
        <v>0</v>
      </c>
      <c r="H293" s="76">
        <v>0</v>
      </c>
      <c r="I293" s="76">
        <v>0</v>
      </c>
      <c r="J293" s="76">
        <v>3</v>
      </c>
    </row>
    <row r="294" spans="1:10" x14ac:dyDescent="0.3">
      <c r="A294" s="35" t="s">
        <v>76</v>
      </c>
      <c r="B294" s="35" t="s">
        <v>162</v>
      </c>
      <c r="C294" s="6">
        <f t="shared" si="4"/>
        <v>5</v>
      </c>
      <c r="D294" s="76">
        <v>0</v>
      </c>
      <c r="E294" s="76">
        <v>0</v>
      </c>
      <c r="F294" s="76">
        <v>0</v>
      </c>
      <c r="G294" s="76">
        <v>0</v>
      </c>
      <c r="H294" s="76">
        <v>0</v>
      </c>
      <c r="I294" s="76">
        <v>0</v>
      </c>
      <c r="J294" s="76">
        <v>0</v>
      </c>
    </row>
    <row r="295" spans="1:10" x14ac:dyDescent="0.3">
      <c r="A295" s="36" t="s">
        <v>76</v>
      </c>
      <c r="B295" s="36" t="s">
        <v>163</v>
      </c>
      <c r="C295" s="6">
        <f t="shared" si="4"/>
        <v>6</v>
      </c>
      <c r="D295" s="75">
        <v>0</v>
      </c>
      <c r="E295" s="75">
        <v>0</v>
      </c>
      <c r="F295" s="76">
        <v>0</v>
      </c>
      <c r="G295" s="76">
        <v>0</v>
      </c>
      <c r="H295" s="76">
        <v>0</v>
      </c>
      <c r="I295" s="76">
        <v>0</v>
      </c>
      <c r="J295" s="76">
        <v>0</v>
      </c>
    </row>
    <row r="296" spans="1:10" x14ac:dyDescent="0.3">
      <c r="A296" s="35" t="s">
        <v>76</v>
      </c>
      <c r="B296" s="35" t="s">
        <v>164</v>
      </c>
      <c r="C296" s="6">
        <f t="shared" si="4"/>
        <v>7</v>
      </c>
      <c r="D296" s="76">
        <v>0</v>
      </c>
      <c r="E296" s="76">
        <v>0</v>
      </c>
      <c r="F296" s="76">
        <v>0</v>
      </c>
      <c r="G296" s="76">
        <v>0</v>
      </c>
      <c r="H296" s="76">
        <v>0</v>
      </c>
      <c r="I296" s="76">
        <v>0</v>
      </c>
      <c r="J296" s="76">
        <v>0</v>
      </c>
    </row>
    <row r="297" spans="1:10" x14ac:dyDescent="0.3">
      <c r="A297" s="36" t="s">
        <v>76</v>
      </c>
      <c r="B297" s="36" t="s">
        <v>165</v>
      </c>
      <c r="C297" s="6">
        <f t="shared" si="4"/>
        <v>8</v>
      </c>
      <c r="D297" s="75">
        <v>0</v>
      </c>
      <c r="E297" s="75">
        <v>0</v>
      </c>
      <c r="F297" s="76">
        <v>0</v>
      </c>
      <c r="G297" s="76">
        <v>0</v>
      </c>
      <c r="H297" s="76">
        <v>0</v>
      </c>
      <c r="I297" s="76">
        <v>0</v>
      </c>
      <c r="J297" s="76">
        <v>0</v>
      </c>
    </row>
    <row r="298" spans="1:10" x14ac:dyDescent="0.3">
      <c r="A298" s="35" t="s">
        <v>76</v>
      </c>
      <c r="B298" s="35" t="s">
        <v>166</v>
      </c>
      <c r="C298" s="6">
        <f t="shared" si="4"/>
        <v>9</v>
      </c>
      <c r="D298" s="76">
        <v>0</v>
      </c>
      <c r="E298" s="76">
        <v>0</v>
      </c>
      <c r="F298" s="76">
        <v>0</v>
      </c>
      <c r="G298" s="76">
        <v>0</v>
      </c>
      <c r="H298" s="76">
        <v>0</v>
      </c>
      <c r="I298" s="76">
        <v>0</v>
      </c>
      <c r="J298" s="76">
        <v>0</v>
      </c>
    </row>
    <row r="299" spans="1:10" x14ac:dyDescent="0.3">
      <c r="A299" s="36" t="s">
        <v>76</v>
      </c>
      <c r="B299" s="36" t="s">
        <v>167</v>
      </c>
      <c r="C299" s="6">
        <f t="shared" si="4"/>
        <v>10</v>
      </c>
      <c r="D299" s="75">
        <v>0</v>
      </c>
      <c r="E299" s="75">
        <v>0</v>
      </c>
      <c r="F299" s="76">
        <v>0</v>
      </c>
      <c r="G299" s="76">
        <v>0</v>
      </c>
      <c r="H299" s="76">
        <v>0</v>
      </c>
      <c r="I299" s="76">
        <v>0</v>
      </c>
      <c r="J299" s="76">
        <v>0</v>
      </c>
    </row>
    <row r="300" spans="1:10" x14ac:dyDescent="0.3">
      <c r="A300" s="35" t="s">
        <v>76</v>
      </c>
      <c r="B300" s="35" t="s">
        <v>168</v>
      </c>
      <c r="C300" s="6">
        <f t="shared" si="4"/>
        <v>11</v>
      </c>
      <c r="D300" s="76">
        <v>0</v>
      </c>
      <c r="E300" s="76">
        <v>0</v>
      </c>
      <c r="F300" s="76">
        <v>0</v>
      </c>
      <c r="G300" s="76">
        <v>0</v>
      </c>
      <c r="H300" s="76">
        <v>0</v>
      </c>
      <c r="I300" s="76">
        <v>0</v>
      </c>
      <c r="J300" s="76">
        <v>0</v>
      </c>
    </row>
    <row r="301" spans="1:10" x14ac:dyDescent="0.3">
      <c r="A301" s="36" t="s">
        <v>76</v>
      </c>
      <c r="B301" s="36" t="s">
        <v>169</v>
      </c>
      <c r="C301" s="6">
        <f t="shared" si="4"/>
        <v>12</v>
      </c>
      <c r="D301" s="75">
        <v>0</v>
      </c>
      <c r="E301" s="75">
        <v>0</v>
      </c>
      <c r="F301" s="76">
        <v>0</v>
      </c>
      <c r="G301" s="76">
        <v>0</v>
      </c>
      <c r="H301" s="76">
        <v>0</v>
      </c>
      <c r="I301" s="76">
        <v>0</v>
      </c>
      <c r="J301" s="76">
        <v>0</v>
      </c>
    </row>
    <row r="302" spans="1:10" x14ac:dyDescent="0.3">
      <c r="A302" s="35" t="s">
        <v>47</v>
      </c>
      <c r="B302" s="35" t="s">
        <v>158</v>
      </c>
      <c r="C302" s="6">
        <f t="shared" si="4"/>
        <v>1</v>
      </c>
      <c r="D302" s="76">
        <v>0</v>
      </c>
      <c r="E302" s="76">
        <v>0</v>
      </c>
      <c r="F302" s="76">
        <v>0</v>
      </c>
      <c r="G302" s="76">
        <v>0</v>
      </c>
      <c r="H302" s="76">
        <v>0</v>
      </c>
      <c r="I302" s="76">
        <v>0</v>
      </c>
      <c r="J302" s="76">
        <v>0</v>
      </c>
    </row>
    <row r="303" spans="1:10" x14ac:dyDescent="0.3">
      <c r="A303" s="36" t="s">
        <v>47</v>
      </c>
      <c r="B303" s="36" t="s">
        <v>159</v>
      </c>
      <c r="C303" s="6">
        <f t="shared" si="4"/>
        <v>2</v>
      </c>
      <c r="D303" s="75">
        <v>0</v>
      </c>
      <c r="E303" s="75">
        <v>0</v>
      </c>
      <c r="F303" s="76">
        <v>0</v>
      </c>
      <c r="G303" s="76">
        <v>0</v>
      </c>
      <c r="H303" s="76">
        <v>0</v>
      </c>
      <c r="I303" s="76">
        <v>0</v>
      </c>
      <c r="J303" s="76">
        <v>0</v>
      </c>
    </row>
    <row r="304" spans="1:10" x14ac:dyDescent="0.3">
      <c r="A304" s="35" t="s">
        <v>47</v>
      </c>
      <c r="B304" s="35" t="s">
        <v>160</v>
      </c>
      <c r="C304" s="6">
        <f t="shared" si="4"/>
        <v>3</v>
      </c>
      <c r="D304" s="76">
        <v>0</v>
      </c>
      <c r="E304" s="76">
        <v>0</v>
      </c>
      <c r="F304" s="76">
        <v>0</v>
      </c>
      <c r="G304" s="76">
        <v>0</v>
      </c>
      <c r="H304" s="76">
        <v>0</v>
      </c>
      <c r="I304" s="76">
        <v>0</v>
      </c>
      <c r="J304" s="76">
        <v>0</v>
      </c>
    </row>
    <row r="305" spans="1:10" x14ac:dyDescent="0.3">
      <c r="A305" s="36" t="s">
        <v>47</v>
      </c>
      <c r="B305" s="36" t="s">
        <v>161</v>
      </c>
      <c r="C305" s="6">
        <f t="shared" si="4"/>
        <v>4</v>
      </c>
      <c r="D305" s="75">
        <v>0</v>
      </c>
      <c r="E305" s="75">
        <v>0</v>
      </c>
      <c r="F305" s="76">
        <v>0</v>
      </c>
      <c r="G305" s="76">
        <v>0</v>
      </c>
      <c r="H305" s="76">
        <v>0</v>
      </c>
      <c r="I305" s="76">
        <v>0</v>
      </c>
      <c r="J305" s="76">
        <v>0</v>
      </c>
    </row>
    <row r="306" spans="1:10" x14ac:dyDescent="0.3">
      <c r="A306" s="35" t="s">
        <v>47</v>
      </c>
      <c r="B306" s="35" t="s">
        <v>162</v>
      </c>
      <c r="C306" s="6">
        <f t="shared" si="4"/>
        <v>5</v>
      </c>
      <c r="D306" s="76">
        <v>0</v>
      </c>
      <c r="E306" s="76">
        <v>0</v>
      </c>
      <c r="F306" s="76">
        <v>0</v>
      </c>
      <c r="G306" s="76">
        <v>0</v>
      </c>
      <c r="H306" s="76">
        <v>0</v>
      </c>
      <c r="I306" s="76">
        <v>0</v>
      </c>
      <c r="J306" s="76">
        <v>0</v>
      </c>
    </row>
    <row r="307" spans="1:10" x14ac:dyDescent="0.3">
      <c r="A307" s="36" t="s">
        <v>47</v>
      </c>
      <c r="B307" s="36" t="s">
        <v>163</v>
      </c>
      <c r="C307" s="6">
        <f t="shared" si="4"/>
        <v>6</v>
      </c>
      <c r="D307" s="75">
        <v>0</v>
      </c>
      <c r="E307" s="75">
        <v>0</v>
      </c>
      <c r="F307" s="76">
        <v>0</v>
      </c>
      <c r="G307" s="76">
        <v>0</v>
      </c>
      <c r="H307" s="76">
        <v>0</v>
      </c>
      <c r="I307" s="76">
        <v>0</v>
      </c>
      <c r="J307" s="76">
        <v>0</v>
      </c>
    </row>
    <row r="308" spans="1:10" x14ac:dyDescent="0.3">
      <c r="A308" s="35" t="s">
        <v>47</v>
      </c>
      <c r="B308" s="35" t="s">
        <v>164</v>
      </c>
      <c r="C308" s="6">
        <f t="shared" si="4"/>
        <v>7</v>
      </c>
      <c r="D308" s="76">
        <v>0</v>
      </c>
      <c r="E308" s="76">
        <v>0</v>
      </c>
      <c r="F308" s="76">
        <v>0</v>
      </c>
      <c r="G308" s="76">
        <v>0</v>
      </c>
      <c r="H308" s="76">
        <v>0</v>
      </c>
      <c r="I308" s="76">
        <v>0</v>
      </c>
      <c r="J308" s="76">
        <v>0</v>
      </c>
    </row>
    <row r="309" spans="1:10" x14ac:dyDescent="0.3">
      <c r="A309" s="36" t="s">
        <v>47</v>
      </c>
      <c r="B309" s="36" t="s">
        <v>165</v>
      </c>
      <c r="C309" s="6">
        <f t="shared" si="4"/>
        <v>8</v>
      </c>
      <c r="D309" s="75">
        <v>0</v>
      </c>
      <c r="E309" s="75">
        <v>0</v>
      </c>
      <c r="F309" s="76">
        <v>0</v>
      </c>
      <c r="G309" s="76">
        <v>0</v>
      </c>
      <c r="H309" s="76">
        <v>0</v>
      </c>
      <c r="I309" s="76">
        <v>0</v>
      </c>
      <c r="J309" s="76">
        <v>0</v>
      </c>
    </row>
    <row r="310" spans="1:10" x14ac:dyDescent="0.3">
      <c r="A310" s="35" t="s">
        <v>47</v>
      </c>
      <c r="B310" s="35" t="s">
        <v>166</v>
      </c>
      <c r="C310" s="6">
        <f t="shared" si="4"/>
        <v>9</v>
      </c>
      <c r="D310" s="76">
        <v>0</v>
      </c>
      <c r="E310" s="76">
        <v>0</v>
      </c>
      <c r="F310" s="76">
        <v>0</v>
      </c>
      <c r="G310" s="76">
        <v>0</v>
      </c>
      <c r="H310" s="76">
        <v>0</v>
      </c>
      <c r="I310" s="76">
        <v>0</v>
      </c>
      <c r="J310" s="76">
        <v>0</v>
      </c>
    </row>
    <row r="311" spans="1:10" x14ac:dyDescent="0.3">
      <c r="A311" s="36" t="s">
        <v>47</v>
      </c>
      <c r="B311" s="36" t="s">
        <v>167</v>
      </c>
      <c r="C311" s="6">
        <f t="shared" si="4"/>
        <v>10</v>
      </c>
      <c r="D311" s="75">
        <v>0</v>
      </c>
      <c r="E311" s="75">
        <v>0</v>
      </c>
      <c r="F311" s="76">
        <v>0</v>
      </c>
      <c r="G311" s="76">
        <v>0</v>
      </c>
      <c r="H311" s="76">
        <v>0</v>
      </c>
      <c r="I311" s="76">
        <v>0</v>
      </c>
      <c r="J311" s="76">
        <v>0</v>
      </c>
    </row>
    <row r="312" spans="1:10" x14ac:dyDescent="0.3">
      <c r="A312" s="35" t="s">
        <v>47</v>
      </c>
      <c r="B312" s="35" t="s">
        <v>168</v>
      </c>
      <c r="C312" s="6">
        <f t="shared" si="4"/>
        <v>11</v>
      </c>
      <c r="D312" s="76">
        <v>0</v>
      </c>
      <c r="E312" s="76">
        <v>0</v>
      </c>
      <c r="F312" s="76">
        <v>0</v>
      </c>
      <c r="G312" s="76">
        <v>0</v>
      </c>
      <c r="H312" s="76">
        <v>0</v>
      </c>
      <c r="I312" s="76">
        <v>0</v>
      </c>
      <c r="J312" s="76">
        <v>0</v>
      </c>
    </row>
    <row r="313" spans="1:10" x14ac:dyDescent="0.3">
      <c r="A313" s="36" t="s">
        <v>47</v>
      </c>
      <c r="B313" s="36" t="s">
        <v>169</v>
      </c>
      <c r="C313" s="6">
        <f t="shared" si="4"/>
        <v>12</v>
      </c>
      <c r="D313" s="75">
        <v>0</v>
      </c>
      <c r="E313" s="75">
        <v>0</v>
      </c>
      <c r="F313" s="76">
        <v>0</v>
      </c>
      <c r="G313" s="76">
        <v>0</v>
      </c>
      <c r="H313" s="76">
        <v>0</v>
      </c>
      <c r="I313" s="76">
        <v>0</v>
      </c>
      <c r="J313" s="76">
        <v>0</v>
      </c>
    </row>
    <row r="314" spans="1:10" x14ac:dyDescent="0.3">
      <c r="A314" s="35" t="s">
        <v>37</v>
      </c>
      <c r="B314" s="35" t="s">
        <v>158</v>
      </c>
      <c r="C314" s="6">
        <f t="shared" si="4"/>
        <v>1</v>
      </c>
      <c r="D314" s="76">
        <v>0</v>
      </c>
      <c r="E314" s="76">
        <v>0</v>
      </c>
      <c r="F314" s="76">
        <v>0</v>
      </c>
      <c r="G314" s="76">
        <v>0</v>
      </c>
      <c r="H314" s="76">
        <v>0</v>
      </c>
      <c r="I314" s="76">
        <v>0</v>
      </c>
      <c r="J314" s="76">
        <v>0</v>
      </c>
    </row>
    <row r="315" spans="1:10" x14ac:dyDescent="0.3">
      <c r="A315" s="36" t="s">
        <v>37</v>
      </c>
      <c r="B315" s="36" t="s">
        <v>159</v>
      </c>
      <c r="C315" s="6">
        <f t="shared" si="4"/>
        <v>2</v>
      </c>
      <c r="D315" s="75">
        <v>0</v>
      </c>
      <c r="E315" s="75">
        <v>0</v>
      </c>
      <c r="F315" s="76">
        <v>0</v>
      </c>
      <c r="G315" s="76">
        <v>0</v>
      </c>
      <c r="H315" s="76">
        <v>0</v>
      </c>
      <c r="I315" s="76">
        <v>0</v>
      </c>
      <c r="J315" s="76">
        <v>0</v>
      </c>
    </row>
    <row r="316" spans="1:10" x14ac:dyDescent="0.3">
      <c r="A316" s="35" t="s">
        <v>37</v>
      </c>
      <c r="B316" s="35" t="s">
        <v>160</v>
      </c>
      <c r="C316" s="6">
        <f t="shared" si="4"/>
        <v>3</v>
      </c>
      <c r="D316" s="76">
        <v>0</v>
      </c>
      <c r="E316" s="76">
        <v>0</v>
      </c>
      <c r="F316" s="76">
        <v>0</v>
      </c>
      <c r="G316" s="76">
        <v>0</v>
      </c>
      <c r="H316" s="76">
        <v>0</v>
      </c>
      <c r="I316" s="76">
        <v>0</v>
      </c>
      <c r="J316" s="76">
        <v>0</v>
      </c>
    </row>
    <row r="317" spans="1:10" x14ac:dyDescent="0.3">
      <c r="A317" s="36" t="s">
        <v>37</v>
      </c>
      <c r="B317" s="36" t="s">
        <v>161</v>
      </c>
      <c r="C317" s="6">
        <f t="shared" si="4"/>
        <v>4</v>
      </c>
      <c r="D317" s="75">
        <v>0</v>
      </c>
      <c r="E317" s="75">
        <v>0</v>
      </c>
      <c r="F317" s="76">
        <v>0</v>
      </c>
      <c r="G317" s="76">
        <v>0</v>
      </c>
      <c r="H317" s="76">
        <v>0</v>
      </c>
      <c r="I317" s="76">
        <v>0</v>
      </c>
      <c r="J317" s="76">
        <v>0</v>
      </c>
    </row>
    <row r="318" spans="1:10" x14ac:dyDescent="0.3">
      <c r="A318" s="35" t="s">
        <v>37</v>
      </c>
      <c r="B318" s="35" t="s">
        <v>162</v>
      </c>
      <c r="C318" s="6">
        <f t="shared" si="4"/>
        <v>5</v>
      </c>
      <c r="D318" s="76">
        <v>0</v>
      </c>
      <c r="E318" s="76">
        <v>0</v>
      </c>
      <c r="F318" s="76">
        <v>0</v>
      </c>
      <c r="G318" s="76">
        <v>0</v>
      </c>
      <c r="H318" s="76">
        <v>0</v>
      </c>
      <c r="I318" s="76">
        <v>0</v>
      </c>
      <c r="J318" s="76">
        <v>0</v>
      </c>
    </row>
    <row r="319" spans="1:10" x14ac:dyDescent="0.3">
      <c r="A319" s="36" t="s">
        <v>37</v>
      </c>
      <c r="B319" s="36" t="s">
        <v>163</v>
      </c>
      <c r="C319" s="6">
        <f t="shared" si="4"/>
        <v>6</v>
      </c>
      <c r="D319" s="75">
        <v>0</v>
      </c>
      <c r="E319" s="75">
        <v>0</v>
      </c>
      <c r="F319" s="76">
        <v>0</v>
      </c>
      <c r="G319" s="76">
        <v>0</v>
      </c>
      <c r="H319" s="76">
        <v>0</v>
      </c>
      <c r="I319" s="76">
        <v>0</v>
      </c>
      <c r="J319" s="76">
        <v>0</v>
      </c>
    </row>
    <row r="320" spans="1:10" x14ac:dyDescent="0.3">
      <c r="A320" s="35" t="s">
        <v>37</v>
      </c>
      <c r="B320" s="35" t="s">
        <v>164</v>
      </c>
      <c r="C320" s="6">
        <f t="shared" si="4"/>
        <v>7</v>
      </c>
      <c r="D320" s="76">
        <v>0</v>
      </c>
      <c r="E320" s="76">
        <v>0</v>
      </c>
      <c r="F320" s="76">
        <v>0</v>
      </c>
      <c r="G320" s="76">
        <v>0</v>
      </c>
      <c r="H320" s="76">
        <v>0</v>
      </c>
      <c r="I320" s="76">
        <v>0</v>
      </c>
      <c r="J320" s="76">
        <v>0</v>
      </c>
    </row>
    <row r="321" spans="1:10" x14ac:dyDescent="0.3">
      <c r="A321" s="36" t="s">
        <v>37</v>
      </c>
      <c r="B321" s="36" t="s">
        <v>165</v>
      </c>
      <c r="C321" s="6">
        <f t="shared" si="4"/>
        <v>8</v>
      </c>
      <c r="D321" s="75">
        <v>0</v>
      </c>
      <c r="E321" s="75">
        <v>0</v>
      </c>
      <c r="F321" s="76">
        <v>0</v>
      </c>
      <c r="G321" s="76">
        <v>0</v>
      </c>
      <c r="H321" s="76">
        <v>0</v>
      </c>
      <c r="I321" s="76">
        <v>0</v>
      </c>
      <c r="J321" s="76">
        <v>0</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0</v>
      </c>
      <c r="I322" s="76">
        <v>0</v>
      </c>
      <c r="J322" s="76">
        <v>0</v>
      </c>
    </row>
    <row r="323" spans="1:10" x14ac:dyDescent="0.3">
      <c r="A323" s="36" t="s">
        <v>37</v>
      </c>
      <c r="B323" s="36" t="s">
        <v>167</v>
      </c>
      <c r="C323" s="6">
        <f t="shared" si="5"/>
        <v>10</v>
      </c>
      <c r="D323" s="75">
        <v>0</v>
      </c>
      <c r="E323" s="75">
        <v>0</v>
      </c>
      <c r="F323" s="76">
        <v>0</v>
      </c>
      <c r="G323" s="76">
        <v>0</v>
      </c>
      <c r="H323" s="76">
        <v>0</v>
      </c>
      <c r="I323" s="76">
        <v>0</v>
      </c>
      <c r="J323" s="76">
        <v>0</v>
      </c>
    </row>
    <row r="324" spans="1:10" x14ac:dyDescent="0.3">
      <c r="A324" s="35" t="s">
        <v>37</v>
      </c>
      <c r="B324" s="35" t="s">
        <v>168</v>
      </c>
      <c r="C324" s="6">
        <f t="shared" si="5"/>
        <v>11</v>
      </c>
      <c r="D324" s="76">
        <v>0</v>
      </c>
      <c r="E324" s="76">
        <v>0</v>
      </c>
      <c r="F324" s="76">
        <v>0</v>
      </c>
      <c r="G324" s="76">
        <v>0</v>
      </c>
      <c r="H324" s="76">
        <v>0</v>
      </c>
      <c r="I324" s="76">
        <v>0</v>
      </c>
      <c r="J324" s="76">
        <v>0</v>
      </c>
    </row>
    <row r="325" spans="1:10" x14ac:dyDescent="0.3">
      <c r="A325" s="36" t="s">
        <v>37</v>
      </c>
      <c r="B325" s="36" t="s">
        <v>169</v>
      </c>
      <c r="C325" s="6">
        <f t="shared" si="5"/>
        <v>12</v>
      </c>
      <c r="D325" s="75">
        <v>0</v>
      </c>
      <c r="E325" s="75">
        <v>0</v>
      </c>
      <c r="F325" s="76">
        <v>0</v>
      </c>
      <c r="G325" s="76">
        <v>0</v>
      </c>
      <c r="H325" s="76">
        <v>0</v>
      </c>
      <c r="I325" s="76">
        <v>0</v>
      </c>
      <c r="J325" s="76">
        <v>0</v>
      </c>
    </row>
    <row r="326" spans="1:10" x14ac:dyDescent="0.3">
      <c r="A326" s="35" t="s">
        <v>86</v>
      </c>
      <c r="B326" s="35" t="s">
        <v>158</v>
      </c>
      <c r="C326" s="6">
        <f t="shared" si="5"/>
        <v>1</v>
      </c>
      <c r="D326" s="76">
        <v>0</v>
      </c>
      <c r="E326" s="76">
        <v>0</v>
      </c>
      <c r="F326" s="76">
        <v>0</v>
      </c>
      <c r="G326" s="76">
        <v>0</v>
      </c>
      <c r="H326" s="76">
        <v>0</v>
      </c>
      <c r="I326" s="76">
        <v>0</v>
      </c>
      <c r="J326" s="76">
        <v>0</v>
      </c>
    </row>
    <row r="327" spans="1:10" x14ac:dyDescent="0.3">
      <c r="A327" s="36" t="s">
        <v>86</v>
      </c>
      <c r="B327" s="36" t="s">
        <v>159</v>
      </c>
      <c r="C327" s="6">
        <f t="shared" si="5"/>
        <v>2</v>
      </c>
      <c r="D327" s="75">
        <v>0</v>
      </c>
      <c r="E327" s="75">
        <v>0</v>
      </c>
      <c r="F327" s="76">
        <v>0</v>
      </c>
      <c r="G327" s="76">
        <v>0</v>
      </c>
      <c r="H327" s="76">
        <v>0</v>
      </c>
      <c r="I327" s="76">
        <v>0</v>
      </c>
      <c r="J327" s="76">
        <v>0</v>
      </c>
    </row>
    <row r="328" spans="1:10" x14ac:dyDescent="0.3">
      <c r="A328" s="35" t="s">
        <v>86</v>
      </c>
      <c r="B328" s="35" t="s">
        <v>160</v>
      </c>
      <c r="C328" s="6">
        <f t="shared" si="5"/>
        <v>3</v>
      </c>
      <c r="D328" s="76">
        <v>7</v>
      </c>
      <c r="E328" s="76">
        <v>58</v>
      </c>
      <c r="F328" s="76">
        <v>0</v>
      </c>
      <c r="G328" s="76">
        <v>0</v>
      </c>
      <c r="H328" s="76">
        <v>0</v>
      </c>
      <c r="I328" s="76">
        <v>0</v>
      </c>
      <c r="J328" s="76">
        <v>1</v>
      </c>
    </row>
    <row r="329" spans="1:10" x14ac:dyDescent="0.3">
      <c r="A329" s="36" t="s">
        <v>86</v>
      </c>
      <c r="B329" s="36" t="s">
        <v>161</v>
      </c>
      <c r="C329" s="6">
        <f t="shared" si="5"/>
        <v>4</v>
      </c>
      <c r="D329" s="75">
        <v>0</v>
      </c>
      <c r="E329" s="75">
        <v>0</v>
      </c>
      <c r="F329" s="76">
        <v>0</v>
      </c>
      <c r="G329" s="76">
        <v>0</v>
      </c>
      <c r="H329" s="76">
        <v>0</v>
      </c>
      <c r="I329" s="76">
        <v>0</v>
      </c>
      <c r="J329" s="76">
        <v>0</v>
      </c>
    </row>
    <row r="330" spans="1:10" x14ac:dyDescent="0.3">
      <c r="A330" s="35" t="s">
        <v>86</v>
      </c>
      <c r="B330" s="35" t="s">
        <v>162</v>
      </c>
      <c r="C330" s="6">
        <f t="shared" si="5"/>
        <v>5</v>
      </c>
      <c r="D330" s="76">
        <v>0</v>
      </c>
      <c r="E330" s="76">
        <v>0</v>
      </c>
      <c r="F330" s="76">
        <v>0</v>
      </c>
      <c r="G330" s="76">
        <v>0</v>
      </c>
      <c r="H330" s="76">
        <v>0</v>
      </c>
      <c r="I330" s="76">
        <v>0</v>
      </c>
      <c r="J330" s="76">
        <v>0</v>
      </c>
    </row>
    <row r="331" spans="1:10" x14ac:dyDescent="0.3">
      <c r="A331" s="36" t="s">
        <v>86</v>
      </c>
      <c r="B331" s="36" t="s">
        <v>163</v>
      </c>
      <c r="C331" s="6">
        <f t="shared" si="5"/>
        <v>6</v>
      </c>
      <c r="D331" s="75">
        <v>0</v>
      </c>
      <c r="E331" s="75">
        <v>0</v>
      </c>
      <c r="F331" s="76">
        <v>0</v>
      </c>
      <c r="G331" s="76">
        <v>0</v>
      </c>
      <c r="H331" s="76">
        <v>0</v>
      </c>
      <c r="I331" s="76">
        <v>0</v>
      </c>
      <c r="J331" s="76">
        <v>0</v>
      </c>
    </row>
    <row r="332" spans="1:10" x14ac:dyDescent="0.3">
      <c r="A332" s="35" t="s">
        <v>86</v>
      </c>
      <c r="B332" s="35" t="s">
        <v>164</v>
      </c>
      <c r="C332" s="6">
        <f t="shared" si="5"/>
        <v>7</v>
      </c>
      <c r="D332" s="76">
        <v>0</v>
      </c>
      <c r="E332" s="76">
        <v>0</v>
      </c>
      <c r="F332" s="76">
        <v>0</v>
      </c>
      <c r="G332" s="76">
        <v>0</v>
      </c>
      <c r="H332" s="76">
        <v>0</v>
      </c>
      <c r="I332" s="76">
        <v>0</v>
      </c>
      <c r="J332" s="76">
        <v>0</v>
      </c>
    </row>
    <row r="333" spans="1:10" x14ac:dyDescent="0.3">
      <c r="A333" s="36" t="s">
        <v>86</v>
      </c>
      <c r="B333" s="36" t="s">
        <v>165</v>
      </c>
      <c r="C333" s="6">
        <f t="shared" si="5"/>
        <v>8</v>
      </c>
      <c r="D333" s="75">
        <v>0</v>
      </c>
      <c r="E333" s="75">
        <v>0</v>
      </c>
      <c r="F333" s="76">
        <v>0</v>
      </c>
      <c r="G333" s="76">
        <v>0</v>
      </c>
      <c r="H333" s="76">
        <v>0</v>
      </c>
      <c r="I333" s="76">
        <v>0</v>
      </c>
      <c r="J333" s="76">
        <v>0</v>
      </c>
    </row>
    <row r="334" spans="1:10" x14ac:dyDescent="0.3">
      <c r="A334" s="35" t="s">
        <v>86</v>
      </c>
      <c r="B334" s="35" t="s">
        <v>166</v>
      </c>
      <c r="C334" s="6">
        <f t="shared" si="5"/>
        <v>9</v>
      </c>
      <c r="D334" s="76">
        <v>0</v>
      </c>
      <c r="E334" s="76">
        <v>0</v>
      </c>
      <c r="F334" s="76">
        <v>0</v>
      </c>
      <c r="G334" s="76">
        <v>0</v>
      </c>
      <c r="H334" s="76">
        <v>0</v>
      </c>
      <c r="I334" s="76">
        <v>0</v>
      </c>
      <c r="J334" s="76">
        <v>0</v>
      </c>
    </row>
    <row r="335" spans="1:10" x14ac:dyDescent="0.3">
      <c r="A335" s="36" t="s">
        <v>86</v>
      </c>
      <c r="B335" s="36" t="s">
        <v>167</v>
      </c>
      <c r="C335" s="6">
        <f t="shared" si="5"/>
        <v>10</v>
      </c>
      <c r="D335" s="75">
        <v>0</v>
      </c>
      <c r="E335" s="75">
        <v>0</v>
      </c>
      <c r="F335" s="76">
        <v>0</v>
      </c>
      <c r="G335" s="76">
        <v>0</v>
      </c>
      <c r="H335" s="76">
        <v>0</v>
      </c>
      <c r="I335" s="76">
        <v>0</v>
      </c>
      <c r="J335" s="76">
        <v>0</v>
      </c>
    </row>
    <row r="336" spans="1:10" x14ac:dyDescent="0.3">
      <c r="A336" s="35" t="s">
        <v>86</v>
      </c>
      <c r="B336" s="35" t="s">
        <v>168</v>
      </c>
      <c r="C336" s="6">
        <f t="shared" si="5"/>
        <v>11</v>
      </c>
      <c r="D336" s="76">
        <v>0</v>
      </c>
      <c r="E336" s="76">
        <v>0</v>
      </c>
      <c r="F336" s="76">
        <v>0</v>
      </c>
      <c r="G336" s="76">
        <v>0</v>
      </c>
      <c r="H336" s="76">
        <v>0</v>
      </c>
      <c r="I336" s="76">
        <v>0</v>
      </c>
      <c r="J336" s="76">
        <v>0</v>
      </c>
    </row>
    <row r="337" spans="1:10" x14ac:dyDescent="0.3">
      <c r="A337" s="36" t="s">
        <v>86</v>
      </c>
      <c r="B337" s="36" t="s">
        <v>169</v>
      </c>
      <c r="C337" s="6">
        <f t="shared" si="5"/>
        <v>12</v>
      </c>
      <c r="D337" s="75">
        <v>0</v>
      </c>
      <c r="E337" s="75">
        <v>0</v>
      </c>
      <c r="F337" s="76">
        <v>0</v>
      </c>
      <c r="G337" s="76">
        <v>0</v>
      </c>
      <c r="H337" s="76">
        <v>0</v>
      </c>
      <c r="I337" s="76">
        <v>0</v>
      </c>
      <c r="J337" s="76">
        <v>0</v>
      </c>
    </row>
    <row r="338" spans="1:10" x14ac:dyDescent="0.3">
      <c r="A338" s="35" t="s">
        <v>65</v>
      </c>
      <c r="B338" s="35" t="s">
        <v>158</v>
      </c>
      <c r="C338" s="6">
        <f t="shared" si="5"/>
        <v>1</v>
      </c>
      <c r="D338" s="76">
        <v>0</v>
      </c>
      <c r="E338" s="76">
        <v>0</v>
      </c>
      <c r="F338" s="76">
        <v>0</v>
      </c>
      <c r="G338" s="76">
        <v>0</v>
      </c>
      <c r="H338" s="76">
        <v>0</v>
      </c>
      <c r="I338" s="76">
        <v>0</v>
      </c>
      <c r="J338" s="76">
        <v>0</v>
      </c>
    </row>
    <row r="339" spans="1:10" x14ac:dyDescent="0.3">
      <c r="A339" s="36" t="s">
        <v>65</v>
      </c>
      <c r="B339" s="36" t="s">
        <v>159</v>
      </c>
      <c r="C339" s="6">
        <f t="shared" si="5"/>
        <v>2</v>
      </c>
      <c r="D339" s="75">
        <v>0</v>
      </c>
      <c r="E339" s="75">
        <v>0</v>
      </c>
      <c r="F339" s="76">
        <v>0</v>
      </c>
      <c r="G339" s="76">
        <v>0</v>
      </c>
      <c r="H339" s="76">
        <v>0</v>
      </c>
      <c r="I339" s="76">
        <v>0</v>
      </c>
      <c r="J339" s="76">
        <v>0</v>
      </c>
    </row>
    <row r="340" spans="1:10" x14ac:dyDescent="0.3">
      <c r="A340" s="35" t="s">
        <v>65</v>
      </c>
      <c r="B340" s="35" t="s">
        <v>160</v>
      </c>
      <c r="C340" s="6">
        <f t="shared" si="5"/>
        <v>3</v>
      </c>
      <c r="D340" s="76">
        <v>0</v>
      </c>
      <c r="E340" s="76">
        <v>0</v>
      </c>
      <c r="F340" s="76">
        <v>0</v>
      </c>
      <c r="G340" s="76">
        <v>0</v>
      </c>
      <c r="H340" s="76">
        <v>0</v>
      </c>
      <c r="I340" s="76">
        <v>0</v>
      </c>
      <c r="J340" s="76">
        <v>0</v>
      </c>
    </row>
    <row r="341" spans="1:10" x14ac:dyDescent="0.3">
      <c r="A341" s="36" t="s">
        <v>65</v>
      </c>
      <c r="B341" s="36" t="s">
        <v>161</v>
      </c>
      <c r="C341" s="6">
        <f t="shared" si="5"/>
        <v>4</v>
      </c>
      <c r="D341" s="75">
        <v>0</v>
      </c>
      <c r="E341" s="75">
        <v>0</v>
      </c>
      <c r="F341" s="76">
        <v>0</v>
      </c>
      <c r="G341" s="76">
        <v>0</v>
      </c>
      <c r="H341" s="76">
        <v>0</v>
      </c>
      <c r="I341" s="76">
        <v>0</v>
      </c>
      <c r="J341" s="76">
        <v>0</v>
      </c>
    </row>
    <row r="342" spans="1:10" x14ac:dyDescent="0.3">
      <c r="A342" s="35" t="s">
        <v>65</v>
      </c>
      <c r="B342" s="35" t="s">
        <v>162</v>
      </c>
      <c r="C342" s="6">
        <f t="shared" si="5"/>
        <v>5</v>
      </c>
      <c r="D342" s="76">
        <v>0</v>
      </c>
      <c r="E342" s="76">
        <v>0</v>
      </c>
      <c r="F342" s="76">
        <v>0</v>
      </c>
      <c r="G342" s="76">
        <v>0</v>
      </c>
      <c r="H342" s="76">
        <v>0</v>
      </c>
      <c r="I342" s="76">
        <v>0</v>
      </c>
      <c r="J342" s="76">
        <v>0</v>
      </c>
    </row>
    <row r="343" spans="1:10" x14ac:dyDescent="0.3">
      <c r="A343" s="36" t="s">
        <v>65</v>
      </c>
      <c r="B343" s="36" t="s">
        <v>163</v>
      </c>
      <c r="C343" s="6">
        <f t="shared" si="5"/>
        <v>6</v>
      </c>
      <c r="D343" s="75">
        <v>0</v>
      </c>
      <c r="E343" s="75">
        <v>0</v>
      </c>
      <c r="F343" s="76">
        <v>0</v>
      </c>
      <c r="G343" s="76">
        <v>0</v>
      </c>
      <c r="H343" s="76">
        <v>0</v>
      </c>
      <c r="I343" s="76">
        <v>0</v>
      </c>
      <c r="J343" s="76">
        <v>0</v>
      </c>
    </row>
    <row r="344" spans="1:10" x14ac:dyDescent="0.3">
      <c r="A344" s="35" t="s">
        <v>65</v>
      </c>
      <c r="B344" s="35" t="s">
        <v>164</v>
      </c>
      <c r="C344" s="6">
        <f t="shared" si="5"/>
        <v>7</v>
      </c>
      <c r="D344" s="76">
        <v>0</v>
      </c>
      <c r="E344" s="76">
        <v>0</v>
      </c>
      <c r="F344" s="76">
        <v>0</v>
      </c>
      <c r="G344" s="76">
        <v>0</v>
      </c>
      <c r="H344" s="76">
        <v>0</v>
      </c>
      <c r="I344" s="76">
        <v>0</v>
      </c>
      <c r="J344" s="76">
        <v>0</v>
      </c>
    </row>
    <row r="345" spans="1:10" x14ac:dyDescent="0.3">
      <c r="A345" s="36" t="s">
        <v>65</v>
      </c>
      <c r="B345" s="36" t="s">
        <v>165</v>
      </c>
      <c r="C345" s="6">
        <f t="shared" si="5"/>
        <v>8</v>
      </c>
      <c r="D345" s="75">
        <v>0</v>
      </c>
      <c r="E345" s="75">
        <v>0</v>
      </c>
      <c r="F345" s="76">
        <v>0</v>
      </c>
      <c r="G345" s="76">
        <v>0</v>
      </c>
      <c r="H345" s="76">
        <v>0</v>
      </c>
      <c r="I345" s="76">
        <v>0</v>
      </c>
      <c r="J345" s="76">
        <v>0</v>
      </c>
    </row>
    <row r="346" spans="1:10" x14ac:dyDescent="0.3">
      <c r="A346" s="35" t="s">
        <v>65</v>
      </c>
      <c r="B346" s="35" t="s">
        <v>166</v>
      </c>
      <c r="C346" s="6">
        <f t="shared" si="5"/>
        <v>9</v>
      </c>
      <c r="D346" s="76">
        <v>0</v>
      </c>
      <c r="E346" s="76">
        <v>0</v>
      </c>
      <c r="F346" s="76">
        <v>0</v>
      </c>
      <c r="G346" s="76">
        <v>0</v>
      </c>
      <c r="H346" s="76">
        <v>0</v>
      </c>
      <c r="I346" s="76">
        <v>0</v>
      </c>
      <c r="J346" s="76">
        <v>0</v>
      </c>
    </row>
    <row r="347" spans="1:10" x14ac:dyDescent="0.3">
      <c r="A347" s="36" t="s">
        <v>65</v>
      </c>
      <c r="B347" s="36" t="s">
        <v>167</v>
      </c>
      <c r="C347" s="6">
        <f t="shared" si="5"/>
        <v>10</v>
      </c>
      <c r="D347" s="75">
        <v>0</v>
      </c>
      <c r="E347" s="75">
        <v>0</v>
      </c>
      <c r="F347" s="76">
        <v>0</v>
      </c>
      <c r="G347" s="76">
        <v>0</v>
      </c>
      <c r="H347" s="76">
        <v>0</v>
      </c>
      <c r="I347" s="76">
        <v>0</v>
      </c>
      <c r="J347" s="76">
        <v>0</v>
      </c>
    </row>
    <row r="348" spans="1:10" x14ac:dyDescent="0.3">
      <c r="A348" s="35" t="s">
        <v>65</v>
      </c>
      <c r="B348" s="35" t="s">
        <v>168</v>
      </c>
      <c r="C348" s="6">
        <f t="shared" si="5"/>
        <v>11</v>
      </c>
      <c r="D348" s="76">
        <v>0</v>
      </c>
      <c r="E348" s="76">
        <v>0</v>
      </c>
      <c r="F348" s="76">
        <v>0</v>
      </c>
      <c r="G348" s="76">
        <v>0</v>
      </c>
      <c r="H348" s="76">
        <v>0</v>
      </c>
      <c r="I348" s="76">
        <v>0</v>
      </c>
      <c r="J348" s="76">
        <v>0</v>
      </c>
    </row>
    <row r="349" spans="1:10" x14ac:dyDescent="0.3">
      <c r="A349" s="36" t="s">
        <v>65</v>
      </c>
      <c r="B349" s="36" t="s">
        <v>169</v>
      </c>
      <c r="C349" s="6">
        <f t="shared" si="5"/>
        <v>12</v>
      </c>
      <c r="D349" s="75">
        <v>0</v>
      </c>
      <c r="E349" s="75">
        <v>0</v>
      </c>
      <c r="F349" s="76">
        <v>0</v>
      </c>
      <c r="G349" s="76">
        <v>0</v>
      </c>
      <c r="H349" s="76">
        <v>0</v>
      </c>
      <c r="I349" s="76">
        <v>0</v>
      </c>
      <c r="J349" s="76">
        <v>0</v>
      </c>
    </row>
    <row r="350" spans="1:10" x14ac:dyDescent="0.3">
      <c r="A350" s="35" t="s">
        <v>142</v>
      </c>
      <c r="B350" s="35" t="s">
        <v>158</v>
      </c>
      <c r="C350" s="6">
        <f t="shared" si="5"/>
        <v>1</v>
      </c>
      <c r="D350" s="76">
        <v>0</v>
      </c>
      <c r="E350" s="76">
        <v>0</v>
      </c>
      <c r="F350" s="76">
        <v>0</v>
      </c>
      <c r="G350" s="76">
        <v>0</v>
      </c>
      <c r="H350" s="76">
        <v>0</v>
      </c>
      <c r="I350" s="76">
        <v>0</v>
      </c>
      <c r="J350" s="76">
        <v>0</v>
      </c>
    </row>
    <row r="351" spans="1:10" x14ac:dyDescent="0.3">
      <c r="A351" s="36" t="s">
        <v>142</v>
      </c>
      <c r="B351" s="36" t="s">
        <v>159</v>
      </c>
      <c r="C351" s="6">
        <f t="shared" si="5"/>
        <v>2</v>
      </c>
      <c r="D351" s="75">
        <v>0</v>
      </c>
      <c r="E351" s="75">
        <v>0</v>
      </c>
      <c r="F351" s="76">
        <v>0</v>
      </c>
      <c r="G351" s="76">
        <v>0</v>
      </c>
      <c r="H351" s="76">
        <v>0</v>
      </c>
      <c r="I351" s="76">
        <v>0</v>
      </c>
      <c r="J351" s="76">
        <v>0</v>
      </c>
    </row>
    <row r="352" spans="1:10" x14ac:dyDescent="0.3">
      <c r="A352" s="35" t="s">
        <v>142</v>
      </c>
      <c r="B352" s="35" t="s">
        <v>160</v>
      </c>
      <c r="C352" s="6">
        <f t="shared" si="5"/>
        <v>3</v>
      </c>
      <c r="D352" s="76">
        <v>0</v>
      </c>
      <c r="E352" s="76">
        <v>0</v>
      </c>
      <c r="F352" s="76">
        <v>0</v>
      </c>
      <c r="G352" s="76">
        <v>0</v>
      </c>
      <c r="H352" s="76">
        <v>0</v>
      </c>
      <c r="I352" s="76">
        <v>0</v>
      </c>
      <c r="J352" s="76">
        <v>0</v>
      </c>
    </row>
    <row r="353" spans="1:10" x14ac:dyDescent="0.3">
      <c r="A353" s="36" t="s">
        <v>142</v>
      </c>
      <c r="B353" s="36" t="s">
        <v>161</v>
      </c>
      <c r="C353" s="6">
        <f t="shared" si="5"/>
        <v>4</v>
      </c>
      <c r="D353" s="75">
        <v>0</v>
      </c>
      <c r="E353" s="75">
        <v>0</v>
      </c>
      <c r="F353" s="76">
        <v>0</v>
      </c>
      <c r="G353" s="76">
        <v>0</v>
      </c>
      <c r="H353" s="76">
        <v>0</v>
      </c>
      <c r="I353" s="76">
        <v>0</v>
      </c>
      <c r="J353" s="76">
        <v>0</v>
      </c>
    </row>
    <row r="354" spans="1:10" x14ac:dyDescent="0.3">
      <c r="A354" s="35" t="s">
        <v>142</v>
      </c>
      <c r="B354" s="35" t="s">
        <v>162</v>
      </c>
      <c r="C354" s="6">
        <f t="shared" si="5"/>
        <v>5</v>
      </c>
      <c r="D354" s="76">
        <v>5</v>
      </c>
      <c r="E354" s="76">
        <v>62</v>
      </c>
      <c r="F354" s="76">
        <v>0</v>
      </c>
      <c r="G354" s="76">
        <v>0</v>
      </c>
      <c r="H354" s="76">
        <v>0</v>
      </c>
      <c r="I354" s="76">
        <v>0</v>
      </c>
      <c r="J354" s="76">
        <v>1</v>
      </c>
    </row>
    <row r="355" spans="1:10" x14ac:dyDescent="0.3">
      <c r="A355" s="36" t="s">
        <v>142</v>
      </c>
      <c r="B355" s="36" t="s">
        <v>163</v>
      </c>
      <c r="C355" s="6">
        <f t="shared" si="5"/>
        <v>6</v>
      </c>
      <c r="D355" s="75">
        <v>0</v>
      </c>
      <c r="E355" s="75">
        <v>0</v>
      </c>
      <c r="F355" s="76">
        <v>0</v>
      </c>
      <c r="G355" s="76">
        <v>0</v>
      </c>
      <c r="H355" s="76">
        <v>0</v>
      </c>
      <c r="I355" s="76">
        <v>0</v>
      </c>
      <c r="J355" s="76">
        <v>0</v>
      </c>
    </row>
    <row r="356" spans="1:10" x14ac:dyDescent="0.3">
      <c r="A356" s="35" t="s">
        <v>142</v>
      </c>
      <c r="B356" s="35" t="s">
        <v>164</v>
      </c>
      <c r="C356" s="6">
        <f t="shared" si="5"/>
        <v>7</v>
      </c>
      <c r="D356" s="76">
        <v>0</v>
      </c>
      <c r="E356" s="76">
        <v>0</v>
      </c>
      <c r="F356" s="76">
        <v>0</v>
      </c>
      <c r="G356" s="76">
        <v>0</v>
      </c>
      <c r="H356" s="76">
        <v>0</v>
      </c>
      <c r="I356" s="76">
        <v>0</v>
      </c>
      <c r="J356" s="76">
        <v>0</v>
      </c>
    </row>
    <row r="357" spans="1:10" x14ac:dyDescent="0.3">
      <c r="A357" s="36" t="s">
        <v>142</v>
      </c>
      <c r="B357" s="36" t="s">
        <v>165</v>
      </c>
      <c r="C357" s="6">
        <f t="shared" si="5"/>
        <v>8</v>
      </c>
      <c r="D357" s="75">
        <v>0</v>
      </c>
      <c r="E357" s="75">
        <v>0</v>
      </c>
      <c r="F357" s="76">
        <v>0</v>
      </c>
      <c r="G357" s="76">
        <v>0</v>
      </c>
      <c r="H357" s="76">
        <v>0</v>
      </c>
      <c r="I357" s="76">
        <v>0</v>
      </c>
      <c r="J357" s="76">
        <v>0</v>
      </c>
    </row>
    <row r="358" spans="1:10" x14ac:dyDescent="0.3">
      <c r="A358" s="35" t="s">
        <v>142</v>
      </c>
      <c r="B358" s="35" t="s">
        <v>166</v>
      </c>
      <c r="C358" s="6">
        <f t="shared" si="5"/>
        <v>9</v>
      </c>
      <c r="D358" s="76">
        <v>0</v>
      </c>
      <c r="E358" s="76">
        <v>0</v>
      </c>
      <c r="F358" s="76">
        <v>0</v>
      </c>
      <c r="G358" s="76">
        <v>0</v>
      </c>
      <c r="H358" s="76">
        <v>0</v>
      </c>
      <c r="I358" s="76">
        <v>0</v>
      </c>
      <c r="J358" s="76">
        <v>0</v>
      </c>
    </row>
    <row r="359" spans="1:10" x14ac:dyDescent="0.3">
      <c r="A359" s="36" t="s">
        <v>142</v>
      </c>
      <c r="B359" s="36" t="s">
        <v>167</v>
      </c>
      <c r="C359" s="6">
        <f t="shared" si="5"/>
        <v>10</v>
      </c>
      <c r="D359" s="75">
        <v>0</v>
      </c>
      <c r="E359" s="75">
        <v>0</v>
      </c>
      <c r="F359" s="76">
        <v>0</v>
      </c>
      <c r="G359" s="76">
        <v>0</v>
      </c>
      <c r="H359" s="76">
        <v>0</v>
      </c>
      <c r="I359" s="76">
        <v>0</v>
      </c>
      <c r="J359" s="76">
        <v>0</v>
      </c>
    </row>
    <row r="360" spans="1:10" x14ac:dyDescent="0.3">
      <c r="A360" s="35" t="s">
        <v>142</v>
      </c>
      <c r="B360" s="35" t="s">
        <v>168</v>
      </c>
      <c r="C360" s="6">
        <f t="shared" si="5"/>
        <v>11</v>
      </c>
      <c r="D360" s="76">
        <v>0</v>
      </c>
      <c r="E360" s="76">
        <v>0</v>
      </c>
      <c r="F360" s="76">
        <v>0</v>
      </c>
      <c r="G360" s="76">
        <v>0</v>
      </c>
      <c r="H360" s="76">
        <v>0</v>
      </c>
      <c r="I360" s="76">
        <v>0</v>
      </c>
      <c r="J360" s="76">
        <v>0</v>
      </c>
    </row>
    <row r="361" spans="1:10" x14ac:dyDescent="0.3">
      <c r="A361" s="36" t="s">
        <v>142</v>
      </c>
      <c r="B361" s="36" t="s">
        <v>169</v>
      </c>
      <c r="C361" s="6">
        <f t="shared" si="5"/>
        <v>12</v>
      </c>
      <c r="D361" s="75">
        <v>0</v>
      </c>
      <c r="E361" s="75">
        <v>0</v>
      </c>
      <c r="F361" s="76">
        <v>0</v>
      </c>
      <c r="G361" s="76">
        <v>0</v>
      </c>
      <c r="H361" s="76">
        <v>0</v>
      </c>
      <c r="I361" s="76">
        <v>0</v>
      </c>
      <c r="J361" s="76">
        <v>0</v>
      </c>
    </row>
    <row r="362" spans="1:10" x14ac:dyDescent="0.3">
      <c r="A362" s="35" t="s">
        <v>107</v>
      </c>
      <c r="B362" s="35" t="s">
        <v>158</v>
      </c>
      <c r="C362" s="6">
        <f t="shared" si="5"/>
        <v>1</v>
      </c>
      <c r="D362" s="76">
        <v>0</v>
      </c>
      <c r="E362" s="76">
        <v>0</v>
      </c>
      <c r="F362" s="76">
        <v>0</v>
      </c>
      <c r="G362" s="76">
        <v>0</v>
      </c>
      <c r="H362" s="76">
        <v>0</v>
      </c>
      <c r="I362" s="76">
        <v>0</v>
      </c>
      <c r="J362" s="76">
        <v>0</v>
      </c>
    </row>
    <row r="363" spans="1:10" x14ac:dyDescent="0.3">
      <c r="A363" s="36" t="s">
        <v>107</v>
      </c>
      <c r="B363" s="36" t="s">
        <v>159</v>
      </c>
      <c r="C363" s="6">
        <f t="shared" si="5"/>
        <v>2</v>
      </c>
      <c r="D363" s="75">
        <v>3</v>
      </c>
      <c r="E363" s="75">
        <v>12</v>
      </c>
      <c r="F363" s="76">
        <v>0</v>
      </c>
      <c r="G363" s="76">
        <v>0</v>
      </c>
      <c r="H363" s="76">
        <v>0</v>
      </c>
      <c r="I363" s="76">
        <v>0</v>
      </c>
      <c r="J363" s="76">
        <v>1</v>
      </c>
    </row>
    <row r="364" spans="1:10" x14ac:dyDescent="0.3">
      <c r="A364" s="35" t="s">
        <v>107</v>
      </c>
      <c r="B364" s="35" t="s">
        <v>160</v>
      </c>
      <c r="C364" s="6">
        <f t="shared" si="5"/>
        <v>3</v>
      </c>
      <c r="D364" s="76">
        <v>5</v>
      </c>
      <c r="E364" s="76">
        <v>20</v>
      </c>
      <c r="F364" s="76">
        <v>0</v>
      </c>
      <c r="G364" s="76">
        <v>0</v>
      </c>
      <c r="H364" s="76">
        <v>0</v>
      </c>
      <c r="I364" s="76">
        <v>0</v>
      </c>
      <c r="J364" s="76">
        <v>2</v>
      </c>
    </row>
    <row r="365" spans="1:10" x14ac:dyDescent="0.3">
      <c r="A365" s="36" t="s">
        <v>107</v>
      </c>
      <c r="B365" s="36" t="s">
        <v>161</v>
      </c>
      <c r="C365" s="6">
        <f t="shared" si="5"/>
        <v>4</v>
      </c>
      <c r="D365" s="75">
        <v>0</v>
      </c>
      <c r="E365" s="75">
        <v>0</v>
      </c>
      <c r="F365" s="76">
        <v>0</v>
      </c>
      <c r="G365" s="76">
        <v>0</v>
      </c>
      <c r="H365" s="76">
        <v>0</v>
      </c>
      <c r="I365" s="76">
        <v>0</v>
      </c>
      <c r="J365" s="76">
        <v>0</v>
      </c>
    </row>
    <row r="366" spans="1:10" x14ac:dyDescent="0.3">
      <c r="A366" s="35" t="s">
        <v>107</v>
      </c>
      <c r="B366" s="35" t="s">
        <v>162</v>
      </c>
      <c r="C366" s="6">
        <f t="shared" si="5"/>
        <v>5</v>
      </c>
      <c r="D366" s="76">
        <v>0</v>
      </c>
      <c r="E366" s="76">
        <v>0</v>
      </c>
      <c r="F366" s="76">
        <v>0</v>
      </c>
      <c r="G366" s="76">
        <v>0</v>
      </c>
      <c r="H366" s="76">
        <v>0</v>
      </c>
      <c r="I366" s="76">
        <v>0</v>
      </c>
      <c r="J366" s="76">
        <v>0</v>
      </c>
    </row>
    <row r="367" spans="1:10" x14ac:dyDescent="0.3">
      <c r="A367" s="36" t="s">
        <v>107</v>
      </c>
      <c r="B367" s="36" t="s">
        <v>163</v>
      </c>
      <c r="C367" s="6">
        <f t="shared" si="5"/>
        <v>6</v>
      </c>
      <c r="D367" s="75">
        <v>0</v>
      </c>
      <c r="E367" s="75">
        <v>0</v>
      </c>
      <c r="F367" s="76">
        <v>0</v>
      </c>
      <c r="G367" s="76">
        <v>0</v>
      </c>
      <c r="H367" s="76">
        <v>0</v>
      </c>
      <c r="I367" s="76">
        <v>0</v>
      </c>
      <c r="J367" s="76">
        <v>0</v>
      </c>
    </row>
    <row r="368" spans="1:10" x14ac:dyDescent="0.3">
      <c r="A368" s="35" t="s">
        <v>107</v>
      </c>
      <c r="B368" s="35" t="s">
        <v>164</v>
      </c>
      <c r="C368" s="6">
        <f t="shared" si="5"/>
        <v>7</v>
      </c>
      <c r="D368" s="76">
        <v>0</v>
      </c>
      <c r="E368" s="76">
        <v>0</v>
      </c>
      <c r="F368" s="76">
        <v>0</v>
      </c>
      <c r="G368" s="76">
        <v>0</v>
      </c>
      <c r="H368" s="76">
        <v>0</v>
      </c>
      <c r="I368" s="76">
        <v>0</v>
      </c>
      <c r="J368" s="76">
        <v>0</v>
      </c>
    </row>
    <row r="369" spans="1:10" x14ac:dyDescent="0.3">
      <c r="A369" s="36" t="s">
        <v>107</v>
      </c>
      <c r="B369" s="36" t="s">
        <v>165</v>
      </c>
      <c r="C369" s="6">
        <f t="shared" si="5"/>
        <v>8</v>
      </c>
      <c r="D369" s="75">
        <v>0</v>
      </c>
      <c r="E369" s="75">
        <v>0</v>
      </c>
      <c r="F369" s="76">
        <v>0</v>
      </c>
      <c r="G369" s="76">
        <v>0</v>
      </c>
      <c r="H369" s="76">
        <v>0</v>
      </c>
      <c r="I369" s="76">
        <v>0</v>
      </c>
      <c r="J369" s="76">
        <v>0</v>
      </c>
    </row>
    <row r="370" spans="1:10" x14ac:dyDescent="0.3">
      <c r="A370" s="35" t="s">
        <v>107</v>
      </c>
      <c r="B370" s="35" t="s">
        <v>166</v>
      </c>
      <c r="C370" s="6">
        <f t="shared" si="5"/>
        <v>9</v>
      </c>
      <c r="D370" s="76">
        <v>0</v>
      </c>
      <c r="E370" s="76">
        <v>0</v>
      </c>
      <c r="F370" s="76">
        <v>0</v>
      </c>
      <c r="G370" s="76">
        <v>0</v>
      </c>
      <c r="H370" s="76">
        <v>0</v>
      </c>
      <c r="I370" s="76">
        <v>0</v>
      </c>
      <c r="J370" s="76">
        <v>0</v>
      </c>
    </row>
    <row r="371" spans="1:10" x14ac:dyDescent="0.3">
      <c r="A371" s="36" t="s">
        <v>107</v>
      </c>
      <c r="B371" s="36" t="s">
        <v>167</v>
      </c>
      <c r="C371" s="6">
        <f t="shared" si="5"/>
        <v>10</v>
      </c>
      <c r="D371" s="75">
        <v>0</v>
      </c>
      <c r="E371" s="75">
        <v>0</v>
      </c>
      <c r="F371" s="76">
        <v>0</v>
      </c>
      <c r="G371" s="76">
        <v>0</v>
      </c>
      <c r="H371" s="76">
        <v>0</v>
      </c>
      <c r="I371" s="76">
        <v>0</v>
      </c>
      <c r="J371" s="76">
        <v>0</v>
      </c>
    </row>
    <row r="372" spans="1:10" x14ac:dyDescent="0.3">
      <c r="A372" s="35" t="s">
        <v>107</v>
      </c>
      <c r="B372" s="35" t="s">
        <v>168</v>
      </c>
      <c r="C372" s="6">
        <f t="shared" si="5"/>
        <v>11</v>
      </c>
      <c r="D372" s="76">
        <v>0</v>
      </c>
      <c r="E372" s="76">
        <v>0</v>
      </c>
      <c r="F372" s="76">
        <v>0</v>
      </c>
      <c r="G372" s="76">
        <v>0</v>
      </c>
      <c r="H372" s="76">
        <v>0</v>
      </c>
      <c r="I372" s="76">
        <v>0</v>
      </c>
      <c r="J372" s="76">
        <v>0</v>
      </c>
    </row>
    <row r="373" spans="1:10" x14ac:dyDescent="0.3">
      <c r="A373" s="36" t="s">
        <v>107</v>
      </c>
      <c r="B373" s="36" t="s">
        <v>169</v>
      </c>
      <c r="C373" s="6">
        <f t="shared" si="5"/>
        <v>12</v>
      </c>
      <c r="D373" s="75">
        <v>0</v>
      </c>
      <c r="E373" s="75">
        <v>0</v>
      </c>
      <c r="F373" s="76">
        <v>0</v>
      </c>
      <c r="G373" s="76">
        <v>0</v>
      </c>
      <c r="H373" s="76">
        <v>0</v>
      </c>
      <c r="I373" s="76">
        <v>0</v>
      </c>
      <c r="J373" s="76">
        <v>0</v>
      </c>
    </row>
    <row r="374" spans="1:10" x14ac:dyDescent="0.3">
      <c r="A374" s="35" t="s">
        <v>89</v>
      </c>
      <c r="B374" s="35" t="s">
        <v>158</v>
      </c>
      <c r="C374" s="6">
        <f t="shared" si="5"/>
        <v>1</v>
      </c>
      <c r="D374" s="76">
        <v>0</v>
      </c>
      <c r="E374" s="76">
        <v>0</v>
      </c>
      <c r="F374" s="76">
        <v>1</v>
      </c>
      <c r="G374" s="76">
        <v>0</v>
      </c>
      <c r="H374" s="76">
        <v>0</v>
      </c>
      <c r="I374" s="76">
        <v>0</v>
      </c>
      <c r="J374" s="76">
        <v>0</v>
      </c>
    </row>
    <row r="375" spans="1:10" x14ac:dyDescent="0.3">
      <c r="A375" s="36" t="s">
        <v>89</v>
      </c>
      <c r="B375" s="36" t="s">
        <v>159</v>
      </c>
      <c r="C375" s="6">
        <f t="shared" si="5"/>
        <v>2</v>
      </c>
      <c r="D375" s="75">
        <v>0</v>
      </c>
      <c r="E375" s="75">
        <v>0</v>
      </c>
      <c r="F375" s="76">
        <v>0</v>
      </c>
      <c r="G375" s="76">
        <v>0</v>
      </c>
      <c r="H375" s="76">
        <v>0</v>
      </c>
      <c r="I375" s="76">
        <v>0</v>
      </c>
      <c r="J375" s="76">
        <v>0</v>
      </c>
    </row>
    <row r="376" spans="1:10" x14ac:dyDescent="0.3">
      <c r="A376" s="35" t="s">
        <v>89</v>
      </c>
      <c r="B376" s="35" t="s">
        <v>160</v>
      </c>
      <c r="C376" s="6">
        <f t="shared" si="5"/>
        <v>3</v>
      </c>
      <c r="D376" s="76">
        <v>0</v>
      </c>
      <c r="E376" s="76">
        <v>0</v>
      </c>
      <c r="F376" s="76">
        <v>0</v>
      </c>
      <c r="G376" s="76">
        <v>0</v>
      </c>
      <c r="H376" s="76">
        <v>0</v>
      </c>
      <c r="I376" s="76">
        <v>0</v>
      </c>
      <c r="J376" s="76">
        <v>0</v>
      </c>
    </row>
    <row r="377" spans="1:10" x14ac:dyDescent="0.3">
      <c r="A377" s="36" t="s">
        <v>89</v>
      </c>
      <c r="B377" s="36" t="s">
        <v>161</v>
      </c>
      <c r="C377" s="6">
        <f t="shared" si="5"/>
        <v>4</v>
      </c>
      <c r="D377" s="75">
        <v>0</v>
      </c>
      <c r="E377" s="75">
        <v>0</v>
      </c>
      <c r="F377" s="76">
        <v>0</v>
      </c>
      <c r="G377" s="76">
        <v>0</v>
      </c>
      <c r="H377" s="76">
        <v>0</v>
      </c>
      <c r="I377" s="76">
        <v>0</v>
      </c>
      <c r="J377" s="76">
        <v>0</v>
      </c>
    </row>
    <row r="378" spans="1:10" x14ac:dyDescent="0.3">
      <c r="A378" s="35" t="s">
        <v>89</v>
      </c>
      <c r="B378" s="35" t="s">
        <v>162</v>
      </c>
      <c r="C378" s="6">
        <f t="shared" si="5"/>
        <v>5</v>
      </c>
      <c r="D378" s="76">
        <v>0</v>
      </c>
      <c r="E378" s="76">
        <v>0</v>
      </c>
      <c r="F378" s="76">
        <v>0</v>
      </c>
      <c r="G378" s="76">
        <v>0</v>
      </c>
      <c r="H378" s="76">
        <v>0</v>
      </c>
      <c r="I378" s="76">
        <v>0</v>
      </c>
      <c r="J378" s="76">
        <v>0</v>
      </c>
    </row>
    <row r="379" spans="1:10" x14ac:dyDescent="0.3">
      <c r="A379" s="36" t="s">
        <v>89</v>
      </c>
      <c r="B379" s="36" t="s">
        <v>163</v>
      </c>
      <c r="C379" s="6">
        <f t="shared" si="5"/>
        <v>6</v>
      </c>
      <c r="D379" s="75">
        <v>0</v>
      </c>
      <c r="E379" s="75">
        <v>0</v>
      </c>
      <c r="F379" s="76">
        <v>0</v>
      </c>
      <c r="G379" s="76">
        <v>0</v>
      </c>
      <c r="H379" s="76">
        <v>0</v>
      </c>
      <c r="I379" s="76">
        <v>0</v>
      </c>
      <c r="J379" s="76">
        <v>0</v>
      </c>
    </row>
    <row r="380" spans="1:10" x14ac:dyDescent="0.3">
      <c r="A380" s="35" t="s">
        <v>89</v>
      </c>
      <c r="B380" s="35" t="s">
        <v>164</v>
      </c>
      <c r="C380" s="6">
        <f t="shared" si="5"/>
        <v>7</v>
      </c>
      <c r="D380" s="76">
        <v>0</v>
      </c>
      <c r="E380" s="76">
        <v>0</v>
      </c>
      <c r="F380" s="76">
        <v>0</v>
      </c>
      <c r="G380" s="76">
        <v>0</v>
      </c>
      <c r="H380" s="76">
        <v>0</v>
      </c>
      <c r="I380" s="76">
        <v>0</v>
      </c>
      <c r="J380" s="76">
        <v>0</v>
      </c>
    </row>
    <row r="381" spans="1:10" x14ac:dyDescent="0.3">
      <c r="A381" s="36" t="s">
        <v>89</v>
      </c>
      <c r="B381" s="36" t="s">
        <v>165</v>
      </c>
      <c r="C381" s="6">
        <f t="shared" si="5"/>
        <v>8</v>
      </c>
      <c r="D381" s="75">
        <v>0</v>
      </c>
      <c r="E381" s="75">
        <v>0</v>
      </c>
      <c r="F381" s="76">
        <v>0</v>
      </c>
      <c r="G381" s="76">
        <v>0</v>
      </c>
      <c r="H381" s="76">
        <v>0</v>
      </c>
      <c r="I381" s="76">
        <v>0</v>
      </c>
      <c r="J381" s="76">
        <v>0</v>
      </c>
    </row>
    <row r="382" spans="1:10" x14ac:dyDescent="0.3">
      <c r="A382" s="35" t="s">
        <v>89</v>
      </c>
      <c r="B382" s="35" t="s">
        <v>166</v>
      </c>
      <c r="C382" s="6">
        <f t="shared" si="5"/>
        <v>9</v>
      </c>
      <c r="D382" s="76">
        <v>0</v>
      </c>
      <c r="E382" s="76">
        <v>0</v>
      </c>
      <c r="F382" s="76">
        <v>0</v>
      </c>
      <c r="G382" s="76">
        <v>0</v>
      </c>
      <c r="H382" s="76">
        <v>0</v>
      </c>
      <c r="I382" s="76">
        <v>0</v>
      </c>
      <c r="J382" s="76">
        <v>0</v>
      </c>
    </row>
    <row r="383" spans="1:10" x14ac:dyDescent="0.3">
      <c r="A383" s="36" t="s">
        <v>89</v>
      </c>
      <c r="B383" s="36" t="s">
        <v>167</v>
      </c>
      <c r="C383" s="6">
        <f t="shared" si="5"/>
        <v>10</v>
      </c>
      <c r="D383" s="75">
        <v>0</v>
      </c>
      <c r="E383" s="75">
        <v>0</v>
      </c>
      <c r="F383" s="76">
        <v>0</v>
      </c>
      <c r="G383" s="76">
        <v>0</v>
      </c>
      <c r="H383" s="76">
        <v>0</v>
      </c>
      <c r="I383" s="76">
        <v>0</v>
      </c>
      <c r="J383" s="76">
        <v>0</v>
      </c>
    </row>
    <row r="384" spans="1:10" x14ac:dyDescent="0.3">
      <c r="A384" s="35" t="s">
        <v>89</v>
      </c>
      <c r="B384" s="35" t="s">
        <v>168</v>
      </c>
      <c r="C384" s="6">
        <f t="shared" si="5"/>
        <v>11</v>
      </c>
      <c r="D384" s="76">
        <v>0</v>
      </c>
      <c r="E384" s="76">
        <v>0</v>
      </c>
      <c r="F384" s="76">
        <v>0</v>
      </c>
      <c r="G384" s="76">
        <v>0</v>
      </c>
      <c r="H384" s="76">
        <v>0</v>
      </c>
      <c r="I384" s="76">
        <v>0</v>
      </c>
      <c r="J384" s="76">
        <v>0</v>
      </c>
    </row>
    <row r="385" spans="1:10" x14ac:dyDescent="0.3">
      <c r="A385" s="36" t="s">
        <v>89</v>
      </c>
      <c r="B385" s="36" t="s">
        <v>169</v>
      </c>
      <c r="C385" s="6">
        <f t="shared" si="5"/>
        <v>12</v>
      </c>
      <c r="D385" s="75">
        <v>0</v>
      </c>
      <c r="E385" s="75">
        <v>0</v>
      </c>
      <c r="F385" s="76">
        <v>0</v>
      </c>
      <c r="G385" s="76">
        <v>0</v>
      </c>
      <c r="H385" s="76">
        <v>0</v>
      </c>
      <c r="I385" s="76">
        <v>0</v>
      </c>
      <c r="J385" s="76">
        <v>0</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6">
        <v>4</v>
      </c>
      <c r="E386" s="76">
        <v>25</v>
      </c>
      <c r="F386" s="76">
        <v>0</v>
      </c>
      <c r="G386" s="76">
        <v>0</v>
      </c>
      <c r="H386" s="76">
        <v>0</v>
      </c>
      <c r="I386" s="76">
        <v>0</v>
      </c>
      <c r="J386" s="76">
        <v>1</v>
      </c>
    </row>
    <row r="387" spans="1:10" x14ac:dyDescent="0.3">
      <c r="A387" s="36" t="s">
        <v>127</v>
      </c>
      <c r="B387" s="36" t="s">
        <v>159</v>
      </c>
      <c r="C387" s="6">
        <f t="shared" si="6"/>
        <v>2</v>
      </c>
      <c r="D387" s="75">
        <v>4</v>
      </c>
      <c r="E387" s="75">
        <v>25</v>
      </c>
      <c r="F387" s="76">
        <v>0</v>
      </c>
      <c r="G387" s="76">
        <v>0</v>
      </c>
      <c r="H387" s="76">
        <v>0</v>
      </c>
      <c r="I387" s="76">
        <v>0</v>
      </c>
      <c r="J387" s="76">
        <v>1</v>
      </c>
    </row>
    <row r="388" spans="1:10" x14ac:dyDescent="0.3">
      <c r="A388" s="35" t="s">
        <v>127</v>
      </c>
      <c r="B388" s="35" t="s">
        <v>160</v>
      </c>
      <c r="C388" s="6">
        <f t="shared" si="6"/>
        <v>3</v>
      </c>
      <c r="D388" s="76">
        <v>4</v>
      </c>
      <c r="E388" s="76">
        <v>25</v>
      </c>
      <c r="F388" s="76">
        <v>0</v>
      </c>
      <c r="G388" s="76">
        <v>0</v>
      </c>
      <c r="H388" s="76">
        <v>0</v>
      </c>
      <c r="I388" s="76">
        <v>0</v>
      </c>
      <c r="J388" s="76">
        <v>1</v>
      </c>
    </row>
    <row r="389" spans="1:10" x14ac:dyDescent="0.3">
      <c r="A389" s="36" t="s">
        <v>127</v>
      </c>
      <c r="B389" s="36" t="s">
        <v>161</v>
      </c>
      <c r="C389" s="6">
        <f t="shared" si="6"/>
        <v>4</v>
      </c>
      <c r="D389" s="75">
        <v>4</v>
      </c>
      <c r="E389" s="75">
        <v>25</v>
      </c>
      <c r="F389" s="76">
        <v>0</v>
      </c>
      <c r="G389" s="76">
        <v>0</v>
      </c>
      <c r="H389" s="76">
        <v>0</v>
      </c>
      <c r="I389" s="76">
        <v>0</v>
      </c>
      <c r="J389" s="76">
        <v>1</v>
      </c>
    </row>
    <row r="390" spans="1:10" x14ac:dyDescent="0.3">
      <c r="A390" s="35" t="s">
        <v>127</v>
      </c>
      <c r="B390" s="35" t="s">
        <v>162</v>
      </c>
      <c r="C390" s="6">
        <f t="shared" si="6"/>
        <v>5</v>
      </c>
      <c r="D390" s="76">
        <v>0</v>
      </c>
      <c r="E390" s="76">
        <v>0</v>
      </c>
      <c r="F390" s="76">
        <v>0</v>
      </c>
      <c r="G390" s="76">
        <v>0</v>
      </c>
      <c r="H390" s="76">
        <v>0</v>
      </c>
      <c r="I390" s="76">
        <v>0</v>
      </c>
      <c r="J390" s="76">
        <v>0</v>
      </c>
    </row>
    <row r="391" spans="1:10" x14ac:dyDescent="0.3">
      <c r="A391" s="36" t="s">
        <v>127</v>
      </c>
      <c r="B391" s="36" t="s">
        <v>163</v>
      </c>
      <c r="C391" s="6">
        <f t="shared" si="6"/>
        <v>6</v>
      </c>
      <c r="D391" s="75">
        <v>0</v>
      </c>
      <c r="E391" s="75">
        <v>0</v>
      </c>
      <c r="F391" s="76">
        <v>0</v>
      </c>
      <c r="G391" s="76">
        <v>0</v>
      </c>
      <c r="H391" s="76">
        <v>0</v>
      </c>
      <c r="I391" s="76">
        <v>0</v>
      </c>
      <c r="J391" s="76">
        <v>0</v>
      </c>
    </row>
    <row r="392" spans="1:10" x14ac:dyDescent="0.3">
      <c r="A392" s="35" t="s">
        <v>127</v>
      </c>
      <c r="B392" s="35" t="s">
        <v>164</v>
      </c>
      <c r="C392" s="6">
        <f t="shared" si="6"/>
        <v>7</v>
      </c>
      <c r="D392" s="76">
        <v>0</v>
      </c>
      <c r="E392" s="76">
        <v>0</v>
      </c>
      <c r="F392" s="76">
        <v>0</v>
      </c>
      <c r="G392" s="76">
        <v>0</v>
      </c>
      <c r="H392" s="76">
        <v>0</v>
      </c>
      <c r="I392" s="76">
        <v>0</v>
      </c>
      <c r="J392" s="76">
        <v>0</v>
      </c>
    </row>
    <row r="393" spans="1:10" x14ac:dyDescent="0.3">
      <c r="A393" s="36" t="s">
        <v>127</v>
      </c>
      <c r="B393" s="36" t="s">
        <v>165</v>
      </c>
      <c r="C393" s="6">
        <f t="shared" si="6"/>
        <v>8</v>
      </c>
      <c r="D393" s="75">
        <v>0</v>
      </c>
      <c r="E393" s="75">
        <v>0</v>
      </c>
      <c r="F393" s="76">
        <v>0</v>
      </c>
      <c r="G393" s="76">
        <v>0</v>
      </c>
      <c r="H393" s="76">
        <v>0</v>
      </c>
      <c r="I393" s="76">
        <v>0</v>
      </c>
      <c r="J393" s="76">
        <v>0</v>
      </c>
    </row>
    <row r="394" spans="1:10" x14ac:dyDescent="0.3">
      <c r="A394" s="35" t="s">
        <v>127</v>
      </c>
      <c r="B394" s="35" t="s">
        <v>166</v>
      </c>
      <c r="C394" s="6">
        <f t="shared" si="6"/>
        <v>9</v>
      </c>
      <c r="D394" s="76">
        <v>0</v>
      </c>
      <c r="E394" s="76">
        <v>0</v>
      </c>
      <c r="F394" s="76">
        <v>0</v>
      </c>
      <c r="G394" s="76">
        <v>0</v>
      </c>
      <c r="H394" s="76">
        <v>0</v>
      </c>
      <c r="I394" s="76">
        <v>0</v>
      </c>
      <c r="J394" s="76">
        <v>0</v>
      </c>
    </row>
    <row r="395" spans="1:10" x14ac:dyDescent="0.3">
      <c r="A395" s="36" t="s">
        <v>127</v>
      </c>
      <c r="B395" s="36" t="s">
        <v>167</v>
      </c>
      <c r="C395" s="6">
        <f t="shared" si="6"/>
        <v>10</v>
      </c>
      <c r="D395" s="75">
        <v>0</v>
      </c>
      <c r="E395" s="75">
        <v>0</v>
      </c>
      <c r="F395" s="76">
        <v>0</v>
      </c>
      <c r="G395" s="76">
        <v>0</v>
      </c>
      <c r="H395" s="76">
        <v>0</v>
      </c>
      <c r="I395" s="76">
        <v>0</v>
      </c>
      <c r="J395" s="76">
        <v>0</v>
      </c>
    </row>
    <row r="396" spans="1:10" x14ac:dyDescent="0.3">
      <c r="A396" s="35" t="s">
        <v>127</v>
      </c>
      <c r="B396" s="35" t="s">
        <v>168</v>
      </c>
      <c r="C396" s="6">
        <f t="shared" si="6"/>
        <v>11</v>
      </c>
      <c r="D396" s="76">
        <v>0</v>
      </c>
      <c r="E396" s="76">
        <v>0</v>
      </c>
      <c r="F396" s="76">
        <v>0</v>
      </c>
      <c r="G396" s="76">
        <v>0</v>
      </c>
      <c r="H396" s="76">
        <v>0</v>
      </c>
      <c r="I396" s="76">
        <v>0</v>
      </c>
      <c r="J396" s="76">
        <v>0</v>
      </c>
    </row>
    <row r="397" spans="1:10" x14ac:dyDescent="0.3">
      <c r="A397" s="36" t="s">
        <v>127</v>
      </c>
      <c r="B397" s="36" t="s">
        <v>169</v>
      </c>
      <c r="C397" s="6">
        <f t="shared" si="6"/>
        <v>12</v>
      </c>
      <c r="D397" s="75">
        <v>0</v>
      </c>
      <c r="E397" s="75">
        <v>0</v>
      </c>
      <c r="F397" s="76">
        <v>0</v>
      </c>
      <c r="G397" s="76">
        <v>0</v>
      </c>
      <c r="H397" s="76">
        <v>0</v>
      </c>
      <c r="I397" s="76">
        <v>0</v>
      </c>
      <c r="J397" s="76">
        <v>0</v>
      </c>
    </row>
    <row r="398" spans="1:10" x14ac:dyDescent="0.3">
      <c r="A398" s="35" t="s">
        <v>122</v>
      </c>
      <c r="B398" s="35" t="s">
        <v>158</v>
      </c>
      <c r="C398" s="6">
        <f t="shared" si="6"/>
        <v>1</v>
      </c>
      <c r="D398" s="76">
        <v>1</v>
      </c>
      <c r="E398" s="76">
        <v>7</v>
      </c>
      <c r="F398" s="76">
        <v>0</v>
      </c>
      <c r="G398" s="76">
        <v>0</v>
      </c>
      <c r="H398" s="76">
        <v>0</v>
      </c>
      <c r="I398" s="76">
        <v>0</v>
      </c>
      <c r="J398" s="76">
        <v>1</v>
      </c>
    </row>
    <row r="399" spans="1:10" x14ac:dyDescent="0.3">
      <c r="A399" s="36" t="s">
        <v>122</v>
      </c>
      <c r="B399" s="36" t="s">
        <v>159</v>
      </c>
      <c r="C399" s="6">
        <f t="shared" si="6"/>
        <v>2</v>
      </c>
      <c r="D399" s="75">
        <v>0</v>
      </c>
      <c r="E399" s="75">
        <v>0</v>
      </c>
      <c r="F399" s="76">
        <v>0</v>
      </c>
      <c r="G399" s="76">
        <v>0</v>
      </c>
      <c r="H399" s="76">
        <v>0</v>
      </c>
      <c r="I399" s="76">
        <v>0</v>
      </c>
      <c r="J399" s="76">
        <v>0</v>
      </c>
    </row>
    <row r="400" spans="1:10" x14ac:dyDescent="0.3">
      <c r="A400" s="35" t="s">
        <v>122</v>
      </c>
      <c r="B400" s="35" t="s">
        <v>160</v>
      </c>
      <c r="C400" s="6">
        <f t="shared" si="6"/>
        <v>3</v>
      </c>
      <c r="D400" s="76">
        <v>0</v>
      </c>
      <c r="E400" s="76">
        <v>0</v>
      </c>
      <c r="F400" s="76">
        <v>0</v>
      </c>
      <c r="G400" s="76">
        <v>0</v>
      </c>
      <c r="H400" s="76">
        <v>0</v>
      </c>
      <c r="I400" s="76">
        <v>0</v>
      </c>
      <c r="J400" s="76">
        <v>0</v>
      </c>
    </row>
    <row r="401" spans="1:10" x14ac:dyDescent="0.3">
      <c r="A401" s="36" t="s">
        <v>122</v>
      </c>
      <c r="B401" s="36" t="s">
        <v>161</v>
      </c>
      <c r="C401" s="6">
        <f t="shared" si="6"/>
        <v>4</v>
      </c>
      <c r="D401" s="75">
        <v>0</v>
      </c>
      <c r="E401" s="75">
        <v>0</v>
      </c>
      <c r="F401" s="76">
        <v>0</v>
      </c>
      <c r="G401" s="76">
        <v>0</v>
      </c>
      <c r="H401" s="76">
        <v>0</v>
      </c>
      <c r="I401" s="76">
        <v>0</v>
      </c>
      <c r="J401" s="76">
        <v>0</v>
      </c>
    </row>
    <row r="402" spans="1:10" x14ac:dyDescent="0.3">
      <c r="A402" s="35" t="s">
        <v>122</v>
      </c>
      <c r="B402" s="35" t="s">
        <v>162</v>
      </c>
      <c r="C402" s="6">
        <f t="shared" si="6"/>
        <v>5</v>
      </c>
      <c r="D402" s="76">
        <v>0</v>
      </c>
      <c r="E402" s="76">
        <v>0</v>
      </c>
      <c r="F402" s="76">
        <v>0</v>
      </c>
      <c r="G402" s="76">
        <v>0</v>
      </c>
      <c r="H402" s="76">
        <v>0</v>
      </c>
      <c r="I402" s="76">
        <v>0</v>
      </c>
      <c r="J402" s="76">
        <v>0</v>
      </c>
    </row>
    <row r="403" spans="1:10" x14ac:dyDescent="0.3">
      <c r="A403" s="36" t="s">
        <v>122</v>
      </c>
      <c r="B403" s="36" t="s">
        <v>163</v>
      </c>
      <c r="C403" s="6">
        <f t="shared" si="6"/>
        <v>6</v>
      </c>
      <c r="D403" s="75">
        <v>0</v>
      </c>
      <c r="E403" s="75">
        <v>0</v>
      </c>
      <c r="F403" s="76">
        <v>0</v>
      </c>
      <c r="G403" s="76">
        <v>0</v>
      </c>
      <c r="H403" s="76">
        <v>0</v>
      </c>
      <c r="I403" s="76">
        <v>0</v>
      </c>
      <c r="J403" s="76">
        <v>0</v>
      </c>
    </row>
    <row r="404" spans="1:10" x14ac:dyDescent="0.3">
      <c r="A404" s="35" t="s">
        <v>122</v>
      </c>
      <c r="B404" s="35" t="s">
        <v>164</v>
      </c>
      <c r="C404" s="6">
        <f t="shared" si="6"/>
        <v>7</v>
      </c>
      <c r="D404" s="76">
        <v>0</v>
      </c>
      <c r="E404" s="76">
        <v>0</v>
      </c>
      <c r="F404" s="76">
        <v>0</v>
      </c>
      <c r="G404" s="76">
        <v>0</v>
      </c>
      <c r="H404" s="76">
        <v>0</v>
      </c>
      <c r="I404" s="76">
        <v>0</v>
      </c>
      <c r="J404" s="76">
        <v>0</v>
      </c>
    </row>
    <row r="405" spans="1:10" x14ac:dyDescent="0.3">
      <c r="A405" s="36" t="s">
        <v>122</v>
      </c>
      <c r="B405" s="36" t="s">
        <v>165</v>
      </c>
      <c r="C405" s="6">
        <f t="shared" si="6"/>
        <v>8</v>
      </c>
      <c r="D405" s="75">
        <v>0</v>
      </c>
      <c r="E405" s="75">
        <v>0</v>
      </c>
      <c r="F405" s="76">
        <v>0</v>
      </c>
      <c r="G405" s="76">
        <v>0</v>
      </c>
      <c r="H405" s="76">
        <v>0</v>
      </c>
      <c r="I405" s="76">
        <v>0</v>
      </c>
      <c r="J405" s="76">
        <v>0</v>
      </c>
    </row>
    <row r="406" spans="1:10" x14ac:dyDescent="0.3">
      <c r="A406" s="35" t="s">
        <v>122</v>
      </c>
      <c r="B406" s="35" t="s">
        <v>166</v>
      </c>
      <c r="C406" s="6">
        <f t="shared" si="6"/>
        <v>9</v>
      </c>
      <c r="D406" s="76">
        <v>0</v>
      </c>
      <c r="E406" s="76">
        <v>0</v>
      </c>
      <c r="F406" s="76">
        <v>0</v>
      </c>
      <c r="G406" s="76">
        <v>0</v>
      </c>
      <c r="H406" s="76">
        <v>0</v>
      </c>
      <c r="I406" s="76">
        <v>0</v>
      </c>
      <c r="J406" s="76">
        <v>0</v>
      </c>
    </row>
    <row r="407" spans="1:10" x14ac:dyDescent="0.3">
      <c r="A407" s="36" t="s">
        <v>122</v>
      </c>
      <c r="B407" s="36" t="s">
        <v>167</v>
      </c>
      <c r="C407" s="6">
        <f t="shared" si="6"/>
        <v>10</v>
      </c>
      <c r="D407" s="75">
        <v>0</v>
      </c>
      <c r="E407" s="75">
        <v>0</v>
      </c>
      <c r="F407" s="76">
        <v>0</v>
      </c>
      <c r="G407" s="76">
        <v>0</v>
      </c>
      <c r="H407" s="76">
        <v>0</v>
      </c>
      <c r="I407" s="76">
        <v>0</v>
      </c>
      <c r="J407" s="76">
        <v>0</v>
      </c>
    </row>
    <row r="408" spans="1:10" x14ac:dyDescent="0.3">
      <c r="A408" s="35" t="s">
        <v>122</v>
      </c>
      <c r="B408" s="35" t="s">
        <v>168</v>
      </c>
      <c r="C408" s="6">
        <f t="shared" si="6"/>
        <v>11</v>
      </c>
      <c r="D408" s="76">
        <v>0</v>
      </c>
      <c r="E408" s="76">
        <v>0</v>
      </c>
      <c r="F408" s="76">
        <v>0</v>
      </c>
      <c r="G408" s="76">
        <v>0</v>
      </c>
      <c r="H408" s="76">
        <v>0</v>
      </c>
      <c r="I408" s="76">
        <v>0</v>
      </c>
      <c r="J408" s="76">
        <v>0</v>
      </c>
    </row>
    <row r="409" spans="1:10" x14ac:dyDescent="0.3">
      <c r="A409" s="36" t="s">
        <v>122</v>
      </c>
      <c r="B409" s="36" t="s">
        <v>169</v>
      </c>
      <c r="C409" s="6">
        <f t="shared" si="6"/>
        <v>12</v>
      </c>
      <c r="D409" s="75">
        <v>0</v>
      </c>
      <c r="E409" s="75">
        <v>0</v>
      </c>
      <c r="F409" s="76">
        <v>0</v>
      </c>
      <c r="G409" s="76">
        <v>0</v>
      </c>
      <c r="H409" s="76">
        <v>0</v>
      </c>
      <c r="I409" s="76">
        <v>0</v>
      </c>
      <c r="J409" s="76">
        <v>0</v>
      </c>
    </row>
    <row r="410" spans="1:10" x14ac:dyDescent="0.3">
      <c r="A410" s="35" t="s">
        <v>90</v>
      </c>
      <c r="B410" s="35" t="s">
        <v>158</v>
      </c>
      <c r="C410" s="6">
        <f t="shared" si="6"/>
        <v>1</v>
      </c>
      <c r="D410" s="76">
        <v>0</v>
      </c>
      <c r="E410" s="76">
        <v>0</v>
      </c>
      <c r="F410" s="76">
        <v>0</v>
      </c>
      <c r="G410" s="76">
        <v>0</v>
      </c>
      <c r="H410" s="76">
        <v>0</v>
      </c>
      <c r="I410" s="76">
        <v>0</v>
      </c>
      <c r="J410" s="76">
        <v>0</v>
      </c>
    </row>
    <row r="411" spans="1:10" x14ac:dyDescent="0.3">
      <c r="A411" s="36" t="s">
        <v>90</v>
      </c>
      <c r="B411" s="36" t="s">
        <v>159</v>
      </c>
      <c r="C411" s="6">
        <f t="shared" si="6"/>
        <v>2</v>
      </c>
      <c r="D411" s="75">
        <v>0</v>
      </c>
      <c r="E411" s="75">
        <v>0</v>
      </c>
      <c r="F411" s="76">
        <v>0</v>
      </c>
      <c r="G411" s="76">
        <v>0</v>
      </c>
      <c r="H411" s="76">
        <v>0</v>
      </c>
      <c r="I411" s="76">
        <v>0</v>
      </c>
      <c r="J411" s="76">
        <v>0</v>
      </c>
    </row>
    <row r="412" spans="1:10" x14ac:dyDescent="0.3">
      <c r="A412" s="35" t="s">
        <v>90</v>
      </c>
      <c r="B412" s="35" t="s">
        <v>160</v>
      </c>
      <c r="C412" s="6">
        <f t="shared" si="6"/>
        <v>3</v>
      </c>
      <c r="D412" s="76">
        <v>0</v>
      </c>
      <c r="E412" s="76">
        <v>0</v>
      </c>
      <c r="F412" s="76">
        <v>0</v>
      </c>
      <c r="G412" s="76">
        <v>0</v>
      </c>
      <c r="H412" s="76">
        <v>0</v>
      </c>
      <c r="I412" s="76">
        <v>0</v>
      </c>
      <c r="J412" s="76">
        <v>0</v>
      </c>
    </row>
    <row r="413" spans="1:10" x14ac:dyDescent="0.3">
      <c r="A413" s="36" t="s">
        <v>90</v>
      </c>
      <c r="B413" s="36" t="s">
        <v>161</v>
      </c>
      <c r="C413" s="6">
        <f t="shared" si="6"/>
        <v>4</v>
      </c>
      <c r="D413" s="75">
        <v>0</v>
      </c>
      <c r="E413" s="75">
        <v>0</v>
      </c>
      <c r="F413" s="76">
        <v>0</v>
      </c>
      <c r="G413" s="76">
        <v>0</v>
      </c>
      <c r="H413" s="76">
        <v>0</v>
      </c>
      <c r="I413" s="76">
        <v>0</v>
      </c>
      <c r="J413" s="76">
        <v>0</v>
      </c>
    </row>
    <row r="414" spans="1:10" x14ac:dyDescent="0.3">
      <c r="A414" s="35" t="s">
        <v>90</v>
      </c>
      <c r="B414" s="35" t="s">
        <v>162</v>
      </c>
      <c r="C414" s="6">
        <f t="shared" si="6"/>
        <v>5</v>
      </c>
      <c r="D414" s="76">
        <v>0</v>
      </c>
      <c r="E414" s="76">
        <v>0</v>
      </c>
      <c r="F414" s="76">
        <v>0</v>
      </c>
      <c r="G414" s="76">
        <v>0</v>
      </c>
      <c r="H414" s="76">
        <v>0</v>
      </c>
      <c r="I414" s="76">
        <v>0</v>
      </c>
      <c r="J414" s="76">
        <v>0</v>
      </c>
    </row>
    <row r="415" spans="1:10" x14ac:dyDescent="0.3">
      <c r="A415" s="36" t="s">
        <v>90</v>
      </c>
      <c r="B415" s="36" t="s">
        <v>163</v>
      </c>
      <c r="C415" s="6">
        <f t="shared" si="6"/>
        <v>6</v>
      </c>
      <c r="D415" s="75">
        <v>0</v>
      </c>
      <c r="E415" s="75">
        <v>0</v>
      </c>
      <c r="F415" s="76">
        <v>0</v>
      </c>
      <c r="G415" s="76">
        <v>0</v>
      </c>
      <c r="H415" s="76">
        <v>0</v>
      </c>
      <c r="I415" s="76">
        <v>0</v>
      </c>
      <c r="J415" s="76">
        <v>0</v>
      </c>
    </row>
    <row r="416" spans="1:10" x14ac:dyDescent="0.3">
      <c r="A416" s="35" t="s">
        <v>90</v>
      </c>
      <c r="B416" s="35" t="s">
        <v>164</v>
      </c>
      <c r="C416" s="6">
        <f t="shared" si="6"/>
        <v>7</v>
      </c>
      <c r="D416" s="76">
        <v>0</v>
      </c>
      <c r="E416" s="76">
        <v>0</v>
      </c>
      <c r="F416" s="76">
        <v>0</v>
      </c>
      <c r="G416" s="76">
        <v>0</v>
      </c>
      <c r="H416" s="76">
        <v>0</v>
      </c>
      <c r="I416" s="76">
        <v>0</v>
      </c>
      <c r="J416" s="76">
        <v>0</v>
      </c>
    </row>
    <row r="417" spans="1:10" x14ac:dyDescent="0.3">
      <c r="A417" s="36" t="s">
        <v>90</v>
      </c>
      <c r="B417" s="36" t="s">
        <v>165</v>
      </c>
      <c r="C417" s="6">
        <f t="shared" si="6"/>
        <v>8</v>
      </c>
      <c r="D417" s="75">
        <v>0</v>
      </c>
      <c r="E417" s="75">
        <v>0</v>
      </c>
      <c r="F417" s="76">
        <v>0</v>
      </c>
      <c r="G417" s="76">
        <v>0</v>
      </c>
      <c r="H417" s="76">
        <v>0</v>
      </c>
      <c r="I417" s="76">
        <v>0</v>
      </c>
      <c r="J417" s="76">
        <v>0</v>
      </c>
    </row>
    <row r="418" spans="1:10" x14ac:dyDescent="0.3">
      <c r="A418" s="35" t="s">
        <v>90</v>
      </c>
      <c r="B418" s="35" t="s">
        <v>166</v>
      </c>
      <c r="C418" s="6">
        <f t="shared" si="6"/>
        <v>9</v>
      </c>
      <c r="D418" s="76">
        <v>0</v>
      </c>
      <c r="E418" s="76">
        <v>0</v>
      </c>
      <c r="F418" s="76">
        <v>0</v>
      </c>
      <c r="G418" s="76">
        <v>0</v>
      </c>
      <c r="H418" s="76">
        <v>0</v>
      </c>
      <c r="I418" s="76">
        <v>0</v>
      </c>
      <c r="J418" s="76">
        <v>0</v>
      </c>
    </row>
    <row r="419" spans="1:10" x14ac:dyDescent="0.3">
      <c r="A419" s="36" t="s">
        <v>90</v>
      </c>
      <c r="B419" s="36" t="s">
        <v>167</v>
      </c>
      <c r="C419" s="6">
        <f t="shared" si="6"/>
        <v>10</v>
      </c>
      <c r="D419" s="75">
        <v>0</v>
      </c>
      <c r="E419" s="75">
        <v>0</v>
      </c>
      <c r="F419" s="76">
        <v>0</v>
      </c>
      <c r="G419" s="76">
        <v>0</v>
      </c>
      <c r="H419" s="76">
        <v>0</v>
      </c>
      <c r="I419" s="76">
        <v>0</v>
      </c>
      <c r="J419" s="76">
        <v>0</v>
      </c>
    </row>
    <row r="420" spans="1:10" x14ac:dyDescent="0.3">
      <c r="A420" s="35" t="s">
        <v>90</v>
      </c>
      <c r="B420" s="35" t="s">
        <v>168</v>
      </c>
      <c r="C420" s="6">
        <f t="shared" si="6"/>
        <v>11</v>
      </c>
      <c r="D420" s="76">
        <v>0</v>
      </c>
      <c r="E420" s="76">
        <v>0</v>
      </c>
      <c r="F420" s="76">
        <v>0</v>
      </c>
      <c r="G420" s="76">
        <v>0</v>
      </c>
      <c r="H420" s="76">
        <v>0</v>
      </c>
      <c r="I420" s="76">
        <v>0</v>
      </c>
      <c r="J420" s="76">
        <v>0</v>
      </c>
    </row>
    <row r="421" spans="1:10" x14ac:dyDescent="0.3">
      <c r="A421" s="36" t="s">
        <v>90</v>
      </c>
      <c r="B421" s="36" t="s">
        <v>169</v>
      </c>
      <c r="C421" s="6">
        <f t="shared" si="6"/>
        <v>12</v>
      </c>
      <c r="D421" s="75">
        <v>0</v>
      </c>
      <c r="E421" s="75">
        <v>0</v>
      </c>
      <c r="F421" s="76">
        <v>0</v>
      </c>
      <c r="G421" s="76">
        <v>0</v>
      </c>
      <c r="H421" s="76">
        <v>0</v>
      </c>
      <c r="I421" s="76">
        <v>0</v>
      </c>
      <c r="J421" s="76">
        <v>0</v>
      </c>
    </row>
    <row r="422" spans="1:10" x14ac:dyDescent="0.3">
      <c r="A422" s="35" t="s">
        <v>106</v>
      </c>
      <c r="B422" s="35" t="s">
        <v>158</v>
      </c>
      <c r="C422" s="6">
        <f t="shared" si="6"/>
        <v>1</v>
      </c>
      <c r="D422" s="76">
        <v>0</v>
      </c>
      <c r="E422" s="76">
        <v>0</v>
      </c>
      <c r="F422" s="76">
        <v>0</v>
      </c>
      <c r="G422" s="76">
        <v>0</v>
      </c>
      <c r="H422" s="76">
        <v>0</v>
      </c>
      <c r="I422" s="76">
        <v>0</v>
      </c>
      <c r="J422" s="76">
        <v>0</v>
      </c>
    </row>
    <row r="423" spans="1:10" x14ac:dyDescent="0.3">
      <c r="A423" s="36" t="s">
        <v>106</v>
      </c>
      <c r="B423" s="36" t="s">
        <v>159</v>
      </c>
      <c r="C423" s="6">
        <f t="shared" si="6"/>
        <v>2</v>
      </c>
      <c r="D423" s="75">
        <v>0</v>
      </c>
      <c r="E423" s="75">
        <v>0</v>
      </c>
      <c r="F423" s="76">
        <v>0</v>
      </c>
      <c r="G423" s="76">
        <v>0</v>
      </c>
      <c r="H423" s="76">
        <v>0</v>
      </c>
      <c r="I423" s="76">
        <v>0</v>
      </c>
      <c r="J423" s="76">
        <v>0</v>
      </c>
    </row>
    <row r="424" spans="1:10" x14ac:dyDescent="0.3">
      <c r="A424" s="35" t="s">
        <v>106</v>
      </c>
      <c r="B424" s="35" t="s">
        <v>160</v>
      </c>
      <c r="C424" s="6">
        <f t="shared" si="6"/>
        <v>3</v>
      </c>
      <c r="D424" s="76">
        <v>5</v>
      </c>
      <c r="E424" s="76">
        <v>33</v>
      </c>
      <c r="F424" s="76">
        <v>0</v>
      </c>
      <c r="G424" s="76">
        <v>0</v>
      </c>
      <c r="H424" s="76">
        <v>0</v>
      </c>
      <c r="I424" s="76">
        <v>0</v>
      </c>
      <c r="J424" s="76">
        <v>1</v>
      </c>
    </row>
    <row r="425" spans="1:10" x14ac:dyDescent="0.3">
      <c r="A425" s="36" t="s">
        <v>106</v>
      </c>
      <c r="B425" s="36" t="s">
        <v>161</v>
      </c>
      <c r="C425" s="6">
        <f t="shared" si="6"/>
        <v>4</v>
      </c>
      <c r="D425" s="75">
        <v>0</v>
      </c>
      <c r="E425" s="75">
        <v>0</v>
      </c>
      <c r="F425" s="76">
        <v>0</v>
      </c>
      <c r="G425" s="76">
        <v>0</v>
      </c>
      <c r="H425" s="76">
        <v>0</v>
      </c>
      <c r="I425" s="76">
        <v>0</v>
      </c>
      <c r="J425" s="76">
        <v>0</v>
      </c>
    </row>
    <row r="426" spans="1:10" x14ac:dyDescent="0.3">
      <c r="A426" s="35" t="s">
        <v>106</v>
      </c>
      <c r="B426" s="35" t="s">
        <v>162</v>
      </c>
      <c r="C426" s="6">
        <f t="shared" si="6"/>
        <v>5</v>
      </c>
      <c r="D426" s="76">
        <v>0</v>
      </c>
      <c r="E426" s="76">
        <v>0</v>
      </c>
      <c r="F426" s="76">
        <v>0</v>
      </c>
      <c r="G426" s="76">
        <v>0</v>
      </c>
      <c r="H426" s="76">
        <v>0</v>
      </c>
      <c r="I426" s="76">
        <v>0</v>
      </c>
      <c r="J426" s="76">
        <v>0</v>
      </c>
    </row>
    <row r="427" spans="1:10" x14ac:dyDescent="0.3">
      <c r="A427" s="36" t="s">
        <v>106</v>
      </c>
      <c r="B427" s="36" t="s">
        <v>163</v>
      </c>
      <c r="C427" s="6">
        <f t="shared" si="6"/>
        <v>6</v>
      </c>
      <c r="D427" s="75">
        <v>0</v>
      </c>
      <c r="E427" s="75">
        <v>0</v>
      </c>
      <c r="F427" s="76">
        <v>0</v>
      </c>
      <c r="G427" s="76">
        <v>0</v>
      </c>
      <c r="H427" s="76">
        <v>0</v>
      </c>
      <c r="I427" s="76">
        <v>0</v>
      </c>
      <c r="J427" s="76">
        <v>0</v>
      </c>
    </row>
    <row r="428" spans="1:10" x14ac:dyDescent="0.3">
      <c r="A428" s="35" t="s">
        <v>106</v>
      </c>
      <c r="B428" s="35" t="s">
        <v>164</v>
      </c>
      <c r="C428" s="6">
        <f t="shared" si="6"/>
        <v>7</v>
      </c>
      <c r="D428" s="76">
        <v>0</v>
      </c>
      <c r="E428" s="76">
        <v>0</v>
      </c>
      <c r="F428" s="76">
        <v>0</v>
      </c>
      <c r="G428" s="76">
        <v>0</v>
      </c>
      <c r="H428" s="76">
        <v>0</v>
      </c>
      <c r="I428" s="76">
        <v>0</v>
      </c>
      <c r="J428" s="76">
        <v>0</v>
      </c>
    </row>
    <row r="429" spans="1:10" x14ac:dyDescent="0.3">
      <c r="A429" s="36" t="s">
        <v>106</v>
      </c>
      <c r="B429" s="36" t="s">
        <v>165</v>
      </c>
      <c r="C429" s="6">
        <f t="shared" si="6"/>
        <v>8</v>
      </c>
      <c r="D429" s="75">
        <v>0</v>
      </c>
      <c r="E429" s="75">
        <v>0</v>
      </c>
      <c r="F429" s="76">
        <v>0</v>
      </c>
      <c r="G429" s="76">
        <v>0</v>
      </c>
      <c r="H429" s="76">
        <v>0</v>
      </c>
      <c r="I429" s="76">
        <v>0</v>
      </c>
      <c r="J429" s="76">
        <v>0</v>
      </c>
    </row>
    <row r="430" spans="1:10" x14ac:dyDescent="0.3">
      <c r="A430" s="35" t="s">
        <v>106</v>
      </c>
      <c r="B430" s="35" t="s">
        <v>166</v>
      </c>
      <c r="C430" s="6">
        <f t="shared" si="6"/>
        <v>9</v>
      </c>
      <c r="D430" s="76">
        <v>0</v>
      </c>
      <c r="E430" s="76">
        <v>0</v>
      </c>
      <c r="F430" s="76">
        <v>0</v>
      </c>
      <c r="G430" s="76">
        <v>0</v>
      </c>
      <c r="H430" s="76">
        <v>0</v>
      </c>
      <c r="I430" s="76">
        <v>0</v>
      </c>
      <c r="J430" s="76">
        <v>0</v>
      </c>
    </row>
    <row r="431" spans="1:10" x14ac:dyDescent="0.3">
      <c r="A431" s="36" t="s">
        <v>106</v>
      </c>
      <c r="B431" s="36" t="s">
        <v>167</v>
      </c>
      <c r="C431" s="6">
        <f t="shared" si="6"/>
        <v>10</v>
      </c>
      <c r="D431" s="75">
        <v>0</v>
      </c>
      <c r="E431" s="75">
        <v>0</v>
      </c>
      <c r="F431" s="76">
        <v>0</v>
      </c>
      <c r="G431" s="76">
        <v>0</v>
      </c>
      <c r="H431" s="76">
        <v>0</v>
      </c>
      <c r="I431" s="76">
        <v>0</v>
      </c>
      <c r="J431" s="76">
        <v>0</v>
      </c>
    </row>
    <row r="432" spans="1:10" x14ac:dyDescent="0.3">
      <c r="A432" s="35" t="s">
        <v>106</v>
      </c>
      <c r="B432" s="35" t="s">
        <v>168</v>
      </c>
      <c r="C432" s="6">
        <f t="shared" si="6"/>
        <v>11</v>
      </c>
      <c r="D432" s="76">
        <v>0</v>
      </c>
      <c r="E432" s="76">
        <v>0</v>
      </c>
      <c r="F432" s="76">
        <v>0</v>
      </c>
      <c r="G432" s="76">
        <v>0</v>
      </c>
      <c r="H432" s="76">
        <v>0</v>
      </c>
      <c r="I432" s="76">
        <v>0</v>
      </c>
      <c r="J432" s="76">
        <v>0</v>
      </c>
    </row>
    <row r="433" spans="1:10" x14ac:dyDescent="0.3">
      <c r="A433" s="36" t="s">
        <v>106</v>
      </c>
      <c r="B433" s="36" t="s">
        <v>169</v>
      </c>
      <c r="C433" s="6">
        <f t="shared" si="6"/>
        <v>12</v>
      </c>
      <c r="D433" s="75">
        <v>0</v>
      </c>
      <c r="E433" s="75">
        <v>0</v>
      </c>
      <c r="F433" s="76">
        <v>0</v>
      </c>
      <c r="G433" s="76">
        <v>0</v>
      </c>
      <c r="H433" s="76">
        <v>0</v>
      </c>
      <c r="I433" s="76">
        <v>0</v>
      </c>
      <c r="J433" s="76">
        <v>0</v>
      </c>
    </row>
    <row r="434" spans="1:10" x14ac:dyDescent="0.3">
      <c r="A434" s="35" t="s">
        <v>110</v>
      </c>
      <c r="B434" s="35" t="s">
        <v>158</v>
      </c>
      <c r="C434" s="6">
        <f t="shared" si="6"/>
        <v>1</v>
      </c>
      <c r="D434" s="76">
        <v>3</v>
      </c>
      <c r="E434" s="76">
        <v>21</v>
      </c>
      <c r="F434" s="76">
        <v>0</v>
      </c>
      <c r="G434" s="76">
        <v>0</v>
      </c>
      <c r="H434" s="76">
        <v>0</v>
      </c>
      <c r="I434" s="76">
        <v>0</v>
      </c>
      <c r="J434" s="76">
        <v>1</v>
      </c>
    </row>
    <row r="435" spans="1:10" x14ac:dyDescent="0.3">
      <c r="A435" s="36" t="s">
        <v>110</v>
      </c>
      <c r="B435" s="36" t="s">
        <v>159</v>
      </c>
      <c r="C435" s="6">
        <f t="shared" si="6"/>
        <v>2</v>
      </c>
      <c r="D435" s="75">
        <v>0</v>
      </c>
      <c r="E435" s="75">
        <v>0</v>
      </c>
      <c r="F435" s="76">
        <v>0</v>
      </c>
      <c r="G435" s="76">
        <v>0</v>
      </c>
      <c r="H435" s="76">
        <v>0</v>
      </c>
      <c r="I435" s="76">
        <v>0</v>
      </c>
      <c r="J435" s="76">
        <v>0</v>
      </c>
    </row>
    <row r="436" spans="1:10" x14ac:dyDescent="0.3">
      <c r="A436" s="35" t="s">
        <v>110</v>
      </c>
      <c r="B436" s="35" t="s">
        <v>160</v>
      </c>
      <c r="C436" s="6">
        <f t="shared" si="6"/>
        <v>3</v>
      </c>
      <c r="D436" s="76">
        <v>2</v>
      </c>
      <c r="E436" s="76">
        <v>14</v>
      </c>
      <c r="F436" s="76">
        <v>0</v>
      </c>
      <c r="G436" s="76">
        <v>0</v>
      </c>
      <c r="H436" s="76">
        <v>0</v>
      </c>
      <c r="I436" s="76">
        <v>0</v>
      </c>
      <c r="J436" s="76">
        <v>1</v>
      </c>
    </row>
    <row r="437" spans="1:10" x14ac:dyDescent="0.3">
      <c r="A437" s="36" t="s">
        <v>110</v>
      </c>
      <c r="B437" s="36" t="s">
        <v>161</v>
      </c>
      <c r="C437" s="6">
        <f t="shared" si="6"/>
        <v>4</v>
      </c>
      <c r="D437" s="75">
        <v>3</v>
      </c>
      <c r="E437" s="75">
        <v>21</v>
      </c>
      <c r="F437" s="76">
        <v>1</v>
      </c>
      <c r="G437" s="76">
        <v>1</v>
      </c>
      <c r="H437" s="76">
        <v>0</v>
      </c>
      <c r="I437" s="76">
        <v>0</v>
      </c>
      <c r="J437" s="76">
        <v>1</v>
      </c>
    </row>
    <row r="438" spans="1:10" x14ac:dyDescent="0.3">
      <c r="A438" s="35" t="s">
        <v>110</v>
      </c>
      <c r="B438" s="35" t="s">
        <v>162</v>
      </c>
      <c r="C438" s="6">
        <f t="shared" si="6"/>
        <v>5</v>
      </c>
      <c r="D438" s="76">
        <v>0</v>
      </c>
      <c r="E438" s="76">
        <v>0</v>
      </c>
      <c r="F438" s="76">
        <v>0</v>
      </c>
      <c r="G438" s="76">
        <v>0</v>
      </c>
      <c r="H438" s="76">
        <v>0</v>
      </c>
      <c r="I438" s="76">
        <v>0</v>
      </c>
      <c r="J438" s="76">
        <v>0</v>
      </c>
    </row>
    <row r="439" spans="1:10" x14ac:dyDescent="0.3">
      <c r="A439" s="36" t="s">
        <v>110</v>
      </c>
      <c r="B439" s="36" t="s">
        <v>163</v>
      </c>
      <c r="C439" s="6">
        <f t="shared" si="6"/>
        <v>6</v>
      </c>
      <c r="D439" s="75">
        <v>0</v>
      </c>
      <c r="E439" s="75">
        <v>0</v>
      </c>
      <c r="F439" s="76">
        <v>0</v>
      </c>
      <c r="G439" s="76">
        <v>0</v>
      </c>
      <c r="H439" s="76">
        <v>0</v>
      </c>
      <c r="I439" s="76">
        <v>0</v>
      </c>
      <c r="J439" s="76">
        <v>0</v>
      </c>
    </row>
    <row r="440" spans="1:10" x14ac:dyDescent="0.3">
      <c r="A440" s="35" t="s">
        <v>110</v>
      </c>
      <c r="B440" s="35" t="s">
        <v>164</v>
      </c>
      <c r="C440" s="6">
        <f t="shared" si="6"/>
        <v>7</v>
      </c>
      <c r="D440" s="76">
        <v>0</v>
      </c>
      <c r="E440" s="76">
        <v>0</v>
      </c>
      <c r="F440" s="76">
        <v>0</v>
      </c>
      <c r="G440" s="76">
        <v>0</v>
      </c>
      <c r="H440" s="76">
        <v>0</v>
      </c>
      <c r="I440" s="76">
        <v>0</v>
      </c>
      <c r="J440" s="76">
        <v>0</v>
      </c>
    </row>
    <row r="441" spans="1:10" x14ac:dyDescent="0.3">
      <c r="A441" s="36" t="s">
        <v>110</v>
      </c>
      <c r="B441" s="36" t="s">
        <v>165</v>
      </c>
      <c r="C441" s="6">
        <f t="shared" si="6"/>
        <v>8</v>
      </c>
      <c r="D441" s="75">
        <v>0</v>
      </c>
      <c r="E441" s="75">
        <v>0</v>
      </c>
      <c r="F441" s="76">
        <v>0</v>
      </c>
      <c r="G441" s="76">
        <v>0</v>
      </c>
      <c r="H441" s="76">
        <v>0</v>
      </c>
      <c r="I441" s="76">
        <v>0</v>
      </c>
      <c r="J441" s="76">
        <v>0</v>
      </c>
    </row>
    <row r="442" spans="1:10" x14ac:dyDescent="0.3">
      <c r="A442" s="35" t="s">
        <v>110</v>
      </c>
      <c r="B442" s="35" t="s">
        <v>166</v>
      </c>
      <c r="C442" s="6">
        <f t="shared" si="6"/>
        <v>9</v>
      </c>
      <c r="D442" s="76">
        <v>0</v>
      </c>
      <c r="E442" s="76">
        <v>0</v>
      </c>
      <c r="F442" s="76">
        <v>0</v>
      </c>
      <c r="G442" s="76">
        <v>0</v>
      </c>
      <c r="H442" s="76">
        <v>0</v>
      </c>
      <c r="I442" s="76">
        <v>0</v>
      </c>
      <c r="J442" s="76">
        <v>0</v>
      </c>
    </row>
    <row r="443" spans="1:10" x14ac:dyDescent="0.3">
      <c r="A443" s="36" t="s">
        <v>110</v>
      </c>
      <c r="B443" s="36" t="s">
        <v>167</v>
      </c>
      <c r="C443" s="6">
        <f t="shared" si="6"/>
        <v>10</v>
      </c>
      <c r="D443" s="75">
        <v>0</v>
      </c>
      <c r="E443" s="75">
        <v>0</v>
      </c>
      <c r="F443" s="76">
        <v>0</v>
      </c>
      <c r="G443" s="76">
        <v>0</v>
      </c>
      <c r="H443" s="76">
        <v>0</v>
      </c>
      <c r="I443" s="76">
        <v>0</v>
      </c>
      <c r="J443" s="76">
        <v>0</v>
      </c>
    </row>
    <row r="444" spans="1:10" x14ac:dyDescent="0.3">
      <c r="A444" s="35" t="s">
        <v>110</v>
      </c>
      <c r="B444" s="35" t="s">
        <v>168</v>
      </c>
      <c r="C444" s="6">
        <f t="shared" si="6"/>
        <v>11</v>
      </c>
      <c r="D444" s="76">
        <v>0</v>
      </c>
      <c r="E444" s="76">
        <v>0</v>
      </c>
      <c r="F444" s="76">
        <v>0</v>
      </c>
      <c r="G444" s="76">
        <v>0</v>
      </c>
      <c r="H444" s="76">
        <v>0</v>
      </c>
      <c r="I444" s="76">
        <v>0</v>
      </c>
      <c r="J444" s="76">
        <v>0</v>
      </c>
    </row>
    <row r="445" spans="1:10" x14ac:dyDescent="0.3">
      <c r="A445" s="36" t="s">
        <v>110</v>
      </c>
      <c r="B445" s="36" t="s">
        <v>169</v>
      </c>
      <c r="C445" s="6">
        <f t="shared" si="6"/>
        <v>12</v>
      </c>
      <c r="D445" s="75">
        <v>0</v>
      </c>
      <c r="E445" s="75">
        <v>0</v>
      </c>
      <c r="F445" s="76">
        <v>0</v>
      </c>
      <c r="G445" s="76">
        <v>0</v>
      </c>
      <c r="H445" s="76">
        <v>0</v>
      </c>
      <c r="I445" s="76">
        <v>0</v>
      </c>
      <c r="J445" s="76">
        <v>0</v>
      </c>
    </row>
    <row r="446" spans="1:10" x14ac:dyDescent="0.3">
      <c r="A446" s="35" t="s">
        <v>32</v>
      </c>
      <c r="B446" s="35" t="s">
        <v>158</v>
      </c>
      <c r="C446" s="6">
        <f t="shared" si="6"/>
        <v>1</v>
      </c>
      <c r="D446" s="76">
        <v>0</v>
      </c>
      <c r="E446" s="76">
        <v>0</v>
      </c>
      <c r="F446" s="76">
        <v>0</v>
      </c>
      <c r="G446" s="76">
        <v>0</v>
      </c>
      <c r="H446" s="76">
        <v>0</v>
      </c>
      <c r="I446" s="76">
        <v>0</v>
      </c>
      <c r="J446" s="76">
        <v>0</v>
      </c>
    </row>
    <row r="447" spans="1:10" x14ac:dyDescent="0.3">
      <c r="A447" s="36" t="s">
        <v>32</v>
      </c>
      <c r="B447" s="36" t="s">
        <v>159</v>
      </c>
      <c r="C447" s="6">
        <f t="shared" si="6"/>
        <v>2</v>
      </c>
      <c r="D447" s="75">
        <v>0</v>
      </c>
      <c r="E447" s="75">
        <v>0</v>
      </c>
      <c r="F447" s="76">
        <v>0</v>
      </c>
      <c r="G447" s="76">
        <v>0</v>
      </c>
      <c r="H447" s="76">
        <v>0</v>
      </c>
      <c r="I447" s="76">
        <v>0</v>
      </c>
      <c r="J447" s="76">
        <v>0</v>
      </c>
    </row>
    <row r="448" spans="1:10" x14ac:dyDescent="0.3">
      <c r="A448" s="35" t="s">
        <v>32</v>
      </c>
      <c r="B448" s="35" t="s">
        <v>160</v>
      </c>
      <c r="C448" s="6">
        <f t="shared" si="6"/>
        <v>3</v>
      </c>
      <c r="D448" s="76">
        <v>0</v>
      </c>
      <c r="E448" s="76">
        <v>0</v>
      </c>
      <c r="F448" s="76">
        <v>0</v>
      </c>
      <c r="G448" s="76">
        <v>0</v>
      </c>
      <c r="H448" s="76">
        <v>0</v>
      </c>
      <c r="I448" s="76">
        <v>0</v>
      </c>
      <c r="J448" s="76">
        <v>0</v>
      </c>
    </row>
    <row r="449" spans="1:10" x14ac:dyDescent="0.3">
      <c r="A449" s="36" t="s">
        <v>32</v>
      </c>
      <c r="B449" s="36" t="s">
        <v>161</v>
      </c>
      <c r="C449" s="6">
        <f t="shared" si="6"/>
        <v>4</v>
      </c>
      <c r="D449" s="75">
        <v>0</v>
      </c>
      <c r="E449" s="75">
        <v>0</v>
      </c>
      <c r="F449" s="76">
        <v>0</v>
      </c>
      <c r="G449" s="76">
        <v>0</v>
      </c>
      <c r="H449" s="76">
        <v>0</v>
      </c>
      <c r="I449" s="76">
        <v>0</v>
      </c>
      <c r="J449" s="76">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0</v>
      </c>
      <c r="I450" s="76">
        <v>0</v>
      </c>
      <c r="J450" s="76">
        <v>0</v>
      </c>
    </row>
    <row r="451" spans="1:10" x14ac:dyDescent="0.3">
      <c r="A451" s="36" t="s">
        <v>32</v>
      </c>
      <c r="B451" s="36" t="s">
        <v>163</v>
      </c>
      <c r="C451" s="6">
        <f t="shared" si="7"/>
        <v>6</v>
      </c>
      <c r="D451" s="75">
        <v>0</v>
      </c>
      <c r="E451" s="75">
        <v>0</v>
      </c>
      <c r="F451" s="76">
        <v>0</v>
      </c>
      <c r="G451" s="76">
        <v>0</v>
      </c>
      <c r="H451" s="76">
        <v>0</v>
      </c>
      <c r="I451" s="76">
        <v>0</v>
      </c>
      <c r="J451" s="76">
        <v>0</v>
      </c>
    </row>
    <row r="452" spans="1:10" x14ac:dyDescent="0.3">
      <c r="A452" s="35" t="s">
        <v>32</v>
      </c>
      <c r="B452" s="35" t="s">
        <v>164</v>
      </c>
      <c r="C452" s="6">
        <f t="shared" si="7"/>
        <v>7</v>
      </c>
      <c r="D452" s="76">
        <v>0</v>
      </c>
      <c r="E452" s="76">
        <v>0</v>
      </c>
      <c r="F452" s="76">
        <v>0</v>
      </c>
      <c r="G452" s="76">
        <v>0</v>
      </c>
      <c r="H452" s="76">
        <v>0</v>
      </c>
      <c r="I452" s="76">
        <v>0</v>
      </c>
      <c r="J452" s="76">
        <v>0</v>
      </c>
    </row>
    <row r="453" spans="1:10" x14ac:dyDescent="0.3">
      <c r="A453" s="36" t="s">
        <v>32</v>
      </c>
      <c r="B453" s="36" t="s">
        <v>165</v>
      </c>
      <c r="C453" s="6">
        <f t="shared" si="7"/>
        <v>8</v>
      </c>
      <c r="D453" s="75">
        <v>0</v>
      </c>
      <c r="E453" s="75">
        <v>0</v>
      </c>
      <c r="F453" s="76">
        <v>0</v>
      </c>
      <c r="G453" s="76">
        <v>0</v>
      </c>
      <c r="H453" s="76">
        <v>0</v>
      </c>
      <c r="I453" s="76">
        <v>0</v>
      </c>
      <c r="J453" s="76">
        <v>0</v>
      </c>
    </row>
    <row r="454" spans="1:10" x14ac:dyDescent="0.3">
      <c r="A454" s="35" t="s">
        <v>32</v>
      </c>
      <c r="B454" s="35" t="s">
        <v>166</v>
      </c>
      <c r="C454" s="6">
        <f t="shared" si="7"/>
        <v>9</v>
      </c>
      <c r="D454" s="76">
        <v>0</v>
      </c>
      <c r="E454" s="76">
        <v>0</v>
      </c>
      <c r="F454" s="76">
        <v>0</v>
      </c>
      <c r="G454" s="76">
        <v>0</v>
      </c>
      <c r="H454" s="76">
        <v>0</v>
      </c>
      <c r="I454" s="76">
        <v>0</v>
      </c>
      <c r="J454" s="76">
        <v>0</v>
      </c>
    </row>
    <row r="455" spans="1:10" x14ac:dyDescent="0.3">
      <c r="A455" s="36" t="s">
        <v>32</v>
      </c>
      <c r="B455" s="36" t="s">
        <v>167</v>
      </c>
      <c r="C455" s="6">
        <f t="shared" si="7"/>
        <v>10</v>
      </c>
      <c r="D455" s="75">
        <v>0</v>
      </c>
      <c r="E455" s="75">
        <v>0</v>
      </c>
      <c r="F455" s="76">
        <v>0</v>
      </c>
      <c r="G455" s="76">
        <v>0</v>
      </c>
      <c r="H455" s="76">
        <v>0</v>
      </c>
      <c r="I455" s="76">
        <v>0</v>
      </c>
      <c r="J455" s="76">
        <v>0</v>
      </c>
    </row>
    <row r="456" spans="1:10" x14ac:dyDescent="0.3">
      <c r="A456" s="35" t="s">
        <v>32</v>
      </c>
      <c r="B456" s="35" t="s">
        <v>168</v>
      </c>
      <c r="C456" s="6">
        <f t="shared" si="7"/>
        <v>11</v>
      </c>
      <c r="D456" s="76">
        <v>0</v>
      </c>
      <c r="E456" s="76">
        <v>0</v>
      </c>
      <c r="F456" s="76">
        <v>0</v>
      </c>
      <c r="G456" s="76">
        <v>0</v>
      </c>
      <c r="H456" s="76">
        <v>0</v>
      </c>
      <c r="I456" s="76">
        <v>0</v>
      </c>
      <c r="J456" s="76">
        <v>0</v>
      </c>
    </row>
    <row r="457" spans="1:10" x14ac:dyDescent="0.3">
      <c r="A457" s="36" t="s">
        <v>32</v>
      </c>
      <c r="B457" s="36" t="s">
        <v>169</v>
      </c>
      <c r="C457" s="6">
        <f t="shared" si="7"/>
        <v>12</v>
      </c>
      <c r="D457" s="75">
        <v>0</v>
      </c>
      <c r="E457" s="75">
        <v>0</v>
      </c>
      <c r="F457" s="76">
        <v>0</v>
      </c>
      <c r="G457" s="76">
        <v>0</v>
      </c>
      <c r="H457" s="76">
        <v>0</v>
      </c>
      <c r="I457" s="76">
        <v>0</v>
      </c>
      <c r="J457" s="76">
        <v>0</v>
      </c>
    </row>
    <row r="458" spans="1:10" x14ac:dyDescent="0.3">
      <c r="A458" s="35" t="s">
        <v>150</v>
      </c>
      <c r="B458" s="35" t="s">
        <v>158</v>
      </c>
      <c r="C458" s="6">
        <f t="shared" si="7"/>
        <v>1</v>
      </c>
      <c r="D458" s="76">
        <v>1</v>
      </c>
      <c r="E458" s="76">
        <v>4</v>
      </c>
      <c r="F458" s="76">
        <v>0</v>
      </c>
      <c r="G458" s="76">
        <v>0</v>
      </c>
      <c r="H458" s="76">
        <v>0</v>
      </c>
      <c r="I458" s="76">
        <v>0</v>
      </c>
      <c r="J458" s="76">
        <v>1</v>
      </c>
    </row>
    <row r="459" spans="1:10" x14ac:dyDescent="0.3">
      <c r="A459" s="36" t="s">
        <v>150</v>
      </c>
      <c r="B459" s="36" t="s">
        <v>159</v>
      </c>
      <c r="C459" s="6">
        <f t="shared" si="7"/>
        <v>2</v>
      </c>
      <c r="D459" s="75">
        <v>3</v>
      </c>
      <c r="E459" s="75">
        <v>13</v>
      </c>
      <c r="F459" s="76">
        <v>0</v>
      </c>
      <c r="G459" s="76">
        <v>0</v>
      </c>
      <c r="H459" s="76">
        <v>0</v>
      </c>
      <c r="I459" s="76">
        <v>0</v>
      </c>
      <c r="J459" s="76">
        <v>2</v>
      </c>
    </row>
    <row r="460" spans="1:10" x14ac:dyDescent="0.3">
      <c r="A460" s="35" t="s">
        <v>150</v>
      </c>
      <c r="B460" s="35" t="s">
        <v>160</v>
      </c>
      <c r="C460" s="6">
        <f t="shared" si="7"/>
        <v>3</v>
      </c>
      <c r="D460" s="76">
        <v>3</v>
      </c>
      <c r="E460" s="76">
        <v>13</v>
      </c>
      <c r="F460" s="76">
        <v>0</v>
      </c>
      <c r="G460" s="76">
        <v>0</v>
      </c>
      <c r="H460" s="76">
        <v>0</v>
      </c>
      <c r="I460" s="76">
        <v>0</v>
      </c>
      <c r="J460" s="76">
        <v>2</v>
      </c>
    </row>
    <row r="461" spans="1:10" x14ac:dyDescent="0.3">
      <c r="A461" s="36" t="s">
        <v>150</v>
      </c>
      <c r="B461" s="36" t="s">
        <v>161</v>
      </c>
      <c r="C461" s="6">
        <f t="shared" si="7"/>
        <v>4</v>
      </c>
      <c r="D461" s="75">
        <v>2</v>
      </c>
      <c r="E461" s="75">
        <v>9</v>
      </c>
      <c r="F461" s="76">
        <v>0</v>
      </c>
      <c r="G461" s="76">
        <v>0</v>
      </c>
      <c r="H461" s="76">
        <v>0</v>
      </c>
      <c r="I461" s="76">
        <v>0</v>
      </c>
      <c r="J461" s="76">
        <v>1</v>
      </c>
    </row>
    <row r="462" spans="1:10" x14ac:dyDescent="0.3">
      <c r="A462" s="35" t="s">
        <v>150</v>
      </c>
      <c r="B462" s="35" t="s">
        <v>162</v>
      </c>
      <c r="C462" s="6">
        <f t="shared" si="7"/>
        <v>5</v>
      </c>
      <c r="D462" s="76">
        <v>0</v>
      </c>
      <c r="E462" s="76">
        <v>0</v>
      </c>
      <c r="F462" s="76">
        <v>0</v>
      </c>
      <c r="G462" s="76">
        <v>0</v>
      </c>
      <c r="H462" s="76">
        <v>0</v>
      </c>
      <c r="I462" s="76">
        <v>0</v>
      </c>
      <c r="J462" s="76">
        <v>0</v>
      </c>
    </row>
    <row r="463" spans="1:10" x14ac:dyDescent="0.3">
      <c r="A463" s="36" t="s">
        <v>150</v>
      </c>
      <c r="B463" s="36" t="s">
        <v>163</v>
      </c>
      <c r="C463" s="6">
        <f t="shared" si="7"/>
        <v>6</v>
      </c>
      <c r="D463" s="75">
        <v>0</v>
      </c>
      <c r="E463" s="75">
        <v>0</v>
      </c>
      <c r="F463" s="76">
        <v>0</v>
      </c>
      <c r="G463" s="76">
        <v>0</v>
      </c>
      <c r="H463" s="76">
        <v>0</v>
      </c>
      <c r="I463" s="76">
        <v>0</v>
      </c>
      <c r="J463" s="76">
        <v>0</v>
      </c>
    </row>
    <row r="464" spans="1:10" x14ac:dyDescent="0.3">
      <c r="A464" s="35" t="s">
        <v>150</v>
      </c>
      <c r="B464" s="35" t="s">
        <v>164</v>
      </c>
      <c r="C464" s="6">
        <f t="shared" si="7"/>
        <v>7</v>
      </c>
      <c r="D464" s="76">
        <v>0</v>
      </c>
      <c r="E464" s="76">
        <v>0</v>
      </c>
      <c r="F464" s="76">
        <v>0</v>
      </c>
      <c r="G464" s="76">
        <v>0</v>
      </c>
      <c r="H464" s="76">
        <v>0</v>
      </c>
      <c r="I464" s="76">
        <v>0</v>
      </c>
      <c r="J464" s="76">
        <v>0</v>
      </c>
    </row>
    <row r="465" spans="1:10" x14ac:dyDescent="0.3">
      <c r="A465" s="36" t="s">
        <v>150</v>
      </c>
      <c r="B465" s="36" t="s">
        <v>165</v>
      </c>
      <c r="C465" s="6">
        <f t="shared" si="7"/>
        <v>8</v>
      </c>
      <c r="D465" s="75">
        <v>0</v>
      </c>
      <c r="E465" s="75">
        <v>0</v>
      </c>
      <c r="F465" s="76">
        <v>0</v>
      </c>
      <c r="G465" s="76">
        <v>0</v>
      </c>
      <c r="H465" s="76">
        <v>0</v>
      </c>
      <c r="I465" s="76">
        <v>0</v>
      </c>
      <c r="J465" s="76">
        <v>0</v>
      </c>
    </row>
    <row r="466" spans="1:10" x14ac:dyDescent="0.3">
      <c r="A466" s="35" t="s">
        <v>150</v>
      </c>
      <c r="B466" s="35" t="s">
        <v>166</v>
      </c>
      <c r="C466" s="6">
        <f t="shared" si="7"/>
        <v>9</v>
      </c>
      <c r="D466" s="76">
        <v>0</v>
      </c>
      <c r="E466" s="76">
        <v>0</v>
      </c>
      <c r="F466" s="76">
        <v>0</v>
      </c>
      <c r="G466" s="76">
        <v>0</v>
      </c>
      <c r="H466" s="76">
        <v>0</v>
      </c>
      <c r="I466" s="76">
        <v>0</v>
      </c>
      <c r="J466" s="76">
        <v>0</v>
      </c>
    </row>
    <row r="467" spans="1:10" x14ac:dyDescent="0.3">
      <c r="A467" s="36" t="s">
        <v>150</v>
      </c>
      <c r="B467" s="36" t="s">
        <v>167</v>
      </c>
      <c r="C467" s="6">
        <f t="shared" si="7"/>
        <v>10</v>
      </c>
      <c r="D467" s="75">
        <v>0</v>
      </c>
      <c r="E467" s="75">
        <v>0</v>
      </c>
      <c r="F467" s="76">
        <v>0</v>
      </c>
      <c r="G467" s="76">
        <v>0</v>
      </c>
      <c r="H467" s="76">
        <v>0</v>
      </c>
      <c r="I467" s="76">
        <v>0</v>
      </c>
      <c r="J467" s="76">
        <v>0</v>
      </c>
    </row>
    <row r="468" spans="1:10" x14ac:dyDescent="0.3">
      <c r="A468" s="35" t="s">
        <v>150</v>
      </c>
      <c r="B468" s="35" t="s">
        <v>168</v>
      </c>
      <c r="C468" s="6">
        <f t="shared" si="7"/>
        <v>11</v>
      </c>
      <c r="D468" s="76">
        <v>0</v>
      </c>
      <c r="E468" s="76">
        <v>0</v>
      </c>
      <c r="F468" s="76">
        <v>0</v>
      </c>
      <c r="G468" s="76">
        <v>0</v>
      </c>
      <c r="H468" s="76">
        <v>0</v>
      </c>
      <c r="I468" s="76">
        <v>0</v>
      </c>
      <c r="J468" s="76">
        <v>0</v>
      </c>
    </row>
    <row r="469" spans="1:10" x14ac:dyDescent="0.3">
      <c r="A469" s="36" t="s">
        <v>150</v>
      </c>
      <c r="B469" s="36" t="s">
        <v>169</v>
      </c>
      <c r="C469" s="6">
        <f t="shared" si="7"/>
        <v>12</v>
      </c>
      <c r="D469" s="75">
        <v>0</v>
      </c>
      <c r="E469" s="75">
        <v>0</v>
      </c>
      <c r="F469" s="76">
        <v>0</v>
      </c>
      <c r="G469" s="76">
        <v>0</v>
      </c>
      <c r="H469" s="76">
        <v>0</v>
      </c>
      <c r="I469" s="76">
        <v>0</v>
      </c>
      <c r="J469" s="76">
        <v>0</v>
      </c>
    </row>
    <row r="470" spans="1:10" x14ac:dyDescent="0.3">
      <c r="A470" s="35" t="s">
        <v>71</v>
      </c>
      <c r="B470" s="35" t="s">
        <v>158</v>
      </c>
      <c r="C470" s="6">
        <f t="shared" si="7"/>
        <v>1</v>
      </c>
      <c r="D470" s="76">
        <v>1</v>
      </c>
      <c r="E470" s="76">
        <v>11</v>
      </c>
      <c r="F470" s="76">
        <v>0</v>
      </c>
      <c r="G470" s="76">
        <v>0</v>
      </c>
      <c r="H470" s="76">
        <v>0</v>
      </c>
      <c r="I470" s="76">
        <v>0</v>
      </c>
      <c r="J470" s="76">
        <v>1</v>
      </c>
    </row>
    <row r="471" spans="1:10" x14ac:dyDescent="0.3">
      <c r="A471" s="36" t="s">
        <v>71</v>
      </c>
      <c r="B471" s="36" t="s">
        <v>159</v>
      </c>
      <c r="C471" s="6">
        <f t="shared" si="7"/>
        <v>2</v>
      </c>
      <c r="D471" s="75">
        <v>0</v>
      </c>
      <c r="E471" s="75">
        <v>0</v>
      </c>
      <c r="F471" s="76">
        <v>0</v>
      </c>
      <c r="G471" s="76">
        <v>0</v>
      </c>
      <c r="H471" s="76">
        <v>0</v>
      </c>
      <c r="I471" s="76">
        <v>0</v>
      </c>
      <c r="J471" s="76">
        <v>0</v>
      </c>
    </row>
    <row r="472" spans="1:10" x14ac:dyDescent="0.3">
      <c r="A472" s="35" t="s">
        <v>71</v>
      </c>
      <c r="B472" s="35" t="s">
        <v>160</v>
      </c>
      <c r="C472" s="6">
        <f t="shared" si="7"/>
        <v>3</v>
      </c>
      <c r="D472" s="76">
        <v>0</v>
      </c>
      <c r="E472" s="76">
        <v>0</v>
      </c>
      <c r="F472" s="76">
        <v>0</v>
      </c>
      <c r="G472" s="76">
        <v>0</v>
      </c>
      <c r="H472" s="76">
        <v>0</v>
      </c>
      <c r="I472" s="76">
        <v>0</v>
      </c>
      <c r="J472" s="76">
        <v>0</v>
      </c>
    </row>
    <row r="473" spans="1:10" x14ac:dyDescent="0.3">
      <c r="A473" s="36" t="s">
        <v>71</v>
      </c>
      <c r="B473" s="36" t="s">
        <v>161</v>
      </c>
      <c r="C473" s="6">
        <f t="shared" si="7"/>
        <v>4</v>
      </c>
      <c r="D473" s="75">
        <v>0</v>
      </c>
      <c r="E473" s="75">
        <v>0</v>
      </c>
      <c r="F473" s="76">
        <v>0</v>
      </c>
      <c r="G473" s="76">
        <v>0</v>
      </c>
      <c r="H473" s="76">
        <v>0</v>
      </c>
      <c r="I473" s="76">
        <v>0</v>
      </c>
      <c r="J473" s="76">
        <v>0</v>
      </c>
    </row>
    <row r="474" spans="1:10" x14ac:dyDescent="0.3">
      <c r="A474" s="35" t="s">
        <v>71</v>
      </c>
      <c r="B474" s="35" t="s">
        <v>162</v>
      </c>
      <c r="C474" s="6">
        <f t="shared" si="7"/>
        <v>5</v>
      </c>
      <c r="D474" s="76">
        <v>0</v>
      </c>
      <c r="E474" s="76">
        <v>0</v>
      </c>
      <c r="F474" s="76">
        <v>0</v>
      </c>
      <c r="G474" s="76">
        <v>0</v>
      </c>
      <c r="H474" s="76">
        <v>0</v>
      </c>
      <c r="I474" s="76">
        <v>0</v>
      </c>
      <c r="J474" s="76">
        <v>0</v>
      </c>
    </row>
    <row r="475" spans="1:10" x14ac:dyDescent="0.3">
      <c r="A475" s="36" t="s">
        <v>71</v>
      </c>
      <c r="B475" s="36" t="s">
        <v>163</v>
      </c>
      <c r="C475" s="6">
        <f t="shared" si="7"/>
        <v>6</v>
      </c>
      <c r="D475" s="75">
        <v>0</v>
      </c>
      <c r="E475" s="75">
        <v>0</v>
      </c>
      <c r="F475" s="76">
        <v>0</v>
      </c>
      <c r="G475" s="76">
        <v>0</v>
      </c>
      <c r="H475" s="76">
        <v>0</v>
      </c>
      <c r="I475" s="76">
        <v>0</v>
      </c>
      <c r="J475" s="76">
        <v>0</v>
      </c>
    </row>
    <row r="476" spans="1:10" x14ac:dyDescent="0.3">
      <c r="A476" s="35" t="s">
        <v>71</v>
      </c>
      <c r="B476" s="35" t="s">
        <v>164</v>
      </c>
      <c r="C476" s="6">
        <f t="shared" si="7"/>
        <v>7</v>
      </c>
      <c r="D476" s="76">
        <v>0</v>
      </c>
      <c r="E476" s="76">
        <v>0</v>
      </c>
      <c r="F476" s="76">
        <v>0</v>
      </c>
      <c r="G476" s="76">
        <v>0</v>
      </c>
      <c r="H476" s="76">
        <v>0</v>
      </c>
      <c r="I476" s="76">
        <v>0</v>
      </c>
      <c r="J476" s="76">
        <v>0</v>
      </c>
    </row>
    <row r="477" spans="1:10" x14ac:dyDescent="0.3">
      <c r="A477" s="36" t="s">
        <v>71</v>
      </c>
      <c r="B477" s="36" t="s">
        <v>165</v>
      </c>
      <c r="C477" s="6">
        <f t="shared" si="7"/>
        <v>8</v>
      </c>
      <c r="D477" s="75">
        <v>0</v>
      </c>
      <c r="E477" s="75">
        <v>0</v>
      </c>
      <c r="F477" s="76">
        <v>0</v>
      </c>
      <c r="G477" s="76">
        <v>0</v>
      </c>
      <c r="H477" s="76">
        <v>0</v>
      </c>
      <c r="I477" s="76">
        <v>0</v>
      </c>
      <c r="J477" s="76">
        <v>0</v>
      </c>
    </row>
    <row r="478" spans="1:10" x14ac:dyDescent="0.3">
      <c r="A478" s="35" t="s">
        <v>71</v>
      </c>
      <c r="B478" s="35" t="s">
        <v>166</v>
      </c>
      <c r="C478" s="6">
        <f t="shared" si="7"/>
        <v>9</v>
      </c>
      <c r="D478" s="76">
        <v>0</v>
      </c>
      <c r="E478" s="76">
        <v>0</v>
      </c>
      <c r="F478" s="76">
        <v>0</v>
      </c>
      <c r="G478" s="76">
        <v>0</v>
      </c>
      <c r="H478" s="76">
        <v>0</v>
      </c>
      <c r="I478" s="76">
        <v>0</v>
      </c>
      <c r="J478" s="76">
        <v>0</v>
      </c>
    </row>
    <row r="479" spans="1:10" x14ac:dyDescent="0.3">
      <c r="A479" s="36" t="s">
        <v>71</v>
      </c>
      <c r="B479" s="36" t="s">
        <v>167</v>
      </c>
      <c r="C479" s="6">
        <f t="shared" si="7"/>
        <v>10</v>
      </c>
      <c r="D479" s="75">
        <v>0</v>
      </c>
      <c r="E479" s="75">
        <v>0</v>
      </c>
      <c r="F479" s="76">
        <v>0</v>
      </c>
      <c r="G479" s="76">
        <v>0</v>
      </c>
      <c r="H479" s="76">
        <v>0</v>
      </c>
      <c r="I479" s="76">
        <v>0</v>
      </c>
      <c r="J479" s="76">
        <v>0</v>
      </c>
    </row>
    <row r="480" spans="1:10" x14ac:dyDescent="0.3">
      <c r="A480" s="35" t="s">
        <v>71</v>
      </c>
      <c r="B480" s="35" t="s">
        <v>168</v>
      </c>
      <c r="C480" s="6">
        <f t="shared" si="7"/>
        <v>11</v>
      </c>
      <c r="D480" s="76">
        <v>0</v>
      </c>
      <c r="E480" s="76">
        <v>0</v>
      </c>
      <c r="F480" s="76">
        <v>0</v>
      </c>
      <c r="G480" s="76">
        <v>0</v>
      </c>
      <c r="H480" s="76">
        <v>0</v>
      </c>
      <c r="I480" s="76">
        <v>0</v>
      </c>
      <c r="J480" s="76">
        <v>0</v>
      </c>
    </row>
    <row r="481" spans="1:10" x14ac:dyDescent="0.3">
      <c r="A481" s="36" t="s">
        <v>71</v>
      </c>
      <c r="B481" s="36" t="s">
        <v>169</v>
      </c>
      <c r="C481" s="6">
        <f t="shared" si="7"/>
        <v>12</v>
      </c>
      <c r="D481" s="75">
        <v>0</v>
      </c>
      <c r="E481" s="75">
        <v>0</v>
      </c>
      <c r="F481" s="76">
        <v>0</v>
      </c>
      <c r="G481" s="76">
        <v>0</v>
      </c>
      <c r="H481" s="76">
        <v>0</v>
      </c>
      <c r="I481" s="76">
        <v>0</v>
      </c>
      <c r="J481" s="76">
        <v>0</v>
      </c>
    </row>
    <row r="482" spans="1:10" x14ac:dyDescent="0.3">
      <c r="A482" s="35" t="s">
        <v>84</v>
      </c>
      <c r="B482" s="35" t="s">
        <v>158</v>
      </c>
      <c r="C482" s="6">
        <f t="shared" si="7"/>
        <v>1</v>
      </c>
      <c r="D482" s="76">
        <v>0</v>
      </c>
      <c r="E482" s="76">
        <v>0</v>
      </c>
      <c r="F482" s="76">
        <v>0</v>
      </c>
      <c r="G482" s="76">
        <v>0</v>
      </c>
      <c r="H482" s="76">
        <v>0</v>
      </c>
      <c r="I482" s="76">
        <v>0</v>
      </c>
      <c r="J482" s="76">
        <v>0</v>
      </c>
    </row>
    <row r="483" spans="1:10" x14ac:dyDescent="0.3">
      <c r="A483" s="36" t="s">
        <v>84</v>
      </c>
      <c r="B483" s="36" t="s">
        <v>159</v>
      </c>
      <c r="C483" s="6">
        <f t="shared" si="7"/>
        <v>2</v>
      </c>
      <c r="D483" s="75">
        <v>0</v>
      </c>
      <c r="E483" s="75">
        <v>0</v>
      </c>
      <c r="F483" s="76">
        <v>0</v>
      </c>
      <c r="G483" s="76">
        <v>0</v>
      </c>
      <c r="H483" s="76">
        <v>0</v>
      </c>
      <c r="I483" s="76">
        <v>0</v>
      </c>
      <c r="J483" s="76">
        <v>0</v>
      </c>
    </row>
    <row r="484" spans="1:10" x14ac:dyDescent="0.3">
      <c r="A484" s="35" t="s">
        <v>84</v>
      </c>
      <c r="B484" s="35" t="s">
        <v>160</v>
      </c>
      <c r="C484" s="6">
        <f t="shared" si="7"/>
        <v>3</v>
      </c>
      <c r="D484" s="76">
        <v>0</v>
      </c>
      <c r="E484" s="76">
        <v>0</v>
      </c>
      <c r="F484" s="76">
        <v>0</v>
      </c>
      <c r="G484" s="76">
        <v>0</v>
      </c>
      <c r="H484" s="76">
        <v>0</v>
      </c>
      <c r="I484" s="76">
        <v>0</v>
      </c>
      <c r="J484" s="76">
        <v>0</v>
      </c>
    </row>
    <row r="485" spans="1:10" x14ac:dyDescent="0.3">
      <c r="A485" s="36" t="s">
        <v>84</v>
      </c>
      <c r="B485" s="36" t="s">
        <v>161</v>
      </c>
      <c r="C485" s="6">
        <f t="shared" si="7"/>
        <v>4</v>
      </c>
      <c r="D485" s="75">
        <v>0</v>
      </c>
      <c r="E485" s="75">
        <v>0</v>
      </c>
      <c r="F485" s="76">
        <v>0</v>
      </c>
      <c r="G485" s="76">
        <v>0</v>
      </c>
      <c r="H485" s="76">
        <v>0</v>
      </c>
      <c r="I485" s="76">
        <v>0</v>
      </c>
      <c r="J485" s="76">
        <v>0</v>
      </c>
    </row>
    <row r="486" spans="1:10" x14ac:dyDescent="0.3">
      <c r="A486" s="35" t="s">
        <v>84</v>
      </c>
      <c r="B486" s="35" t="s">
        <v>162</v>
      </c>
      <c r="C486" s="6">
        <f t="shared" si="7"/>
        <v>5</v>
      </c>
      <c r="D486" s="76">
        <v>0</v>
      </c>
      <c r="E486" s="76">
        <v>0</v>
      </c>
      <c r="F486" s="76">
        <v>0</v>
      </c>
      <c r="G486" s="76">
        <v>0</v>
      </c>
      <c r="H486" s="76">
        <v>0</v>
      </c>
      <c r="I486" s="76">
        <v>0</v>
      </c>
      <c r="J486" s="76">
        <v>0</v>
      </c>
    </row>
    <row r="487" spans="1:10" x14ac:dyDescent="0.3">
      <c r="A487" s="36" t="s">
        <v>84</v>
      </c>
      <c r="B487" s="36" t="s">
        <v>163</v>
      </c>
      <c r="C487" s="6">
        <f t="shared" si="7"/>
        <v>6</v>
      </c>
      <c r="D487" s="75">
        <v>0</v>
      </c>
      <c r="E487" s="75">
        <v>0</v>
      </c>
      <c r="F487" s="76">
        <v>0</v>
      </c>
      <c r="G487" s="76">
        <v>0</v>
      </c>
      <c r="H487" s="76">
        <v>0</v>
      </c>
      <c r="I487" s="76">
        <v>0</v>
      </c>
      <c r="J487" s="76">
        <v>0</v>
      </c>
    </row>
    <row r="488" spans="1:10" x14ac:dyDescent="0.3">
      <c r="A488" s="35" t="s">
        <v>84</v>
      </c>
      <c r="B488" s="35" t="s">
        <v>164</v>
      </c>
      <c r="C488" s="6">
        <f t="shared" si="7"/>
        <v>7</v>
      </c>
      <c r="D488" s="76">
        <v>0</v>
      </c>
      <c r="E488" s="76">
        <v>0</v>
      </c>
      <c r="F488" s="76">
        <v>0</v>
      </c>
      <c r="G488" s="76">
        <v>0</v>
      </c>
      <c r="H488" s="76">
        <v>0</v>
      </c>
      <c r="I488" s="76">
        <v>0</v>
      </c>
      <c r="J488" s="76">
        <v>0</v>
      </c>
    </row>
    <row r="489" spans="1:10" x14ac:dyDescent="0.3">
      <c r="A489" s="36" t="s">
        <v>84</v>
      </c>
      <c r="B489" s="36" t="s">
        <v>165</v>
      </c>
      <c r="C489" s="6">
        <f t="shared" si="7"/>
        <v>8</v>
      </c>
      <c r="D489" s="75">
        <v>0</v>
      </c>
      <c r="E489" s="75">
        <v>0</v>
      </c>
      <c r="F489" s="76">
        <v>0</v>
      </c>
      <c r="G489" s="76">
        <v>0</v>
      </c>
      <c r="H489" s="76">
        <v>0</v>
      </c>
      <c r="I489" s="76">
        <v>0</v>
      </c>
      <c r="J489" s="76">
        <v>0</v>
      </c>
    </row>
    <row r="490" spans="1:10" x14ac:dyDescent="0.3">
      <c r="A490" s="35" t="s">
        <v>84</v>
      </c>
      <c r="B490" s="35" t="s">
        <v>166</v>
      </c>
      <c r="C490" s="6">
        <f t="shared" si="7"/>
        <v>9</v>
      </c>
      <c r="D490" s="76">
        <v>0</v>
      </c>
      <c r="E490" s="76">
        <v>0</v>
      </c>
      <c r="F490" s="76">
        <v>0</v>
      </c>
      <c r="G490" s="76">
        <v>0</v>
      </c>
      <c r="H490" s="76">
        <v>0</v>
      </c>
      <c r="I490" s="76">
        <v>0</v>
      </c>
      <c r="J490" s="76">
        <v>0</v>
      </c>
    </row>
    <row r="491" spans="1:10" x14ac:dyDescent="0.3">
      <c r="A491" s="36" t="s">
        <v>84</v>
      </c>
      <c r="B491" s="36" t="s">
        <v>167</v>
      </c>
      <c r="C491" s="6">
        <f t="shared" si="7"/>
        <v>10</v>
      </c>
      <c r="D491" s="75">
        <v>0</v>
      </c>
      <c r="E491" s="75">
        <v>0</v>
      </c>
      <c r="F491" s="76">
        <v>0</v>
      </c>
      <c r="G491" s="76">
        <v>0</v>
      </c>
      <c r="H491" s="76">
        <v>0</v>
      </c>
      <c r="I491" s="76">
        <v>0</v>
      </c>
      <c r="J491" s="76">
        <v>0</v>
      </c>
    </row>
    <row r="492" spans="1:10" x14ac:dyDescent="0.3">
      <c r="A492" s="35" t="s">
        <v>84</v>
      </c>
      <c r="B492" s="35" t="s">
        <v>168</v>
      </c>
      <c r="C492" s="6">
        <f t="shared" si="7"/>
        <v>11</v>
      </c>
      <c r="D492" s="76">
        <v>0</v>
      </c>
      <c r="E492" s="76">
        <v>0</v>
      </c>
      <c r="F492" s="76">
        <v>0</v>
      </c>
      <c r="G492" s="76">
        <v>0</v>
      </c>
      <c r="H492" s="76">
        <v>0</v>
      </c>
      <c r="I492" s="76">
        <v>0</v>
      </c>
      <c r="J492" s="76">
        <v>0</v>
      </c>
    </row>
    <row r="493" spans="1:10" x14ac:dyDescent="0.3">
      <c r="A493" s="36" t="s">
        <v>84</v>
      </c>
      <c r="B493" s="36" t="s">
        <v>169</v>
      </c>
      <c r="C493" s="6">
        <f t="shared" si="7"/>
        <v>12</v>
      </c>
      <c r="D493" s="75">
        <v>0</v>
      </c>
      <c r="E493" s="75">
        <v>0</v>
      </c>
      <c r="F493" s="76">
        <v>0</v>
      </c>
      <c r="G493" s="76">
        <v>0</v>
      </c>
      <c r="H493" s="76">
        <v>0</v>
      </c>
      <c r="I493" s="76">
        <v>0</v>
      </c>
      <c r="J493" s="76">
        <v>0</v>
      </c>
    </row>
    <row r="494" spans="1:10" x14ac:dyDescent="0.3">
      <c r="A494" s="35" t="s">
        <v>81</v>
      </c>
      <c r="B494" s="35" t="s">
        <v>158</v>
      </c>
      <c r="C494" s="6">
        <f t="shared" si="7"/>
        <v>1</v>
      </c>
      <c r="D494" s="76">
        <v>3</v>
      </c>
      <c r="E494" s="76">
        <v>33</v>
      </c>
      <c r="F494" s="76">
        <v>0</v>
      </c>
      <c r="G494" s="76">
        <v>0</v>
      </c>
      <c r="H494" s="76">
        <v>0</v>
      </c>
      <c r="I494" s="76">
        <v>0</v>
      </c>
      <c r="J494" s="76">
        <v>1</v>
      </c>
    </row>
    <row r="495" spans="1:10" x14ac:dyDescent="0.3">
      <c r="A495" s="36" t="s">
        <v>81</v>
      </c>
      <c r="B495" s="36" t="s">
        <v>159</v>
      </c>
      <c r="C495" s="6">
        <f t="shared" si="7"/>
        <v>2</v>
      </c>
      <c r="D495" s="75">
        <v>0</v>
      </c>
      <c r="E495" s="75">
        <v>0</v>
      </c>
      <c r="F495" s="76">
        <v>0</v>
      </c>
      <c r="G495" s="76">
        <v>0</v>
      </c>
      <c r="H495" s="76">
        <v>0</v>
      </c>
      <c r="I495" s="76">
        <v>0</v>
      </c>
      <c r="J495" s="76">
        <v>0</v>
      </c>
    </row>
    <row r="496" spans="1:10" x14ac:dyDescent="0.3">
      <c r="A496" s="35" t="s">
        <v>81</v>
      </c>
      <c r="B496" s="35" t="s">
        <v>160</v>
      </c>
      <c r="C496" s="6">
        <f t="shared" si="7"/>
        <v>3</v>
      </c>
      <c r="D496" s="76">
        <v>0</v>
      </c>
      <c r="E496" s="76">
        <v>0</v>
      </c>
      <c r="F496" s="76">
        <v>0</v>
      </c>
      <c r="G496" s="76">
        <v>0</v>
      </c>
      <c r="H496" s="76">
        <v>0</v>
      </c>
      <c r="I496" s="76">
        <v>0</v>
      </c>
      <c r="J496" s="76">
        <v>0</v>
      </c>
    </row>
    <row r="497" spans="1:10" x14ac:dyDescent="0.3">
      <c r="A497" s="36" t="s">
        <v>81</v>
      </c>
      <c r="B497" s="36" t="s">
        <v>161</v>
      </c>
      <c r="C497" s="6">
        <f t="shared" si="7"/>
        <v>4</v>
      </c>
      <c r="D497" s="75">
        <v>3</v>
      </c>
      <c r="E497" s="75">
        <v>33</v>
      </c>
      <c r="F497" s="76">
        <v>0</v>
      </c>
      <c r="G497" s="76">
        <v>0</v>
      </c>
      <c r="H497" s="76">
        <v>0</v>
      </c>
      <c r="I497" s="76">
        <v>0</v>
      </c>
      <c r="J497" s="76">
        <v>1</v>
      </c>
    </row>
    <row r="498" spans="1:10" x14ac:dyDescent="0.3">
      <c r="A498" s="35" t="s">
        <v>81</v>
      </c>
      <c r="B498" s="35" t="s">
        <v>162</v>
      </c>
      <c r="C498" s="6">
        <f t="shared" si="7"/>
        <v>5</v>
      </c>
      <c r="D498" s="76">
        <v>0</v>
      </c>
      <c r="E498" s="76">
        <v>0</v>
      </c>
      <c r="F498" s="76">
        <v>0</v>
      </c>
      <c r="G498" s="76">
        <v>0</v>
      </c>
      <c r="H498" s="76">
        <v>0</v>
      </c>
      <c r="I498" s="76">
        <v>0</v>
      </c>
      <c r="J498" s="76">
        <v>0</v>
      </c>
    </row>
    <row r="499" spans="1:10" x14ac:dyDescent="0.3">
      <c r="A499" s="36" t="s">
        <v>81</v>
      </c>
      <c r="B499" s="36" t="s">
        <v>163</v>
      </c>
      <c r="C499" s="6">
        <f t="shared" si="7"/>
        <v>6</v>
      </c>
      <c r="D499" s="75">
        <v>0</v>
      </c>
      <c r="E499" s="75">
        <v>0</v>
      </c>
      <c r="F499" s="76">
        <v>0</v>
      </c>
      <c r="G499" s="76">
        <v>0</v>
      </c>
      <c r="H499" s="76">
        <v>0</v>
      </c>
      <c r="I499" s="76">
        <v>0</v>
      </c>
      <c r="J499" s="76">
        <v>0</v>
      </c>
    </row>
    <row r="500" spans="1:10" x14ac:dyDescent="0.3">
      <c r="A500" s="35" t="s">
        <v>81</v>
      </c>
      <c r="B500" s="35" t="s">
        <v>164</v>
      </c>
      <c r="C500" s="6">
        <f t="shared" si="7"/>
        <v>7</v>
      </c>
      <c r="D500" s="76">
        <v>0</v>
      </c>
      <c r="E500" s="76">
        <v>0</v>
      </c>
      <c r="F500" s="76">
        <v>0</v>
      </c>
      <c r="G500" s="76">
        <v>0</v>
      </c>
      <c r="H500" s="76">
        <v>0</v>
      </c>
      <c r="I500" s="76">
        <v>0</v>
      </c>
      <c r="J500" s="76">
        <v>0</v>
      </c>
    </row>
    <row r="501" spans="1:10" x14ac:dyDescent="0.3">
      <c r="A501" s="36" t="s">
        <v>81</v>
      </c>
      <c r="B501" s="36" t="s">
        <v>165</v>
      </c>
      <c r="C501" s="6">
        <f t="shared" si="7"/>
        <v>8</v>
      </c>
      <c r="D501" s="75">
        <v>0</v>
      </c>
      <c r="E501" s="75">
        <v>0</v>
      </c>
      <c r="F501" s="76">
        <v>0</v>
      </c>
      <c r="G501" s="76">
        <v>0</v>
      </c>
      <c r="H501" s="76">
        <v>0</v>
      </c>
      <c r="I501" s="76">
        <v>0</v>
      </c>
      <c r="J501" s="76">
        <v>0</v>
      </c>
    </row>
    <row r="502" spans="1:10" x14ac:dyDescent="0.3">
      <c r="A502" s="35" t="s">
        <v>81</v>
      </c>
      <c r="B502" s="35" t="s">
        <v>166</v>
      </c>
      <c r="C502" s="6">
        <f t="shared" si="7"/>
        <v>9</v>
      </c>
      <c r="D502" s="76">
        <v>0</v>
      </c>
      <c r="E502" s="76">
        <v>0</v>
      </c>
      <c r="F502" s="76">
        <v>0</v>
      </c>
      <c r="G502" s="76">
        <v>0</v>
      </c>
      <c r="H502" s="76">
        <v>0</v>
      </c>
      <c r="I502" s="76">
        <v>0</v>
      </c>
      <c r="J502" s="76">
        <v>0</v>
      </c>
    </row>
    <row r="503" spans="1:10" x14ac:dyDescent="0.3">
      <c r="A503" s="36" t="s">
        <v>81</v>
      </c>
      <c r="B503" s="36" t="s">
        <v>167</v>
      </c>
      <c r="C503" s="6">
        <f t="shared" si="7"/>
        <v>10</v>
      </c>
      <c r="D503" s="75">
        <v>0</v>
      </c>
      <c r="E503" s="75">
        <v>0</v>
      </c>
      <c r="F503" s="76">
        <v>0</v>
      </c>
      <c r="G503" s="76">
        <v>0</v>
      </c>
      <c r="H503" s="76">
        <v>0</v>
      </c>
      <c r="I503" s="76">
        <v>0</v>
      </c>
      <c r="J503" s="76">
        <v>0</v>
      </c>
    </row>
    <row r="504" spans="1:10" x14ac:dyDescent="0.3">
      <c r="A504" s="35" t="s">
        <v>81</v>
      </c>
      <c r="B504" s="35" t="s">
        <v>168</v>
      </c>
      <c r="C504" s="6">
        <f t="shared" si="7"/>
        <v>11</v>
      </c>
      <c r="D504" s="76">
        <v>0</v>
      </c>
      <c r="E504" s="76">
        <v>0</v>
      </c>
      <c r="F504" s="76">
        <v>0</v>
      </c>
      <c r="G504" s="76">
        <v>0</v>
      </c>
      <c r="H504" s="76">
        <v>0</v>
      </c>
      <c r="I504" s="76">
        <v>0</v>
      </c>
      <c r="J504" s="76">
        <v>0</v>
      </c>
    </row>
    <row r="505" spans="1:10" x14ac:dyDescent="0.3">
      <c r="A505" s="36" t="s">
        <v>81</v>
      </c>
      <c r="B505" s="36" t="s">
        <v>169</v>
      </c>
      <c r="C505" s="6">
        <f t="shared" si="7"/>
        <v>12</v>
      </c>
      <c r="D505" s="75">
        <v>0</v>
      </c>
      <c r="E505" s="75">
        <v>0</v>
      </c>
      <c r="F505" s="76">
        <v>0</v>
      </c>
      <c r="G505" s="76">
        <v>0</v>
      </c>
      <c r="H505" s="76">
        <v>0</v>
      </c>
      <c r="I505" s="76">
        <v>0</v>
      </c>
      <c r="J505" s="76">
        <v>0</v>
      </c>
    </row>
    <row r="506" spans="1:10" x14ac:dyDescent="0.3">
      <c r="A506" s="35" t="s">
        <v>53</v>
      </c>
      <c r="B506" s="35" t="s">
        <v>158</v>
      </c>
      <c r="C506" s="6">
        <f t="shared" si="7"/>
        <v>1</v>
      </c>
      <c r="D506" s="76">
        <v>0</v>
      </c>
      <c r="E506" s="76">
        <v>0</v>
      </c>
      <c r="F506" s="76">
        <v>0</v>
      </c>
      <c r="G506" s="76">
        <v>0</v>
      </c>
      <c r="H506" s="76">
        <v>0</v>
      </c>
      <c r="I506" s="76">
        <v>0</v>
      </c>
      <c r="J506" s="76">
        <v>0</v>
      </c>
    </row>
    <row r="507" spans="1:10" x14ac:dyDescent="0.3">
      <c r="A507" s="36" t="s">
        <v>53</v>
      </c>
      <c r="B507" s="36" t="s">
        <v>159</v>
      </c>
      <c r="C507" s="6">
        <f t="shared" si="7"/>
        <v>2</v>
      </c>
      <c r="D507" s="75">
        <v>0</v>
      </c>
      <c r="E507" s="75">
        <v>0</v>
      </c>
      <c r="F507" s="76">
        <v>0</v>
      </c>
      <c r="G507" s="76">
        <v>0</v>
      </c>
      <c r="H507" s="76">
        <v>0</v>
      </c>
      <c r="I507" s="76">
        <v>0</v>
      </c>
      <c r="J507" s="76">
        <v>0</v>
      </c>
    </row>
    <row r="508" spans="1:10" x14ac:dyDescent="0.3">
      <c r="A508" s="35" t="s">
        <v>53</v>
      </c>
      <c r="B508" s="35" t="s">
        <v>160</v>
      </c>
      <c r="C508" s="6">
        <f t="shared" si="7"/>
        <v>3</v>
      </c>
      <c r="D508" s="76">
        <v>6</v>
      </c>
      <c r="E508" s="76">
        <v>100</v>
      </c>
      <c r="F508" s="76">
        <v>0</v>
      </c>
      <c r="G508" s="76">
        <v>0</v>
      </c>
      <c r="H508" s="76">
        <v>0</v>
      </c>
      <c r="I508" s="76">
        <v>0</v>
      </c>
      <c r="J508" s="76">
        <v>2</v>
      </c>
    </row>
    <row r="509" spans="1:10" x14ac:dyDescent="0.3">
      <c r="A509" s="36" t="s">
        <v>53</v>
      </c>
      <c r="B509" s="36" t="s">
        <v>161</v>
      </c>
      <c r="C509" s="6">
        <f t="shared" si="7"/>
        <v>4</v>
      </c>
      <c r="D509" s="75">
        <v>0</v>
      </c>
      <c r="E509" s="75">
        <v>0</v>
      </c>
      <c r="F509" s="76">
        <v>0</v>
      </c>
      <c r="G509" s="76">
        <v>0</v>
      </c>
      <c r="H509" s="76">
        <v>0</v>
      </c>
      <c r="I509" s="76">
        <v>0</v>
      </c>
      <c r="J509" s="76">
        <v>0</v>
      </c>
    </row>
    <row r="510" spans="1:10" x14ac:dyDescent="0.3">
      <c r="A510" s="35" t="s">
        <v>53</v>
      </c>
      <c r="B510" s="35" t="s">
        <v>162</v>
      </c>
      <c r="C510" s="6">
        <f t="shared" si="7"/>
        <v>5</v>
      </c>
      <c r="D510" s="76">
        <v>0</v>
      </c>
      <c r="E510" s="76">
        <v>0</v>
      </c>
      <c r="F510" s="76">
        <v>0</v>
      </c>
      <c r="G510" s="76">
        <v>0</v>
      </c>
      <c r="H510" s="76">
        <v>0</v>
      </c>
      <c r="I510" s="76">
        <v>0</v>
      </c>
      <c r="J510" s="76">
        <v>0</v>
      </c>
    </row>
    <row r="511" spans="1:10" x14ac:dyDescent="0.3">
      <c r="A511" s="36" t="s">
        <v>53</v>
      </c>
      <c r="B511" s="36" t="s">
        <v>163</v>
      </c>
      <c r="C511" s="6">
        <f t="shared" si="7"/>
        <v>6</v>
      </c>
      <c r="D511" s="75">
        <v>0</v>
      </c>
      <c r="E511" s="75">
        <v>0</v>
      </c>
      <c r="F511" s="76">
        <v>0</v>
      </c>
      <c r="G511" s="76">
        <v>0</v>
      </c>
      <c r="H511" s="76">
        <v>0</v>
      </c>
      <c r="I511" s="76">
        <v>0</v>
      </c>
      <c r="J511" s="76">
        <v>0</v>
      </c>
    </row>
    <row r="512" spans="1:10" x14ac:dyDescent="0.3">
      <c r="A512" s="35" t="s">
        <v>53</v>
      </c>
      <c r="B512" s="35" t="s">
        <v>164</v>
      </c>
      <c r="C512" s="6">
        <f t="shared" si="7"/>
        <v>7</v>
      </c>
      <c r="D512" s="76">
        <v>0</v>
      </c>
      <c r="E512" s="76">
        <v>0</v>
      </c>
      <c r="F512" s="76">
        <v>0</v>
      </c>
      <c r="G512" s="76">
        <v>0</v>
      </c>
      <c r="H512" s="76">
        <v>0</v>
      </c>
      <c r="I512" s="76">
        <v>0</v>
      </c>
      <c r="J512" s="76">
        <v>0</v>
      </c>
    </row>
    <row r="513" spans="1:10" x14ac:dyDescent="0.3">
      <c r="A513" s="36" t="s">
        <v>53</v>
      </c>
      <c r="B513" s="36" t="s">
        <v>165</v>
      </c>
      <c r="C513" s="6">
        <f t="shared" si="7"/>
        <v>8</v>
      </c>
      <c r="D513" s="75">
        <v>0</v>
      </c>
      <c r="E513" s="75">
        <v>0</v>
      </c>
      <c r="F513" s="76">
        <v>0</v>
      </c>
      <c r="G513" s="76">
        <v>0</v>
      </c>
      <c r="H513" s="76">
        <v>0</v>
      </c>
      <c r="I513" s="76">
        <v>0</v>
      </c>
      <c r="J513" s="76">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0</v>
      </c>
      <c r="I514" s="76">
        <v>0</v>
      </c>
      <c r="J514" s="76">
        <v>0</v>
      </c>
    </row>
    <row r="515" spans="1:10" x14ac:dyDescent="0.3">
      <c r="A515" s="36" t="s">
        <v>53</v>
      </c>
      <c r="B515" s="36" t="s">
        <v>167</v>
      </c>
      <c r="C515" s="6">
        <f t="shared" si="8"/>
        <v>10</v>
      </c>
      <c r="D515" s="75">
        <v>0</v>
      </c>
      <c r="E515" s="75">
        <v>0</v>
      </c>
      <c r="F515" s="76">
        <v>0</v>
      </c>
      <c r="G515" s="76">
        <v>0</v>
      </c>
      <c r="H515" s="76">
        <v>0</v>
      </c>
      <c r="I515" s="76">
        <v>0</v>
      </c>
      <c r="J515" s="76">
        <v>0</v>
      </c>
    </row>
    <row r="516" spans="1:10" x14ac:dyDescent="0.3">
      <c r="A516" s="35" t="s">
        <v>53</v>
      </c>
      <c r="B516" s="35" t="s">
        <v>168</v>
      </c>
      <c r="C516" s="6">
        <f t="shared" si="8"/>
        <v>11</v>
      </c>
      <c r="D516" s="76">
        <v>0</v>
      </c>
      <c r="E516" s="76">
        <v>0</v>
      </c>
      <c r="F516" s="76">
        <v>0</v>
      </c>
      <c r="G516" s="76">
        <v>0</v>
      </c>
      <c r="H516" s="76">
        <v>0</v>
      </c>
      <c r="I516" s="76">
        <v>0</v>
      </c>
      <c r="J516" s="76">
        <v>0</v>
      </c>
    </row>
    <row r="517" spans="1:10" x14ac:dyDescent="0.3">
      <c r="A517" s="36" t="s">
        <v>53</v>
      </c>
      <c r="B517" s="36" t="s">
        <v>169</v>
      </c>
      <c r="C517" s="6">
        <f t="shared" si="8"/>
        <v>12</v>
      </c>
      <c r="D517" s="75">
        <v>0</v>
      </c>
      <c r="E517" s="75">
        <v>0</v>
      </c>
      <c r="F517" s="76">
        <v>0</v>
      </c>
      <c r="G517" s="76">
        <v>0</v>
      </c>
      <c r="H517" s="76">
        <v>0</v>
      </c>
      <c r="I517" s="76">
        <v>0</v>
      </c>
      <c r="J517" s="76">
        <v>0</v>
      </c>
    </row>
    <row r="518" spans="1:10" x14ac:dyDescent="0.3">
      <c r="A518" s="35" t="s">
        <v>109</v>
      </c>
      <c r="B518" s="35" t="s">
        <v>158</v>
      </c>
      <c r="C518" s="6">
        <f t="shared" si="8"/>
        <v>1</v>
      </c>
      <c r="D518" s="76">
        <v>0</v>
      </c>
      <c r="E518" s="76">
        <v>0</v>
      </c>
      <c r="F518" s="76">
        <v>0</v>
      </c>
      <c r="G518" s="76">
        <v>0</v>
      </c>
      <c r="H518" s="76">
        <v>0</v>
      </c>
      <c r="I518" s="76">
        <v>0</v>
      </c>
      <c r="J518" s="76">
        <v>0</v>
      </c>
    </row>
    <row r="519" spans="1:10" x14ac:dyDescent="0.3">
      <c r="A519" s="36" t="s">
        <v>109</v>
      </c>
      <c r="B519" s="36" t="s">
        <v>159</v>
      </c>
      <c r="C519" s="6">
        <f t="shared" si="8"/>
        <v>2</v>
      </c>
      <c r="D519" s="75">
        <v>0</v>
      </c>
      <c r="E519" s="75">
        <v>0</v>
      </c>
      <c r="F519" s="76">
        <v>0</v>
      </c>
      <c r="G519" s="76">
        <v>0</v>
      </c>
      <c r="H519" s="76">
        <v>0</v>
      </c>
      <c r="I519" s="76">
        <v>0</v>
      </c>
      <c r="J519" s="76">
        <v>0</v>
      </c>
    </row>
    <row r="520" spans="1:10" x14ac:dyDescent="0.3">
      <c r="A520" s="35" t="s">
        <v>109</v>
      </c>
      <c r="B520" s="35" t="s">
        <v>160</v>
      </c>
      <c r="C520" s="6">
        <f t="shared" si="8"/>
        <v>3</v>
      </c>
      <c r="D520" s="76">
        <v>0</v>
      </c>
      <c r="E520" s="76">
        <v>0</v>
      </c>
      <c r="F520" s="76">
        <v>0</v>
      </c>
      <c r="G520" s="76">
        <v>0</v>
      </c>
      <c r="H520" s="76">
        <v>0</v>
      </c>
      <c r="I520" s="76">
        <v>0</v>
      </c>
      <c r="J520" s="76">
        <v>0</v>
      </c>
    </row>
    <row r="521" spans="1:10" x14ac:dyDescent="0.3">
      <c r="A521" s="36" t="s">
        <v>109</v>
      </c>
      <c r="B521" s="36" t="s">
        <v>161</v>
      </c>
      <c r="C521" s="6">
        <f t="shared" si="8"/>
        <v>4</v>
      </c>
      <c r="D521" s="75">
        <v>0</v>
      </c>
      <c r="E521" s="75">
        <v>0</v>
      </c>
      <c r="F521" s="76">
        <v>0</v>
      </c>
      <c r="G521" s="76">
        <v>0</v>
      </c>
      <c r="H521" s="76">
        <v>0</v>
      </c>
      <c r="I521" s="76">
        <v>0</v>
      </c>
      <c r="J521" s="76">
        <v>0</v>
      </c>
    </row>
    <row r="522" spans="1:10" x14ac:dyDescent="0.3">
      <c r="A522" s="35" t="s">
        <v>109</v>
      </c>
      <c r="B522" s="35" t="s">
        <v>162</v>
      </c>
      <c r="C522" s="6">
        <f t="shared" si="8"/>
        <v>5</v>
      </c>
      <c r="D522" s="76">
        <v>0</v>
      </c>
      <c r="E522" s="76">
        <v>0</v>
      </c>
      <c r="F522" s="76">
        <v>0</v>
      </c>
      <c r="G522" s="76">
        <v>0</v>
      </c>
      <c r="H522" s="76">
        <v>0</v>
      </c>
      <c r="I522" s="76">
        <v>0</v>
      </c>
      <c r="J522" s="76">
        <v>0</v>
      </c>
    </row>
    <row r="523" spans="1:10" x14ac:dyDescent="0.3">
      <c r="A523" s="36" t="s">
        <v>109</v>
      </c>
      <c r="B523" s="36" t="s">
        <v>163</v>
      </c>
      <c r="C523" s="6">
        <f t="shared" si="8"/>
        <v>6</v>
      </c>
      <c r="D523" s="75">
        <v>0</v>
      </c>
      <c r="E523" s="75">
        <v>0</v>
      </c>
      <c r="F523" s="76">
        <v>0</v>
      </c>
      <c r="G523" s="76">
        <v>0</v>
      </c>
      <c r="H523" s="76">
        <v>0</v>
      </c>
      <c r="I523" s="76">
        <v>0</v>
      </c>
      <c r="J523" s="76">
        <v>0</v>
      </c>
    </row>
    <row r="524" spans="1:10" x14ac:dyDescent="0.3">
      <c r="A524" s="35" t="s">
        <v>109</v>
      </c>
      <c r="B524" s="35" t="s">
        <v>164</v>
      </c>
      <c r="C524" s="6">
        <f t="shared" si="8"/>
        <v>7</v>
      </c>
      <c r="D524" s="76">
        <v>0</v>
      </c>
      <c r="E524" s="76">
        <v>0</v>
      </c>
      <c r="F524" s="76">
        <v>0</v>
      </c>
      <c r="G524" s="76">
        <v>0</v>
      </c>
      <c r="H524" s="76">
        <v>0</v>
      </c>
      <c r="I524" s="76">
        <v>0</v>
      </c>
      <c r="J524" s="76">
        <v>0</v>
      </c>
    </row>
    <row r="525" spans="1:10" x14ac:dyDescent="0.3">
      <c r="A525" s="36" t="s">
        <v>109</v>
      </c>
      <c r="B525" s="36" t="s">
        <v>165</v>
      </c>
      <c r="C525" s="6">
        <f t="shared" si="8"/>
        <v>8</v>
      </c>
      <c r="D525" s="75">
        <v>0</v>
      </c>
      <c r="E525" s="75">
        <v>0</v>
      </c>
      <c r="F525" s="76">
        <v>0</v>
      </c>
      <c r="G525" s="76">
        <v>0</v>
      </c>
      <c r="H525" s="76">
        <v>0</v>
      </c>
      <c r="I525" s="76">
        <v>0</v>
      </c>
      <c r="J525" s="76">
        <v>0</v>
      </c>
    </row>
    <row r="526" spans="1:10" x14ac:dyDescent="0.3">
      <c r="A526" s="35" t="s">
        <v>109</v>
      </c>
      <c r="B526" s="35" t="s">
        <v>166</v>
      </c>
      <c r="C526" s="6">
        <f t="shared" si="8"/>
        <v>9</v>
      </c>
      <c r="D526" s="76">
        <v>0</v>
      </c>
      <c r="E526" s="76">
        <v>0</v>
      </c>
      <c r="F526" s="76">
        <v>0</v>
      </c>
      <c r="G526" s="76">
        <v>0</v>
      </c>
      <c r="H526" s="76">
        <v>0</v>
      </c>
      <c r="I526" s="76">
        <v>0</v>
      </c>
      <c r="J526" s="76">
        <v>0</v>
      </c>
    </row>
    <row r="527" spans="1:10" x14ac:dyDescent="0.3">
      <c r="A527" s="36" t="s">
        <v>109</v>
      </c>
      <c r="B527" s="36" t="s">
        <v>167</v>
      </c>
      <c r="C527" s="6">
        <f t="shared" si="8"/>
        <v>10</v>
      </c>
      <c r="D527" s="75">
        <v>0</v>
      </c>
      <c r="E527" s="75">
        <v>0</v>
      </c>
      <c r="F527" s="76">
        <v>0</v>
      </c>
      <c r="G527" s="76">
        <v>0</v>
      </c>
      <c r="H527" s="76">
        <v>0</v>
      </c>
      <c r="I527" s="76">
        <v>0</v>
      </c>
      <c r="J527" s="76">
        <v>0</v>
      </c>
    </row>
    <row r="528" spans="1:10" x14ac:dyDescent="0.3">
      <c r="A528" s="35" t="s">
        <v>109</v>
      </c>
      <c r="B528" s="35" t="s">
        <v>168</v>
      </c>
      <c r="C528" s="6">
        <f t="shared" si="8"/>
        <v>11</v>
      </c>
      <c r="D528" s="76">
        <v>0</v>
      </c>
      <c r="E528" s="76">
        <v>0</v>
      </c>
      <c r="F528" s="76">
        <v>0</v>
      </c>
      <c r="G528" s="76">
        <v>0</v>
      </c>
      <c r="H528" s="76">
        <v>0</v>
      </c>
      <c r="I528" s="76">
        <v>0</v>
      </c>
      <c r="J528" s="76">
        <v>0</v>
      </c>
    </row>
    <row r="529" spans="1:10" x14ac:dyDescent="0.3">
      <c r="A529" s="36" t="s">
        <v>109</v>
      </c>
      <c r="B529" s="36" t="s">
        <v>169</v>
      </c>
      <c r="C529" s="6">
        <f t="shared" si="8"/>
        <v>12</v>
      </c>
      <c r="D529" s="75">
        <v>0</v>
      </c>
      <c r="E529" s="75">
        <v>0</v>
      </c>
      <c r="F529" s="76">
        <v>0</v>
      </c>
      <c r="G529" s="76">
        <v>0</v>
      </c>
      <c r="H529" s="76">
        <v>0</v>
      </c>
      <c r="I529" s="76">
        <v>0</v>
      </c>
      <c r="J529" s="76">
        <v>0</v>
      </c>
    </row>
    <row r="530" spans="1:10" x14ac:dyDescent="0.3">
      <c r="A530" s="35" t="s">
        <v>102</v>
      </c>
      <c r="B530" s="35" t="s">
        <v>158</v>
      </c>
      <c r="C530" s="6">
        <f t="shared" si="8"/>
        <v>1</v>
      </c>
      <c r="D530" s="76">
        <v>14</v>
      </c>
      <c r="E530" s="76">
        <v>58</v>
      </c>
      <c r="F530" s="76">
        <v>0</v>
      </c>
      <c r="G530" s="76">
        <v>0</v>
      </c>
      <c r="H530" s="76">
        <v>0</v>
      </c>
      <c r="I530" s="76">
        <v>0</v>
      </c>
      <c r="J530" s="76">
        <v>6</v>
      </c>
    </row>
    <row r="531" spans="1:10" x14ac:dyDescent="0.3">
      <c r="A531" s="36" t="s">
        <v>102</v>
      </c>
      <c r="B531" s="36" t="s">
        <v>159</v>
      </c>
      <c r="C531" s="6">
        <f t="shared" si="8"/>
        <v>2</v>
      </c>
      <c r="D531" s="75">
        <v>7</v>
      </c>
      <c r="E531" s="75">
        <v>29</v>
      </c>
      <c r="F531" s="76">
        <v>0</v>
      </c>
      <c r="G531" s="76">
        <v>0</v>
      </c>
      <c r="H531" s="76">
        <v>0</v>
      </c>
      <c r="I531" s="76">
        <v>0</v>
      </c>
      <c r="J531" s="76">
        <v>3</v>
      </c>
    </row>
    <row r="532" spans="1:10" x14ac:dyDescent="0.3">
      <c r="A532" s="35" t="s">
        <v>102</v>
      </c>
      <c r="B532" s="35" t="s">
        <v>160</v>
      </c>
      <c r="C532" s="6">
        <f t="shared" si="8"/>
        <v>3</v>
      </c>
      <c r="D532" s="76">
        <v>5</v>
      </c>
      <c r="E532" s="76">
        <v>20</v>
      </c>
      <c r="F532" s="76">
        <v>1</v>
      </c>
      <c r="G532" s="76">
        <v>0</v>
      </c>
      <c r="H532" s="76">
        <v>0</v>
      </c>
      <c r="I532" s="76">
        <v>0</v>
      </c>
      <c r="J532" s="76">
        <v>3</v>
      </c>
    </row>
    <row r="533" spans="1:10" x14ac:dyDescent="0.3">
      <c r="A533" s="36" t="s">
        <v>102</v>
      </c>
      <c r="B533" s="36" t="s">
        <v>161</v>
      </c>
      <c r="C533" s="6">
        <f t="shared" si="8"/>
        <v>4</v>
      </c>
      <c r="D533" s="75">
        <v>2</v>
      </c>
      <c r="E533" s="75">
        <v>8</v>
      </c>
      <c r="F533" s="76">
        <v>2</v>
      </c>
      <c r="G533" s="76">
        <v>0</v>
      </c>
      <c r="H533" s="76">
        <v>0</v>
      </c>
      <c r="I533" s="76">
        <v>0</v>
      </c>
      <c r="J533" s="76">
        <v>1</v>
      </c>
    </row>
    <row r="534" spans="1:10" x14ac:dyDescent="0.3">
      <c r="A534" s="35" t="s">
        <v>102</v>
      </c>
      <c r="B534" s="35" t="s">
        <v>162</v>
      </c>
      <c r="C534" s="6">
        <f t="shared" si="8"/>
        <v>5</v>
      </c>
      <c r="D534" s="76">
        <v>6</v>
      </c>
      <c r="E534" s="76">
        <v>25</v>
      </c>
      <c r="F534" s="76">
        <v>0</v>
      </c>
      <c r="G534" s="76">
        <v>0</v>
      </c>
      <c r="H534" s="76">
        <v>0</v>
      </c>
      <c r="I534" s="76">
        <v>0</v>
      </c>
      <c r="J534" s="76">
        <v>4</v>
      </c>
    </row>
    <row r="535" spans="1:10" x14ac:dyDescent="0.3">
      <c r="A535" s="36" t="s">
        <v>102</v>
      </c>
      <c r="B535" s="36" t="s">
        <v>163</v>
      </c>
      <c r="C535" s="6">
        <f t="shared" si="8"/>
        <v>6</v>
      </c>
      <c r="D535" s="75">
        <v>0</v>
      </c>
      <c r="E535" s="75">
        <v>0</v>
      </c>
      <c r="F535" s="76">
        <v>0</v>
      </c>
      <c r="G535" s="76">
        <v>0</v>
      </c>
      <c r="H535" s="76">
        <v>0</v>
      </c>
      <c r="I535" s="76">
        <v>0</v>
      </c>
      <c r="J535" s="76">
        <v>0</v>
      </c>
    </row>
    <row r="536" spans="1:10" x14ac:dyDescent="0.3">
      <c r="A536" s="35" t="s">
        <v>102</v>
      </c>
      <c r="B536" s="35" t="s">
        <v>164</v>
      </c>
      <c r="C536" s="6">
        <f t="shared" si="8"/>
        <v>7</v>
      </c>
      <c r="D536" s="76">
        <v>0</v>
      </c>
      <c r="E536" s="76">
        <v>0</v>
      </c>
      <c r="F536" s="76">
        <v>0</v>
      </c>
      <c r="G536" s="76">
        <v>0</v>
      </c>
      <c r="H536" s="76">
        <v>0</v>
      </c>
      <c r="I536" s="76">
        <v>0</v>
      </c>
      <c r="J536" s="76">
        <v>0</v>
      </c>
    </row>
    <row r="537" spans="1:10" x14ac:dyDescent="0.3">
      <c r="A537" s="36" t="s">
        <v>102</v>
      </c>
      <c r="B537" s="36" t="s">
        <v>165</v>
      </c>
      <c r="C537" s="6">
        <f t="shared" si="8"/>
        <v>8</v>
      </c>
      <c r="D537" s="75">
        <v>0</v>
      </c>
      <c r="E537" s="75">
        <v>0</v>
      </c>
      <c r="F537" s="76">
        <v>0</v>
      </c>
      <c r="G537" s="76">
        <v>0</v>
      </c>
      <c r="H537" s="76">
        <v>0</v>
      </c>
      <c r="I537" s="76">
        <v>0</v>
      </c>
      <c r="J537" s="76">
        <v>0</v>
      </c>
    </row>
    <row r="538" spans="1:10" x14ac:dyDescent="0.3">
      <c r="A538" s="35" t="s">
        <v>102</v>
      </c>
      <c r="B538" s="35" t="s">
        <v>166</v>
      </c>
      <c r="C538" s="6">
        <f t="shared" si="8"/>
        <v>9</v>
      </c>
      <c r="D538" s="76">
        <v>0</v>
      </c>
      <c r="E538" s="76">
        <v>0</v>
      </c>
      <c r="F538" s="76">
        <v>0</v>
      </c>
      <c r="G538" s="76">
        <v>0</v>
      </c>
      <c r="H538" s="76">
        <v>0</v>
      </c>
      <c r="I538" s="76">
        <v>0</v>
      </c>
      <c r="J538" s="76">
        <v>0</v>
      </c>
    </row>
    <row r="539" spans="1:10" x14ac:dyDescent="0.3">
      <c r="A539" s="36" t="s">
        <v>102</v>
      </c>
      <c r="B539" s="36" t="s">
        <v>167</v>
      </c>
      <c r="C539" s="6">
        <f t="shared" si="8"/>
        <v>10</v>
      </c>
      <c r="D539" s="75">
        <v>0</v>
      </c>
      <c r="E539" s="75">
        <v>0</v>
      </c>
      <c r="F539" s="76">
        <v>0</v>
      </c>
      <c r="G539" s="76">
        <v>0</v>
      </c>
      <c r="H539" s="76">
        <v>0</v>
      </c>
      <c r="I539" s="76">
        <v>0</v>
      </c>
      <c r="J539" s="76">
        <v>0</v>
      </c>
    </row>
    <row r="540" spans="1:10" x14ac:dyDescent="0.3">
      <c r="A540" s="35" t="s">
        <v>102</v>
      </c>
      <c r="B540" s="35" t="s">
        <v>168</v>
      </c>
      <c r="C540" s="6">
        <f t="shared" si="8"/>
        <v>11</v>
      </c>
      <c r="D540" s="76">
        <v>0</v>
      </c>
      <c r="E540" s="76">
        <v>0</v>
      </c>
      <c r="F540" s="76">
        <v>0</v>
      </c>
      <c r="G540" s="76">
        <v>0</v>
      </c>
      <c r="H540" s="76">
        <v>0</v>
      </c>
      <c r="I540" s="76">
        <v>0</v>
      </c>
      <c r="J540" s="76">
        <v>0</v>
      </c>
    </row>
    <row r="541" spans="1:10" x14ac:dyDescent="0.3">
      <c r="A541" s="36" t="s">
        <v>102</v>
      </c>
      <c r="B541" s="36" t="s">
        <v>169</v>
      </c>
      <c r="C541" s="6">
        <f t="shared" si="8"/>
        <v>12</v>
      </c>
      <c r="D541" s="75">
        <v>0</v>
      </c>
      <c r="E541" s="75">
        <v>0</v>
      </c>
      <c r="F541" s="76">
        <v>0</v>
      </c>
      <c r="G541" s="76">
        <v>0</v>
      </c>
      <c r="H541" s="76">
        <v>0</v>
      </c>
      <c r="I541" s="76">
        <v>0</v>
      </c>
      <c r="J541" s="76">
        <v>0</v>
      </c>
    </row>
    <row r="542" spans="1:10" x14ac:dyDescent="0.3">
      <c r="A542" s="35" t="s">
        <v>113</v>
      </c>
      <c r="B542" s="35" t="s">
        <v>158</v>
      </c>
      <c r="C542" s="6">
        <f t="shared" si="8"/>
        <v>1</v>
      </c>
      <c r="D542" s="76">
        <v>0</v>
      </c>
      <c r="E542" s="76">
        <v>0</v>
      </c>
      <c r="F542" s="76">
        <v>0</v>
      </c>
      <c r="G542" s="76">
        <v>0</v>
      </c>
      <c r="H542" s="76">
        <v>0</v>
      </c>
      <c r="I542" s="76">
        <v>0</v>
      </c>
      <c r="J542" s="76">
        <v>0</v>
      </c>
    </row>
    <row r="543" spans="1:10" x14ac:dyDescent="0.3">
      <c r="A543" s="36" t="s">
        <v>113</v>
      </c>
      <c r="B543" s="36" t="s">
        <v>159</v>
      </c>
      <c r="C543" s="6">
        <f t="shared" si="8"/>
        <v>2</v>
      </c>
      <c r="D543" s="75">
        <v>0</v>
      </c>
      <c r="E543" s="75">
        <v>0</v>
      </c>
      <c r="F543" s="76">
        <v>1</v>
      </c>
      <c r="G543" s="76">
        <v>0</v>
      </c>
      <c r="H543" s="76">
        <v>0</v>
      </c>
      <c r="I543" s="76">
        <v>0</v>
      </c>
      <c r="J543" s="76">
        <v>0</v>
      </c>
    </row>
    <row r="544" spans="1:10" x14ac:dyDescent="0.3">
      <c r="A544" s="35" t="s">
        <v>113</v>
      </c>
      <c r="B544" s="35" t="s">
        <v>160</v>
      </c>
      <c r="C544" s="6">
        <f t="shared" si="8"/>
        <v>3</v>
      </c>
      <c r="D544" s="76">
        <v>0</v>
      </c>
      <c r="E544" s="76">
        <v>0</v>
      </c>
      <c r="F544" s="76">
        <v>0</v>
      </c>
      <c r="G544" s="76">
        <v>0</v>
      </c>
      <c r="H544" s="76">
        <v>0</v>
      </c>
      <c r="I544" s="76">
        <v>0</v>
      </c>
      <c r="J544" s="76">
        <v>0</v>
      </c>
    </row>
    <row r="545" spans="1:10" x14ac:dyDescent="0.3">
      <c r="A545" s="36" t="s">
        <v>113</v>
      </c>
      <c r="B545" s="36" t="s">
        <v>161</v>
      </c>
      <c r="C545" s="6">
        <f t="shared" si="8"/>
        <v>4</v>
      </c>
      <c r="D545" s="75">
        <v>0</v>
      </c>
      <c r="E545" s="75">
        <v>0</v>
      </c>
      <c r="F545" s="76">
        <v>0</v>
      </c>
      <c r="G545" s="76">
        <v>0</v>
      </c>
      <c r="H545" s="76">
        <v>0</v>
      </c>
      <c r="I545" s="76">
        <v>0</v>
      </c>
      <c r="J545" s="76">
        <v>0</v>
      </c>
    </row>
    <row r="546" spans="1:10" x14ac:dyDescent="0.3">
      <c r="A546" s="35" t="s">
        <v>113</v>
      </c>
      <c r="B546" s="35" t="s">
        <v>162</v>
      </c>
      <c r="C546" s="6">
        <f t="shared" si="8"/>
        <v>5</v>
      </c>
      <c r="D546" s="76">
        <v>0</v>
      </c>
      <c r="E546" s="76">
        <v>0</v>
      </c>
      <c r="F546" s="76">
        <v>0</v>
      </c>
      <c r="G546" s="76">
        <v>0</v>
      </c>
      <c r="H546" s="76">
        <v>0</v>
      </c>
      <c r="I546" s="76">
        <v>0</v>
      </c>
      <c r="J546" s="76">
        <v>0</v>
      </c>
    </row>
    <row r="547" spans="1:10" x14ac:dyDescent="0.3">
      <c r="A547" s="36" t="s">
        <v>113</v>
      </c>
      <c r="B547" s="36" t="s">
        <v>163</v>
      </c>
      <c r="C547" s="6">
        <f t="shared" si="8"/>
        <v>6</v>
      </c>
      <c r="D547" s="75">
        <v>0</v>
      </c>
      <c r="E547" s="75">
        <v>0</v>
      </c>
      <c r="F547" s="76">
        <v>0</v>
      </c>
      <c r="G547" s="76">
        <v>0</v>
      </c>
      <c r="H547" s="76">
        <v>0</v>
      </c>
      <c r="I547" s="76">
        <v>0</v>
      </c>
      <c r="J547" s="76">
        <v>0</v>
      </c>
    </row>
    <row r="548" spans="1:10" x14ac:dyDescent="0.3">
      <c r="A548" s="35" t="s">
        <v>113</v>
      </c>
      <c r="B548" s="35" t="s">
        <v>164</v>
      </c>
      <c r="C548" s="6">
        <f t="shared" si="8"/>
        <v>7</v>
      </c>
      <c r="D548" s="76">
        <v>0</v>
      </c>
      <c r="E548" s="76">
        <v>0</v>
      </c>
      <c r="F548" s="76">
        <v>0</v>
      </c>
      <c r="G548" s="76">
        <v>0</v>
      </c>
      <c r="H548" s="76">
        <v>0</v>
      </c>
      <c r="I548" s="76">
        <v>0</v>
      </c>
      <c r="J548" s="76">
        <v>0</v>
      </c>
    </row>
    <row r="549" spans="1:10" x14ac:dyDescent="0.3">
      <c r="A549" s="36" t="s">
        <v>113</v>
      </c>
      <c r="B549" s="36" t="s">
        <v>165</v>
      </c>
      <c r="C549" s="6">
        <f t="shared" si="8"/>
        <v>8</v>
      </c>
      <c r="D549" s="75">
        <v>0</v>
      </c>
      <c r="E549" s="75">
        <v>0</v>
      </c>
      <c r="F549" s="76">
        <v>0</v>
      </c>
      <c r="G549" s="76">
        <v>0</v>
      </c>
      <c r="H549" s="76">
        <v>0</v>
      </c>
      <c r="I549" s="76">
        <v>0</v>
      </c>
      <c r="J549" s="76">
        <v>0</v>
      </c>
    </row>
    <row r="550" spans="1:10" x14ac:dyDescent="0.3">
      <c r="A550" s="35" t="s">
        <v>113</v>
      </c>
      <c r="B550" s="35" t="s">
        <v>166</v>
      </c>
      <c r="C550" s="6">
        <f t="shared" si="8"/>
        <v>9</v>
      </c>
      <c r="D550" s="76">
        <v>0</v>
      </c>
      <c r="E550" s="76">
        <v>0</v>
      </c>
      <c r="F550" s="76">
        <v>0</v>
      </c>
      <c r="G550" s="76">
        <v>0</v>
      </c>
      <c r="H550" s="76">
        <v>0</v>
      </c>
      <c r="I550" s="76">
        <v>0</v>
      </c>
      <c r="J550" s="76">
        <v>0</v>
      </c>
    </row>
    <row r="551" spans="1:10" x14ac:dyDescent="0.3">
      <c r="A551" s="36" t="s">
        <v>113</v>
      </c>
      <c r="B551" s="36" t="s">
        <v>167</v>
      </c>
      <c r="C551" s="6">
        <f t="shared" si="8"/>
        <v>10</v>
      </c>
      <c r="D551" s="75">
        <v>0</v>
      </c>
      <c r="E551" s="75">
        <v>0</v>
      </c>
      <c r="F551" s="76">
        <v>0</v>
      </c>
      <c r="G551" s="76">
        <v>0</v>
      </c>
      <c r="H551" s="76">
        <v>0</v>
      </c>
      <c r="I551" s="76">
        <v>0</v>
      </c>
      <c r="J551" s="76">
        <v>0</v>
      </c>
    </row>
    <row r="552" spans="1:10" x14ac:dyDescent="0.3">
      <c r="A552" s="35" t="s">
        <v>113</v>
      </c>
      <c r="B552" s="35" t="s">
        <v>168</v>
      </c>
      <c r="C552" s="6">
        <f t="shared" si="8"/>
        <v>11</v>
      </c>
      <c r="D552" s="76">
        <v>0</v>
      </c>
      <c r="E552" s="76">
        <v>0</v>
      </c>
      <c r="F552" s="76">
        <v>0</v>
      </c>
      <c r="G552" s="76">
        <v>0</v>
      </c>
      <c r="H552" s="76">
        <v>0</v>
      </c>
      <c r="I552" s="76">
        <v>0</v>
      </c>
      <c r="J552" s="76">
        <v>0</v>
      </c>
    </row>
    <row r="553" spans="1:10" x14ac:dyDescent="0.3">
      <c r="A553" s="36" t="s">
        <v>113</v>
      </c>
      <c r="B553" s="36" t="s">
        <v>169</v>
      </c>
      <c r="C553" s="6">
        <f t="shared" si="8"/>
        <v>12</v>
      </c>
      <c r="D553" s="75">
        <v>0</v>
      </c>
      <c r="E553" s="75">
        <v>0</v>
      </c>
      <c r="F553" s="76">
        <v>0</v>
      </c>
      <c r="G553" s="76">
        <v>0</v>
      </c>
      <c r="H553" s="76">
        <v>0</v>
      </c>
      <c r="I553" s="76">
        <v>0</v>
      </c>
      <c r="J553" s="76">
        <v>0</v>
      </c>
    </row>
    <row r="554" spans="1:10" x14ac:dyDescent="0.3">
      <c r="A554" s="35" t="s">
        <v>100</v>
      </c>
      <c r="B554" s="35" t="s">
        <v>158</v>
      </c>
      <c r="C554" s="6">
        <f t="shared" si="8"/>
        <v>1</v>
      </c>
      <c r="D554" s="76">
        <v>0</v>
      </c>
      <c r="E554" s="76">
        <v>0</v>
      </c>
      <c r="F554" s="76">
        <v>0</v>
      </c>
      <c r="G554" s="76">
        <v>0</v>
      </c>
      <c r="H554" s="76">
        <v>0</v>
      </c>
      <c r="I554" s="76">
        <v>0</v>
      </c>
      <c r="J554" s="76">
        <v>0</v>
      </c>
    </row>
    <row r="555" spans="1:10" x14ac:dyDescent="0.3">
      <c r="A555" s="36" t="s">
        <v>100</v>
      </c>
      <c r="B555" s="36" t="s">
        <v>159</v>
      </c>
      <c r="C555" s="6">
        <f t="shared" si="8"/>
        <v>2</v>
      </c>
      <c r="D555" s="75">
        <v>0</v>
      </c>
      <c r="E555" s="75">
        <v>0</v>
      </c>
      <c r="F555" s="76">
        <v>0</v>
      </c>
      <c r="G555" s="76">
        <v>0</v>
      </c>
      <c r="H555" s="76">
        <v>0</v>
      </c>
      <c r="I555" s="76">
        <v>0</v>
      </c>
      <c r="J555" s="76">
        <v>0</v>
      </c>
    </row>
    <row r="556" spans="1:10" x14ac:dyDescent="0.3">
      <c r="A556" s="35" t="s">
        <v>100</v>
      </c>
      <c r="B556" s="35" t="s">
        <v>160</v>
      </c>
      <c r="C556" s="6">
        <f t="shared" si="8"/>
        <v>3</v>
      </c>
      <c r="D556" s="76">
        <v>0</v>
      </c>
      <c r="E556" s="76">
        <v>0</v>
      </c>
      <c r="F556" s="76">
        <v>0</v>
      </c>
      <c r="G556" s="76">
        <v>0</v>
      </c>
      <c r="H556" s="76">
        <v>0</v>
      </c>
      <c r="I556" s="76">
        <v>0</v>
      </c>
      <c r="J556" s="76">
        <v>0</v>
      </c>
    </row>
    <row r="557" spans="1:10" x14ac:dyDescent="0.3">
      <c r="A557" s="36" t="s">
        <v>100</v>
      </c>
      <c r="B557" s="36" t="s">
        <v>161</v>
      </c>
      <c r="C557" s="6">
        <f t="shared" si="8"/>
        <v>4</v>
      </c>
      <c r="D557" s="75">
        <v>0</v>
      </c>
      <c r="E557" s="75">
        <v>0</v>
      </c>
      <c r="F557" s="76">
        <v>0</v>
      </c>
      <c r="G557" s="76">
        <v>0</v>
      </c>
      <c r="H557" s="76">
        <v>0</v>
      </c>
      <c r="I557" s="76">
        <v>0</v>
      </c>
      <c r="J557" s="76">
        <v>0</v>
      </c>
    </row>
    <row r="558" spans="1:10" x14ac:dyDescent="0.3">
      <c r="A558" s="35" t="s">
        <v>100</v>
      </c>
      <c r="B558" s="35" t="s">
        <v>162</v>
      </c>
      <c r="C558" s="6">
        <f t="shared" si="8"/>
        <v>5</v>
      </c>
      <c r="D558" s="76">
        <v>0</v>
      </c>
      <c r="E558" s="76">
        <v>0</v>
      </c>
      <c r="F558" s="76">
        <v>1</v>
      </c>
      <c r="G558" s="76">
        <v>0</v>
      </c>
      <c r="H558" s="76">
        <v>0</v>
      </c>
      <c r="I558" s="76">
        <v>0</v>
      </c>
      <c r="J558" s="76">
        <v>0</v>
      </c>
    </row>
    <row r="559" spans="1:10" x14ac:dyDescent="0.3">
      <c r="A559" s="36" t="s">
        <v>100</v>
      </c>
      <c r="B559" s="36" t="s">
        <v>163</v>
      </c>
      <c r="C559" s="6">
        <f t="shared" si="8"/>
        <v>6</v>
      </c>
      <c r="D559" s="75">
        <v>0</v>
      </c>
      <c r="E559" s="75">
        <v>0</v>
      </c>
      <c r="F559" s="76">
        <v>0</v>
      </c>
      <c r="G559" s="76">
        <v>0</v>
      </c>
      <c r="H559" s="76">
        <v>0</v>
      </c>
      <c r="I559" s="76">
        <v>0</v>
      </c>
      <c r="J559" s="76">
        <v>0</v>
      </c>
    </row>
    <row r="560" spans="1:10" x14ac:dyDescent="0.3">
      <c r="A560" s="35" t="s">
        <v>100</v>
      </c>
      <c r="B560" s="35" t="s">
        <v>164</v>
      </c>
      <c r="C560" s="6">
        <f t="shared" si="8"/>
        <v>7</v>
      </c>
      <c r="D560" s="76">
        <v>0</v>
      </c>
      <c r="E560" s="76">
        <v>0</v>
      </c>
      <c r="F560" s="76">
        <v>0</v>
      </c>
      <c r="G560" s="76">
        <v>0</v>
      </c>
      <c r="H560" s="76">
        <v>0</v>
      </c>
      <c r="I560" s="76">
        <v>0</v>
      </c>
      <c r="J560" s="76">
        <v>0</v>
      </c>
    </row>
    <row r="561" spans="1:10" x14ac:dyDescent="0.3">
      <c r="A561" s="36" t="s">
        <v>100</v>
      </c>
      <c r="B561" s="36" t="s">
        <v>165</v>
      </c>
      <c r="C561" s="6">
        <f t="shared" si="8"/>
        <v>8</v>
      </c>
      <c r="D561" s="75">
        <v>0</v>
      </c>
      <c r="E561" s="75">
        <v>0</v>
      </c>
      <c r="F561" s="76">
        <v>0</v>
      </c>
      <c r="G561" s="76">
        <v>0</v>
      </c>
      <c r="H561" s="76">
        <v>0</v>
      </c>
      <c r="I561" s="76">
        <v>0</v>
      </c>
      <c r="J561" s="76">
        <v>0</v>
      </c>
    </row>
    <row r="562" spans="1:10" x14ac:dyDescent="0.3">
      <c r="A562" s="35" t="s">
        <v>100</v>
      </c>
      <c r="B562" s="35" t="s">
        <v>166</v>
      </c>
      <c r="C562" s="6">
        <f t="shared" si="8"/>
        <v>9</v>
      </c>
      <c r="D562" s="76">
        <v>0</v>
      </c>
      <c r="E562" s="76">
        <v>0</v>
      </c>
      <c r="F562" s="76">
        <v>0</v>
      </c>
      <c r="G562" s="76">
        <v>0</v>
      </c>
      <c r="H562" s="76">
        <v>0</v>
      </c>
      <c r="I562" s="76">
        <v>0</v>
      </c>
      <c r="J562" s="76">
        <v>0</v>
      </c>
    </row>
    <row r="563" spans="1:10" x14ac:dyDescent="0.3">
      <c r="A563" s="36" t="s">
        <v>100</v>
      </c>
      <c r="B563" s="36" t="s">
        <v>167</v>
      </c>
      <c r="C563" s="6">
        <f t="shared" si="8"/>
        <v>10</v>
      </c>
      <c r="D563" s="75">
        <v>0</v>
      </c>
      <c r="E563" s="75">
        <v>0</v>
      </c>
      <c r="F563" s="76">
        <v>0</v>
      </c>
      <c r="G563" s="76">
        <v>0</v>
      </c>
      <c r="H563" s="76">
        <v>0</v>
      </c>
      <c r="I563" s="76">
        <v>0</v>
      </c>
      <c r="J563" s="76">
        <v>0</v>
      </c>
    </row>
    <row r="564" spans="1:10" x14ac:dyDescent="0.3">
      <c r="A564" s="35" t="s">
        <v>100</v>
      </c>
      <c r="B564" s="35" t="s">
        <v>168</v>
      </c>
      <c r="C564" s="6">
        <f t="shared" si="8"/>
        <v>11</v>
      </c>
      <c r="D564" s="76">
        <v>0</v>
      </c>
      <c r="E564" s="76">
        <v>0</v>
      </c>
      <c r="F564" s="76">
        <v>0</v>
      </c>
      <c r="G564" s="76">
        <v>0</v>
      </c>
      <c r="H564" s="76">
        <v>0</v>
      </c>
      <c r="I564" s="76">
        <v>0</v>
      </c>
      <c r="J564" s="76">
        <v>0</v>
      </c>
    </row>
    <row r="565" spans="1:10" x14ac:dyDescent="0.3">
      <c r="A565" s="36" t="s">
        <v>100</v>
      </c>
      <c r="B565" s="36" t="s">
        <v>169</v>
      </c>
      <c r="C565" s="6">
        <f t="shared" si="8"/>
        <v>12</v>
      </c>
      <c r="D565" s="75">
        <v>0</v>
      </c>
      <c r="E565" s="75">
        <v>0</v>
      </c>
      <c r="F565" s="76">
        <v>0</v>
      </c>
      <c r="G565" s="76">
        <v>0</v>
      </c>
      <c r="H565" s="76">
        <v>0</v>
      </c>
      <c r="I565" s="76">
        <v>0</v>
      </c>
      <c r="J565" s="76">
        <v>0</v>
      </c>
    </row>
    <row r="566" spans="1:10" x14ac:dyDescent="0.3">
      <c r="A566" s="35" t="s">
        <v>67</v>
      </c>
      <c r="B566" s="35" t="s">
        <v>158</v>
      </c>
      <c r="C566" s="6">
        <f t="shared" si="8"/>
        <v>1</v>
      </c>
      <c r="D566" s="76">
        <v>0</v>
      </c>
      <c r="E566" s="76">
        <v>0</v>
      </c>
      <c r="F566" s="76">
        <v>0</v>
      </c>
      <c r="G566" s="76">
        <v>0</v>
      </c>
      <c r="H566" s="76">
        <v>0</v>
      </c>
      <c r="I566" s="76">
        <v>0</v>
      </c>
      <c r="J566" s="76">
        <v>0</v>
      </c>
    </row>
    <row r="567" spans="1:10" x14ac:dyDescent="0.3">
      <c r="A567" s="36" t="s">
        <v>67</v>
      </c>
      <c r="B567" s="36" t="s">
        <v>159</v>
      </c>
      <c r="C567" s="6">
        <f t="shared" si="8"/>
        <v>2</v>
      </c>
      <c r="D567" s="75">
        <v>5</v>
      </c>
      <c r="E567" s="75">
        <v>45</v>
      </c>
      <c r="F567" s="76">
        <v>0</v>
      </c>
      <c r="G567" s="76">
        <v>0</v>
      </c>
      <c r="H567" s="76">
        <v>0</v>
      </c>
      <c r="I567" s="76">
        <v>0</v>
      </c>
      <c r="J567" s="76">
        <v>1</v>
      </c>
    </row>
    <row r="568" spans="1:10" x14ac:dyDescent="0.3">
      <c r="A568" s="35" t="s">
        <v>67</v>
      </c>
      <c r="B568" s="35" t="s">
        <v>160</v>
      </c>
      <c r="C568" s="6">
        <f t="shared" si="8"/>
        <v>3</v>
      </c>
      <c r="D568" s="76">
        <v>0</v>
      </c>
      <c r="E568" s="76">
        <v>0</v>
      </c>
      <c r="F568" s="76">
        <v>0</v>
      </c>
      <c r="G568" s="76">
        <v>0</v>
      </c>
      <c r="H568" s="76">
        <v>0</v>
      </c>
      <c r="I568" s="76">
        <v>0</v>
      </c>
      <c r="J568" s="76">
        <v>0</v>
      </c>
    </row>
    <row r="569" spans="1:10" x14ac:dyDescent="0.3">
      <c r="A569" s="36" t="s">
        <v>67</v>
      </c>
      <c r="B569" s="36" t="s">
        <v>161</v>
      </c>
      <c r="C569" s="6">
        <f t="shared" si="8"/>
        <v>4</v>
      </c>
      <c r="D569" s="75">
        <v>0</v>
      </c>
      <c r="E569" s="75">
        <v>0</v>
      </c>
      <c r="F569" s="76">
        <v>0</v>
      </c>
      <c r="G569" s="76">
        <v>0</v>
      </c>
      <c r="H569" s="76">
        <v>0</v>
      </c>
      <c r="I569" s="76">
        <v>0</v>
      </c>
      <c r="J569" s="76">
        <v>0</v>
      </c>
    </row>
    <row r="570" spans="1:10" x14ac:dyDescent="0.3">
      <c r="A570" s="35" t="s">
        <v>67</v>
      </c>
      <c r="B570" s="35" t="s">
        <v>162</v>
      </c>
      <c r="C570" s="6">
        <f t="shared" si="8"/>
        <v>5</v>
      </c>
      <c r="D570" s="76">
        <v>0</v>
      </c>
      <c r="E570" s="76">
        <v>0</v>
      </c>
      <c r="F570" s="76">
        <v>0</v>
      </c>
      <c r="G570" s="76">
        <v>0</v>
      </c>
      <c r="H570" s="76">
        <v>0</v>
      </c>
      <c r="I570" s="76">
        <v>0</v>
      </c>
      <c r="J570" s="76">
        <v>0</v>
      </c>
    </row>
    <row r="571" spans="1:10" x14ac:dyDescent="0.3">
      <c r="A571" s="36" t="s">
        <v>67</v>
      </c>
      <c r="B571" s="36" t="s">
        <v>163</v>
      </c>
      <c r="C571" s="6">
        <f t="shared" si="8"/>
        <v>6</v>
      </c>
      <c r="D571" s="75">
        <v>0</v>
      </c>
      <c r="E571" s="75">
        <v>0</v>
      </c>
      <c r="F571" s="76">
        <v>0</v>
      </c>
      <c r="G571" s="76">
        <v>0</v>
      </c>
      <c r="H571" s="76">
        <v>0</v>
      </c>
      <c r="I571" s="76">
        <v>0</v>
      </c>
      <c r="J571" s="76">
        <v>0</v>
      </c>
    </row>
    <row r="572" spans="1:10" x14ac:dyDescent="0.3">
      <c r="A572" s="35" t="s">
        <v>67</v>
      </c>
      <c r="B572" s="35" t="s">
        <v>164</v>
      </c>
      <c r="C572" s="6">
        <f t="shared" si="8"/>
        <v>7</v>
      </c>
      <c r="D572" s="76">
        <v>0</v>
      </c>
      <c r="E572" s="76">
        <v>0</v>
      </c>
      <c r="F572" s="76">
        <v>0</v>
      </c>
      <c r="G572" s="76">
        <v>0</v>
      </c>
      <c r="H572" s="76">
        <v>0</v>
      </c>
      <c r="I572" s="76">
        <v>0</v>
      </c>
      <c r="J572" s="76">
        <v>0</v>
      </c>
    </row>
    <row r="573" spans="1:10" x14ac:dyDescent="0.3">
      <c r="A573" s="36" t="s">
        <v>67</v>
      </c>
      <c r="B573" s="36" t="s">
        <v>165</v>
      </c>
      <c r="C573" s="6">
        <f t="shared" si="8"/>
        <v>8</v>
      </c>
      <c r="D573" s="75">
        <v>0</v>
      </c>
      <c r="E573" s="75">
        <v>0</v>
      </c>
      <c r="F573" s="76">
        <v>0</v>
      </c>
      <c r="G573" s="76">
        <v>0</v>
      </c>
      <c r="H573" s="76">
        <v>0</v>
      </c>
      <c r="I573" s="76">
        <v>0</v>
      </c>
      <c r="J573" s="76">
        <v>0</v>
      </c>
    </row>
    <row r="574" spans="1:10" x14ac:dyDescent="0.3">
      <c r="A574" s="35" t="s">
        <v>67</v>
      </c>
      <c r="B574" s="35" t="s">
        <v>166</v>
      </c>
      <c r="C574" s="6">
        <f t="shared" si="8"/>
        <v>9</v>
      </c>
      <c r="D574" s="76">
        <v>0</v>
      </c>
      <c r="E574" s="76">
        <v>0</v>
      </c>
      <c r="F574" s="76">
        <v>0</v>
      </c>
      <c r="G574" s="76">
        <v>0</v>
      </c>
      <c r="H574" s="76">
        <v>0</v>
      </c>
      <c r="I574" s="76">
        <v>0</v>
      </c>
      <c r="J574" s="76">
        <v>0</v>
      </c>
    </row>
    <row r="575" spans="1:10" x14ac:dyDescent="0.3">
      <c r="A575" s="36" t="s">
        <v>67</v>
      </c>
      <c r="B575" s="36" t="s">
        <v>167</v>
      </c>
      <c r="C575" s="6">
        <f t="shared" si="8"/>
        <v>10</v>
      </c>
      <c r="D575" s="75">
        <v>0</v>
      </c>
      <c r="E575" s="75">
        <v>0</v>
      </c>
      <c r="F575" s="76">
        <v>0</v>
      </c>
      <c r="G575" s="76">
        <v>0</v>
      </c>
      <c r="H575" s="76">
        <v>0</v>
      </c>
      <c r="I575" s="76">
        <v>0</v>
      </c>
      <c r="J575" s="76">
        <v>0</v>
      </c>
    </row>
    <row r="576" spans="1:10" x14ac:dyDescent="0.3">
      <c r="A576" s="35" t="s">
        <v>67</v>
      </c>
      <c r="B576" s="35" t="s">
        <v>168</v>
      </c>
      <c r="C576" s="6">
        <f t="shared" si="8"/>
        <v>11</v>
      </c>
      <c r="D576" s="76">
        <v>0</v>
      </c>
      <c r="E576" s="76">
        <v>0</v>
      </c>
      <c r="F576" s="76">
        <v>0</v>
      </c>
      <c r="G576" s="76">
        <v>0</v>
      </c>
      <c r="H576" s="76">
        <v>0</v>
      </c>
      <c r="I576" s="76">
        <v>0</v>
      </c>
      <c r="J576" s="76">
        <v>0</v>
      </c>
    </row>
    <row r="577" spans="1:10" x14ac:dyDescent="0.3">
      <c r="A577" s="36" t="s">
        <v>67</v>
      </c>
      <c r="B577" s="36" t="s">
        <v>169</v>
      </c>
      <c r="C577" s="6">
        <f t="shared" si="8"/>
        <v>12</v>
      </c>
      <c r="D577" s="75">
        <v>0</v>
      </c>
      <c r="E577" s="75">
        <v>0</v>
      </c>
      <c r="F577" s="76">
        <v>0</v>
      </c>
      <c r="G577" s="76">
        <v>0</v>
      </c>
      <c r="H577" s="76">
        <v>0</v>
      </c>
      <c r="I577" s="76">
        <v>0</v>
      </c>
      <c r="J577" s="76">
        <v>0</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6">
        <v>0</v>
      </c>
      <c r="E578" s="76">
        <v>0</v>
      </c>
      <c r="F578" s="76">
        <v>0</v>
      </c>
      <c r="G578" s="76">
        <v>0</v>
      </c>
      <c r="H578" s="76">
        <v>0</v>
      </c>
      <c r="I578" s="76">
        <v>0</v>
      </c>
      <c r="J578" s="76">
        <v>0</v>
      </c>
    </row>
    <row r="579" spans="1:10" x14ac:dyDescent="0.3">
      <c r="A579" s="36" t="s">
        <v>153</v>
      </c>
      <c r="B579" s="36" t="s">
        <v>159</v>
      </c>
      <c r="C579" s="6">
        <f t="shared" si="9"/>
        <v>2</v>
      </c>
      <c r="D579" s="75">
        <v>0</v>
      </c>
      <c r="E579" s="75">
        <v>0</v>
      </c>
      <c r="F579" s="76">
        <v>0</v>
      </c>
      <c r="G579" s="76">
        <v>0</v>
      </c>
      <c r="H579" s="76">
        <v>0</v>
      </c>
      <c r="I579" s="76">
        <v>0</v>
      </c>
      <c r="J579" s="76">
        <v>0</v>
      </c>
    </row>
    <row r="580" spans="1:10" x14ac:dyDescent="0.3">
      <c r="A580" s="35" t="s">
        <v>153</v>
      </c>
      <c r="B580" s="35" t="s">
        <v>160</v>
      </c>
      <c r="C580" s="6">
        <f t="shared" si="9"/>
        <v>3</v>
      </c>
      <c r="D580" s="76">
        <v>0</v>
      </c>
      <c r="E580" s="76">
        <v>0</v>
      </c>
      <c r="F580" s="76">
        <v>0</v>
      </c>
      <c r="G580" s="76">
        <v>0</v>
      </c>
      <c r="H580" s="76">
        <v>0</v>
      </c>
      <c r="I580" s="76">
        <v>0</v>
      </c>
      <c r="J580" s="76">
        <v>0</v>
      </c>
    </row>
    <row r="581" spans="1:10" x14ac:dyDescent="0.3">
      <c r="A581" s="36" t="s">
        <v>153</v>
      </c>
      <c r="B581" s="36" t="s">
        <v>161</v>
      </c>
      <c r="C581" s="6">
        <f t="shared" si="9"/>
        <v>4</v>
      </c>
      <c r="D581" s="75">
        <v>7</v>
      </c>
      <c r="E581" s="75">
        <v>50</v>
      </c>
      <c r="F581" s="76">
        <v>0</v>
      </c>
      <c r="G581" s="76">
        <v>0</v>
      </c>
      <c r="H581" s="76">
        <v>0</v>
      </c>
      <c r="I581" s="76">
        <v>0</v>
      </c>
      <c r="J581" s="76">
        <v>1</v>
      </c>
    </row>
    <row r="582" spans="1:10" x14ac:dyDescent="0.3">
      <c r="A582" s="35" t="s">
        <v>153</v>
      </c>
      <c r="B582" s="35" t="s">
        <v>162</v>
      </c>
      <c r="C582" s="6">
        <f t="shared" si="9"/>
        <v>5</v>
      </c>
      <c r="D582" s="76">
        <v>0</v>
      </c>
      <c r="E582" s="76">
        <v>0</v>
      </c>
      <c r="F582" s="76">
        <v>0</v>
      </c>
      <c r="G582" s="76">
        <v>0</v>
      </c>
      <c r="H582" s="76">
        <v>0</v>
      </c>
      <c r="I582" s="76">
        <v>0</v>
      </c>
      <c r="J582" s="76">
        <v>0</v>
      </c>
    </row>
    <row r="583" spans="1:10" x14ac:dyDescent="0.3">
      <c r="A583" s="36" t="s">
        <v>153</v>
      </c>
      <c r="B583" s="36" t="s">
        <v>163</v>
      </c>
      <c r="C583" s="6">
        <f t="shared" si="9"/>
        <v>6</v>
      </c>
      <c r="D583" s="75">
        <v>0</v>
      </c>
      <c r="E583" s="75">
        <v>0</v>
      </c>
      <c r="F583" s="76">
        <v>0</v>
      </c>
      <c r="G583" s="76">
        <v>0</v>
      </c>
      <c r="H583" s="76">
        <v>0</v>
      </c>
      <c r="I583" s="76">
        <v>0</v>
      </c>
      <c r="J583" s="76">
        <v>0</v>
      </c>
    </row>
    <row r="584" spans="1:10" x14ac:dyDescent="0.3">
      <c r="A584" s="35" t="s">
        <v>153</v>
      </c>
      <c r="B584" s="35" t="s">
        <v>164</v>
      </c>
      <c r="C584" s="6">
        <f t="shared" si="9"/>
        <v>7</v>
      </c>
      <c r="D584" s="76">
        <v>0</v>
      </c>
      <c r="E584" s="76">
        <v>0</v>
      </c>
      <c r="F584" s="76">
        <v>0</v>
      </c>
      <c r="G584" s="76">
        <v>0</v>
      </c>
      <c r="H584" s="76">
        <v>0</v>
      </c>
      <c r="I584" s="76">
        <v>0</v>
      </c>
      <c r="J584" s="76">
        <v>0</v>
      </c>
    </row>
    <row r="585" spans="1:10" x14ac:dyDescent="0.3">
      <c r="A585" s="36" t="s">
        <v>153</v>
      </c>
      <c r="B585" s="36" t="s">
        <v>165</v>
      </c>
      <c r="C585" s="6">
        <f t="shared" si="9"/>
        <v>8</v>
      </c>
      <c r="D585" s="75">
        <v>0</v>
      </c>
      <c r="E585" s="75">
        <v>0</v>
      </c>
      <c r="F585" s="76">
        <v>0</v>
      </c>
      <c r="G585" s="76">
        <v>0</v>
      </c>
      <c r="H585" s="76">
        <v>0</v>
      </c>
      <c r="I585" s="76">
        <v>0</v>
      </c>
      <c r="J585" s="76">
        <v>0</v>
      </c>
    </row>
    <row r="586" spans="1:10" x14ac:dyDescent="0.3">
      <c r="A586" s="35" t="s">
        <v>153</v>
      </c>
      <c r="B586" s="35" t="s">
        <v>166</v>
      </c>
      <c r="C586" s="6">
        <f t="shared" si="9"/>
        <v>9</v>
      </c>
      <c r="D586" s="76">
        <v>0</v>
      </c>
      <c r="E586" s="76">
        <v>0</v>
      </c>
      <c r="F586" s="76">
        <v>0</v>
      </c>
      <c r="G586" s="76">
        <v>0</v>
      </c>
      <c r="H586" s="76">
        <v>0</v>
      </c>
      <c r="I586" s="76">
        <v>0</v>
      </c>
      <c r="J586" s="76">
        <v>0</v>
      </c>
    </row>
    <row r="587" spans="1:10" x14ac:dyDescent="0.3">
      <c r="A587" s="36" t="s">
        <v>153</v>
      </c>
      <c r="B587" s="36" t="s">
        <v>167</v>
      </c>
      <c r="C587" s="6">
        <f t="shared" si="9"/>
        <v>10</v>
      </c>
      <c r="D587" s="75">
        <v>0</v>
      </c>
      <c r="E587" s="75">
        <v>0</v>
      </c>
      <c r="F587" s="76">
        <v>0</v>
      </c>
      <c r="G587" s="76">
        <v>0</v>
      </c>
      <c r="H587" s="76">
        <v>0</v>
      </c>
      <c r="I587" s="76">
        <v>0</v>
      </c>
      <c r="J587" s="76">
        <v>0</v>
      </c>
    </row>
    <row r="588" spans="1:10" x14ac:dyDescent="0.3">
      <c r="A588" s="35" t="s">
        <v>153</v>
      </c>
      <c r="B588" s="35" t="s">
        <v>168</v>
      </c>
      <c r="C588" s="6">
        <f t="shared" si="9"/>
        <v>11</v>
      </c>
      <c r="D588" s="76">
        <v>0</v>
      </c>
      <c r="E588" s="76">
        <v>0</v>
      </c>
      <c r="F588" s="76">
        <v>0</v>
      </c>
      <c r="G588" s="76">
        <v>0</v>
      </c>
      <c r="H588" s="76">
        <v>0</v>
      </c>
      <c r="I588" s="76">
        <v>0</v>
      </c>
      <c r="J588" s="76">
        <v>0</v>
      </c>
    </row>
    <row r="589" spans="1:10" x14ac:dyDescent="0.3">
      <c r="A589" s="36" t="s">
        <v>153</v>
      </c>
      <c r="B589" s="36" t="s">
        <v>169</v>
      </c>
      <c r="C589" s="6">
        <f t="shared" si="9"/>
        <v>12</v>
      </c>
      <c r="D589" s="75">
        <v>0</v>
      </c>
      <c r="E589" s="75">
        <v>0</v>
      </c>
      <c r="F589" s="76">
        <v>0</v>
      </c>
      <c r="G589" s="76">
        <v>0</v>
      </c>
      <c r="H589" s="76">
        <v>0</v>
      </c>
      <c r="I589" s="76">
        <v>0</v>
      </c>
      <c r="J589" s="76">
        <v>0</v>
      </c>
    </row>
    <row r="590" spans="1:10" x14ac:dyDescent="0.3">
      <c r="A590" s="35" t="s">
        <v>137</v>
      </c>
      <c r="B590" s="35" t="s">
        <v>158</v>
      </c>
      <c r="C590" s="6">
        <f t="shared" si="9"/>
        <v>1</v>
      </c>
      <c r="D590" s="76">
        <v>3</v>
      </c>
      <c r="E590" s="76">
        <v>21</v>
      </c>
      <c r="F590" s="76">
        <v>0</v>
      </c>
      <c r="G590" s="76">
        <v>0</v>
      </c>
      <c r="H590" s="76">
        <v>0</v>
      </c>
      <c r="I590" s="76">
        <v>0</v>
      </c>
      <c r="J590" s="76">
        <v>1</v>
      </c>
    </row>
    <row r="591" spans="1:10" x14ac:dyDescent="0.3">
      <c r="A591" s="36" t="s">
        <v>137</v>
      </c>
      <c r="B591" s="36" t="s">
        <v>159</v>
      </c>
      <c r="C591" s="6">
        <f t="shared" si="9"/>
        <v>2</v>
      </c>
      <c r="D591" s="75">
        <v>2</v>
      </c>
      <c r="E591" s="75">
        <v>14</v>
      </c>
      <c r="F591" s="76">
        <v>0</v>
      </c>
      <c r="G591" s="76">
        <v>0</v>
      </c>
      <c r="H591" s="76">
        <v>0</v>
      </c>
      <c r="I591" s="76">
        <v>0</v>
      </c>
      <c r="J591" s="76">
        <v>1</v>
      </c>
    </row>
    <row r="592" spans="1:10" x14ac:dyDescent="0.3">
      <c r="A592" s="35" t="s">
        <v>137</v>
      </c>
      <c r="B592" s="35" t="s">
        <v>160</v>
      </c>
      <c r="C592" s="6">
        <f t="shared" si="9"/>
        <v>3</v>
      </c>
      <c r="D592" s="76">
        <v>0</v>
      </c>
      <c r="E592" s="76">
        <v>0</v>
      </c>
      <c r="F592" s="76">
        <v>0</v>
      </c>
      <c r="G592" s="76">
        <v>0</v>
      </c>
      <c r="H592" s="76">
        <v>0</v>
      </c>
      <c r="I592" s="76">
        <v>0</v>
      </c>
      <c r="J592" s="76">
        <v>0</v>
      </c>
    </row>
    <row r="593" spans="1:10" x14ac:dyDescent="0.3">
      <c r="A593" s="36" t="s">
        <v>137</v>
      </c>
      <c r="B593" s="36" t="s">
        <v>161</v>
      </c>
      <c r="C593" s="6">
        <f t="shared" si="9"/>
        <v>4</v>
      </c>
      <c r="D593" s="75">
        <v>0</v>
      </c>
      <c r="E593" s="75">
        <v>0</v>
      </c>
      <c r="F593" s="76">
        <v>0</v>
      </c>
      <c r="G593" s="76">
        <v>0</v>
      </c>
      <c r="H593" s="76">
        <v>0</v>
      </c>
      <c r="I593" s="76">
        <v>0</v>
      </c>
      <c r="J593" s="76">
        <v>0</v>
      </c>
    </row>
    <row r="594" spans="1:10" x14ac:dyDescent="0.3">
      <c r="A594" s="35" t="s">
        <v>137</v>
      </c>
      <c r="B594" s="35" t="s">
        <v>162</v>
      </c>
      <c r="C594" s="6">
        <f t="shared" si="9"/>
        <v>5</v>
      </c>
      <c r="D594" s="76">
        <v>0</v>
      </c>
      <c r="E594" s="76">
        <v>0</v>
      </c>
      <c r="F594" s="76">
        <v>0</v>
      </c>
      <c r="G594" s="76">
        <v>0</v>
      </c>
      <c r="H594" s="76">
        <v>0</v>
      </c>
      <c r="I594" s="76">
        <v>0</v>
      </c>
      <c r="J594" s="76">
        <v>0</v>
      </c>
    </row>
    <row r="595" spans="1:10" x14ac:dyDescent="0.3">
      <c r="A595" s="36" t="s">
        <v>137</v>
      </c>
      <c r="B595" s="36" t="s">
        <v>163</v>
      </c>
      <c r="C595" s="6">
        <f t="shared" si="9"/>
        <v>6</v>
      </c>
      <c r="D595" s="75">
        <v>0</v>
      </c>
      <c r="E595" s="75">
        <v>0</v>
      </c>
      <c r="F595" s="76">
        <v>0</v>
      </c>
      <c r="G595" s="76">
        <v>0</v>
      </c>
      <c r="H595" s="76">
        <v>0</v>
      </c>
      <c r="I595" s="76">
        <v>0</v>
      </c>
      <c r="J595" s="76">
        <v>0</v>
      </c>
    </row>
    <row r="596" spans="1:10" x14ac:dyDescent="0.3">
      <c r="A596" s="35" t="s">
        <v>137</v>
      </c>
      <c r="B596" s="35" t="s">
        <v>164</v>
      </c>
      <c r="C596" s="6">
        <f t="shared" si="9"/>
        <v>7</v>
      </c>
      <c r="D596" s="76">
        <v>0</v>
      </c>
      <c r="E596" s="76">
        <v>0</v>
      </c>
      <c r="F596" s="76">
        <v>0</v>
      </c>
      <c r="G596" s="76">
        <v>0</v>
      </c>
      <c r="H596" s="76">
        <v>0</v>
      </c>
      <c r="I596" s="76">
        <v>0</v>
      </c>
      <c r="J596" s="76">
        <v>0</v>
      </c>
    </row>
    <row r="597" spans="1:10" x14ac:dyDescent="0.3">
      <c r="A597" s="36" t="s">
        <v>137</v>
      </c>
      <c r="B597" s="36" t="s">
        <v>165</v>
      </c>
      <c r="C597" s="6">
        <f t="shared" si="9"/>
        <v>8</v>
      </c>
      <c r="D597" s="75">
        <v>0</v>
      </c>
      <c r="E597" s="75">
        <v>0</v>
      </c>
      <c r="F597" s="76">
        <v>0</v>
      </c>
      <c r="G597" s="76">
        <v>0</v>
      </c>
      <c r="H597" s="76">
        <v>0</v>
      </c>
      <c r="I597" s="76">
        <v>0</v>
      </c>
      <c r="J597" s="76">
        <v>0</v>
      </c>
    </row>
    <row r="598" spans="1:10" x14ac:dyDescent="0.3">
      <c r="A598" s="35" t="s">
        <v>137</v>
      </c>
      <c r="B598" s="35" t="s">
        <v>166</v>
      </c>
      <c r="C598" s="6">
        <f t="shared" si="9"/>
        <v>9</v>
      </c>
      <c r="D598" s="76">
        <v>0</v>
      </c>
      <c r="E598" s="76">
        <v>0</v>
      </c>
      <c r="F598" s="76">
        <v>0</v>
      </c>
      <c r="G598" s="76">
        <v>0</v>
      </c>
      <c r="H598" s="76">
        <v>0</v>
      </c>
      <c r="I598" s="76">
        <v>0</v>
      </c>
      <c r="J598" s="76">
        <v>0</v>
      </c>
    </row>
    <row r="599" spans="1:10" x14ac:dyDescent="0.3">
      <c r="A599" s="36" t="s">
        <v>137</v>
      </c>
      <c r="B599" s="36" t="s">
        <v>167</v>
      </c>
      <c r="C599" s="6">
        <f t="shared" si="9"/>
        <v>10</v>
      </c>
      <c r="D599" s="75">
        <v>0</v>
      </c>
      <c r="E599" s="75">
        <v>0</v>
      </c>
      <c r="F599" s="76">
        <v>0</v>
      </c>
      <c r="G599" s="76">
        <v>0</v>
      </c>
      <c r="H599" s="76">
        <v>0</v>
      </c>
      <c r="I599" s="76">
        <v>0</v>
      </c>
      <c r="J599" s="76">
        <v>0</v>
      </c>
    </row>
    <row r="600" spans="1:10" x14ac:dyDescent="0.3">
      <c r="A600" s="35" t="s">
        <v>137</v>
      </c>
      <c r="B600" s="35" t="s">
        <v>168</v>
      </c>
      <c r="C600" s="6">
        <f t="shared" si="9"/>
        <v>11</v>
      </c>
      <c r="D600" s="76">
        <v>0</v>
      </c>
      <c r="E600" s="76">
        <v>0</v>
      </c>
      <c r="F600" s="76">
        <v>0</v>
      </c>
      <c r="G600" s="76">
        <v>0</v>
      </c>
      <c r="H600" s="76">
        <v>0</v>
      </c>
      <c r="I600" s="76">
        <v>0</v>
      </c>
      <c r="J600" s="76">
        <v>0</v>
      </c>
    </row>
    <row r="601" spans="1:10" x14ac:dyDescent="0.3">
      <c r="A601" s="36" t="s">
        <v>137</v>
      </c>
      <c r="B601" s="36" t="s">
        <v>169</v>
      </c>
      <c r="C601" s="6">
        <f t="shared" si="9"/>
        <v>12</v>
      </c>
      <c r="D601" s="75">
        <v>0</v>
      </c>
      <c r="E601" s="75">
        <v>0</v>
      </c>
      <c r="F601" s="76">
        <v>0</v>
      </c>
      <c r="G601" s="76">
        <v>0</v>
      </c>
      <c r="H601" s="76">
        <v>0</v>
      </c>
      <c r="I601" s="76">
        <v>0</v>
      </c>
      <c r="J601" s="76">
        <v>0</v>
      </c>
    </row>
    <row r="602" spans="1:10" x14ac:dyDescent="0.3">
      <c r="A602" s="35" t="s">
        <v>43</v>
      </c>
      <c r="B602" s="35" t="s">
        <v>158</v>
      </c>
      <c r="C602" s="6">
        <f t="shared" si="9"/>
        <v>1</v>
      </c>
      <c r="D602" s="76">
        <v>0</v>
      </c>
      <c r="E602" s="76">
        <v>0</v>
      </c>
      <c r="F602" s="76">
        <v>0</v>
      </c>
      <c r="G602" s="76">
        <v>0</v>
      </c>
      <c r="H602" s="76">
        <v>0</v>
      </c>
      <c r="I602" s="76">
        <v>0</v>
      </c>
      <c r="J602" s="76">
        <v>0</v>
      </c>
    </row>
    <row r="603" spans="1:10" x14ac:dyDescent="0.3">
      <c r="A603" s="36" t="s">
        <v>43</v>
      </c>
      <c r="B603" s="36" t="s">
        <v>159</v>
      </c>
      <c r="C603" s="6">
        <f t="shared" si="9"/>
        <v>2</v>
      </c>
      <c r="D603" s="75">
        <v>5</v>
      </c>
      <c r="E603" s="75">
        <v>35</v>
      </c>
      <c r="F603" s="76">
        <v>0</v>
      </c>
      <c r="G603" s="76">
        <v>0</v>
      </c>
      <c r="H603" s="76">
        <v>0</v>
      </c>
      <c r="I603" s="76">
        <v>0</v>
      </c>
      <c r="J603" s="76">
        <v>1</v>
      </c>
    </row>
    <row r="604" spans="1:10" x14ac:dyDescent="0.3">
      <c r="A604" s="35" t="s">
        <v>43</v>
      </c>
      <c r="B604" s="35" t="s">
        <v>160</v>
      </c>
      <c r="C604" s="6">
        <f t="shared" si="9"/>
        <v>3</v>
      </c>
      <c r="D604" s="76">
        <v>0</v>
      </c>
      <c r="E604" s="76">
        <v>0</v>
      </c>
      <c r="F604" s="76">
        <v>0</v>
      </c>
      <c r="G604" s="76">
        <v>0</v>
      </c>
      <c r="H604" s="76">
        <v>0</v>
      </c>
      <c r="I604" s="76">
        <v>0</v>
      </c>
      <c r="J604" s="76">
        <v>0</v>
      </c>
    </row>
    <row r="605" spans="1:10" x14ac:dyDescent="0.3">
      <c r="A605" s="36" t="s">
        <v>43</v>
      </c>
      <c r="B605" s="36" t="s">
        <v>161</v>
      </c>
      <c r="C605" s="6">
        <f t="shared" si="9"/>
        <v>4</v>
      </c>
      <c r="D605" s="75">
        <v>0</v>
      </c>
      <c r="E605" s="75">
        <v>0</v>
      </c>
      <c r="F605" s="76">
        <v>0</v>
      </c>
      <c r="G605" s="76">
        <v>0</v>
      </c>
      <c r="H605" s="76">
        <v>0</v>
      </c>
      <c r="I605" s="76">
        <v>0</v>
      </c>
      <c r="J605" s="76">
        <v>0</v>
      </c>
    </row>
    <row r="606" spans="1:10" x14ac:dyDescent="0.3">
      <c r="A606" s="35" t="s">
        <v>43</v>
      </c>
      <c r="B606" s="35" t="s">
        <v>162</v>
      </c>
      <c r="C606" s="6">
        <f t="shared" si="9"/>
        <v>5</v>
      </c>
      <c r="D606" s="76">
        <v>0</v>
      </c>
      <c r="E606" s="76">
        <v>0</v>
      </c>
      <c r="F606" s="76">
        <v>0</v>
      </c>
      <c r="G606" s="76">
        <v>0</v>
      </c>
      <c r="H606" s="76">
        <v>0</v>
      </c>
      <c r="I606" s="76">
        <v>0</v>
      </c>
      <c r="J606" s="76">
        <v>0</v>
      </c>
    </row>
    <row r="607" spans="1:10" x14ac:dyDescent="0.3">
      <c r="A607" s="36" t="s">
        <v>43</v>
      </c>
      <c r="B607" s="36" t="s">
        <v>163</v>
      </c>
      <c r="C607" s="6">
        <f t="shared" si="9"/>
        <v>6</v>
      </c>
      <c r="D607" s="75">
        <v>0</v>
      </c>
      <c r="E607" s="75">
        <v>0</v>
      </c>
      <c r="F607" s="76">
        <v>0</v>
      </c>
      <c r="G607" s="76">
        <v>0</v>
      </c>
      <c r="H607" s="76">
        <v>0</v>
      </c>
      <c r="I607" s="76">
        <v>0</v>
      </c>
      <c r="J607" s="76">
        <v>0</v>
      </c>
    </row>
    <row r="608" spans="1:10" x14ac:dyDescent="0.3">
      <c r="A608" s="35" t="s">
        <v>43</v>
      </c>
      <c r="B608" s="35" t="s">
        <v>164</v>
      </c>
      <c r="C608" s="6">
        <f t="shared" si="9"/>
        <v>7</v>
      </c>
      <c r="D608" s="76">
        <v>0</v>
      </c>
      <c r="E608" s="76">
        <v>0</v>
      </c>
      <c r="F608" s="76">
        <v>0</v>
      </c>
      <c r="G608" s="76">
        <v>0</v>
      </c>
      <c r="H608" s="76">
        <v>0</v>
      </c>
      <c r="I608" s="76">
        <v>0</v>
      </c>
      <c r="J608" s="76">
        <v>0</v>
      </c>
    </row>
    <row r="609" spans="1:10" x14ac:dyDescent="0.3">
      <c r="A609" s="36" t="s">
        <v>43</v>
      </c>
      <c r="B609" s="36" t="s">
        <v>165</v>
      </c>
      <c r="C609" s="6">
        <f t="shared" si="9"/>
        <v>8</v>
      </c>
      <c r="D609" s="75">
        <v>0</v>
      </c>
      <c r="E609" s="75">
        <v>0</v>
      </c>
      <c r="F609" s="76">
        <v>0</v>
      </c>
      <c r="G609" s="76">
        <v>0</v>
      </c>
      <c r="H609" s="76">
        <v>0</v>
      </c>
      <c r="I609" s="76">
        <v>0</v>
      </c>
      <c r="J609" s="76">
        <v>0</v>
      </c>
    </row>
    <row r="610" spans="1:10" x14ac:dyDescent="0.3">
      <c r="A610" s="35" t="s">
        <v>43</v>
      </c>
      <c r="B610" s="35" t="s">
        <v>166</v>
      </c>
      <c r="C610" s="6">
        <f t="shared" si="9"/>
        <v>9</v>
      </c>
      <c r="D610" s="76">
        <v>0</v>
      </c>
      <c r="E610" s="76">
        <v>0</v>
      </c>
      <c r="F610" s="76">
        <v>0</v>
      </c>
      <c r="G610" s="76">
        <v>0</v>
      </c>
      <c r="H610" s="76">
        <v>0</v>
      </c>
      <c r="I610" s="76">
        <v>0</v>
      </c>
      <c r="J610" s="76">
        <v>0</v>
      </c>
    </row>
    <row r="611" spans="1:10" x14ac:dyDescent="0.3">
      <c r="A611" s="36" t="s">
        <v>43</v>
      </c>
      <c r="B611" s="36" t="s">
        <v>167</v>
      </c>
      <c r="C611" s="6">
        <f t="shared" si="9"/>
        <v>10</v>
      </c>
      <c r="D611" s="75">
        <v>0</v>
      </c>
      <c r="E611" s="75">
        <v>0</v>
      </c>
      <c r="F611" s="76">
        <v>0</v>
      </c>
      <c r="G611" s="76">
        <v>0</v>
      </c>
      <c r="H611" s="76">
        <v>0</v>
      </c>
      <c r="I611" s="76">
        <v>0</v>
      </c>
      <c r="J611" s="76">
        <v>0</v>
      </c>
    </row>
    <row r="612" spans="1:10" x14ac:dyDescent="0.3">
      <c r="A612" s="35" t="s">
        <v>43</v>
      </c>
      <c r="B612" s="35" t="s">
        <v>168</v>
      </c>
      <c r="C612" s="6">
        <f t="shared" si="9"/>
        <v>11</v>
      </c>
      <c r="D612" s="76">
        <v>0</v>
      </c>
      <c r="E612" s="76">
        <v>0</v>
      </c>
      <c r="F612" s="76">
        <v>0</v>
      </c>
      <c r="G612" s="76">
        <v>0</v>
      </c>
      <c r="H612" s="76">
        <v>0</v>
      </c>
      <c r="I612" s="76">
        <v>0</v>
      </c>
      <c r="J612" s="76">
        <v>0</v>
      </c>
    </row>
    <row r="613" spans="1:10" x14ac:dyDescent="0.3">
      <c r="A613" s="36" t="s">
        <v>43</v>
      </c>
      <c r="B613" s="36" t="s">
        <v>169</v>
      </c>
      <c r="C613" s="6">
        <f t="shared" si="9"/>
        <v>12</v>
      </c>
      <c r="D613" s="75">
        <v>0</v>
      </c>
      <c r="E613" s="75">
        <v>0</v>
      </c>
      <c r="F613" s="76">
        <v>0</v>
      </c>
      <c r="G613" s="76">
        <v>0</v>
      </c>
      <c r="H613" s="76">
        <v>0</v>
      </c>
      <c r="I613" s="76">
        <v>0</v>
      </c>
      <c r="J613" s="76">
        <v>0</v>
      </c>
    </row>
    <row r="614" spans="1:10" x14ac:dyDescent="0.3">
      <c r="A614" s="35" t="s">
        <v>112</v>
      </c>
      <c r="B614" s="35" t="s">
        <v>158</v>
      </c>
      <c r="C614" s="6">
        <f t="shared" si="9"/>
        <v>1</v>
      </c>
      <c r="D614" s="76">
        <v>0</v>
      </c>
      <c r="E614" s="76">
        <v>0</v>
      </c>
      <c r="F614" s="76">
        <v>0</v>
      </c>
      <c r="G614" s="76">
        <v>0</v>
      </c>
      <c r="H614" s="76">
        <v>0</v>
      </c>
      <c r="I614" s="76">
        <v>0</v>
      </c>
      <c r="J614" s="76">
        <v>0</v>
      </c>
    </row>
    <row r="615" spans="1:10" x14ac:dyDescent="0.3">
      <c r="A615" s="36" t="s">
        <v>112</v>
      </c>
      <c r="B615" s="36" t="s">
        <v>159</v>
      </c>
      <c r="C615" s="6">
        <f t="shared" si="9"/>
        <v>2</v>
      </c>
      <c r="D615" s="75">
        <v>0</v>
      </c>
      <c r="E615" s="75">
        <v>0</v>
      </c>
      <c r="F615" s="76">
        <v>0</v>
      </c>
      <c r="G615" s="76">
        <v>0</v>
      </c>
      <c r="H615" s="76">
        <v>0</v>
      </c>
      <c r="I615" s="76">
        <v>0</v>
      </c>
      <c r="J615" s="76">
        <v>0</v>
      </c>
    </row>
    <row r="616" spans="1:10" x14ac:dyDescent="0.3">
      <c r="A616" s="35" t="s">
        <v>112</v>
      </c>
      <c r="B616" s="35" t="s">
        <v>160</v>
      </c>
      <c r="C616" s="6">
        <f t="shared" si="9"/>
        <v>3</v>
      </c>
      <c r="D616" s="76">
        <v>0</v>
      </c>
      <c r="E616" s="76">
        <v>0</v>
      </c>
      <c r="F616" s="76">
        <v>0</v>
      </c>
      <c r="G616" s="76">
        <v>0</v>
      </c>
      <c r="H616" s="76">
        <v>0</v>
      </c>
      <c r="I616" s="76">
        <v>0</v>
      </c>
      <c r="J616" s="76">
        <v>0</v>
      </c>
    </row>
    <row r="617" spans="1:10" x14ac:dyDescent="0.3">
      <c r="A617" s="36" t="s">
        <v>112</v>
      </c>
      <c r="B617" s="36" t="s">
        <v>161</v>
      </c>
      <c r="C617" s="6">
        <f t="shared" si="9"/>
        <v>4</v>
      </c>
      <c r="D617" s="75">
        <v>0</v>
      </c>
      <c r="E617" s="75">
        <v>0</v>
      </c>
      <c r="F617" s="76">
        <v>0</v>
      </c>
      <c r="G617" s="76">
        <v>0</v>
      </c>
      <c r="H617" s="76">
        <v>0</v>
      </c>
      <c r="I617" s="76">
        <v>0</v>
      </c>
      <c r="J617" s="76">
        <v>0</v>
      </c>
    </row>
    <row r="618" spans="1:10" x14ac:dyDescent="0.3">
      <c r="A618" s="35" t="s">
        <v>112</v>
      </c>
      <c r="B618" s="35" t="s">
        <v>162</v>
      </c>
      <c r="C618" s="6">
        <f t="shared" si="9"/>
        <v>5</v>
      </c>
      <c r="D618" s="76">
        <v>0</v>
      </c>
      <c r="E618" s="76">
        <v>0</v>
      </c>
      <c r="F618" s="76">
        <v>0</v>
      </c>
      <c r="G618" s="76">
        <v>0</v>
      </c>
      <c r="H618" s="76">
        <v>0</v>
      </c>
      <c r="I618" s="76">
        <v>0</v>
      </c>
      <c r="J618" s="76">
        <v>0</v>
      </c>
    </row>
    <row r="619" spans="1:10" x14ac:dyDescent="0.3">
      <c r="A619" s="36" t="s">
        <v>112</v>
      </c>
      <c r="B619" s="36" t="s">
        <v>163</v>
      </c>
      <c r="C619" s="6">
        <f t="shared" si="9"/>
        <v>6</v>
      </c>
      <c r="D619" s="75">
        <v>0</v>
      </c>
      <c r="E619" s="75">
        <v>0</v>
      </c>
      <c r="F619" s="76">
        <v>0</v>
      </c>
      <c r="G619" s="76">
        <v>0</v>
      </c>
      <c r="H619" s="76">
        <v>0</v>
      </c>
      <c r="I619" s="76">
        <v>0</v>
      </c>
      <c r="J619" s="76">
        <v>0</v>
      </c>
    </row>
    <row r="620" spans="1:10" x14ac:dyDescent="0.3">
      <c r="A620" s="35" t="s">
        <v>112</v>
      </c>
      <c r="B620" s="35" t="s">
        <v>164</v>
      </c>
      <c r="C620" s="6">
        <f t="shared" si="9"/>
        <v>7</v>
      </c>
      <c r="D620" s="76">
        <v>0</v>
      </c>
      <c r="E620" s="76">
        <v>0</v>
      </c>
      <c r="F620" s="76">
        <v>0</v>
      </c>
      <c r="G620" s="76">
        <v>0</v>
      </c>
      <c r="H620" s="76">
        <v>0</v>
      </c>
      <c r="I620" s="76">
        <v>0</v>
      </c>
      <c r="J620" s="76">
        <v>0</v>
      </c>
    </row>
    <row r="621" spans="1:10" x14ac:dyDescent="0.3">
      <c r="A621" s="36" t="s">
        <v>112</v>
      </c>
      <c r="B621" s="36" t="s">
        <v>165</v>
      </c>
      <c r="C621" s="6">
        <f t="shared" si="9"/>
        <v>8</v>
      </c>
      <c r="D621" s="75">
        <v>0</v>
      </c>
      <c r="E621" s="75">
        <v>0</v>
      </c>
      <c r="F621" s="76">
        <v>0</v>
      </c>
      <c r="G621" s="76">
        <v>0</v>
      </c>
      <c r="H621" s="76">
        <v>0</v>
      </c>
      <c r="I621" s="76">
        <v>0</v>
      </c>
      <c r="J621" s="76">
        <v>0</v>
      </c>
    </row>
    <row r="622" spans="1:10" x14ac:dyDescent="0.3">
      <c r="A622" s="35" t="s">
        <v>112</v>
      </c>
      <c r="B622" s="35" t="s">
        <v>166</v>
      </c>
      <c r="C622" s="6">
        <f t="shared" si="9"/>
        <v>9</v>
      </c>
      <c r="D622" s="76">
        <v>0</v>
      </c>
      <c r="E622" s="76">
        <v>0</v>
      </c>
      <c r="F622" s="76">
        <v>0</v>
      </c>
      <c r="G622" s="76">
        <v>0</v>
      </c>
      <c r="H622" s="76">
        <v>0</v>
      </c>
      <c r="I622" s="76">
        <v>0</v>
      </c>
      <c r="J622" s="76">
        <v>0</v>
      </c>
    </row>
    <row r="623" spans="1:10" x14ac:dyDescent="0.3">
      <c r="A623" s="36" t="s">
        <v>112</v>
      </c>
      <c r="B623" s="36" t="s">
        <v>167</v>
      </c>
      <c r="C623" s="6">
        <f t="shared" si="9"/>
        <v>10</v>
      </c>
      <c r="D623" s="75">
        <v>0</v>
      </c>
      <c r="E623" s="75">
        <v>0</v>
      </c>
      <c r="F623" s="76">
        <v>0</v>
      </c>
      <c r="G623" s="76">
        <v>0</v>
      </c>
      <c r="H623" s="76">
        <v>0</v>
      </c>
      <c r="I623" s="76">
        <v>0</v>
      </c>
      <c r="J623" s="76">
        <v>0</v>
      </c>
    </row>
    <row r="624" spans="1:10" x14ac:dyDescent="0.3">
      <c r="A624" s="35" t="s">
        <v>112</v>
      </c>
      <c r="B624" s="35" t="s">
        <v>168</v>
      </c>
      <c r="C624" s="6">
        <f t="shared" si="9"/>
        <v>11</v>
      </c>
      <c r="D624" s="76">
        <v>0</v>
      </c>
      <c r="E624" s="76">
        <v>0</v>
      </c>
      <c r="F624" s="76">
        <v>0</v>
      </c>
      <c r="G624" s="76">
        <v>0</v>
      </c>
      <c r="H624" s="76">
        <v>0</v>
      </c>
      <c r="I624" s="76">
        <v>0</v>
      </c>
      <c r="J624" s="76">
        <v>0</v>
      </c>
    </row>
    <row r="625" spans="1:10" x14ac:dyDescent="0.3">
      <c r="A625" s="36" t="s">
        <v>112</v>
      </c>
      <c r="B625" s="36" t="s">
        <v>169</v>
      </c>
      <c r="C625" s="6">
        <f t="shared" si="9"/>
        <v>12</v>
      </c>
      <c r="D625" s="75">
        <v>0</v>
      </c>
      <c r="E625" s="75">
        <v>0</v>
      </c>
      <c r="F625" s="76">
        <v>0</v>
      </c>
      <c r="G625" s="76">
        <v>0</v>
      </c>
      <c r="H625" s="76">
        <v>0</v>
      </c>
      <c r="I625" s="76">
        <v>0</v>
      </c>
      <c r="J625" s="76">
        <v>0</v>
      </c>
    </row>
    <row r="626" spans="1:10" x14ac:dyDescent="0.3">
      <c r="A626" s="35" t="s">
        <v>135</v>
      </c>
      <c r="B626" s="35" t="s">
        <v>158</v>
      </c>
      <c r="C626" s="6">
        <f t="shared" si="9"/>
        <v>1</v>
      </c>
      <c r="D626" s="76">
        <v>0</v>
      </c>
      <c r="E626" s="76">
        <v>0</v>
      </c>
      <c r="F626" s="76">
        <v>0</v>
      </c>
      <c r="G626" s="76">
        <v>0</v>
      </c>
      <c r="H626" s="76">
        <v>0</v>
      </c>
      <c r="I626" s="76">
        <v>0</v>
      </c>
      <c r="J626" s="76">
        <v>0</v>
      </c>
    </row>
    <row r="627" spans="1:10" x14ac:dyDescent="0.3">
      <c r="A627" s="36" t="s">
        <v>135</v>
      </c>
      <c r="B627" s="36" t="s">
        <v>159</v>
      </c>
      <c r="C627" s="6">
        <f t="shared" si="9"/>
        <v>2</v>
      </c>
      <c r="D627" s="75">
        <v>0</v>
      </c>
      <c r="E627" s="75">
        <v>0</v>
      </c>
      <c r="F627" s="76">
        <v>0</v>
      </c>
      <c r="G627" s="76">
        <v>0</v>
      </c>
      <c r="H627" s="76">
        <v>0</v>
      </c>
      <c r="I627" s="76">
        <v>0</v>
      </c>
      <c r="J627" s="76">
        <v>0</v>
      </c>
    </row>
    <row r="628" spans="1:10" x14ac:dyDescent="0.3">
      <c r="A628" s="35" t="s">
        <v>135</v>
      </c>
      <c r="B628" s="35" t="s">
        <v>160</v>
      </c>
      <c r="C628" s="6">
        <f t="shared" si="9"/>
        <v>3</v>
      </c>
      <c r="D628" s="76">
        <v>0</v>
      </c>
      <c r="E628" s="76">
        <v>0</v>
      </c>
      <c r="F628" s="76">
        <v>0</v>
      </c>
      <c r="G628" s="76">
        <v>0</v>
      </c>
      <c r="H628" s="76">
        <v>0</v>
      </c>
      <c r="I628" s="76">
        <v>0</v>
      </c>
      <c r="J628" s="76">
        <v>0</v>
      </c>
    </row>
    <row r="629" spans="1:10" x14ac:dyDescent="0.3">
      <c r="A629" s="36" t="s">
        <v>135</v>
      </c>
      <c r="B629" s="36" t="s">
        <v>161</v>
      </c>
      <c r="C629" s="6">
        <f t="shared" si="9"/>
        <v>4</v>
      </c>
      <c r="D629" s="75">
        <v>0</v>
      </c>
      <c r="E629" s="75">
        <v>0</v>
      </c>
      <c r="F629" s="76">
        <v>0</v>
      </c>
      <c r="G629" s="76">
        <v>0</v>
      </c>
      <c r="H629" s="76">
        <v>0</v>
      </c>
      <c r="I629" s="76">
        <v>0</v>
      </c>
      <c r="J629" s="76">
        <v>0</v>
      </c>
    </row>
    <row r="630" spans="1:10" x14ac:dyDescent="0.3">
      <c r="A630" s="35" t="s">
        <v>135</v>
      </c>
      <c r="B630" s="35" t="s">
        <v>162</v>
      </c>
      <c r="C630" s="6">
        <f t="shared" si="9"/>
        <v>5</v>
      </c>
      <c r="D630" s="76">
        <v>0</v>
      </c>
      <c r="E630" s="76">
        <v>0</v>
      </c>
      <c r="F630" s="76">
        <v>0</v>
      </c>
      <c r="G630" s="76">
        <v>0</v>
      </c>
      <c r="H630" s="76">
        <v>0</v>
      </c>
      <c r="I630" s="76">
        <v>0</v>
      </c>
      <c r="J630" s="76">
        <v>0</v>
      </c>
    </row>
    <row r="631" spans="1:10" x14ac:dyDescent="0.3">
      <c r="A631" s="36" t="s">
        <v>135</v>
      </c>
      <c r="B631" s="36" t="s">
        <v>163</v>
      </c>
      <c r="C631" s="6">
        <f t="shared" si="9"/>
        <v>6</v>
      </c>
      <c r="D631" s="75">
        <v>0</v>
      </c>
      <c r="E631" s="75">
        <v>0</v>
      </c>
      <c r="F631" s="76">
        <v>0</v>
      </c>
      <c r="G631" s="76">
        <v>0</v>
      </c>
      <c r="H631" s="76">
        <v>0</v>
      </c>
      <c r="I631" s="76">
        <v>0</v>
      </c>
      <c r="J631" s="76">
        <v>0</v>
      </c>
    </row>
    <row r="632" spans="1:10" x14ac:dyDescent="0.3">
      <c r="A632" s="35" t="s">
        <v>135</v>
      </c>
      <c r="B632" s="35" t="s">
        <v>164</v>
      </c>
      <c r="C632" s="6">
        <f t="shared" si="9"/>
        <v>7</v>
      </c>
      <c r="D632" s="76">
        <v>0</v>
      </c>
      <c r="E632" s="76">
        <v>0</v>
      </c>
      <c r="F632" s="76">
        <v>0</v>
      </c>
      <c r="G632" s="76">
        <v>0</v>
      </c>
      <c r="H632" s="76">
        <v>0</v>
      </c>
      <c r="I632" s="76">
        <v>0</v>
      </c>
      <c r="J632" s="76">
        <v>0</v>
      </c>
    </row>
    <row r="633" spans="1:10" x14ac:dyDescent="0.3">
      <c r="A633" s="36" t="s">
        <v>135</v>
      </c>
      <c r="B633" s="36" t="s">
        <v>165</v>
      </c>
      <c r="C633" s="6">
        <f t="shared" si="9"/>
        <v>8</v>
      </c>
      <c r="D633" s="75">
        <v>0</v>
      </c>
      <c r="E633" s="75">
        <v>0</v>
      </c>
      <c r="F633" s="76">
        <v>0</v>
      </c>
      <c r="G633" s="76">
        <v>0</v>
      </c>
      <c r="H633" s="76">
        <v>0</v>
      </c>
      <c r="I633" s="76">
        <v>0</v>
      </c>
      <c r="J633" s="76">
        <v>0</v>
      </c>
    </row>
    <row r="634" spans="1:10" x14ac:dyDescent="0.3">
      <c r="A634" s="35" t="s">
        <v>135</v>
      </c>
      <c r="B634" s="35" t="s">
        <v>166</v>
      </c>
      <c r="C634" s="6">
        <f t="shared" si="9"/>
        <v>9</v>
      </c>
      <c r="D634" s="76">
        <v>0</v>
      </c>
      <c r="E634" s="76">
        <v>0</v>
      </c>
      <c r="F634" s="76">
        <v>0</v>
      </c>
      <c r="G634" s="76">
        <v>0</v>
      </c>
      <c r="H634" s="76">
        <v>0</v>
      </c>
      <c r="I634" s="76">
        <v>0</v>
      </c>
      <c r="J634" s="76">
        <v>0</v>
      </c>
    </row>
    <row r="635" spans="1:10" x14ac:dyDescent="0.3">
      <c r="A635" s="36" t="s">
        <v>135</v>
      </c>
      <c r="B635" s="36" t="s">
        <v>167</v>
      </c>
      <c r="C635" s="6">
        <f t="shared" si="9"/>
        <v>10</v>
      </c>
      <c r="D635" s="75">
        <v>0</v>
      </c>
      <c r="E635" s="75">
        <v>0</v>
      </c>
      <c r="F635" s="76">
        <v>0</v>
      </c>
      <c r="G635" s="76">
        <v>0</v>
      </c>
      <c r="H635" s="76">
        <v>0</v>
      </c>
      <c r="I635" s="76">
        <v>0</v>
      </c>
      <c r="J635" s="76">
        <v>0</v>
      </c>
    </row>
    <row r="636" spans="1:10" x14ac:dyDescent="0.3">
      <c r="A636" s="35" t="s">
        <v>135</v>
      </c>
      <c r="B636" s="35" t="s">
        <v>168</v>
      </c>
      <c r="C636" s="6">
        <f t="shared" si="9"/>
        <v>11</v>
      </c>
      <c r="D636" s="76">
        <v>0</v>
      </c>
      <c r="E636" s="76">
        <v>0</v>
      </c>
      <c r="F636" s="76">
        <v>0</v>
      </c>
      <c r="G636" s="76">
        <v>0</v>
      </c>
      <c r="H636" s="76">
        <v>0</v>
      </c>
      <c r="I636" s="76">
        <v>0</v>
      </c>
      <c r="J636" s="76">
        <v>0</v>
      </c>
    </row>
    <row r="637" spans="1:10" x14ac:dyDescent="0.3">
      <c r="A637" s="36" t="s">
        <v>135</v>
      </c>
      <c r="B637" s="36" t="s">
        <v>169</v>
      </c>
      <c r="C637" s="6">
        <f t="shared" si="9"/>
        <v>12</v>
      </c>
      <c r="D637" s="75">
        <v>0</v>
      </c>
      <c r="E637" s="75">
        <v>0</v>
      </c>
      <c r="F637" s="76">
        <v>0</v>
      </c>
      <c r="G637" s="76">
        <v>0</v>
      </c>
      <c r="H637" s="76">
        <v>0</v>
      </c>
      <c r="I637" s="76">
        <v>0</v>
      </c>
      <c r="J637" s="76">
        <v>0</v>
      </c>
    </row>
    <row r="638" spans="1:10" x14ac:dyDescent="0.3">
      <c r="A638" s="35" t="s">
        <v>131</v>
      </c>
      <c r="B638" s="35" t="s">
        <v>158</v>
      </c>
      <c r="C638" s="6">
        <f t="shared" si="9"/>
        <v>1</v>
      </c>
      <c r="D638" s="76">
        <v>0</v>
      </c>
      <c r="E638" s="76">
        <v>0</v>
      </c>
      <c r="F638" s="76">
        <v>0</v>
      </c>
      <c r="G638" s="76">
        <v>0</v>
      </c>
      <c r="H638" s="76">
        <v>0</v>
      </c>
      <c r="I638" s="76">
        <v>0</v>
      </c>
      <c r="J638" s="76">
        <v>0</v>
      </c>
    </row>
    <row r="639" spans="1:10" x14ac:dyDescent="0.3">
      <c r="A639" s="36" t="s">
        <v>131</v>
      </c>
      <c r="B639" s="36" t="s">
        <v>159</v>
      </c>
      <c r="C639" s="6">
        <f t="shared" si="9"/>
        <v>2</v>
      </c>
      <c r="D639" s="75">
        <v>0</v>
      </c>
      <c r="E639" s="75">
        <v>0</v>
      </c>
      <c r="F639" s="76">
        <v>0</v>
      </c>
      <c r="G639" s="76">
        <v>0</v>
      </c>
      <c r="H639" s="76">
        <v>0</v>
      </c>
      <c r="I639" s="76">
        <v>0</v>
      </c>
      <c r="J639" s="76">
        <v>0</v>
      </c>
    </row>
    <row r="640" spans="1:10" x14ac:dyDescent="0.3">
      <c r="A640" s="35" t="s">
        <v>131</v>
      </c>
      <c r="B640" s="35" t="s">
        <v>160</v>
      </c>
      <c r="C640" s="6">
        <f t="shared" si="9"/>
        <v>3</v>
      </c>
      <c r="D640" s="76">
        <v>3</v>
      </c>
      <c r="E640" s="76">
        <v>60</v>
      </c>
      <c r="F640" s="76">
        <v>0</v>
      </c>
      <c r="G640" s="76">
        <v>0</v>
      </c>
      <c r="H640" s="76">
        <v>0</v>
      </c>
      <c r="I640" s="76">
        <v>0</v>
      </c>
      <c r="J640" s="76">
        <v>1</v>
      </c>
    </row>
    <row r="641" spans="1:10" x14ac:dyDescent="0.3">
      <c r="A641" s="36" t="s">
        <v>131</v>
      </c>
      <c r="B641" s="36" t="s">
        <v>161</v>
      </c>
      <c r="C641" s="6">
        <f t="shared" si="9"/>
        <v>4</v>
      </c>
      <c r="D641" s="75">
        <v>0</v>
      </c>
      <c r="E641" s="75">
        <v>0</v>
      </c>
      <c r="F641" s="76">
        <v>0</v>
      </c>
      <c r="G641" s="76">
        <v>0</v>
      </c>
      <c r="H641" s="76">
        <v>0</v>
      </c>
      <c r="I641" s="76">
        <v>0</v>
      </c>
      <c r="J641" s="76">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3">
      <c r="A643" s="36" t="s">
        <v>131</v>
      </c>
      <c r="B643" s="36" t="s">
        <v>163</v>
      </c>
      <c r="C643" s="6">
        <f t="shared" si="10"/>
        <v>6</v>
      </c>
      <c r="D643" s="75">
        <v>0</v>
      </c>
      <c r="E643" s="75">
        <v>0</v>
      </c>
      <c r="F643" s="76">
        <v>0</v>
      </c>
      <c r="G643" s="76">
        <v>0</v>
      </c>
      <c r="H643" s="76">
        <v>0</v>
      </c>
      <c r="I643" s="76">
        <v>0</v>
      </c>
      <c r="J643" s="76">
        <v>0</v>
      </c>
    </row>
    <row r="644" spans="1:10" x14ac:dyDescent="0.3">
      <c r="A644" s="35" t="s">
        <v>131</v>
      </c>
      <c r="B644" s="35" t="s">
        <v>164</v>
      </c>
      <c r="C644" s="6">
        <f t="shared" si="10"/>
        <v>7</v>
      </c>
      <c r="D644" s="76">
        <v>0</v>
      </c>
      <c r="E644" s="76">
        <v>0</v>
      </c>
      <c r="F644" s="76">
        <v>0</v>
      </c>
      <c r="G644" s="76">
        <v>0</v>
      </c>
      <c r="H644" s="76">
        <v>0</v>
      </c>
      <c r="I644" s="76">
        <v>0</v>
      </c>
      <c r="J644" s="76">
        <v>0</v>
      </c>
    </row>
    <row r="645" spans="1:10" x14ac:dyDescent="0.3">
      <c r="A645" s="36" t="s">
        <v>131</v>
      </c>
      <c r="B645" s="36" t="s">
        <v>165</v>
      </c>
      <c r="C645" s="6">
        <f t="shared" si="10"/>
        <v>8</v>
      </c>
      <c r="D645" s="75">
        <v>0</v>
      </c>
      <c r="E645" s="75">
        <v>0</v>
      </c>
      <c r="F645" s="76">
        <v>0</v>
      </c>
      <c r="G645" s="76">
        <v>0</v>
      </c>
      <c r="H645" s="76">
        <v>0</v>
      </c>
      <c r="I645" s="76">
        <v>0</v>
      </c>
      <c r="J645" s="76">
        <v>0</v>
      </c>
    </row>
    <row r="646" spans="1:10" x14ac:dyDescent="0.3">
      <c r="A646" s="35" t="s">
        <v>131</v>
      </c>
      <c r="B646" s="35" t="s">
        <v>166</v>
      </c>
      <c r="C646" s="6">
        <f t="shared" si="10"/>
        <v>9</v>
      </c>
      <c r="D646" s="76">
        <v>0</v>
      </c>
      <c r="E646" s="76">
        <v>0</v>
      </c>
      <c r="F646" s="76">
        <v>0</v>
      </c>
      <c r="G646" s="76">
        <v>0</v>
      </c>
      <c r="H646" s="76">
        <v>0</v>
      </c>
      <c r="I646" s="76">
        <v>0</v>
      </c>
      <c r="J646" s="76">
        <v>0</v>
      </c>
    </row>
    <row r="647" spans="1:10" x14ac:dyDescent="0.3">
      <c r="A647" s="36" t="s">
        <v>131</v>
      </c>
      <c r="B647" s="36" t="s">
        <v>167</v>
      </c>
      <c r="C647" s="6">
        <f t="shared" si="10"/>
        <v>10</v>
      </c>
      <c r="D647" s="75">
        <v>0</v>
      </c>
      <c r="E647" s="75">
        <v>0</v>
      </c>
      <c r="F647" s="76">
        <v>0</v>
      </c>
      <c r="G647" s="76">
        <v>0</v>
      </c>
      <c r="H647" s="76">
        <v>0</v>
      </c>
      <c r="I647" s="76">
        <v>0</v>
      </c>
      <c r="J647" s="76">
        <v>0</v>
      </c>
    </row>
    <row r="648" spans="1:10" x14ac:dyDescent="0.3">
      <c r="A648" s="35" t="s">
        <v>131</v>
      </c>
      <c r="B648" s="35" t="s">
        <v>168</v>
      </c>
      <c r="C648" s="6">
        <f t="shared" si="10"/>
        <v>11</v>
      </c>
      <c r="D648" s="76">
        <v>0</v>
      </c>
      <c r="E648" s="76">
        <v>0</v>
      </c>
      <c r="F648" s="76">
        <v>0</v>
      </c>
      <c r="G648" s="76">
        <v>0</v>
      </c>
      <c r="H648" s="76">
        <v>0</v>
      </c>
      <c r="I648" s="76">
        <v>0</v>
      </c>
      <c r="J648" s="76">
        <v>0</v>
      </c>
    </row>
    <row r="649" spans="1:10" x14ac:dyDescent="0.3">
      <c r="A649" s="36" t="s">
        <v>131</v>
      </c>
      <c r="B649" s="36" t="s">
        <v>169</v>
      </c>
      <c r="C649" s="6">
        <f t="shared" si="10"/>
        <v>12</v>
      </c>
      <c r="D649" s="75">
        <v>0</v>
      </c>
      <c r="E649" s="75">
        <v>0</v>
      </c>
      <c r="F649" s="76">
        <v>0</v>
      </c>
      <c r="G649" s="76">
        <v>0</v>
      </c>
      <c r="H649" s="76">
        <v>0</v>
      </c>
      <c r="I649" s="76">
        <v>0</v>
      </c>
      <c r="J649" s="76">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B10" sqref="B10"/>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250</v>
      </c>
      <c r="E1" s="40" t="s">
        <v>279</v>
      </c>
    </row>
    <row r="2" spans="1:5" ht="15.5" x14ac:dyDescent="0.35">
      <c r="A2" s="68" t="s">
        <v>292</v>
      </c>
      <c r="B2" s="69" t="s">
        <v>162</v>
      </c>
      <c r="C2" s="70">
        <v>2020</v>
      </c>
      <c r="D2" s="70" t="s">
        <v>251</v>
      </c>
      <c r="E2" s="66" t="s">
        <v>293</v>
      </c>
    </row>
    <row r="3" spans="1:5" ht="15.5" x14ac:dyDescent="0.35">
      <c r="A3" s="68" t="s">
        <v>294</v>
      </c>
      <c r="B3" s="69" t="s">
        <v>162</v>
      </c>
      <c r="C3" s="70">
        <v>2020</v>
      </c>
      <c r="D3" s="70" t="s">
        <v>251</v>
      </c>
      <c r="E3" s="66" t="s">
        <v>293</v>
      </c>
    </row>
    <row r="4" spans="1:5" ht="15.5" x14ac:dyDescent="0.35">
      <c r="A4" s="68"/>
      <c r="B4" s="69"/>
      <c r="C4" s="70"/>
      <c r="D4" s="70"/>
      <c r="E4" s="66"/>
    </row>
    <row r="5" spans="1:5" ht="15.5" x14ac:dyDescent="0.35">
      <c r="A5" s="68"/>
      <c r="B5" s="69"/>
      <c r="C5" s="70"/>
      <c r="D5" s="70"/>
      <c r="E5" s="66"/>
    </row>
    <row r="6" spans="1:5" ht="15.5" x14ac:dyDescent="0.35">
      <c r="A6" s="68"/>
      <c r="B6" s="69"/>
      <c r="C6" s="70"/>
      <c r="D6" s="70"/>
      <c r="E6" s="66"/>
    </row>
    <row r="7" spans="1:5" ht="15.5" x14ac:dyDescent="0.35">
      <c r="A7" s="68"/>
      <c r="B7" s="69"/>
      <c r="C7" s="70"/>
      <c r="D7" s="70"/>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tabSelected="1" workbookViewId="0">
      <pane xSplit="1" ySplit="1" topLeftCell="O47" activePane="bottomRight" state="frozen"/>
      <selection pane="topRight" activeCell="B1" sqref="B1"/>
      <selection pane="bottomLeft" activeCell="A2" sqref="A2"/>
      <selection pane="bottomRight" activeCell="U56" sqref="U56"/>
    </sheetView>
  </sheetViews>
  <sheetFormatPr defaultColWidth="8.83203125" defaultRowHeight="14" x14ac:dyDescent="0.3"/>
  <cols>
    <col min="1" max="1" width="67.5820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3">
      <c r="A2" s="37" t="s">
        <v>87</v>
      </c>
      <c r="B2" s="6" t="s">
        <v>158</v>
      </c>
      <c r="C2" s="77">
        <v>24000</v>
      </c>
      <c r="D2" s="6">
        <f>(C2/12)*1</f>
        <v>2000</v>
      </c>
      <c r="E2" s="66">
        <v>1892</v>
      </c>
      <c r="F2" s="6">
        <f>E2</f>
        <v>1892</v>
      </c>
      <c r="G2" s="36" t="str">
        <f>_xlfn.IFS(F2&gt;D2,"Farol Verde",F2&gt;=D2*0.85,"Farol Amarelo",F2&lt;D2*0.85,"Farol Vermelho","Verdadeiro",0)</f>
        <v>Farol Amarelo</v>
      </c>
      <c r="H2">
        <f t="shared" ref="H2:H65" si="0">IF(D2-F2&lt;0,0,D2-F2)</f>
        <v>108</v>
      </c>
      <c r="I2" s="6">
        <f t="shared" ref="I2:I65" si="1">_xlfn.IFS(B2="Janeiro",1,B2="Fevereiro",2,B2="Março",3,B2="Abril",4,B2="Maio",5,B2="Junho",6,B2="Julho",7,B2="Agosto",8,B2="Setembro",9,B2="Outubro",10,B2="Novembro",11,B2="Dezembro",12,TRUE,0)</f>
        <v>1</v>
      </c>
      <c r="J2" s="66">
        <v>21</v>
      </c>
      <c r="K2" s="66">
        <v>4</v>
      </c>
      <c r="L2" s="6">
        <f>J2/12</f>
        <v>1.75</v>
      </c>
      <c r="M2" s="6">
        <f>K2</f>
        <v>4</v>
      </c>
      <c r="N2" s="77">
        <v>100</v>
      </c>
      <c r="O2">
        <f>P2/N2</f>
        <v>0.5</v>
      </c>
      <c r="P2" s="77">
        <v>50</v>
      </c>
      <c r="Q2">
        <f>R2/P2</f>
        <v>0.3</v>
      </c>
      <c r="R2" s="75">
        <v>15</v>
      </c>
      <c r="S2" s="6">
        <f>R2/N2</f>
        <v>0.15</v>
      </c>
    </row>
    <row r="3" spans="1:19" x14ac:dyDescent="0.3">
      <c r="A3" s="37" t="s">
        <v>87</v>
      </c>
      <c r="B3" s="6" t="s">
        <v>159</v>
      </c>
      <c r="C3" s="77">
        <v>24000</v>
      </c>
      <c r="D3" s="6">
        <f>(C3/12)*2</f>
        <v>4000</v>
      </c>
      <c r="E3" s="66">
        <v>5605</v>
      </c>
      <c r="F3" s="6">
        <f>SUM(E2:E3)</f>
        <v>7497</v>
      </c>
      <c r="G3" s="36" t="str">
        <f t="shared" ref="G3:G66" si="2">_xlfn.IFS(F3&gt;D3,"Farol Verde",F3&gt;=D3*0.85,"Farol Amarelo",F3&lt;D3*0.85,"Farol Vermelho","Verdadeiro",0)</f>
        <v>Farol Verde</v>
      </c>
      <c r="H3">
        <f t="shared" si="0"/>
        <v>0</v>
      </c>
      <c r="I3" s="6">
        <f t="shared" si="1"/>
        <v>2</v>
      </c>
      <c r="J3" s="66">
        <v>21</v>
      </c>
      <c r="K3" s="66">
        <v>5</v>
      </c>
      <c r="L3" s="6">
        <f>$L$2+L2</f>
        <v>3.5</v>
      </c>
      <c r="M3" s="6">
        <f>M2+K3</f>
        <v>9</v>
      </c>
      <c r="N3" s="77">
        <v>100</v>
      </c>
      <c r="O3">
        <f t="shared" ref="O3:O66" si="3">P3/N3</f>
        <v>0.5</v>
      </c>
      <c r="P3" s="77">
        <v>50</v>
      </c>
      <c r="Q3">
        <f t="shared" ref="Q3:Q66" si="4">R3/P3</f>
        <v>0.3</v>
      </c>
      <c r="R3" s="75">
        <v>15</v>
      </c>
      <c r="S3" s="6">
        <f t="shared" ref="S3:S66" si="5">R3/N3</f>
        <v>0.15</v>
      </c>
    </row>
    <row r="4" spans="1:19" x14ac:dyDescent="0.3">
      <c r="A4" s="37" t="s">
        <v>87</v>
      </c>
      <c r="B4" s="6" t="s">
        <v>160</v>
      </c>
      <c r="C4" s="77">
        <v>24000</v>
      </c>
      <c r="D4" s="6">
        <f>(C4/12)*3</f>
        <v>6000</v>
      </c>
      <c r="E4" s="66">
        <v>0</v>
      </c>
      <c r="F4" s="6">
        <f>SUM(E2:E4)</f>
        <v>7497</v>
      </c>
      <c r="G4" s="36" t="str">
        <f t="shared" si="2"/>
        <v>Farol Verde</v>
      </c>
      <c r="H4">
        <f t="shared" si="0"/>
        <v>0</v>
      </c>
      <c r="I4" s="6">
        <f t="shared" si="1"/>
        <v>3</v>
      </c>
      <c r="J4" s="66">
        <v>21</v>
      </c>
      <c r="K4" s="66">
        <v>0</v>
      </c>
      <c r="L4" s="6">
        <f t="shared" ref="L4:L13" si="6">$L$2+L3</f>
        <v>5.25</v>
      </c>
      <c r="M4" s="6">
        <f>M3+K4</f>
        <v>9</v>
      </c>
      <c r="N4" s="77">
        <v>100</v>
      </c>
      <c r="O4">
        <f t="shared" si="3"/>
        <v>0.5</v>
      </c>
      <c r="P4" s="77">
        <v>50</v>
      </c>
      <c r="Q4">
        <f t="shared" si="4"/>
        <v>0.3</v>
      </c>
      <c r="R4" s="75">
        <v>15</v>
      </c>
      <c r="S4" s="6">
        <f t="shared" si="5"/>
        <v>0.15</v>
      </c>
    </row>
    <row r="5" spans="1:19" x14ac:dyDescent="0.3">
      <c r="A5" s="37" t="s">
        <v>87</v>
      </c>
      <c r="B5" s="6" t="s">
        <v>161</v>
      </c>
      <c r="C5" s="77">
        <v>24000</v>
      </c>
      <c r="D5" s="6">
        <f>(C5/12)*4</f>
        <v>8000</v>
      </c>
      <c r="E5" s="66">
        <v>0</v>
      </c>
      <c r="F5" s="6">
        <f>SUM(E2:E5)</f>
        <v>7497</v>
      </c>
      <c r="G5" s="36" t="str">
        <f t="shared" si="2"/>
        <v>Farol Amarelo</v>
      </c>
      <c r="H5">
        <f t="shared" si="0"/>
        <v>503</v>
      </c>
      <c r="I5" s="6">
        <f t="shared" si="1"/>
        <v>4</v>
      </c>
      <c r="J5" s="66">
        <v>21</v>
      </c>
      <c r="K5" s="66">
        <v>0</v>
      </c>
      <c r="L5" s="6">
        <f t="shared" si="6"/>
        <v>7</v>
      </c>
      <c r="M5" s="6">
        <f t="shared" ref="M4:M13" si="7">M4+K5</f>
        <v>9</v>
      </c>
      <c r="N5" s="77">
        <v>100</v>
      </c>
      <c r="O5">
        <f t="shared" si="3"/>
        <v>0.5</v>
      </c>
      <c r="P5" s="77">
        <v>50</v>
      </c>
      <c r="Q5">
        <f t="shared" si="4"/>
        <v>0.3</v>
      </c>
      <c r="R5" s="75">
        <v>15</v>
      </c>
      <c r="S5" s="6">
        <f t="shared" si="5"/>
        <v>0.15</v>
      </c>
    </row>
    <row r="6" spans="1:19" x14ac:dyDescent="0.3">
      <c r="A6" s="37" t="s">
        <v>87</v>
      </c>
      <c r="B6" s="6" t="s">
        <v>162</v>
      </c>
      <c r="C6" s="77">
        <v>24000</v>
      </c>
      <c r="D6" s="6">
        <f>(C6/12)*5</f>
        <v>10000</v>
      </c>
      <c r="E6" s="66">
        <v>0</v>
      </c>
      <c r="F6" s="6">
        <f>SUM(E2:E6)</f>
        <v>7497</v>
      </c>
      <c r="G6" s="36" t="str">
        <f t="shared" si="2"/>
        <v>Farol Vermelho</v>
      </c>
      <c r="H6">
        <f t="shared" si="0"/>
        <v>2503</v>
      </c>
      <c r="I6" s="6">
        <f t="shared" si="1"/>
        <v>5</v>
      </c>
      <c r="J6" s="66">
        <v>21</v>
      </c>
      <c r="K6" s="66"/>
      <c r="L6" s="6">
        <f t="shared" si="6"/>
        <v>8.75</v>
      </c>
      <c r="M6" s="6">
        <f t="shared" si="7"/>
        <v>9</v>
      </c>
      <c r="N6" s="77">
        <v>100</v>
      </c>
      <c r="O6">
        <f t="shared" si="3"/>
        <v>0.5</v>
      </c>
      <c r="P6" s="77">
        <v>50</v>
      </c>
      <c r="Q6">
        <f t="shared" si="4"/>
        <v>0.3</v>
      </c>
      <c r="R6" s="75">
        <v>15</v>
      </c>
      <c r="S6" s="6">
        <f t="shared" si="5"/>
        <v>0.15</v>
      </c>
    </row>
    <row r="7" spans="1:19" x14ac:dyDescent="0.3">
      <c r="A7" s="37" t="s">
        <v>87</v>
      </c>
      <c r="B7" s="6" t="s">
        <v>163</v>
      </c>
      <c r="C7" s="77">
        <v>24000</v>
      </c>
      <c r="D7" s="6">
        <f>(C7/12)*6</f>
        <v>12000</v>
      </c>
      <c r="E7" s="66">
        <v>0</v>
      </c>
      <c r="F7" s="6">
        <f>SUM(E2:E7)</f>
        <v>7497</v>
      </c>
      <c r="G7" s="36" t="str">
        <f t="shared" si="2"/>
        <v>Farol Vermelho</v>
      </c>
      <c r="H7">
        <f t="shared" si="0"/>
        <v>4503</v>
      </c>
      <c r="I7" s="6">
        <f t="shared" si="1"/>
        <v>6</v>
      </c>
      <c r="J7" s="66">
        <v>21</v>
      </c>
      <c r="K7" s="66"/>
      <c r="L7" s="6">
        <f t="shared" si="6"/>
        <v>10.5</v>
      </c>
      <c r="M7" s="6">
        <f t="shared" si="7"/>
        <v>9</v>
      </c>
      <c r="N7" s="77">
        <v>100</v>
      </c>
      <c r="O7">
        <f t="shared" si="3"/>
        <v>0.5</v>
      </c>
      <c r="P7" s="77">
        <v>50</v>
      </c>
      <c r="Q7">
        <f t="shared" si="4"/>
        <v>0.3</v>
      </c>
      <c r="R7" s="75">
        <v>15</v>
      </c>
      <c r="S7" s="6">
        <f t="shared" si="5"/>
        <v>0.15</v>
      </c>
    </row>
    <row r="8" spans="1:19" x14ac:dyDescent="0.3">
      <c r="A8" s="37" t="s">
        <v>87</v>
      </c>
      <c r="B8" s="6" t="s">
        <v>164</v>
      </c>
      <c r="C8" s="77">
        <v>24000</v>
      </c>
      <c r="D8" s="6">
        <f>(C8/12)*7</f>
        <v>14000</v>
      </c>
      <c r="E8" s="66">
        <v>0</v>
      </c>
      <c r="F8" s="6">
        <f>SUM(E2:E8)</f>
        <v>7497</v>
      </c>
      <c r="G8" s="36" t="str">
        <f t="shared" si="2"/>
        <v>Farol Vermelho</v>
      </c>
      <c r="H8">
        <f t="shared" si="0"/>
        <v>6503</v>
      </c>
      <c r="I8" s="6">
        <f t="shared" si="1"/>
        <v>7</v>
      </c>
      <c r="J8" s="66">
        <v>21</v>
      </c>
      <c r="K8" s="66"/>
      <c r="L8" s="6">
        <f t="shared" si="6"/>
        <v>12.25</v>
      </c>
      <c r="M8" s="6">
        <f t="shared" si="7"/>
        <v>9</v>
      </c>
      <c r="N8" s="77">
        <v>100</v>
      </c>
      <c r="O8">
        <f t="shared" si="3"/>
        <v>0.5</v>
      </c>
      <c r="P8" s="77">
        <v>50</v>
      </c>
      <c r="Q8">
        <f t="shared" si="4"/>
        <v>0.3</v>
      </c>
      <c r="R8" s="75">
        <v>15</v>
      </c>
      <c r="S8" s="6">
        <f t="shared" si="5"/>
        <v>0.15</v>
      </c>
    </row>
    <row r="9" spans="1:19" x14ac:dyDescent="0.3">
      <c r="A9" s="37" t="s">
        <v>87</v>
      </c>
      <c r="B9" s="6" t="s">
        <v>165</v>
      </c>
      <c r="C9" s="77">
        <v>24000</v>
      </c>
      <c r="D9" s="6">
        <f>(C9/12)*8</f>
        <v>16000</v>
      </c>
      <c r="E9" s="66">
        <v>0</v>
      </c>
      <c r="F9" s="6">
        <f>SUM(E2:E9)</f>
        <v>7497</v>
      </c>
      <c r="G9" s="36" t="str">
        <f t="shared" si="2"/>
        <v>Farol Vermelho</v>
      </c>
      <c r="H9">
        <f t="shared" si="0"/>
        <v>8503</v>
      </c>
      <c r="I9" s="6">
        <f t="shared" si="1"/>
        <v>8</v>
      </c>
      <c r="J9" s="66">
        <v>21</v>
      </c>
      <c r="K9" s="66"/>
      <c r="L9" s="6">
        <f t="shared" si="6"/>
        <v>14</v>
      </c>
      <c r="M9" s="6">
        <f t="shared" si="7"/>
        <v>9</v>
      </c>
      <c r="N9" s="77">
        <v>100</v>
      </c>
      <c r="O9">
        <f t="shared" si="3"/>
        <v>0.5</v>
      </c>
      <c r="P9" s="77">
        <v>50</v>
      </c>
      <c r="Q9">
        <f t="shared" si="4"/>
        <v>0.3</v>
      </c>
      <c r="R9" s="75">
        <v>15</v>
      </c>
      <c r="S9" s="6">
        <f t="shared" si="5"/>
        <v>0.15</v>
      </c>
    </row>
    <row r="10" spans="1:19" x14ac:dyDescent="0.3">
      <c r="A10" s="37" t="s">
        <v>87</v>
      </c>
      <c r="B10" s="6" t="s">
        <v>166</v>
      </c>
      <c r="C10" s="77">
        <v>24000</v>
      </c>
      <c r="D10" s="6">
        <f>(C10/12)*9</f>
        <v>18000</v>
      </c>
      <c r="E10" s="66">
        <v>0</v>
      </c>
      <c r="F10" s="6">
        <f>SUM(E2:E10)</f>
        <v>7497</v>
      </c>
      <c r="G10" s="36" t="str">
        <f t="shared" si="2"/>
        <v>Farol Vermelho</v>
      </c>
      <c r="H10">
        <f t="shared" si="0"/>
        <v>10503</v>
      </c>
      <c r="I10" s="6">
        <f t="shared" si="1"/>
        <v>9</v>
      </c>
      <c r="J10" s="66">
        <v>21</v>
      </c>
      <c r="K10" s="66"/>
      <c r="L10" s="6">
        <f t="shared" si="6"/>
        <v>15.75</v>
      </c>
      <c r="M10" s="6">
        <f t="shared" si="7"/>
        <v>9</v>
      </c>
      <c r="N10" s="77">
        <v>100</v>
      </c>
      <c r="O10">
        <f t="shared" si="3"/>
        <v>0.5</v>
      </c>
      <c r="P10" s="77">
        <v>50</v>
      </c>
      <c r="Q10">
        <f t="shared" si="4"/>
        <v>0.3</v>
      </c>
      <c r="R10" s="75">
        <v>15</v>
      </c>
      <c r="S10" s="6">
        <f t="shared" si="5"/>
        <v>0.15</v>
      </c>
    </row>
    <row r="11" spans="1:19" x14ac:dyDescent="0.3">
      <c r="A11" s="37" t="s">
        <v>87</v>
      </c>
      <c r="B11" s="6" t="s">
        <v>167</v>
      </c>
      <c r="C11" s="77">
        <v>24000</v>
      </c>
      <c r="D11" s="6">
        <f>(C11/12)*10</f>
        <v>20000</v>
      </c>
      <c r="E11" s="66">
        <v>0</v>
      </c>
      <c r="F11" s="6">
        <f>SUM(E2:E11)</f>
        <v>7497</v>
      </c>
      <c r="G11" s="36" t="str">
        <f t="shared" si="2"/>
        <v>Farol Vermelho</v>
      </c>
      <c r="H11">
        <f t="shared" si="0"/>
        <v>12503</v>
      </c>
      <c r="I11" s="6">
        <f t="shared" si="1"/>
        <v>10</v>
      </c>
      <c r="J11" s="66">
        <v>21</v>
      </c>
      <c r="K11" s="66"/>
      <c r="L11" s="6">
        <f t="shared" si="6"/>
        <v>17.5</v>
      </c>
      <c r="M11" s="6">
        <f t="shared" si="7"/>
        <v>9</v>
      </c>
      <c r="N11" s="77">
        <v>100</v>
      </c>
      <c r="O11">
        <f t="shared" si="3"/>
        <v>0.5</v>
      </c>
      <c r="P11" s="77">
        <v>50</v>
      </c>
      <c r="Q11">
        <f t="shared" si="4"/>
        <v>0.3</v>
      </c>
      <c r="R11" s="75">
        <v>15</v>
      </c>
      <c r="S11" s="6">
        <f t="shared" si="5"/>
        <v>0.15</v>
      </c>
    </row>
    <row r="12" spans="1:19" x14ac:dyDescent="0.3">
      <c r="A12" s="37" t="s">
        <v>87</v>
      </c>
      <c r="B12" s="6" t="s">
        <v>168</v>
      </c>
      <c r="C12" s="77">
        <v>24000</v>
      </c>
      <c r="D12" s="6">
        <f>(C12/12)*11</f>
        <v>22000</v>
      </c>
      <c r="E12" s="66">
        <v>0</v>
      </c>
      <c r="F12" s="6">
        <f>SUM(E2:E12)</f>
        <v>7497</v>
      </c>
      <c r="G12" s="36" t="str">
        <f t="shared" si="2"/>
        <v>Farol Vermelho</v>
      </c>
      <c r="H12">
        <f t="shared" si="0"/>
        <v>14503</v>
      </c>
      <c r="I12" s="6">
        <f t="shared" si="1"/>
        <v>11</v>
      </c>
      <c r="J12" s="66">
        <v>21</v>
      </c>
      <c r="K12" s="66"/>
      <c r="L12" s="6">
        <f t="shared" si="6"/>
        <v>19.25</v>
      </c>
      <c r="M12" s="6">
        <f t="shared" si="7"/>
        <v>9</v>
      </c>
      <c r="N12" s="77">
        <v>100</v>
      </c>
      <c r="O12">
        <f t="shared" si="3"/>
        <v>0.5</v>
      </c>
      <c r="P12" s="77">
        <v>50</v>
      </c>
      <c r="Q12">
        <f t="shared" si="4"/>
        <v>0.3</v>
      </c>
      <c r="R12" s="75">
        <v>15</v>
      </c>
      <c r="S12" s="6">
        <f t="shared" si="5"/>
        <v>0.15</v>
      </c>
    </row>
    <row r="13" spans="1:19" x14ac:dyDescent="0.3">
      <c r="A13" s="37" t="s">
        <v>87</v>
      </c>
      <c r="B13" s="6" t="s">
        <v>169</v>
      </c>
      <c r="C13" s="77">
        <v>24000</v>
      </c>
      <c r="D13" s="6">
        <f>(C13/12)*12</f>
        <v>24000</v>
      </c>
      <c r="E13" s="66">
        <v>0</v>
      </c>
      <c r="F13" s="6">
        <f>SUM(E2:E13)</f>
        <v>7497</v>
      </c>
      <c r="G13" s="36" t="str">
        <f t="shared" si="2"/>
        <v>Farol Vermelho</v>
      </c>
      <c r="H13">
        <f t="shared" si="0"/>
        <v>16503</v>
      </c>
      <c r="I13" s="6">
        <f t="shared" si="1"/>
        <v>12</v>
      </c>
      <c r="J13" s="66">
        <v>21</v>
      </c>
      <c r="K13" s="66"/>
      <c r="L13" s="6">
        <f t="shared" si="6"/>
        <v>21</v>
      </c>
      <c r="M13" s="6">
        <f t="shared" si="7"/>
        <v>9</v>
      </c>
      <c r="N13" s="77">
        <v>100</v>
      </c>
      <c r="O13">
        <f t="shared" si="3"/>
        <v>0.5</v>
      </c>
      <c r="P13" s="77">
        <v>50</v>
      </c>
      <c r="Q13">
        <f t="shared" si="4"/>
        <v>0.3</v>
      </c>
      <c r="R13" s="75">
        <v>15</v>
      </c>
      <c r="S13" s="6">
        <f t="shared" si="5"/>
        <v>0.15</v>
      </c>
    </row>
    <row r="14" spans="1:19" x14ac:dyDescent="0.3">
      <c r="A14" s="37" t="s">
        <v>98</v>
      </c>
      <c r="B14" s="6" t="s">
        <v>158</v>
      </c>
      <c r="C14" s="67">
        <v>2000</v>
      </c>
      <c r="D14" s="6">
        <f>(C14/12)*1</f>
        <v>166.66666666666666</v>
      </c>
      <c r="E14" s="66">
        <v>244</v>
      </c>
      <c r="F14" s="6">
        <f>E14</f>
        <v>244</v>
      </c>
      <c r="G14" s="36" t="str">
        <f t="shared" si="2"/>
        <v>Farol Verde</v>
      </c>
      <c r="H14">
        <f t="shared" si="0"/>
        <v>0</v>
      </c>
      <c r="I14" s="6">
        <f t="shared" si="1"/>
        <v>1</v>
      </c>
      <c r="J14" s="66">
        <v>7</v>
      </c>
      <c r="K14" s="66">
        <v>1</v>
      </c>
      <c r="L14" s="6">
        <f>J14/12</f>
        <v>0.58333333333333337</v>
      </c>
      <c r="M14" s="6">
        <f>K14</f>
        <v>1</v>
      </c>
      <c r="N14" s="77">
        <v>100</v>
      </c>
      <c r="O14">
        <f t="shared" si="3"/>
        <v>0.5</v>
      </c>
      <c r="P14" s="77">
        <v>50</v>
      </c>
      <c r="Q14">
        <f t="shared" si="4"/>
        <v>0.3</v>
      </c>
      <c r="R14" s="75">
        <v>15</v>
      </c>
      <c r="S14" s="6">
        <f t="shared" si="5"/>
        <v>0.15</v>
      </c>
    </row>
    <row r="15" spans="1:19" x14ac:dyDescent="0.3">
      <c r="A15" s="37" t="s">
        <v>98</v>
      </c>
      <c r="B15" s="6" t="s">
        <v>159</v>
      </c>
      <c r="C15" s="67">
        <v>2000</v>
      </c>
      <c r="D15" s="6">
        <f>(C15/12)*2</f>
        <v>333.33333333333331</v>
      </c>
      <c r="E15" s="66">
        <v>0</v>
      </c>
      <c r="F15" s="6">
        <f>SUM(E14:E15)</f>
        <v>244</v>
      </c>
      <c r="G15" s="36" t="str">
        <f t="shared" si="2"/>
        <v>Farol Vermelho</v>
      </c>
      <c r="H15">
        <f t="shared" si="0"/>
        <v>89.333333333333314</v>
      </c>
      <c r="I15" s="6">
        <f t="shared" si="1"/>
        <v>2</v>
      </c>
      <c r="J15" s="66">
        <v>7</v>
      </c>
      <c r="K15" s="66">
        <v>0</v>
      </c>
      <c r="L15" s="6">
        <f>L14+L14</f>
        <v>1.1666666666666667</v>
      </c>
      <c r="M15" s="6">
        <f>M14+K15</f>
        <v>1</v>
      </c>
      <c r="N15" s="77">
        <v>100</v>
      </c>
      <c r="O15">
        <f t="shared" si="3"/>
        <v>0.5</v>
      </c>
      <c r="P15" s="77">
        <v>50</v>
      </c>
      <c r="Q15">
        <f t="shared" si="4"/>
        <v>0.3</v>
      </c>
      <c r="R15" s="75">
        <v>15</v>
      </c>
      <c r="S15" s="6">
        <f t="shared" si="5"/>
        <v>0.15</v>
      </c>
    </row>
    <row r="16" spans="1:19" x14ac:dyDescent="0.3">
      <c r="A16" s="37" t="s">
        <v>98</v>
      </c>
      <c r="B16" s="6" t="s">
        <v>160</v>
      </c>
      <c r="C16" s="67">
        <v>2000</v>
      </c>
      <c r="D16" s="6">
        <f>(C16/12)*3</f>
        <v>500</v>
      </c>
      <c r="E16" s="66">
        <v>0</v>
      </c>
      <c r="F16" s="6">
        <f>SUM(E14:E16)</f>
        <v>244</v>
      </c>
      <c r="G16" s="36" t="str">
        <f t="shared" si="2"/>
        <v>Farol Vermelho</v>
      </c>
      <c r="H16">
        <f t="shared" si="0"/>
        <v>256</v>
      </c>
      <c r="I16" s="6">
        <f t="shared" si="1"/>
        <v>3</v>
      </c>
      <c r="J16" s="66">
        <v>7</v>
      </c>
      <c r="K16" s="66">
        <v>0</v>
      </c>
      <c r="L16" s="6">
        <f>$L14+L15</f>
        <v>1.75</v>
      </c>
      <c r="M16" s="6">
        <f t="shared" ref="M16:M25" si="8">M15+K16</f>
        <v>1</v>
      </c>
      <c r="N16" s="77">
        <v>100</v>
      </c>
      <c r="O16">
        <f t="shared" si="3"/>
        <v>0.5</v>
      </c>
      <c r="P16" s="77">
        <v>50</v>
      </c>
      <c r="Q16">
        <f t="shared" si="4"/>
        <v>0.3</v>
      </c>
      <c r="R16" s="75">
        <v>15</v>
      </c>
      <c r="S16" s="6">
        <f t="shared" si="5"/>
        <v>0.15</v>
      </c>
    </row>
    <row r="17" spans="1:19" x14ac:dyDescent="0.3">
      <c r="A17" s="37" t="s">
        <v>98</v>
      </c>
      <c r="B17" s="6" t="s">
        <v>161</v>
      </c>
      <c r="C17" s="67">
        <v>2000</v>
      </c>
      <c r="D17" s="6">
        <f>(C17/12)*4</f>
        <v>666.66666666666663</v>
      </c>
      <c r="E17" s="66">
        <v>122</v>
      </c>
      <c r="F17" s="6">
        <f>SUM(E14:E17)</f>
        <v>366</v>
      </c>
      <c r="G17" s="36" t="str">
        <f t="shared" si="2"/>
        <v>Farol Vermelho</v>
      </c>
      <c r="H17">
        <f t="shared" si="0"/>
        <v>300.66666666666663</v>
      </c>
      <c r="I17" s="6">
        <f t="shared" si="1"/>
        <v>4</v>
      </c>
      <c r="J17" s="66">
        <v>7</v>
      </c>
      <c r="K17" s="66">
        <v>1</v>
      </c>
      <c r="L17" s="6">
        <f>$L14+L16</f>
        <v>2.3333333333333335</v>
      </c>
      <c r="M17" s="6">
        <f t="shared" si="8"/>
        <v>2</v>
      </c>
      <c r="N17" s="77">
        <v>100</v>
      </c>
      <c r="O17">
        <f t="shared" si="3"/>
        <v>0.5</v>
      </c>
      <c r="P17" s="77">
        <v>50</v>
      </c>
      <c r="Q17">
        <f t="shared" si="4"/>
        <v>0.3</v>
      </c>
      <c r="R17" s="75">
        <v>15</v>
      </c>
      <c r="S17" s="6">
        <f t="shared" si="5"/>
        <v>0.15</v>
      </c>
    </row>
    <row r="18" spans="1:19" x14ac:dyDescent="0.3">
      <c r="A18" s="37" t="s">
        <v>98</v>
      </c>
      <c r="B18" s="6" t="s">
        <v>162</v>
      </c>
      <c r="C18" s="67">
        <v>2000</v>
      </c>
      <c r="D18" s="6">
        <f>(C18/12)*5</f>
        <v>833.33333333333326</v>
      </c>
      <c r="E18" s="66">
        <v>0</v>
      </c>
      <c r="F18" s="6">
        <f>SUM(E14:E18)</f>
        <v>366</v>
      </c>
      <c r="G18" s="36" t="str">
        <f t="shared" si="2"/>
        <v>Farol Vermelho</v>
      </c>
      <c r="H18">
        <f t="shared" si="0"/>
        <v>467.33333333333326</v>
      </c>
      <c r="I18" s="6">
        <f t="shared" si="1"/>
        <v>5</v>
      </c>
      <c r="J18" s="66">
        <v>7</v>
      </c>
      <c r="K18" s="66"/>
      <c r="L18" s="6">
        <f>L14+L17</f>
        <v>2.916666666666667</v>
      </c>
      <c r="M18" s="6">
        <f t="shared" si="8"/>
        <v>2</v>
      </c>
      <c r="N18" s="77">
        <v>100</v>
      </c>
      <c r="O18">
        <f t="shared" si="3"/>
        <v>0.5</v>
      </c>
      <c r="P18" s="77">
        <v>50</v>
      </c>
      <c r="Q18">
        <f t="shared" si="4"/>
        <v>0.3</v>
      </c>
      <c r="R18" s="75">
        <v>15</v>
      </c>
      <c r="S18" s="6">
        <f t="shared" si="5"/>
        <v>0.15</v>
      </c>
    </row>
    <row r="19" spans="1:19" x14ac:dyDescent="0.3">
      <c r="A19" s="37" t="s">
        <v>98</v>
      </c>
      <c r="B19" s="6" t="s">
        <v>163</v>
      </c>
      <c r="C19" s="67">
        <v>2000</v>
      </c>
      <c r="D19" s="6">
        <f>(C19/12)*6</f>
        <v>1000</v>
      </c>
      <c r="E19" s="66">
        <v>0</v>
      </c>
      <c r="F19" s="6">
        <f>SUM(E14:E19)</f>
        <v>366</v>
      </c>
      <c r="G19" s="36" t="str">
        <f t="shared" si="2"/>
        <v>Farol Vermelho</v>
      </c>
      <c r="H19">
        <f t="shared" si="0"/>
        <v>634</v>
      </c>
      <c r="I19" s="6">
        <f t="shared" si="1"/>
        <v>6</v>
      </c>
      <c r="J19" s="66">
        <v>7</v>
      </c>
      <c r="K19" s="66"/>
      <c r="L19" s="6">
        <f>$L14+L18</f>
        <v>3.5000000000000004</v>
      </c>
      <c r="M19" s="6">
        <f t="shared" si="8"/>
        <v>2</v>
      </c>
      <c r="N19" s="77">
        <v>100</v>
      </c>
      <c r="O19">
        <f t="shared" si="3"/>
        <v>0.5</v>
      </c>
      <c r="P19" s="77">
        <v>50</v>
      </c>
      <c r="Q19">
        <f t="shared" si="4"/>
        <v>0.3</v>
      </c>
      <c r="R19" s="75">
        <v>15</v>
      </c>
      <c r="S19" s="6">
        <f t="shared" si="5"/>
        <v>0.15</v>
      </c>
    </row>
    <row r="20" spans="1:19" x14ac:dyDescent="0.3">
      <c r="A20" s="37" t="s">
        <v>98</v>
      </c>
      <c r="B20" s="6" t="s">
        <v>164</v>
      </c>
      <c r="C20" s="67">
        <v>2000</v>
      </c>
      <c r="D20" s="6">
        <f>(C20/12)*7</f>
        <v>1166.6666666666665</v>
      </c>
      <c r="E20" s="66">
        <v>0</v>
      </c>
      <c r="F20" s="6">
        <f>SUM(E14:E20)</f>
        <v>366</v>
      </c>
      <c r="G20" s="36" t="str">
        <f t="shared" si="2"/>
        <v>Farol Vermelho</v>
      </c>
      <c r="H20">
        <f t="shared" si="0"/>
        <v>800.66666666666652</v>
      </c>
      <c r="I20" s="6">
        <f t="shared" si="1"/>
        <v>7</v>
      </c>
      <c r="J20" s="66">
        <v>7</v>
      </c>
      <c r="K20" s="66"/>
      <c r="L20" s="6">
        <f>$L14+L19</f>
        <v>4.0833333333333339</v>
      </c>
      <c r="M20" s="6">
        <f t="shared" si="8"/>
        <v>2</v>
      </c>
      <c r="N20" s="77">
        <v>100</v>
      </c>
      <c r="O20">
        <f t="shared" si="3"/>
        <v>0.5</v>
      </c>
      <c r="P20" s="77">
        <v>50</v>
      </c>
      <c r="Q20">
        <f t="shared" si="4"/>
        <v>0.3</v>
      </c>
      <c r="R20" s="75">
        <v>15</v>
      </c>
      <c r="S20" s="6">
        <f t="shared" si="5"/>
        <v>0.15</v>
      </c>
    </row>
    <row r="21" spans="1:19" x14ac:dyDescent="0.3">
      <c r="A21" s="37" t="s">
        <v>98</v>
      </c>
      <c r="B21" s="6" t="s">
        <v>165</v>
      </c>
      <c r="C21" s="67">
        <v>2000</v>
      </c>
      <c r="D21" s="6">
        <f>(C21/12)*8</f>
        <v>1333.3333333333333</v>
      </c>
      <c r="E21" s="66">
        <v>0</v>
      </c>
      <c r="F21" s="6">
        <f>SUM(E14:E21)</f>
        <v>366</v>
      </c>
      <c r="G21" s="36" t="str">
        <f t="shared" si="2"/>
        <v>Farol Vermelho</v>
      </c>
      <c r="H21">
        <f t="shared" si="0"/>
        <v>967.33333333333326</v>
      </c>
      <c r="I21" s="6">
        <f t="shared" si="1"/>
        <v>8</v>
      </c>
      <c r="J21" s="66">
        <v>7</v>
      </c>
      <c r="K21" s="66"/>
      <c r="L21" s="6">
        <f>L14+L20</f>
        <v>4.666666666666667</v>
      </c>
      <c r="M21" s="6">
        <f t="shared" si="8"/>
        <v>2</v>
      </c>
      <c r="N21" s="77">
        <v>100</v>
      </c>
      <c r="O21">
        <f t="shared" si="3"/>
        <v>0.5</v>
      </c>
      <c r="P21" s="77">
        <v>50</v>
      </c>
      <c r="Q21">
        <f t="shared" si="4"/>
        <v>0.3</v>
      </c>
      <c r="R21" s="75">
        <v>15</v>
      </c>
      <c r="S21" s="6">
        <f t="shared" si="5"/>
        <v>0.15</v>
      </c>
    </row>
    <row r="22" spans="1:19" x14ac:dyDescent="0.3">
      <c r="A22" s="37" t="s">
        <v>98</v>
      </c>
      <c r="B22" s="6" t="s">
        <v>166</v>
      </c>
      <c r="C22" s="67">
        <v>2000</v>
      </c>
      <c r="D22" s="6">
        <f>(C22/12)*9</f>
        <v>1500</v>
      </c>
      <c r="E22" s="66">
        <v>0</v>
      </c>
      <c r="F22" s="6">
        <f>SUM(E14:E22)</f>
        <v>366</v>
      </c>
      <c r="G22" s="36" t="str">
        <f t="shared" si="2"/>
        <v>Farol Vermelho</v>
      </c>
      <c r="H22">
        <f t="shared" si="0"/>
        <v>1134</v>
      </c>
      <c r="I22" s="6">
        <f t="shared" si="1"/>
        <v>9</v>
      </c>
      <c r="J22" s="66">
        <v>7</v>
      </c>
      <c r="K22" s="66"/>
      <c r="L22" s="6">
        <f>$L14+L21</f>
        <v>5.25</v>
      </c>
      <c r="M22" s="6">
        <f t="shared" si="8"/>
        <v>2</v>
      </c>
      <c r="N22" s="77">
        <v>100</v>
      </c>
      <c r="O22">
        <f t="shared" si="3"/>
        <v>0.5</v>
      </c>
      <c r="P22" s="77">
        <v>50</v>
      </c>
      <c r="Q22">
        <f t="shared" si="4"/>
        <v>0.3</v>
      </c>
      <c r="R22" s="75">
        <v>15</v>
      </c>
      <c r="S22" s="6">
        <f t="shared" si="5"/>
        <v>0.15</v>
      </c>
    </row>
    <row r="23" spans="1:19" x14ac:dyDescent="0.3">
      <c r="A23" s="37" t="s">
        <v>98</v>
      </c>
      <c r="B23" s="6" t="s">
        <v>167</v>
      </c>
      <c r="C23" s="67">
        <v>2000</v>
      </c>
      <c r="D23" s="6">
        <f>(C23/12)*10</f>
        <v>1666.6666666666665</v>
      </c>
      <c r="E23" s="66">
        <v>0</v>
      </c>
      <c r="F23" s="6">
        <f>SUM(E14:E23)</f>
        <v>366</v>
      </c>
      <c r="G23" s="36" t="str">
        <f t="shared" si="2"/>
        <v>Farol Vermelho</v>
      </c>
      <c r="H23">
        <f t="shared" si="0"/>
        <v>1300.6666666666665</v>
      </c>
      <c r="I23" s="6">
        <f t="shared" si="1"/>
        <v>10</v>
      </c>
      <c r="J23" s="66">
        <v>7</v>
      </c>
      <c r="K23" s="66"/>
      <c r="L23" s="6">
        <f>$L14+L22</f>
        <v>5.833333333333333</v>
      </c>
      <c r="M23" s="6">
        <f t="shared" si="8"/>
        <v>2</v>
      </c>
      <c r="N23" s="77">
        <v>100</v>
      </c>
      <c r="O23">
        <f t="shared" si="3"/>
        <v>0.5</v>
      </c>
      <c r="P23" s="77">
        <v>50</v>
      </c>
      <c r="Q23">
        <f t="shared" si="4"/>
        <v>0.3</v>
      </c>
      <c r="R23" s="75">
        <v>15</v>
      </c>
      <c r="S23" s="6">
        <f t="shared" si="5"/>
        <v>0.15</v>
      </c>
    </row>
    <row r="24" spans="1:19" x14ac:dyDescent="0.3">
      <c r="A24" s="37" t="s">
        <v>98</v>
      </c>
      <c r="B24" s="6" t="s">
        <v>168</v>
      </c>
      <c r="C24" s="67">
        <v>2000</v>
      </c>
      <c r="D24" s="6">
        <f>(C24/12)*11</f>
        <v>1833.3333333333333</v>
      </c>
      <c r="E24" s="66">
        <v>0</v>
      </c>
      <c r="F24" s="6">
        <f>SUM(E14:E24)</f>
        <v>366</v>
      </c>
      <c r="G24" s="36" t="str">
        <f t="shared" si="2"/>
        <v>Farol Vermelho</v>
      </c>
      <c r="H24">
        <f t="shared" si="0"/>
        <v>1467.3333333333333</v>
      </c>
      <c r="I24" s="6">
        <f t="shared" si="1"/>
        <v>11</v>
      </c>
      <c r="J24" s="66">
        <v>7</v>
      </c>
      <c r="K24" s="66"/>
      <c r="L24" s="6">
        <f>L14+L23</f>
        <v>6.4166666666666661</v>
      </c>
      <c r="M24" s="6">
        <f t="shared" si="8"/>
        <v>2</v>
      </c>
      <c r="N24" s="77">
        <v>100</v>
      </c>
      <c r="O24">
        <f t="shared" si="3"/>
        <v>0.5</v>
      </c>
      <c r="P24" s="77">
        <v>50</v>
      </c>
      <c r="Q24">
        <f t="shared" si="4"/>
        <v>0.3</v>
      </c>
      <c r="R24" s="75">
        <v>15</v>
      </c>
      <c r="S24" s="6">
        <f t="shared" si="5"/>
        <v>0.15</v>
      </c>
    </row>
    <row r="25" spans="1:19" x14ac:dyDescent="0.3">
      <c r="A25" s="37" t="s">
        <v>98</v>
      </c>
      <c r="B25" s="6" t="s">
        <v>169</v>
      </c>
      <c r="C25" s="67">
        <v>2000</v>
      </c>
      <c r="D25" s="6">
        <f>(C25/12)*12</f>
        <v>2000</v>
      </c>
      <c r="E25" s="66">
        <v>0</v>
      </c>
      <c r="F25" s="6">
        <f>SUM(E14:E25)</f>
        <v>366</v>
      </c>
      <c r="G25" s="36" t="str">
        <f t="shared" si="2"/>
        <v>Farol Vermelho</v>
      </c>
      <c r="H25">
        <f t="shared" si="0"/>
        <v>1634</v>
      </c>
      <c r="I25" s="6">
        <f t="shared" si="1"/>
        <v>12</v>
      </c>
      <c r="J25" s="66">
        <v>7</v>
      </c>
      <c r="K25" s="66"/>
      <c r="L25" s="6">
        <f>$L14+L24</f>
        <v>6.9999999999999991</v>
      </c>
      <c r="M25" s="6">
        <f t="shared" si="8"/>
        <v>2</v>
      </c>
      <c r="N25" s="77">
        <v>100</v>
      </c>
      <c r="O25">
        <f t="shared" si="3"/>
        <v>0.5</v>
      </c>
      <c r="P25" s="77">
        <v>50</v>
      </c>
      <c r="Q25">
        <f t="shared" si="4"/>
        <v>0.3</v>
      </c>
      <c r="R25" s="75">
        <v>15</v>
      </c>
      <c r="S25" s="6">
        <f t="shared" si="5"/>
        <v>0.15</v>
      </c>
    </row>
    <row r="26" spans="1:19" x14ac:dyDescent="0.3">
      <c r="A26" s="37" t="s">
        <v>56</v>
      </c>
      <c r="B26" s="6" t="s">
        <v>158</v>
      </c>
      <c r="C26" s="77">
        <v>39634.5</v>
      </c>
      <c r="D26" s="6">
        <f>(C26/12)*1</f>
        <v>3302.875</v>
      </c>
      <c r="E26" s="66">
        <v>0</v>
      </c>
      <c r="F26" s="6">
        <f>E26</f>
        <v>0</v>
      </c>
      <c r="G26" s="36" t="str">
        <f t="shared" si="2"/>
        <v>Farol Vermelho</v>
      </c>
      <c r="H26">
        <f t="shared" si="0"/>
        <v>3302.875</v>
      </c>
      <c r="I26" s="6">
        <f t="shared" si="1"/>
        <v>1</v>
      </c>
      <c r="J26" s="66">
        <v>18</v>
      </c>
      <c r="K26" s="66">
        <v>0</v>
      </c>
      <c r="L26" s="6">
        <f>J26/12</f>
        <v>1.5</v>
      </c>
      <c r="M26" s="6">
        <f>K26</f>
        <v>0</v>
      </c>
      <c r="N26" s="77">
        <v>100</v>
      </c>
      <c r="O26">
        <f t="shared" si="3"/>
        <v>0.5</v>
      </c>
      <c r="P26" s="77">
        <v>50</v>
      </c>
      <c r="Q26">
        <f t="shared" si="4"/>
        <v>0.3</v>
      </c>
      <c r="R26" s="75">
        <v>15</v>
      </c>
      <c r="S26" s="6">
        <f t="shared" si="5"/>
        <v>0.15</v>
      </c>
    </row>
    <row r="27" spans="1:19" x14ac:dyDescent="0.3">
      <c r="A27" s="37" t="s">
        <v>56</v>
      </c>
      <c r="B27" s="6" t="s">
        <v>159</v>
      </c>
      <c r="C27" s="77">
        <v>39634.5</v>
      </c>
      <c r="D27" s="6">
        <f>(C27/12)*2</f>
        <v>6605.75</v>
      </c>
      <c r="E27" s="66">
        <v>900</v>
      </c>
      <c r="F27" s="6">
        <f>SUM(E26:E27)</f>
        <v>900</v>
      </c>
      <c r="G27" s="36" t="str">
        <f t="shared" si="2"/>
        <v>Farol Vermelho</v>
      </c>
      <c r="H27">
        <f t="shared" si="0"/>
        <v>5705.75</v>
      </c>
      <c r="I27" s="6">
        <f t="shared" si="1"/>
        <v>2</v>
      </c>
      <c r="J27" s="66">
        <v>18</v>
      </c>
      <c r="K27" s="66">
        <v>1</v>
      </c>
      <c r="L27" s="6">
        <f>L26+L26</f>
        <v>3</v>
      </c>
      <c r="M27" s="6">
        <f>M26+K27</f>
        <v>1</v>
      </c>
      <c r="N27" s="77">
        <v>100</v>
      </c>
      <c r="O27">
        <f t="shared" si="3"/>
        <v>0.5</v>
      </c>
      <c r="P27" s="77">
        <v>50</v>
      </c>
      <c r="Q27">
        <f t="shared" si="4"/>
        <v>0.3</v>
      </c>
      <c r="R27" s="75">
        <v>15</v>
      </c>
      <c r="S27" s="6">
        <f t="shared" si="5"/>
        <v>0.15</v>
      </c>
    </row>
    <row r="28" spans="1:19" x14ac:dyDescent="0.3">
      <c r="A28" s="37" t="s">
        <v>56</v>
      </c>
      <c r="B28" s="6" t="s">
        <v>160</v>
      </c>
      <c r="C28" s="77">
        <v>39634.5</v>
      </c>
      <c r="D28" s="6">
        <f>(C28/12)*3</f>
        <v>9908.625</v>
      </c>
      <c r="E28" s="66">
        <v>3464.08</v>
      </c>
      <c r="F28" s="6">
        <f>SUM(E26:E28)</f>
        <v>4364.08</v>
      </c>
      <c r="G28" s="36" t="str">
        <f t="shared" si="2"/>
        <v>Farol Vermelho</v>
      </c>
      <c r="H28">
        <f t="shared" si="0"/>
        <v>5544.5450000000001</v>
      </c>
      <c r="I28" s="6">
        <f t="shared" si="1"/>
        <v>3</v>
      </c>
      <c r="J28" s="66">
        <v>18</v>
      </c>
      <c r="K28" s="66">
        <v>2</v>
      </c>
      <c r="L28" s="6">
        <f>$L26+L27</f>
        <v>4.5</v>
      </c>
      <c r="M28" s="6">
        <f t="shared" ref="M28:M37" si="9">M27+K28</f>
        <v>3</v>
      </c>
      <c r="N28" s="77">
        <v>100</v>
      </c>
      <c r="O28">
        <f t="shared" si="3"/>
        <v>0.5</v>
      </c>
      <c r="P28" s="77">
        <v>50</v>
      </c>
      <c r="Q28">
        <f t="shared" si="4"/>
        <v>0.3</v>
      </c>
      <c r="R28" s="75">
        <v>15</v>
      </c>
      <c r="S28" s="6">
        <f t="shared" si="5"/>
        <v>0.15</v>
      </c>
    </row>
    <row r="29" spans="1:19" x14ac:dyDescent="0.3">
      <c r="A29" s="37" t="s">
        <v>56</v>
      </c>
      <c r="B29" s="6" t="s">
        <v>161</v>
      </c>
      <c r="C29" s="77">
        <v>39634.5</v>
      </c>
      <c r="D29" s="6">
        <f>(C29/12)*4</f>
        <v>13211.5</v>
      </c>
      <c r="E29" s="66">
        <v>1454</v>
      </c>
      <c r="F29" s="6">
        <f>SUM(E26:E29)</f>
        <v>5818.08</v>
      </c>
      <c r="G29" s="36" t="str">
        <f t="shared" si="2"/>
        <v>Farol Vermelho</v>
      </c>
      <c r="H29">
        <f t="shared" si="0"/>
        <v>7393.42</v>
      </c>
      <c r="I29" s="6">
        <f t="shared" si="1"/>
        <v>4</v>
      </c>
      <c r="J29" s="66">
        <v>18</v>
      </c>
      <c r="K29" s="66">
        <v>1</v>
      </c>
      <c r="L29" s="6">
        <f>$L26+L28</f>
        <v>6</v>
      </c>
      <c r="M29" s="6">
        <f t="shared" si="9"/>
        <v>4</v>
      </c>
      <c r="N29" s="77">
        <v>100</v>
      </c>
      <c r="O29">
        <f t="shared" si="3"/>
        <v>0.5</v>
      </c>
      <c r="P29" s="77">
        <v>50</v>
      </c>
      <c r="Q29">
        <f t="shared" si="4"/>
        <v>0.3</v>
      </c>
      <c r="R29" s="75">
        <v>15</v>
      </c>
      <c r="S29" s="6">
        <f t="shared" si="5"/>
        <v>0.15</v>
      </c>
    </row>
    <row r="30" spans="1:19" x14ac:dyDescent="0.3">
      <c r="A30" s="37" t="s">
        <v>56</v>
      </c>
      <c r="B30" s="6" t="s">
        <v>162</v>
      </c>
      <c r="C30" s="77">
        <v>39634.5</v>
      </c>
      <c r="D30" s="6">
        <f>(C30/12)*5</f>
        <v>16514.375</v>
      </c>
      <c r="E30" s="66">
        <v>0</v>
      </c>
      <c r="F30" s="6">
        <f>SUM(E26:E30)</f>
        <v>5818.08</v>
      </c>
      <c r="G30" s="36" t="str">
        <f t="shared" si="2"/>
        <v>Farol Vermelho</v>
      </c>
      <c r="H30">
        <f t="shared" si="0"/>
        <v>10696.295</v>
      </c>
      <c r="I30" s="6">
        <f t="shared" si="1"/>
        <v>5</v>
      </c>
      <c r="J30" s="66">
        <v>18</v>
      </c>
      <c r="K30" s="66"/>
      <c r="L30" s="6">
        <f>L26+L29</f>
        <v>7.5</v>
      </c>
      <c r="M30" s="6">
        <f t="shared" si="9"/>
        <v>4</v>
      </c>
      <c r="N30" s="77">
        <v>100</v>
      </c>
      <c r="O30">
        <f t="shared" si="3"/>
        <v>0.5</v>
      </c>
      <c r="P30" s="77">
        <v>50</v>
      </c>
      <c r="Q30">
        <f t="shared" si="4"/>
        <v>0.3</v>
      </c>
      <c r="R30" s="75">
        <v>15</v>
      </c>
      <c r="S30" s="6">
        <f t="shared" si="5"/>
        <v>0.15</v>
      </c>
    </row>
    <row r="31" spans="1:19" x14ac:dyDescent="0.3">
      <c r="A31" s="37" t="s">
        <v>56</v>
      </c>
      <c r="B31" s="6" t="s">
        <v>163</v>
      </c>
      <c r="C31" s="77">
        <v>39634.5</v>
      </c>
      <c r="D31" s="6">
        <f>(C31/12)*6</f>
        <v>19817.25</v>
      </c>
      <c r="E31" s="66">
        <v>0</v>
      </c>
      <c r="F31" s="6">
        <f>SUM(E26:E31)</f>
        <v>5818.08</v>
      </c>
      <c r="G31" s="36" t="str">
        <f t="shared" si="2"/>
        <v>Farol Vermelho</v>
      </c>
      <c r="H31">
        <f t="shared" si="0"/>
        <v>13999.17</v>
      </c>
      <c r="I31" s="6">
        <f t="shared" si="1"/>
        <v>6</v>
      </c>
      <c r="J31" s="66">
        <v>18</v>
      </c>
      <c r="K31" s="66"/>
      <c r="L31" s="6">
        <f>$L26+L30</f>
        <v>9</v>
      </c>
      <c r="M31" s="6">
        <f t="shared" si="9"/>
        <v>4</v>
      </c>
      <c r="N31" s="77">
        <v>100</v>
      </c>
      <c r="O31">
        <f t="shared" si="3"/>
        <v>0.5</v>
      </c>
      <c r="P31" s="77">
        <v>50</v>
      </c>
      <c r="Q31">
        <f t="shared" si="4"/>
        <v>0.3</v>
      </c>
      <c r="R31" s="75">
        <v>15</v>
      </c>
      <c r="S31" s="6">
        <f t="shared" si="5"/>
        <v>0.15</v>
      </c>
    </row>
    <row r="32" spans="1:19" x14ac:dyDescent="0.3">
      <c r="A32" s="37" t="s">
        <v>56</v>
      </c>
      <c r="B32" s="6" t="s">
        <v>164</v>
      </c>
      <c r="C32" s="77">
        <v>39634.5</v>
      </c>
      <c r="D32" s="6">
        <f>(C32/12)*7</f>
        <v>23120.125</v>
      </c>
      <c r="E32" s="66">
        <v>0</v>
      </c>
      <c r="F32" s="6">
        <f>SUM(E26:E32)</f>
        <v>5818.08</v>
      </c>
      <c r="G32" s="36" t="str">
        <f t="shared" si="2"/>
        <v>Farol Vermelho</v>
      </c>
      <c r="H32">
        <f t="shared" si="0"/>
        <v>17302.044999999998</v>
      </c>
      <c r="I32" s="6">
        <f t="shared" si="1"/>
        <v>7</v>
      </c>
      <c r="J32" s="66">
        <v>18</v>
      </c>
      <c r="K32" s="66"/>
      <c r="L32" s="6">
        <f>$L26+L31</f>
        <v>10.5</v>
      </c>
      <c r="M32" s="6">
        <f t="shared" si="9"/>
        <v>4</v>
      </c>
      <c r="N32" s="77">
        <v>100</v>
      </c>
      <c r="O32">
        <f t="shared" si="3"/>
        <v>0.5</v>
      </c>
      <c r="P32" s="77">
        <v>50</v>
      </c>
      <c r="Q32">
        <f t="shared" si="4"/>
        <v>0.3</v>
      </c>
      <c r="R32" s="75">
        <v>15</v>
      </c>
      <c r="S32" s="6">
        <f t="shared" si="5"/>
        <v>0.15</v>
      </c>
    </row>
    <row r="33" spans="1:19" x14ac:dyDescent="0.3">
      <c r="A33" s="37" t="s">
        <v>56</v>
      </c>
      <c r="B33" s="6" t="s">
        <v>165</v>
      </c>
      <c r="C33" s="77">
        <v>39634.5</v>
      </c>
      <c r="D33" s="6">
        <f>(C33/12)*8</f>
        <v>26423</v>
      </c>
      <c r="E33" s="66">
        <v>0</v>
      </c>
      <c r="F33" s="6">
        <f>SUM(E26:E33)</f>
        <v>5818.08</v>
      </c>
      <c r="G33" s="36" t="str">
        <f t="shared" si="2"/>
        <v>Farol Vermelho</v>
      </c>
      <c r="H33">
        <f t="shared" si="0"/>
        <v>20604.919999999998</v>
      </c>
      <c r="I33" s="6">
        <f t="shared" si="1"/>
        <v>8</v>
      </c>
      <c r="J33" s="66">
        <v>18</v>
      </c>
      <c r="K33" s="66"/>
      <c r="L33" s="6">
        <f>L26+L32</f>
        <v>12</v>
      </c>
      <c r="M33" s="6">
        <f t="shared" si="9"/>
        <v>4</v>
      </c>
      <c r="N33" s="77">
        <v>100</v>
      </c>
      <c r="O33">
        <f t="shared" si="3"/>
        <v>0.5</v>
      </c>
      <c r="P33" s="77">
        <v>50</v>
      </c>
      <c r="Q33">
        <f t="shared" si="4"/>
        <v>0.3</v>
      </c>
      <c r="R33" s="75">
        <v>15</v>
      </c>
      <c r="S33" s="6">
        <f t="shared" si="5"/>
        <v>0.15</v>
      </c>
    </row>
    <row r="34" spans="1:19" x14ac:dyDescent="0.3">
      <c r="A34" s="37" t="s">
        <v>56</v>
      </c>
      <c r="B34" s="6" t="s">
        <v>166</v>
      </c>
      <c r="C34" s="77">
        <v>39634.5</v>
      </c>
      <c r="D34" s="6">
        <f>(C34/12)*9</f>
        <v>29725.875</v>
      </c>
      <c r="E34" s="66">
        <v>0</v>
      </c>
      <c r="F34" s="6">
        <f>SUM(E26:E34)</f>
        <v>5818.08</v>
      </c>
      <c r="G34" s="36" t="str">
        <f t="shared" si="2"/>
        <v>Farol Vermelho</v>
      </c>
      <c r="H34">
        <f t="shared" si="0"/>
        <v>23907.794999999998</v>
      </c>
      <c r="I34" s="6">
        <f t="shared" si="1"/>
        <v>9</v>
      </c>
      <c r="J34" s="66">
        <v>18</v>
      </c>
      <c r="K34" s="66"/>
      <c r="L34" s="6">
        <f>$L26+L33</f>
        <v>13.5</v>
      </c>
      <c r="M34" s="6">
        <f t="shared" si="9"/>
        <v>4</v>
      </c>
      <c r="N34" s="77">
        <v>100</v>
      </c>
      <c r="O34">
        <f t="shared" si="3"/>
        <v>0.5</v>
      </c>
      <c r="P34" s="77">
        <v>50</v>
      </c>
      <c r="Q34">
        <f t="shared" si="4"/>
        <v>0.3</v>
      </c>
      <c r="R34" s="75">
        <v>15</v>
      </c>
      <c r="S34" s="6">
        <f t="shared" si="5"/>
        <v>0.15</v>
      </c>
    </row>
    <row r="35" spans="1:19" x14ac:dyDescent="0.3">
      <c r="A35" s="37" t="s">
        <v>56</v>
      </c>
      <c r="B35" s="6" t="s">
        <v>167</v>
      </c>
      <c r="C35" s="77">
        <v>39634.5</v>
      </c>
      <c r="D35" s="6">
        <f>(C35/12)*10</f>
        <v>33028.75</v>
      </c>
      <c r="E35" s="66">
        <v>0</v>
      </c>
      <c r="F35" s="6">
        <f>SUM(E26:E35)</f>
        <v>5818.08</v>
      </c>
      <c r="G35" s="36" t="str">
        <f t="shared" si="2"/>
        <v>Farol Vermelho</v>
      </c>
      <c r="H35">
        <f t="shared" si="0"/>
        <v>27210.67</v>
      </c>
      <c r="I35" s="6">
        <f t="shared" si="1"/>
        <v>10</v>
      </c>
      <c r="J35" s="66">
        <v>18</v>
      </c>
      <c r="K35" s="66"/>
      <c r="L35" s="6">
        <f>$L26+L34</f>
        <v>15</v>
      </c>
      <c r="M35" s="6">
        <f t="shared" si="9"/>
        <v>4</v>
      </c>
      <c r="N35" s="77">
        <v>100</v>
      </c>
      <c r="O35">
        <f t="shared" si="3"/>
        <v>0.5</v>
      </c>
      <c r="P35" s="77">
        <v>50</v>
      </c>
      <c r="Q35">
        <f t="shared" si="4"/>
        <v>0.3</v>
      </c>
      <c r="R35" s="75">
        <v>15</v>
      </c>
      <c r="S35" s="6">
        <f t="shared" si="5"/>
        <v>0.15</v>
      </c>
    </row>
    <row r="36" spans="1:19" x14ac:dyDescent="0.3">
      <c r="A36" s="37" t="s">
        <v>56</v>
      </c>
      <c r="B36" s="6" t="s">
        <v>168</v>
      </c>
      <c r="C36" s="77">
        <v>39634.5</v>
      </c>
      <c r="D36" s="6">
        <f>(C36/12)*11</f>
        <v>36331.625</v>
      </c>
      <c r="E36" s="66">
        <v>0</v>
      </c>
      <c r="F36" s="6">
        <f>SUM(E26:E36)</f>
        <v>5818.08</v>
      </c>
      <c r="G36" s="36" t="str">
        <f t="shared" si="2"/>
        <v>Farol Vermelho</v>
      </c>
      <c r="H36">
        <f t="shared" si="0"/>
        <v>30513.544999999998</v>
      </c>
      <c r="I36" s="6">
        <f t="shared" si="1"/>
        <v>11</v>
      </c>
      <c r="J36" s="66">
        <v>18</v>
      </c>
      <c r="K36" s="66"/>
      <c r="L36" s="6">
        <f>L26+L35</f>
        <v>16.5</v>
      </c>
      <c r="M36" s="6">
        <f t="shared" si="9"/>
        <v>4</v>
      </c>
      <c r="N36" s="77">
        <v>100</v>
      </c>
      <c r="O36">
        <f t="shared" si="3"/>
        <v>0.5</v>
      </c>
      <c r="P36" s="77">
        <v>50</v>
      </c>
      <c r="Q36">
        <f t="shared" si="4"/>
        <v>0.3</v>
      </c>
      <c r="R36" s="75">
        <v>15</v>
      </c>
      <c r="S36" s="6">
        <f t="shared" si="5"/>
        <v>0.15</v>
      </c>
    </row>
    <row r="37" spans="1:19" x14ac:dyDescent="0.3">
      <c r="A37" s="37" t="s">
        <v>56</v>
      </c>
      <c r="B37" s="6" t="s">
        <v>169</v>
      </c>
      <c r="C37" s="77">
        <v>39634.5</v>
      </c>
      <c r="D37" s="6">
        <f>(C37/12)*12</f>
        <v>39634.5</v>
      </c>
      <c r="E37" s="66">
        <v>0</v>
      </c>
      <c r="F37" s="6">
        <f>SUM(E26:E37)</f>
        <v>5818.08</v>
      </c>
      <c r="G37" s="36" t="str">
        <f t="shared" si="2"/>
        <v>Farol Vermelho</v>
      </c>
      <c r="H37">
        <f t="shared" si="0"/>
        <v>33816.42</v>
      </c>
      <c r="I37" s="6">
        <f t="shared" si="1"/>
        <v>12</v>
      </c>
      <c r="J37" s="66">
        <v>18</v>
      </c>
      <c r="K37" s="66"/>
      <c r="L37" s="6">
        <f>$L26+L36</f>
        <v>18</v>
      </c>
      <c r="M37" s="6">
        <f t="shared" si="9"/>
        <v>4</v>
      </c>
      <c r="N37" s="77">
        <v>100</v>
      </c>
      <c r="O37">
        <f t="shared" si="3"/>
        <v>0.5</v>
      </c>
      <c r="P37" s="77">
        <v>50</v>
      </c>
      <c r="Q37">
        <f t="shared" si="4"/>
        <v>0.3</v>
      </c>
      <c r="R37" s="75">
        <v>15</v>
      </c>
      <c r="S37" s="6">
        <f t="shared" si="5"/>
        <v>0.15</v>
      </c>
    </row>
    <row r="38" spans="1:19" x14ac:dyDescent="0.3">
      <c r="A38" s="37" t="s">
        <v>149</v>
      </c>
      <c r="B38" s="6" t="s">
        <v>158</v>
      </c>
      <c r="C38" s="77">
        <v>100000</v>
      </c>
      <c r="D38" s="6">
        <f>(C38/12)*1</f>
        <v>8333.3333333333339</v>
      </c>
      <c r="E38" s="66">
        <v>1305</v>
      </c>
      <c r="F38" s="6">
        <f>E38</f>
        <v>1305</v>
      </c>
      <c r="G38" s="36" t="str">
        <f t="shared" si="2"/>
        <v>Farol Vermelho</v>
      </c>
      <c r="H38">
        <f t="shared" si="0"/>
        <v>7028.3333333333339</v>
      </c>
      <c r="I38" s="6">
        <f t="shared" si="1"/>
        <v>1</v>
      </c>
      <c r="J38" s="66">
        <v>25</v>
      </c>
      <c r="K38" s="66">
        <v>1</v>
      </c>
      <c r="L38" s="6">
        <f>J38/12</f>
        <v>2.0833333333333335</v>
      </c>
      <c r="M38" s="6">
        <f>K38</f>
        <v>1</v>
      </c>
      <c r="N38" s="77">
        <v>100</v>
      </c>
      <c r="O38">
        <f t="shared" si="3"/>
        <v>0.5</v>
      </c>
      <c r="P38" s="77">
        <v>50</v>
      </c>
      <c r="Q38">
        <f t="shared" si="4"/>
        <v>0.3</v>
      </c>
      <c r="R38" s="75">
        <v>15</v>
      </c>
      <c r="S38" s="6">
        <f t="shared" si="5"/>
        <v>0.15</v>
      </c>
    </row>
    <row r="39" spans="1:19" x14ac:dyDescent="0.3">
      <c r="A39" s="37" t="s">
        <v>149</v>
      </c>
      <c r="B39" s="6" t="s">
        <v>159</v>
      </c>
      <c r="C39" s="77">
        <v>100000</v>
      </c>
      <c r="D39" s="6">
        <f>(C39/12)*2</f>
        <v>16666.666666666668</v>
      </c>
      <c r="E39" s="66">
        <v>6368.8</v>
      </c>
      <c r="F39" s="6">
        <f>SUM(E38:E39)</f>
        <v>7673.8</v>
      </c>
      <c r="G39" s="36" t="str">
        <f t="shared" si="2"/>
        <v>Farol Vermelho</v>
      </c>
      <c r="H39">
        <f t="shared" si="0"/>
        <v>8992.8666666666686</v>
      </c>
      <c r="I39" s="6">
        <f t="shared" si="1"/>
        <v>2</v>
      </c>
      <c r="J39" s="66">
        <v>25</v>
      </c>
      <c r="K39" s="66">
        <v>3</v>
      </c>
      <c r="L39" s="6">
        <f>L38+L38</f>
        <v>4.166666666666667</v>
      </c>
      <c r="M39" s="6">
        <f>M38+K39</f>
        <v>4</v>
      </c>
      <c r="N39" s="77">
        <v>100</v>
      </c>
      <c r="O39">
        <f t="shared" si="3"/>
        <v>0.5</v>
      </c>
      <c r="P39" s="77">
        <v>50</v>
      </c>
      <c r="Q39">
        <f t="shared" si="4"/>
        <v>0.3</v>
      </c>
      <c r="R39" s="75">
        <v>15</v>
      </c>
      <c r="S39" s="6">
        <f t="shared" si="5"/>
        <v>0.15</v>
      </c>
    </row>
    <row r="40" spans="1:19" x14ac:dyDescent="0.3">
      <c r="A40" s="37" t="s">
        <v>149</v>
      </c>
      <c r="B40" s="6" t="s">
        <v>160</v>
      </c>
      <c r="C40" s="77">
        <v>100000</v>
      </c>
      <c r="D40" s="6">
        <f>(C40/12)*3</f>
        <v>25000</v>
      </c>
      <c r="E40" s="66">
        <v>3500</v>
      </c>
      <c r="F40" s="6">
        <f>SUM(E38:E40)</f>
        <v>11173.8</v>
      </c>
      <c r="G40" s="36" t="str">
        <f t="shared" si="2"/>
        <v>Farol Vermelho</v>
      </c>
      <c r="H40">
        <f t="shared" si="0"/>
        <v>13826.2</v>
      </c>
      <c r="I40" s="6">
        <f t="shared" si="1"/>
        <v>3</v>
      </c>
      <c r="J40" s="66">
        <v>25</v>
      </c>
      <c r="K40" s="66">
        <v>1</v>
      </c>
      <c r="L40" s="6">
        <f>$L38+L39</f>
        <v>6.25</v>
      </c>
      <c r="M40" s="6">
        <f t="shared" ref="M40:M49" si="10">M39+K40</f>
        <v>5</v>
      </c>
      <c r="N40" s="77">
        <v>100</v>
      </c>
      <c r="O40">
        <f t="shared" si="3"/>
        <v>0.5</v>
      </c>
      <c r="P40" s="77">
        <v>50</v>
      </c>
      <c r="Q40">
        <f t="shared" si="4"/>
        <v>0.3</v>
      </c>
      <c r="R40" s="75">
        <v>15</v>
      </c>
      <c r="S40" s="6">
        <f t="shared" si="5"/>
        <v>0.15</v>
      </c>
    </row>
    <row r="41" spans="1:19" x14ac:dyDescent="0.3">
      <c r="A41" s="37" t="s">
        <v>149</v>
      </c>
      <c r="B41" s="6" t="s">
        <v>161</v>
      </c>
      <c r="C41" s="77">
        <v>100000</v>
      </c>
      <c r="D41" s="6">
        <f>(C41/12)*4</f>
        <v>33333.333333333336</v>
      </c>
      <c r="E41" s="66">
        <v>0</v>
      </c>
      <c r="F41" s="6">
        <f>SUM(E38:E41)</f>
        <v>11173.8</v>
      </c>
      <c r="G41" s="36" t="str">
        <f t="shared" si="2"/>
        <v>Farol Vermelho</v>
      </c>
      <c r="H41">
        <f t="shared" si="0"/>
        <v>22159.533333333336</v>
      </c>
      <c r="I41" s="6">
        <f t="shared" si="1"/>
        <v>4</v>
      </c>
      <c r="J41" s="66">
        <v>25</v>
      </c>
      <c r="K41" s="66">
        <v>0</v>
      </c>
      <c r="L41" s="6">
        <f>$L38+L40</f>
        <v>8.3333333333333339</v>
      </c>
      <c r="M41" s="6">
        <f t="shared" si="10"/>
        <v>5</v>
      </c>
      <c r="N41" s="77">
        <v>100</v>
      </c>
      <c r="O41">
        <f t="shared" si="3"/>
        <v>0.5</v>
      </c>
      <c r="P41" s="77">
        <v>50</v>
      </c>
      <c r="Q41">
        <f t="shared" si="4"/>
        <v>0.3</v>
      </c>
      <c r="R41" s="75">
        <v>15</v>
      </c>
      <c r="S41" s="6">
        <f t="shared" si="5"/>
        <v>0.15</v>
      </c>
    </row>
    <row r="42" spans="1:19" x14ac:dyDescent="0.3">
      <c r="A42" s="37" t="s">
        <v>149</v>
      </c>
      <c r="B42" s="6" t="s">
        <v>162</v>
      </c>
      <c r="C42" s="77">
        <v>100000</v>
      </c>
      <c r="D42" s="6">
        <f>(C42/12)*5</f>
        <v>41666.666666666672</v>
      </c>
      <c r="E42" s="66">
        <v>6900</v>
      </c>
      <c r="F42" s="6">
        <f>SUM(E38:E42)</f>
        <v>18073.8</v>
      </c>
      <c r="G42" s="36" t="str">
        <f t="shared" si="2"/>
        <v>Farol Vermelho</v>
      </c>
      <c r="H42">
        <f t="shared" si="0"/>
        <v>23592.866666666672</v>
      </c>
      <c r="I42" s="6">
        <f t="shared" si="1"/>
        <v>5</v>
      </c>
      <c r="J42" s="66">
        <v>25</v>
      </c>
      <c r="K42" s="66">
        <v>2</v>
      </c>
      <c r="L42" s="6">
        <f>L38+L41</f>
        <v>10.416666666666668</v>
      </c>
      <c r="M42" s="6">
        <f t="shared" si="10"/>
        <v>7</v>
      </c>
      <c r="N42" s="77">
        <v>100</v>
      </c>
      <c r="O42">
        <f t="shared" si="3"/>
        <v>0.5</v>
      </c>
      <c r="P42" s="77">
        <v>50</v>
      </c>
      <c r="Q42">
        <f t="shared" si="4"/>
        <v>0.3</v>
      </c>
      <c r="R42" s="75">
        <v>15</v>
      </c>
      <c r="S42" s="6">
        <f t="shared" si="5"/>
        <v>0.15</v>
      </c>
    </row>
    <row r="43" spans="1:19" x14ac:dyDescent="0.3">
      <c r="A43" s="37" t="s">
        <v>149</v>
      </c>
      <c r="B43" s="6" t="s">
        <v>163</v>
      </c>
      <c r="C43" s="77">
        <v>100000</v>
      </c>
      <c r="D43" s="6">
        <f>(C43/12)*6</f>
        <v>50000</v>
      </c>
      <c r="E43" s="66">
        <v>0</v>
      </c>
      <c r="F43" s="6">
        <f>SUM(E38:E43)</f>
        <v>18073.8</v>
      </c>
      <c r="G43" s="36" t="str">
        <f t="shared" si="2"/>
        <v>Farol Vermelho</v>
      </c>
      <c r="H43">
        <f t="shared" si="0"/>
        <v>31926.2</v>
      </c>
      <c r="I43" s="6">
        <f t="shared" si="1"/>
        <v>6</v>
      </c>
      <c r="J43" s="66">
        <v>25</v>
      </c>
      <c r="K43" s="66"/>
      <c r="L43" s="6">
        <f>$L38+L42</f>
        <v>12.500000000000002</v>
      </c>
      <c r="M43" s="6">
        <f t="shared" si="10"/>
        <v>7</v>
      </c>
      <c r="N43" s="77">
        <v>100</v>
      </c>
      <c r="O43">
        <f t="shared" si="3"/>
        <v>0.5</v>
      </c>
      <c r="P43" s="77">
        <v>50</v>
      </c>
      <c r="Q43">
        <f t="shared" si="4"/>
        <v>0.3</v>
      </c>
      <c r="R43" s="75">
        <v>15</v>
      </c>
      <c r="S43" s="6">
        <f t="shared" si="5"/>
        <v>0.15</v>
      </c>
    </row>
    <row r="44" spans="1:19" x14ac:dyDescent="0.3">
      <c r="A44" s="37" t="s">
        <v>149</v>
      </c>
      <c r="B44" s="6" t="s">
        <v>164</v>
      </c>
      <c r="C44" s="77">
        <v>100000</v>
      </c>
      <c r="D44" s="6">
        <f>(C44/12)*7</f>
        <v>58333.333333333336</v>
      </c>
      <c r="E44" s="66">
        <v>0</v>
      </c>
      <c r="F44" s="6">
        <f>SUM(E38:E44)</f>
        <v>18073.8</v>
      </c>
      <c r="G44" s="36" t="str">
        <f t="shared" si="2"/>
        <v>Farol Vermelho</v>
      </c>
      <c r="H44">
        <f t="shared" si="0"/>
        <v>40259.53333333334</v>
      </c>
      <c r="I44" s="6">
        <f t="shared" si="1"/>
        <v>7</v>
      </c>
      <c r="J44" s="66">
        <v>25</v>
      </c>
      <c r="K44" s="66"/>
      <c r="L44" s="6">
        <f>$L38+L43</f>
        <v>14.583333333333336</v>
      </c>
      <c r="M44" s="6">
        <f t="shared" si="10"/>
        <v>7</v>
      </c>
      <c r="N44" s="77">
        <v>100</v>
      </c>
      <c r="O44">
        <f t="shared" si="3"/>
        <v>0.5</v>
      </c>
      <c r="P44" s="77">
        <v>50</v>
      </c>
      <c r="Q44">
        <f t="shared" si="4"/>
        <v>0.3</v>
      </c>
      <c r="R44" s="75">
        <v>15</v>
      </c>
      <c r="S44" s="6">
        <f t="shared" si="5"/>
        <v>0.15</v>
      </c>
    </row>
    <row r="45" spans="1:19" x14ac:dyDescent="0.3">
      <c r="A45" s="37" t="s">
        <v>149</v>
      </c>
      <c r="B45" s="6" t="s">
        <v>165</v>
      </c>
      <c r="C45" s="77">
        <v>100000</v>
      </c>
      <c r="D45" s="6">
        <f>(C45/12)*8</f>
        <v>66666.666666666672</v>
      </c>
      <c r="E45" s="66">
        <v>0</v>
      </c>
      <c r="F45" s="6">
        <f>SUM(E38:E45)</f>
        <v>18073.8</v>
      </c>
      <c r="G45" s="36" t="str">
        <f t="shared" si="2"/>
        <v>Farol Vermelho</v>
      </c>
      <c r="H45">
        <f t="shared" si="0"/>
        <v>48592.866666666669</v>
      </c>
      <c r="I45" s="6">
        <f t="shared" si="1"/>
        <v>8</v>
      </c>
      <c r="J45" s="66">
        <v>25</v>
      </c>
      <c r="K45" s="66"/>
      <c r="L45" s="6">
        <f>L38+L44</f>
        <v>16.666666666666668</v>
      </c>
      <c r="M45" s="6">
        <f t="shared" si="10"/>
        <v>7</v>
      </c>
      <c r="N45" s="77">
        <v>100</v>
      </c>
      <c r="O45">
        <f t="shared" si="3"/>
        <v>0.5</v>
      </c>
      <c r="P45" s="77">
        <v>50</v>
      </c>
      <c r="Q45">
        <f t="shared" si="4"/>
        <v>0.3</v>
      </c>
      <c r="R45" s="75">
        <v>15</v>
      </c>
      <c r="S45" s="6">
        <f t="shared" si="5"/>
        <v>0.15</v>
      </c>
    </row>
    <row r="46" spans="1:19" x14ac:dyDescent="0.3">
      <c r="A46" s="37" t="s">
        <v>149</v>
      </c>
      <c r="B46" s="6" t="s">
        <v>166</v>
      </c>
      <c r="C46" s="77">
        <v>100000</v>
      </c>
      <c r="D46" s="6">
        <f>(C46/12)*9</f>
        <v>75000</v>
      </c>
      <c r="E46" s="66">
        <v>0</v>
      </c>
      <c r="F46" s="6">
        <f>SUM(E38:E46)</f>
        <v>18073.8</v>
      </c>
      <c r="G46" s="36" t="str">
        <f t="shared" si="2"/>
        <v>Farol Vermelho</v>
      </c>
      <c r="H46">
        <f t="shared" si="0"/>
        <v>56926.2</v>
      </c>
      <c r="I46" s="6">
        <f t="shared" si="1"/>
        <v>9</v>
      </c>
      <c r="J46" s="66">
        <v>25</v>
      </c>
      <c r="K46" s="66"/>
      <c r="L46" s="6">
        <f>$L38+L45</f>
        <v>18.75</v>
      </c>
      <c r="M46" s="6">
        <f t="shared" si="10"/>
        <v>7</v>
      </c>
      <c r="N46" s="77">
        <v>100</v>
      </c>
      <c r="O46">
        <f t="shared" si="3"/>
        <v>0.5</v>
      </c>
      <c r="P46" s="77">
        <v>50</v>
      </c>
      <c r="Q46">
        <f t="shared" si="4"/>
        <v>0.3</v>
      </c>
      <c r="R46" s="75">
        <v>15</v>
      </c>
      <c r="S46" s="6">
        <f t="shared" si="5"/>
        <v>0.15</v>
      </c>
    </row>
    <row r="47" spans="1:19" x14ac:dyDescent="0.3">
      <c r="A47" s="37" t="s">
        <v>149</v>
      </c>
      <c r="B47" s="6" t="s">
        <v>167</v>
      </c>
      <c r="C47" s="77">
        <v>100000</v>
      </c>
      <c r="D47" s="6">
        <f>(C47/12)*10</f>
        <v>83333.333333333343</v>
      </c>
      <c r="E47" s="66">
        <v>0</v>
      </c>
      <c r="F47" s="6">
        <f>SUM(E38:E47)</f>
        <v>18073.8</v>
      </c>
      <c r="G47" s="36" t="str">
        <f t="shared" si="2"/>
        <v>Farol Vermelho</v>
      </c>
      <c r="H47">
        <f t="shared" si="0"/>
        <v>65259.53333333334</v>
      </c>
      <c r="I47" s="6">
        <f t="shared" si="1"/>
        <v>10</v>
      </c>
      <c r="J47" s="66">
        <v>25</v>
      </c>
      <c r="K47" s="66"/>
      <c r="L47" s="6">
        <f>$L38+L46</f>
        <v>20.833333333333332</v>
      </c>
      <c r="M47" s="6">
        <f t="shared" si="10"/>
        <v>7</v>
      </c>
      <c r="N47" s="77">
        <v>100</v>
      </c>
      <c r="O47">
        <f t="shared" si="3"/>
        <v>0.5</v>
      </c>
      <c r="P47" s="77">
        <v>50</v>
      </c>
      <c r="Q47">
        <f t="shared" si="4"/>
        <v>0.3</v>
      </c>
      <c r="R47" s="75">
        <v>15</v>
      </c>
      <c r="S47" s="6">
        <f t="shared" si="5"/>
        <v>0.15</v>
      </c>
    </row>
    <row r="48" spans="1:19" x14ac:dyDescent="0.3">
      <c r="A48" s="37" t="s">
        <v>149</v>
      </c>
      <c r="B48" s="6" t="s">
        <v>168</v>
      </c>
      <c r="C48" s="77">
        <v>100000</v>
      </c>
      <c r="D48" s="6">
        <f>(C48/12)*11</f>
        <v>91666.666666666672</v>
      </c>
      <c r="E48" s="66">
        <v>0</v>
      </c>
      <c r="F48" s="6">
        <f>SUM(E38:E48)</f>
        <v>18073.8</v>
      </c>
      <c r="G48" s="36" t="str">
        <f t="shared" si="2"/>
        <v>Farol Vermelho</v>
      </c>
      <c r="H48">
        <f t="shared" si="0"/>
        <v>73592.866666666669</v>
      </c>
      <c r="I48" s="6">
        <f t="shared" si="1"/>
        <v>11</v>
      </c>
      <c r="J48" s="66">
        <v>25</v>
      </c>
      <c r="K48" s="66"/>
      <c r="L48" s="6">
        <f>L38+L47</f>
        <v>22.916666666666664</v>
      </c>
      <c r="M48" s="6">
        <f t="shared" si="10"/>
        <v>7</v>
      </c>
      <c r="N48" s="77">
        <v>100</v>
      </c>
      <c r="O48">
        <f t="shared" si="3"/>
        <v>0.5</v>
      </c>
      <c r="P48" s="77">
        <v>50</v>
      </c>
      <c r="Q48">
        <f t="shared" si="4"/>
        <v>0.3</v>
      </c>
      <c r="R48" s="75">
        <v>15</v>
      </c>
      <c r="S48" s="6">
        <f t="shared" si="5"/>
        <v>0.15</v>
      </c>
    </row>
    <row r="49" spans="1:19" x14ac:dyDescent="0.3">
      <c r="A49" s="37" t="s">
        <v>149</v>
      </c>
      <c r="B49" s="6" t="s">
        <v>169</v>
      </c>
      <c r="C49" s="77">
        <v>100000</v>
      </c>
      <c r="D49" s="6">
        <f>(C49/12)*12</f>
        <v>100000</v>
      </c>
      <c r="E49" s="66">
        <v>0</v>
      </c>
      <c r="F49" s="6">
        <f>SUM(E38:E49)</f>
        <v>18073.8</v>
      </c>
      <c r="G49" s="36" t="str">
        <f t="shared" si="2"/>
        <v>Farol Vermelho</v>
      </c>
      <c r="H49">
        <f t="shared" si="0"/>
        <v>81926.2</v>
      </c>
      <c r="I49" s="6">
        <f t="shared" si="1"/>
        <v>12</v>
      </c>
      <c r="J49" s="66">
        <v>25</v>
      </c>
      <c r="K49" s="66"/>
      <c r="L49" s="6">
        <f>$L38+L48</f>
        <v>24.999999999999996</v>
      </c>
      <c r="M49" s="6">
        <f t="shared" si="10"/>
        <v>7</v>
      </c>
      <c r="N49" s="77">
        <v>100</v>
      </c>
      <c r="O49">
        <f t="shared" si="3"/>
        <v>0.5</v>
      </c>
      <c r="P49" s="77">
        <v>50</v>
      </c>
      <c r="Q49">
        <f t="shared" si="4"/>
        <v>0.3</v>
      </c>
      <c r="R49" s="75">
        <v>15</v>
      </c>
      <c r="S49" s="6">
        <f t="shared" si="5"/>
        <v>0.15</v>
      </c>
    </row>
    <row r="50" spans="1:19" x14ac:dyDescent="0.3">
      <c r="A50" s="37" t="s">
        <v>66</v>
      </c>
      <c r="B50" s="6" t="s">
        <v>158</v>
      </c>
      <c r="C50" s="77">
        <v>16500</v>
      </c>
      <c r="D50" s="6">
        <f>(C50/12)*1</f>
        <v>1375</v>
      </c>
      <c r="E50" s="66">
        <v>4500</v>
      </c>
      <c r="F50" s="6">
        <f>E50</f>
        <v>4500</v>
      </c>
      <c r="G50" s="36" t="str">
        <f t="shared" si="2"/>
        <v>Farol Verde</v>
      </c>
      <c r="H50">
        <f t="shared" si="0"/>
        <v>0</v>
      </c>
      <c r="I50" s="6">
        <f t="shared" si="1"/>
        <v>1</v>
      </c>
      <c r="J50" s="66">
        <v>12</v>
      </c>
      <c r="K50" s="66">
        <v>2</v>
      </c>
      <c r="L50" s="6">
        <f>J50/12</f>
        <v>1</v>
      </c>
      <c r="M50" s="6">
        <f>K50</f>
        <v>2</v>
      </c>
      <c r="N50" s="77">
        <v>100</v>
      </c>
      <c r="O50">
        <f t="shared" si="3"/>
        <v>0.5</v>
      </c>
      <c r="P50" s="77">
        <v>50</v>
      </c>
      <c r="Q50">
        <f t="shared" si="4"/>
        <v>0.3</v>
      </c>
      <c r="R50" s="75">
        <v>15</v>
      </c>
      <c r="S50" s="6">
        <f t="shared" si="5"/>
        <v>0.15</v>
      </c>
    </row>
    <row r="51" spans="1:19" x14ac:dyDescent="0.3">
      <c r="A51" s="37" t="s">
        <v>66</v>
      </c>
      <c r="B51" s="6" t="s">
        <v>159</v>
      </c>
      <c r="C51" s="77">
        <v>16500</v>
      </c>
      <c r="D51" s="6">
        <f>(C51/12)*2</f>
        <v>2750</v>
      </c>
      <c r="E51" s="66">
        <v>0</v>
      </c>
      <c r="F51" s="6">
        <f>SUM(E50:E51)</f>
        <v>4500</v>
      </c>
      <c r="G51" s="36" t="str">
        <f t="shared" si="2"/>
        <v>Farol Verde</v>
      </c>
      <c r="H51">
        <f t="shared" si="0"/>
        <v>0</v>
      </c>
      <c r="I51" s="6">
        <f t="shared" si="1"/>
        <v>2</v>
      </c>
      <c r="J51" s="66">
        <v>12</v>
      </c>
      <c r="K51" s="66">
        <v>0</v>
      </c>
      <c r="L51" s="6">
        <f>L50+L50</f>
        <v>2</v>
      </c>
      <c r="M51" s="6">
        <f>M50+K51</f>
        <v>2</v>
      </c>
      <c r="N51" s="77">
        <v>100</v>
      </c>
      <c r="O51">
        <f t="shared" si="3"/>
        <v>0.5</v>
      </c>
      <c r="P51" s="77">
        <v>50</v>
      </c>
      <c r="Q51">
        <f t="shared" si="4"/>
        <v>0.3</v>
      </c>
      <c r="R51" s="75">
        <v>15</v>
      </c>
      <c r="S51" s="6">
        <f t="shared" si="5"/>
        <v>0.15</v>
      </c>
    </row>
    <row r="52" spans="1:19" x14ac:dyDescent="0.3">
      <c r="A52" s="37" t="s">
        <v>66</v>
      </c>
      <c r="B52" s="6" t="s">
        <v>160</v>
      </c>
      <c r="C52" s="77">
        <v>16500</v>
      </c>
      <c r="D52" s="6">
        <f>(C52/12)*3</f>
        <v>4125</v>
      </c>
      <c r="E52" s="66">
        <v>700</v>
      </c>
      <c r="F52" s="6">
        <f>SUM(E50:E52)</f>
        <v>5200</v>
      </c>
      <c r="G52" s="36" t="str">
        <f t="shared" si="2"/>
        <v>Farol Verde</v>
      </c>
      <c r="H52">
        <f t="shared" si="0"/>
        <v>0</v>
      </c>
      <c r="I52" s="6">
        <f t="shared" si="1"/>
        <v>3</v>
      </c>
      <c r="J52" s="66">
        <v>12</v>
      </c>
      <c r="K52" s="66">
        <v>2</v>
      </c>
      <c r="L52" s="6">
        <f>$L50+L51</f>
        <v>3</v>
      </c>
      <c r="M52" s="6">
        <f t="shared" ref="M52:M61" si="11">M51+K52</f>
        <v>4</v>
      </c>
      <c r="N52" s="77">
        <v>100</v>
      </c>
      <c r="O52">
        <f t="shared" si="3"/>
        <v>0.5</v>
      </c>
      <c r="P52" s="77">
        <v>50</v>
      </c>
      <c r="Q52">
        <f t="shared" si="4"/>
        <v>0.3</v>
      </c>
      <c r="R52" s="75">
        <v>15</v>
      </c>
      <c r="S52" s="6">
        <f t="shared" si="5"/>
        <v>0.15</v>
      </c>
    </row>
    <row r="53" spans="1:19" x14ac:dyDescent="0.3">
      <c r="A53" s="37" t="s">
        <v>66</v>
      </c>
      <c r="B53" s="6" t="s">
        <v>161</v>
      </c>
      <c r="C53" s="77">
        <v>16500</v>
      </c>
      <c r="D53" s="6">
        <f>(C53/12)*4</f>
        <v>5500</v>
      </c>
      <c r="E53" s="66">
        <v>0</v>
      </c>
      <c r="F53" s="6">
        <f>SUM(E50:E53)</f>
        <v>5200</v>
      </c>
      <c r="G53" s="36" t="str">
        <f t="shared" si="2"/>
        <v>Farol Amarelo</v>
      </c>
      <c r="H53">
        <f t="shared" si="0"/>
        <v>300</v>
      </c>
      <c r="I53" s="6">
        <f t="shared" si="1"/>
        <v>4</v>
      </c>
      <c r="J53" s="66">
        <v>12</v>
      </c>
      <c r="K53" s="66">
        <v>0</v>
      </c>
      <c r="L53" s="6">
        <f>$L50+L52</f>
        <v>4</v>
      </c>
      <c r="M53" s="6">
        <f t="shared" si="11"/>
        <v>4</v>
      </c>
      <c r="N53" s="77">
        <v>100</v>
      </c>
      <c r="O53">
        <f t="shared" si="3"/>
        <v>0.5</v>
      </c>
      <c r="P53" s="77">
        <v>50</v>
      </c>
      <c r="Q53">
        <f t="shared" si="4"/>
        <v>0.3</v>
      </c>
      <c r="R53" s="75">
        <v>15</v>
      </c>
      <c r="S53" s="6">
        <f t="shared" si="5"/>
        <v>0.15</v>
      </c>
    </row>
    <row r="54" spans="1:19" x14ac:dyDescent="0.3">
      <c r="A54" s="37" t="s">
        <v>66</v>
      </c>
      <c r="B54" s="6" t="s">
        <v>162</v>
      </c>
      <c r="C54" s="77">
        <v>16500</v>
      </c>
      <c r="D54" s="6">
        <f>(C54/12)*5</f>
        <v>6875</v>
      </c>
      <c r="E54" s="66">
        <v>0</v>
      </c>
      <c r="F54" s="6">
        <f>SUM(E50:E54)</f>
        <v>5200</v>
      </c>
      <c r="G54" s="36" t="str">
        <f t="shared" si="2"/>
        <v>Farol Vermelho</v>
      </c>
      <c r="H54">
        <f t="shared" si="0"/>
        <v>1675</v>
      </c>
      <c r="I54" s="6">
        <f t="shared" si="1"/>
        <v>5</v>
      </c>
      <c r="J54" s="66">
        <v>12</v>
      </c>
      <c r="K54" s="66"/>
      <c r="L54" s="6">
        <f>L50+L53</f>
        <v>5</v>
      </c>
      <c r="M54" s="6">
        <f t="shared" si="11"/>
        <v>4</v>
      </c>
      <c r="N54" s="77">
        <v>100</v>
      </c>
      <c r="O54">
        <f t="shared" si="3"/>
        <v>0.5</v>
      </c>
      <c r="P54" s="77">
        <v>50</v>
      </c>
      <c r="Q54">
        <f t="shared" si="4"/>
        <v>0.3</v>
      </c>
      <c r="R54" s="75">
        <v>15</v>
      </c>
      <c r="S54" s="6">
        <f t="shared" si="5"/>
        <v>0.15</v>
      </c>
    </row>
    <row r="55" spans="1:19" x14ac:dyDescent="0.3">
      <c r="A55" s="37" t="s">
        <v>66</v>
      </c>
      <c r="B55" s="6" t="s">
        <v>163</v>
      </c>
      <c r="C55" s="77">
        <v>16500</v>
      </c>
      <c r="D55" s="6">
        <f>(C55/12)*6</f>
        <v>8250</v>
      </c>
      <c r="E55" s="66">
        <v>0</v>
      </c>
      <c r="F55" s="6">
        <f>SUM(E50:E55)</f>
        <v>5200</v>
      </c>
      <c r="G55" s="36" t="str">
        <f t="shared" si="2"/>
        <v>Farol Vermelho</v>
      </c>
      <c r="H55">
        <f t="shared" si="0"/>
        <v>3050</v>
      </c>
      <c r="I55" s="6">
        <f t="shared" si="1"/>
        <v>6</v>
      </c>
      <c r="J55" s="66">
        <v>12</v>
      </c>
      <c r="K55" s="66"/>
      <c r="L55" s="6">
        <f>$L50+L54</f>
        <v>6</v>
      </c>
      <c r="M55" s="6">
        <f t="shared" si="11"/>
        <v>4</v>
      </c>
      <c r="N55" s="77">
        <v>100</v>
      </c>
      <c r="O55">
        <f t="shared" si="3"/>
        <v>0.5</v>
      </c>
      <c r="P55" s="77">
        <v>50</v>
      </c>
      <c r="Q55">
        <f t="shared" si="4"/>
        <v>0.3</v>
      </c>
      <c r="R55" s="75">
        <v>15</v>
      </c>
      <c r="S55" s="6">
        <f t="shared" si="5"/>
        <v>0.15</v>
      </c>
    </row>
    <row r="56" spans="1:19" x14ac:dyDescent="0.3">
      <c r="A56" s="37" t="s">
        <v>66</v>
      </c>
      <c r="B56" s="6" t="s">
        <v>164</v>
      </c>
      <c r="C56" s="77">
        <v>16500</v>
      </c>
      <c r="D56" s="6">
        <f>(C56/12)*7</f>
        <v>9625</v>
      </c>
      <c r="E56" s="66">
        <v>0</v>
      </c>
      <c r="F56" s="6">
        <f>SUM(E50:E56)</f>
        <v>5200</v>
      </c>
      <c r="G56" s="36" t="str">
        <f t="shared" si="2"/>
        <v>Farol Vermelho</v>
      </c>
      <c r="H56">
        <f t="shared" si="0"/>
        <v>4425</v>
      </c>
      <c r="I56" s="6">
        <f t="shared" si="1"/>
        <v>7</v>
      </c>
      <c r="J56" s="66">
        <v>12</v>
      </c>
      <c r="K56" s="66"/>
      <c r="L56" s="6">
        <f>$L50+L55</f>
        <v>7</v>
      </c>
      <c r="M56" s="6">
        <f t="shared" si="11"/>
        <v>4</v>
      </c>
      <c r="N56" s="77">
        <v>100</v>
      </c>
      <c r="O56">
        <f t="shared" si="3"/>
        <v>0.5</v>
      </c>
      <c r="P56" s="77">
        <v>50</v>
      </c>
      <c r="Q56">
        <f t="shared" si="4"/>
        <v>0.3</v>
      </c>
      <c r="R56" s="75">
        <v>15</v>
      </c>
      <c r="S56" s="6">
        <f t="shared" si="5"/>
        <v>0.15</v>
      </c>
    </row>
    <row r="57" spans="1:19" x14ac:dyDescent="0.3">
      <c r="A57" s="37" t="s">
        <v>66</v>
      </c>
      <c r="B57" s="6" t="s">
        <v>165</v>
      </c>
      <c r="C57" s="77">
        <v>16500</v>
      </c>
      <c r="D57" s="6">
        <f>(C57/12)*8</f>
        <v>11000</v>
      </c>
      <c r="E57" s="66">
        <v>0</v>
      </c>
      <c r="F57" s="6">
        <f>SUM(E50:E57)</f>
        <v>5200</v>
      </c>
      <c r="G57" s="36" t="str">
        <f t="shared" si="2"/>
        <v>Farol Vermelho</v>
      </c>
      <c r="H57">
        <f t="shared" si="0"/>
        <v>5800</v>
      </c>
      <c r="I57" s="6">
        <f t="shared" si="1"/>
        <v>8</v>
      </c>
      <c r="J57" s="66">
        <v>12</v>
      </c>
      <c r="K57" s="66"/>
      <c r="L57" s="6">
        <f>L50+L56</f>
        <v>8</v>
      </c>
      <c r="M57" s="6">
        <f t="shared" si="11"/>
        <v>4</v>
      </c>
      <c r="N57" s="77">
        <v>100</v>
      </c>
      <c r="O57">
        <f t="shared" si="3"/>
        <v>0.5</v>
      </c>
      <c r="P57" s="77">
        <v>50</v>
      </c>
      <c r="Q57">
        <f t="shared" si="4"/>
        <v>0.3</v>
      </c>
      <c r="R57" s="75">
        <v>15</v>
      </c>
      <c r="S57" s="6">
        <f t="shared" si="5"/>
        <v>0.15</v>
      </c>
    </row>
    <row r="58" spans="1:19" x14ac:dyDescent="0.3">
      <c r="A58" s="37" t="s">
        <v>66</v>
      </c>
      <c r="B58" s="6" t="s">
        <v>166</v>
      </c>
      <c r="C58" s="77">
        <v>16500</v>
      </c>
      <c r="D58" s="6">
        <f>(C58/12)*9</f>
        <v>12375</v>
      </c>
      <c r="E58" s="66">
        <v>0</v>
      </c>
      <c r="F58" s="6">
        <f>SUM(E50:E58)</f>
        <v>5200</v>
      </c>
      <c r="G58" s="36" t="str">
        <f t="shared" si="2"/>
        <v>Farol Vermelho</v>
      </c>
      <c r="H58">
        <f t="shared" si="0"/>
        <v>7175</v>
      </c>
      <c r="I58" s="6">
        <f t="shared" si="1"/>
        <v>9</v>
      </c>
      <c r="J58" s="66">
        <v>12</v>
      </c>
      <c r="K58" s="66"/>
      <c r="L58" s="6">
        <f>$L50+L57</f>
        <v>9</v>
      </c>
      <c r="M58" s="6">
        <f t="shared" si="11"/>
        <v>4</v>
      </c>
      <c r="N58" s="77">
        <v>100</v>
      </c>
      <c r="O58">
        <f t="shared" si="3"/>
        <v>0.5</v>
      </c>
      <c r="P58" s="77">
        <v>50</v>
      </c>
      <c r="Q58">
        <f t="shared" si="4"/>
        <v>0.3</v>
      </c>
      <c r="R58" s="75">
        <v>15</v>
      </c>
      <c r="S58" s="6">
        <f t="shared" si="5"/>
        <v>0.15</v>
      </c>
    </row>
    <row r="59" spans="1:19" x14ac:dyDescent="0.3">
      <c r="A59" s="37" t="s">
        <v>66</v>
      </c>
      <c r="B59" s="6" t="s">
        <v>167</v>
      </c>
      <c r="C59" s="77">
        <v>16500</v>
      </c>
      <c r="D59" s="6">
        <f>(C59/12)*10</f>
        <v>13750</v>
      </c>
      <c r="E59" s="66">
        <v>0</v>
      </c>
      <c r="F59" s="6">
        <f>SUM(E50:E59)</f>
        <v>5200</v>
      </c>
      <c r="G59" s="36" t="str">
        <f t="shared" si="2"/>
        <v>Farol Vermelho</v>
      </c>
      <c r="H59">
        <f t="shared" si="0"/>
        <v>8550</v>
      </c>
      <c r="I59" s="6">
        <f t="shared" si="1"/>
        <v>10</v>
      </c>
      <c r="J59" s="66">
        <v>12</v>
      </c>
      <c r="K59" s="66"/>
      <c r="L59" s="6">
        <f>$L50+L58</f>
        <v>10</v>
      </c>
      <c r="M59" s="6">
        <f t="shared" si="11"/>
        <v>4</v>
      </c>
      <c r="N59" s="77">
        <v>100</v>
      </c>
      <c r="O59">
        <f t="shared" si="3"/>
        <v>0.5</v>
      </c>
      <c r="P59" s="77">
        <v>50</v>
      </c>
      <c r="Q59">
        <f t="shared" si="4"/>
        <v>0.3</v>
      </c>
      <c r="R59" s="75">
        <v>15</v>
      </c>
      <c r="S59" s="6">
        <f t="shared" si="5"/>
        <v>0.15</v>
      </c>
    </row>
    <row r="60" spans="1:19" x14ac:dyDescent="0.3">
      <c r="A60" s="37" t="s">
        <v>66</v>
      </c>
      <c r="B60" s="6" t="s">
        <v>168</v>
      </c>
      <c r="C60" s="77">
        <v>16500</v>
      </c>
      <c r="D60" s="6">
        <f>(C60/12)*11</f>
        <v>15125</v>
      </c>
      <c r="E60" s="66">
        <v>0</v>
      </c>
      <c r="F60" s="6">
        <f>SUM(E50:E60)</f>
        <v>5200</v>
      </c>
      <c r="G60" s="36" t="str">
        <f t="shared" si="2"/>
        <v>Farol Vermelho</v>
      </c>
      <c r="H60">
        <f t="shared" si="0"/>
        <v>9925</v>
      </c>
      <c r="I60" s="6">
        <f t="shared" si="1"/>
        <v>11</v>
      </c>
      <c r="J60" s="66">
        <v>12</v>
      </c>
      <c r="K60" s="66"/>
      <c r="L60" s="6">
        <f>L50+L59</f>
        <v>11</v>
      </c>
      <c r="M60" s="6">
        <f t="shared" si="11"/>
        <v>4</v>
      </c>
      <c r="N60" s="77">
        <v>100</v>
      </c>
      <c r="O60">
        <f t="shared" si="3"/>
        <v>0.5</v>
      </c>
      <c r="P60" s="77">
        <v>50</v>
      </c>
      <c r="Q60">
        <f t="shared" si="4"/>
        <v>0.3</v>
      </c>
      <c r="R60" s="75">
        <v>15</v>
      </c>
      <c r="S60" s="6">
        <f t="shared" si="5"/>
        <v>0.15</v>
      </c>
    </row>
    <row r="61" spans="1:19" x14ac:dyDescent="0.3">
      <c r="A61" s="37" t="s">
        <v>66</v>
      </c>
      <c r="B61" s="6" t="s">
        <v>169</v>
      </c>
      <c r="C61" s="77">
        <v>16500</v>
      </c>
      <c r="D61" s="6">
        <f>(C61/12)*12</f>
        <v>16500</v>
      </c>
      <c r="E61" s="66">
        <v>0</v>
      </c>
      <c r="F61" s="6">
        <f>SUM(E50:E61)</f>
        <v>5200</v>
      </c>
      <c r="G61" s="36" t="str">
        <f t="shared" si="2"/>
        <v>Farol Vermelho</v>
      </c>
      <c r="H61">
        <f t="shared" si="0"/>
        <v>11300</v>
      </c>
      <c r="I61" s="6">
        <f t="shared" si="1"/>
        <v>12</v>
      </c>
      <c r="J61" s="66">
        <v>12</v>
      </c>
      <c r="K61" s="66"/>
      <c r="L61" s="6">
        <f>$L50+L60</f>
        <v>12</v>
      </c>
      <c r="M61" s="6">
        <f t="shared" si="11"/>
        <v>4</v>
      </c>
      <c r="N61" s="77">
        <v>100</v>
      </c>
      <c r="O61">
        <f t="shared" si="3"/>
        <v>0.5</v>
      </c>
      <c r="P61" s="77">
        <v>50</v>
      </c>
      <c r="Q61">
        <f t="shared" si="4"/>
        <v>0.3</v>
      </c>
      <c r="R61" s="75">
        <v>15</v>
      </c>
      <c r="S61" s="6">
        <f t="shared" si="5"/>
        <v>0.15</v>
      </c>
    </row>
    <row r="62" spans="1:19" x14ac:dyDescent="0.3">
      <c r="A62" s="37" t="s">
        <v>42</v>
      </c>
      <c r="B62" s="6" t="s">
        <v>158</v>
      </c>
      <c r="C62" s="77">
        <v>88000</v>
      </c>
      <c r="D62" s="6">
        <f>(C62/12)*1</f>
        <v>7333.333333333333</v>
      </c>
      <c r="E62" s="66">
        <v>9015</v>
      </c>
      <c r="F62" s="6">
        <f>E62</f>
        <v>9015</v>
      </c>
      <c r="G62" s="36" t="str">
        <f t="shared" si="2"/>
        <v>Farol Verde</v>
      </c>
      <c r="H62">
        <f t="shared" si="0"/>
        <v>0</v>
      </c>
      <c r="I62" s="6">
        <f t="shared" si="1"/>
        <v>1</v>
      </c>
      <c r="J62" s="66">
        <v>856</v>
      </c>
      <c r="K62" s="66">
        <v>405</v>
      </c>
      <c r="L62" s="6">
        <f>J62/12</f>
        <v>71.333333333333329</v>
      </c>
      <c r="M62" s="6">
        <f>K62</f>
        <v>405</v>
      </c>
      <c r="N62" s="77">
        <v>100</v>
      </c>
      <c r="O62">
        <f t="shared" si="3"/>
        <v>0.5</v>
      </c>
      <c r="P62" s="77">
        <v>50</v>
      </c>
      <c r="Q62">
        <f t="shared" si="4"/>
        <v>0.3</v>
      </c>
      <c r="R62" s="75">
        <v>15</v>
      </c>
      <c r="S62" s="6">
        <f t="shared" si="5"/>
        <v>0.15</v>
      </c>
    </row>
    <row r="63" spans="1:19" x14ac:dyDescent="0.3">
      <c r="A63" s="37" t="s">
        <v>42</v>
      </c>
      <c r="B63" s="6" t="s">
        <v>159</v>
      </c>
      <c r="C63" s="77">
        <v>88000</v>
      </c>
      <c r="D63" s="6">
        <f>(C63/12)*2</f>
        <v>14666.666666666666</v>
      </c>
      <c r="E63" s="66">
        <v>8735</v>
      </c>
      <c r="F63" s="6">
        <f>SUM(E62:E63)</f>
        <v>17750</v>
      </c>
      <c r="G63" s="36" t="str">
        <f t="shared" si="2"/>
        <v>Farol Verde</v>
      </c>
      <c r="H63">
        <f t="shared" si="0"/>
        <v>0</v>
      </c>
      <c r="I63" s="6">
        <f t="shared" si="1"/>
        <v>2</v>
      </c>
      <c r="J63" s="66">
        <v>856</v>
      </c>
      <c r="K63" s="66">
        <v>221</v>
      </c>
      <c r="L63" s="6">
        <f>L62+L62</f>
        <v>142.66666666666666</v>
      </c>
      <c r="M63" s="6">
        <f>M62+K63</f>
        <v>626</v>
      </c>
      <c r="N63" s="77">
        <v>100</v>
      </c>
      <c r="O63">
        <f t="shared" si="3"/>
        <v>0.5</v>
      </c>
      <c r="P63" s="77">
        <v>50</v>
      </c>
      <c r="Q63">
        <f t="shared" si="4"/>
        <v>0.3</v>
      </c>
      <c r="R63" s="75">
        <v>15</v>
      </c>
      <c r="S63" s="6">
        <f t="shared" si="5"/>
        <v>0.15</v>
      </c>
    </row>
    <row r="64" spans="1:19" x14ac:dyDescent="0.3">
      <c r="A64" s="37" t="s">
        <v>42</v>
      </c>
      <c r="B64" s="6" t="s">
        <v>160</v>
      </c>
      <c r="C64" s="77">
        <v>88000</v>
      </c>
      <c r="D64" s="6">
        <f>(C64/12)*3</f>
        <v>22000</v>
      </c>
      <c r="E64" s="66">
        <v>1200</v>
      </c>
      <c r="F64" s="6">
        <f>SUM(E62:E64)</f>
        <v>18950</v>
      </c>
      <c r="G64" s="36" t="str">
        <f t="shared" si="2"/>
        <v>Farol Amarelo</v>
      </c>
      <c r="H64">
        <f t="shared" si="0"/>
        <v>3050</v>
      </c>
      <c r="I64" s="6">
        <f t="shared" si="1"/>
        <v>3</v>
      </c>
      <c r="J64" s="66">
        <v>856</v>
      </c>
      <c r="K64" s="66">
        <v>1</v>
      </c>
      <c r="L64" s="6">
        <f>$L62+L63</f>
        <v>214</v>
      </c>
      <c r="M64" s="6">
        <f t="shared" ref="M64:M73" si="12">M63+K64</f>
        <v>627</v>
      </c>
      <c r="N64" s="77">
        <v>100</v>
      </c>
      <c r="O64">
        <f t="shared" si="3"/>
        <v>0.5</v>
      </c>
      <c r="P64" s="77">
        <v>50</v>
      </c>
      <c r="Q64">
        <f t="shared" si="4"/>
        <v>0.3</v>
      </c>
      <c r="R64" s="75">
        <v>15</v>
      </c>
      <c r="S64" s="6">
        <f t="shared" si="5"/>
        <v>0.15</v>
      </c>
    </row>
    <row r="65" spans="1:19" x14ac:dyDescent="0.3">
      <c r="A65" s="37" t="s">
        <v>42</v>
      </c>
      <c r="B65" s="6" t="s">
        <v>161</v>
      </c>
      <c r="C65" s="77">
        <v>88000</v>
      </c>
      <c r="D65" s="6">
        <f>(C65/12)*4</f>
        <v>29333.333333333332</v>
      </c>
      <c r="E65" s="66">
        <v>4240</v>
      </c>
      <c r="F65" s="6">
        <f>SUM(E62:E65)</f>
        <v>23190</v>
      </c>
      <c r="G65" s="36" t="str">
        <f t="shared" si="2"/>
        <v>Farol Vermelho</v>
      </c>
      <c r="H65">
        <f t="shared" si="0"/>
        <v>6143.3333333333321</v>
      </c>
      <c r="I65" s="6">
        <f t="shared" si="1"/>
        <v>4</v>
      </c>
      <c r="J65" s="66">
        <v>856</v>
      </c>
      <c r="K65" s="66">
        <v>4</v>
      </c>
      <c r="L65" s="6">
        <f>$L62+L64</f>
        <v>285.33333333333331</v>
      </c>
      <c r="M65" s="6">
        <f t="shared" si="12"/>
        <v>631</v>
      </c>
      <c r="N65" s="77">
        <v>100</v>
      </c>
      <c r="O65">
        <f t="shared" si="3"/>
        <v>0.5</v>
      </c>
      <c r="P65" s="77">
        <v>50</v>
      </c>
      <c r="Q65">
        <f t="shared" si="4"/>
        <v>0.3</v>
      </c>
      <c r="R65" s="75">
        <v>15</v>
      </c>
      <c r="S65" s="6">
        <f t="shared" si="5"/>
        <v>0.15</v>
      </c>
    </row>
    <row r="66" spans="1:19" x14ac:dyDescent="0.3">
      <c r="A66" s="37" t="s">
        <v>42</v>
      </c>
      <c r="B66" s="6" t="s">
        <v>162</v>
      </c>
      <c r="C66" s="77">
        <v>88000</v>
      </c>
      <c r="D66" s="6">
        <f>(C66/12)*5</f>
        <v>36666.666666666664</v>
      </c>
      <c r="E66" s="66">
        <v>3710</v>
      </c>
      <c r="F66" s="6">
        <f>SUM(E62:E66)</f>
        <v>26900</v>
      </c>
      <c r="G66" s="36" t="str">
        <f t="shared" si="2"/>
        <v>Farol Vermelho</v>
      </c>
      <c r="H66">
        <f t="shared" ref="H66:H129" si="13">IF(D66-F66&lt;0,0,D66-F66)</f>
        <v>9766.6666666666642</v>
      </c>
      <c r="I66" s="6">
        <f t="shared" ref="I66:I129" si="14">_xlfn.IFS(B66="Janeiro",1,B66="Fevereiro",2,B66="Março",3,B66="Abril",4,B66="Maio",5,B66="Junho",6,B66="Julho",7,B66="Agosto",8,B66="Setembro",9,B66="Outubro",10,B66="Novembro",11,B66="Dezembro",12,TRUE,0)</f>
        <v>5</v>
      </c>
      <c r="J66" s="66">
        <v>856</v>
      </c>
      <c r="K66" s="66">
        <v>3</v>
      </c>
      <c r="L66" s="6">
        <f>L62+L65</f>
        <v>356.66666666666663</v>
      </c>
      <c r="M66" s="6">
        <f t="shared" si="12"/>
        <v>634</v>
      </c>
      <c r="N66" s="77">
        <v>100</v>
      </c>
      <c r="O66">
        <f t="shared" si="3"/>
        <v>0.5</v>
      </c>
      <c r="P66" s="77">
        <v>50</v>
      </c>
      <c r="Q66">
        <f t="shared" si="4"/>
        <v>0.3</v>
      </c>
      <c r="R66" s="75">
        <v>15</v>
      </c>
      <c r="S66" s="6">
        <f t="shared" si="5"/>
        <v>0.15</v>
      </c>
    </row>
    <row r="67" spans="1:19" x14ac:dyDescent="0.3">
      <c r="A67" s="37" t="s">
        <v>42</v>
      </c>
      <c r="B67" s="6" t="s">
        <v>163</v>
      </c>
      <c r="C67" s="77">
        <v>88000</v>
      </c>
      <c r="D67" s="6">
        <f>(C67/12)*6</f>
        <v>44000</v>
      </c>
      <c r="E67" s="66">
        <v>0</v>
      </c>
      <c r="F67" s="6">
        <f>SUM(E62:E67)</f>
        <v>26900</v>
      </c>
      <c r="G67" s="36" t="str">
        <f t="shared" ref="G67:G130" si="15">_xlfn.IFS(F67&gt;D67,"Farol Verde",F67&gt;=D67*0.85,"Farol Amarelo",F67&lt;D67*0.85,"Farol Vermelho","Verdadeiro",0)</f>
        <v>Farol Vermelho</v>
      </c>
      <c r="H67">
        <f t="shared" si="13"/>
        <v>17100</v>
      </c>
      <c r="I67" s="6">
        <f t="shared" si="14"/>
        <v>6</v>
      </c>
      <c r="J67" s="66">
        <v>856</v>
      </c>
      <c r="K67" s="66"/>
      <c r="L67" s="6">
        <f>$L62+L66</f>
        <v>427.99999999999994</v>
      </c>
      <c r="M67" s="6">
        <f t="shared" si="12"/>
        <v>634</v>
      </c>
      <c r="N67" s="77">
        <v>100</v>
      </c>
      <c r="O67">
        <f t="shared" ref="O67:O130" si="16">P67/N67</f>
        <v>0.5</v>
      </c>
      <c r="P67" s="77">
        <v>50</v>
      </c>
      <c r="Q67">
        <f t="shared" ref="Q67:Q130" si="17">R67/P67</f>
        <v>0.3</v>
      </c>
      <c r="R67" s="75">
        <v>15</v>
      </c>
      <c r="S67" s="6">
        <f t="shared" ref="S67:S130" si="18">R67/N67</f>
        <v>0.15</v>
      </c>
    </row>
    <row r="68" spans="1:19" x14ac:dyDescent="0.3">
      <c r="A68" s="37" t="s">
        <v>42</v>
      </c>
      <c r="B68" s="6" t="s">
        <v>164</v>
      </c>
      <c r="C68" s="77">
        <v>88000</v>
      </c>
      <c r="D68" s="6">
        <f>(C68/12)*7</f>
        <v>51333.333333333328</v>
      </c>
      <c r="E68" s="66">
        <v>0</v>
      </c>
      <c r="F68" s="6">
        <f>SUM(E62:E68)</f>
        <v>26900</v>
      </c>
      <c r="G68" s="36" t="str">
        <f t="shared" si="15"/>
        <v>Farol Vermelho</v>
      </c>
      <c r="H68">
        <f t="shared" si="13"/>
        <v>24433.333333333328</v>
      </c>
      <c r="I68" s="6">
        <f t="shared" si="14"/>
        <v>7</v>
      </c>
      <c r="J68" s="66">
        <v>856</v>
      </c>
      <c r="K68" s="66"/>
      <c r="L68" s="6">
        <f>$L62+L67</f>
        <v>499.33333333333326</v>
      </c>
      <c r="M68" s="6">
        <f t="shared" si="12"/>
        <v>634</v>
      </c>
      <c r="N68" s="77">
        <v>100</v>
      </c>
      <c r="O68">
        <f t="shared" si="16"/>
        <v>0.5</v>
      </c>
      <c r="P68" s="77">
        <v>50</v>
      </c>
      <c r="Q68">
        <f t="shared" si="17"/>
        <v>0.3</v>
      </c>
      <c r="R68" s="75">
        <v>15</v>
      </c>
      <c r="S68" s="6">
        <f t="shared" si="18"/>
        <v>0.15</v>
      </c>
    </row>
    <row r="69" spans="1:19" x14ac:dyDescent="0.3">
      <c r="A69" s="37" t="s">
        <v>42</v>
      </c>
      <c r="B69" s="6" t="s">
        <v>165</v>
      </c>
      <c r="C69" s="77">
        <v>88000</v>
      </c>
      <c r="D69" s="6">
        <f>(C69/12)*8</f>
        <v>58666.666666666664</v>
      </c>
      <c r="E69" s="66">
        <v>0</v>
      </c>
      <c r="F69" s="6">
        <f>SUM(E62:E69)</f>
        <v>26900</v>
      </c>
      <c r="G69" s="36" t="str">
        <f t="shared" si="15"/>
        <v>Farol Vermelho</v>
      </c>
      <c r="H69">
        <f t="shared" si="13"/>
        <v>31766.666666666664</v>
      </c>
      <c r="I69" s="6">
        <f t="shared" si="14"/>
        <v>8</v>
      </c>
      <c r="J69" s="66">
        <v>856</v>
      </c>
      <c r="K69" s="66"/>
      <c r="L69" s="6">
        <f>L62+L68</f>
        <v>570.66666666666663</v>
      </c>
      <c r="M69" s="6">
        <f t="shared" si="12"/>
        <v>634</v>
      </c>
      <c r="N69" s="77">
        <v>100</v>
      </c>
      <c r="O69">
        <f t="shared" si="16"/>
        <v>0.5</v>
      </c>
      <c r="P69" s="77">
        <v>50</v>
      </c>
      <c r="Q69">
        <f t="shared" si="17"/>
        <v>0.3</v>
      </c>
      <c r="R69" s="75">
        <v>15</v>
      </c>
      <c r="S69" s="6">
        <f t="shared" si="18"/>
        <v>0.15</v>
      </c>
    </row>
    <row r="70" spans="1:19" x14ac:dyDescent="0.3">
      <c r="A70" s="37" t="s">
        <v>42</v>
      </c>
      <c r="B70" s="6" t="s">
        <v>166</v>
      </c>
      <c r="C70" s="77">
        <v>88000</v>
      </c>
      <c r="D70" s="6">
        <f>(C70/12)*9</f>
        <v>66000</v>
      </c>
      <c r="E70" s="66">
        <v>0</v>
      </c>
      <c r="F70" s="6">
        <f>SUM(E62:E70)</f>
        <v>26900</v>
      </c>
      <c r="G70" s="36" t="str">
        <f t="shared" si="15"/>
        <v>Farol Vermelho</v>
      </c>
      <c r="H70">
        <f t="shared" si="13"/>
        <v>39100</v>
      </c>
      <c r="I70" s="6">
        <f t="shared" si="14"/>
        <v>9</v>
      </c>
      <c r="J70" s="66">
        <v>856</v>
      </c>
      <c r="K70" s="66"/>
      <c r="L70" s="6">
        <f>$L62+L69</f>
        <v>642</v>
      </c>
      <c r="M70" s="6">
        <f t="shared" si="12"/>
        <v>634</v>
      </c>
      <c r="N70" s="77">
        <v>100</v>
      </c>
      <c r="O70">
        <f t="shared" si="16"/>
        <v>0.5</v>
      </c>
      <c r="P70" s="77">
        <v>50</v>
      </c>
      <c r="Q70">
        <f t="shared" si="17"/>
        <v>0.3</v>
      </c>
      <c r="R70" s="75">
        <v>15</v>
      </c>
      <c r="S70" s="6">
        <f t="shared" si="18"/>
        <v>0.15</v>
      </c>
    </row>
    <row r="71" spans="1:19" x14ac:dyDescent="0.3">
      <c r="A71" s="37" t="s">
        <v>42</v>
      </c>
      <c r="B71" s="6" t="s">
        <v>167</v>
      </c>
      <c r="C71" s="77">
        <v>88000</v>
      </c>
      <c r="D71" s="6">
        <f>(C71/12)*10</f>
        <v>73333.333333333328</v>
      </c>
      <c r="E71" s="66">
        <v>0</v>
      </c>
      <c r="F71" s="6">
        <f>SUM(E62:E71)</f>
        <v>26900</v>
      </c>
      <c r="G71" s="36" t="str">
        <f t="shared" si="15"/>
        <v>Farol Vermelho</v>
      </c>
      <c r="H71">
        <f t="shared" si="13"/>
        <v>46433.333333333328</v>
      </c>
      <c r="I71" s="6">
        <f t="shared" si="14"/>
        <v>10</v>
      </c>
      <c r="J71" s="66">
        <v>856</v>
      </c>
      <c r="K71" s="66"/>
      <c r="L71" s="6">
        <f>$L62+L70</f>
        <v>713.33333333333337</v>
      </c>
      <c r="M71" s="6">
        <f t="shared" si="12"/>
        <v>634</v>
      </c>
      <c r="N71" s="77">
        <v>100</v>
      </c>
      <c r="O71">
        <f t="shared" si="16"/>
        <v>0.5</v>
      </c>
      <c r="P71" s="77">
        <v>50</v>
      </c>
      <c r="Q71">
        <f t="shared" si="17"/>
        <v>0.3</v>
      </c>
      <c r="R71" s="75">
        <v>15</v>
      </c>
      <c r="S71" s="6">
        <f t="shared" si="18"/>
        <v>0.15</v>
      </c>
    </row>
    <row r="72" spans="1:19" x14ac:dyDescent="0.3">
      <c r="A72" s="37" t="s">
        <v>42</v>
      </c>
      <c r="B72" s="6" t="s">
        <v>168</v>
      </c>
      <c r="C72" s="77">
        <v>88000</v>
      </c>
      <c r="D72" s="6">
        <f>(C72/12)*11</f>
        <v>80666.666666666657</v>
      </c>
      <c r="E72" s="66">
        <v>0</v>
      </c>
      <c r="F72" s="6">
        <f>SUM(E62:E72)</f>
        <v>26900</v>
      </c>
      <c r="G72" s="36" t="str">
        <f t="shared" si="15"/>
        <v>Farol Vermelho</v>
      </c>
      <c r="H72">
        <f t="shared" si="13"/>
        <v>53766.666666666657</v>
      </c>
      <c r="I72" s="6">
        <f t="shared" si="14"/>
        <v>11</v>
      </c>
      <c r="J72" s="66">
        <v>856</v>
      </c>
      <c r="K72" s="66"/>
      <c r="L72" s="6">
        <f>L62+L71</f>
        <v>784.66666666666674</v>
      </c>
      <c r="M72" s="6">
        <f t="shared" si="12"/>
        <v>634</v>
      </c>
      <c r="N72" s="77">
        <v>100</v>
      </c>
      <c r="O72">
        <f t="shared" si="16"/>
        <v>0.5</v>
      </c>
      <c r="P72" s="77">
        <v>50</v>
      </c>
      <c r="Q72">
        <f t="shared" si="17"/>
        <v>0.3</v>
      </c>
      <c r="R72" s="75">
        <v>15</v>
      </c>
      <c r="S72" s="6">
        <f t="shared" si="18"/>
        <v>0.15</v>
      </c>
    </row>
    <row r="73" spans="1:19" x14ac:dyDescent="0.3">
      <c r="A73" s="37" t="s">
        <v>42</v>
      </c>
      <c r="B73" s="6" t="s">
        <v>169</v>
      </c>
      <c r="C73" s="77">
        <v>88000</v>
      </c>
      <c r="D73" s="6">
        <f>(C73/12)*12</f>
        <v>88000</v>
      </c>
      <c r="E73" s="66">
        <v>0</v>
      </c>
      <c r="F73" s="6">
        <f>SUM(E62:E73)</f>
        <v>26900</v>
      </c>
      <c r="G73" s="36" t="str">
        <f t="shared" si="15"/>
        <v>Farol Vermelho</v>
      </c>
      <c r="H73">
        <f t="shared" si="13"/>
        <v>61100</v>
      </c>
      <c r="I73" s="6">
        <f t="shared" si="14"/>
        <v>12</v>
      </c>
      <c r="J73" s="66">
        <v>856</v>
      </c>
      <c r="K73" s="66"/>
      <c r="L73" s="6">
        <f>$L62+L72</f>
        <v>856.00000000000011</v>
      </c>
      <c r="M73" s="6">
        <f t="shared" si="12"/>
        <v>634</v>
      </c>
      <c r="N73" s="77">
        <v>100</v>
      </c>
      <c r="O73">
        <f t="shared" si="16"/>
        <v>0.5</v>
      </c>
      <c r="P73" s="77">
        <v>50</v>
      </c>
      <c r="Q73">
        <f t="shared" si="17"/>
        <v>0.3</v>
      </c>
      <c r="R73" s="75">
        <v>15</v>
      </c>
      <c r="S73" s="6">
        <f t="shared" si="18"/>
        <v>0.15</v>
      </c>
    </row>
    <row r="74" spans="1:19" x14ac:dyDescent="0.3">
      <c r="A74" s="37" t="s">
        <v>63</v>
      </c>
      <c r="B74" s="6" t="s">
        <v>158</v>
      </c>
      <c r="C74" s="77">
        <v>15000</v>
      </c>
      <c r="D74" s="6">
        <f>(C74/12)*1</f>
        <v>1250</v>
      </c>
      <c r="E74" s="66">
        <v>0</v>
      </c>
      <c r="F74" s="6">
        <f>E74</f>
        <v>0</v>
      </c>
      <c r="G74" s="36" t="str">
        <f t="shared" si="15"/>
        <v>Farol Vermelho</v>
      </c>
      <c r="H74">
        <f t="shared" si="13"/>
        <v>1250</v>
      </c>
      <c r="I74" s="6">
        <f t="shared" si="14"/>
        <v>1</v>
      </c>
      <c r="J74" s="66">
        <v>6</v>
      </c>
      <c r="K74" s="66">
        <v>0</v>
      </c>
      <c r="L74" s="6">
        <f>J74/12</f>
        <v>0.5</v>
      </c>
      <c r="M74" s="6">
        <f>K74</f>
        <v>0</v>
      </c>
      <c r="N74" s="77">
        <v>100</v>
      </c>
      <c r="O74">
        <f t="shared" si="16"/>
        <v>0.5</v>
      </c>
      <c r="P74" s="77">
        <v>50</v>
      </c>
      <c r="Q74">
        <f t="shared" si="17"/>
        <v>0.3</v>
      </c>
      <c r="R74" s="75">
        <v>15</v>
      </c>
      <c r="S74" s="6">
        <f t="shared" si="18"/>
        <v>0.15</v>
      </c>
    </row>
    <row r="75" spans="1:19" x14ac:dyDescent="0.3">
      <c r="A75" s="37" t="s">
        <v>63</v>
      </c>
      <c r="B75" s="6" t="s">
        <v>159</v>
      </c>
      <c r="C75" s="77">
        <v>15000</v>
      </c>
      <c r="D75" s="6">
        <f>(C75/12)*2</f>
        <v>2500</v>
      </c>
      <c r="E75" s="66">
        <v>600</v>
      </c>
      <c r="F75" s="6">
        <f>SUM(E74:E75)</f>
        <v>600</v>
      </c>
      <c r="G75" s="36" t="str">
        <f t="shared" si="15"/>
        <v>Farol Vermelho</v>
      </c>
      <c r="H75">
        <f t="shared" si="13"/>
        <v>1900</v>
      </c>
      <c r="I75" s="6">
        <f t="shared" si="14"/>
        <v>2</v>
      </c>
      <c r="J75" s="66">
        <v>6</v>
      </c>
      <c r="K75" s="66">
        <v>1</v>
      </c>
      <c r="L75" s="6">
        <f>L74+L74</f>
        <v>1</v>
      </c>
      <c r="M75" s="6">
        <f>M74+K75</f>
        <v>1</v>
      </c>
      <c r="N75" s="77">
        <v>100</v>
      </c>
      <c r="O75">
        <f t="shared" si="16"/>
        <v>0.5</v>
      </c>
      <c r="P75" s="77">
        <v>50</v>
      </c>
      <c r="Q75">
        <f t="shared" si="17"/>
        <v>0.3</v>
      </c>
      <c r="R75" s="75">
        <v>15</v>
      </c>
      <c r="S75" s="6">
        <f t="shared" si="18"/>
        <v>0.15</v>
      </c>
    </row>
    <row r="76" spans="1:19" x14ac:dyDescent="0.3">
      <c r="A76" s="37" t="s">
        <v>63</v>
      </c>
      <c r="B76" s="6" t="s">
        <v>160</v>
      </c>
      <c r="C76" s="77">
        <v>15000</v>
      </c>
      <c r="D76" s="6">
        <f>(C76/12)*3</f>
        <v>3750</v>
      </c>
      <c r="E76" s="66">
        <v>0</v>
      </c>
      <c r="F76" s="6">
        <f>SUM(E74:E76)</f>
        <v>600</v>
      </c>
      <c r="G76" s="36" t="str">
        <f t="shared" si="15"/>
        <v>Farol Vermelho</v>
      </c>
      <c r="H76">
        <f t="shared" si="13"/>
        <v>3150</v>
      </c>
      <c r="I76" s="6">
        <f t="shared" si="14"/>
        <v>3</v>
      </c>
      <c r="J76" s="66">
        <v>6</v>
      </c>
      <c r="K76" s="66"/>
      <c r="L76" s="6">
        <f>$L74+L75</f>
        <v>1.5</v>
      </c>
      <c r="M76" s="6">
        <f t="shared" ref="M76:M85" si="19">M75+K76</f>
        <v>1</v>
      </c>
      <c r="N76" s="77">
        <v>100</v>
      </c>
      <c r="O76">
        <f t="shared" si="16"/>
        <v>0.5</v>
      </c>
      <c r="P76" s="77">
        <v>50</v>
      </c>
      <c r="Q76">
        <f t="shared" si="17"/>
        <v>0.3</v>
      </c>
      <c r="R76" s="75">
        <v>15</v>
      </c>
      <c r="S76" s="6">
        <f t="shared" si="18"/>
        <v>0.15</v>
      </c>
    </row>
    <row r="77" spans="1:19" x14ac:dyDescent="0.3">
      <c r="A77" s="37" t="s">
        <v>63</v>
      </c>
      <c r="B77" s="6" t="s">
        <v>161</v>
      </c>
      <c r="C77" s="77">
        <v>15000</v>
      </c>
      <c r="D77" s="6">
        <f>(C77/12)*4</f>
        <v>5000</v>
      </c>
      <c r="E77" s="66">
        <v>0</v>
      </c>
      <c r="F77" s="6">
        <f>SUM(E74:E77)</f>
        <v>600</v>
      </c>
      <c r="G77" s="36" t="str">
        <f t="shared" si="15"/>
        <v>Farol Vermelho</v>
      </c>
      <c r="H77">
        <f t="shared" si="13"/>
        <v>4400</v>
      </c>
      <c r="I77" s="6">
        <f t="shared" si="14"/>
        <v>4</v>
      </c>
      <c r="J77" s="66">
        <v>6</v>
      </c>
      <c r="K77" s="66"/>
      <c r="L77" s="6">
        <f>$L74+L76</f>
        <v>2</v>
      </c>
      <c r="M77" s="6">
        <f t="shared" si="19"/>
        <v>1</v>
      </c>
      <c r="N77" s="77">
        <v>100</v>
      </c>
      <c r="O77">
        <f t="shared" si="16"/>
        <v>0.5</v>
      </c>
      <c r="P77" s="77">
        <v>50</v>
      </c>
      <c r="Q77">
        <f t="shared" si="17"/>
        <v>0.3</v>
      </c>
      <c r="R77" s="75">
        <v>15</v>
      </c>
      <c r="S77" s="6">
        <f t="shared" si="18"/>
        <v>0.15</v>
      </c>
    </row>
    <row r="78" spans="1:19" x14ac:dyDescent="0.3">
      <c r="A78" s="37" t="s">
        <v>63</v>
      </c>
      <c r="B78" s="6" t="s">
        <v>162</v>
      </c>
      <c r="C78" s="77">
        <v>15000</v>
      </c>
      <c r="D78" s="6">
        <f>(C78/12)*5</f>
        <v>6250</v>
      </c>
      <c r="E78" s="66">
        <v>0</v>
      </c>
      <c r="F78" s="6">
        <f>SUM(E74:E78)</f>
        <v>600</v>
      </c>
      <c r="G78" s="36" t="str">
        <f t="shared" si="15"/>
        <v>Farol Vermelho</v>
      </c>
      <c r="H78">
        <f t="shared" si="13"/>
        <v>5650</v>
      </c>
      <c r="I78" s="6">
        <f t="shared" si="14"/>
        <v>5</v>
      </c>
      <c r="J78" s="66">
        <v>6</v>
      </c>
      <c r="K78" s="66"/>
      <c r="L78" s="6">
        <f>L74+L77</f>
        <v>2.5</v>
      </c>
      <c r="M78" s="6">
        <f t="shared" si="19"/>
        <v>1</v>
      </c>
      <c r="N78" s="77">
        <v>100</v>
      </c>
      <c r="O78">
        <f t="shared" si="16"/>
        <v>0.5</v>
      </c>
      <c r="P78" s="77">
        <v>50</v>
      </c>
      <c r="Q78">
        <f t="shared" si="17"/>
        <v>0.3</v>
      </c>
      <c r="R78" s="75">
        <v>15</v>
      </c>
      <c r="S78" s="6">
        <f t="shared" si="18"/>
        <v>0.15</v>
      </c>
    </row>
    <row r="79" spans="1:19" x14ac:dyDescent="0.3">
      <c r="A79" s="37" t="s">
        <v>63</v>
      </c>
      <c r="B79" s="6" t="s">
        <v>163</v>
      </c>
      <c r="C79" s="77">
        <v>15000</v>
      </c>
      <c r="D79" s="6">
        <f>(C79/12)*6</f>
        <v>7500</v>
      </c>
      <c r="E79" s="66">
        <v>0</v>
      </c>
      <c r="F79" s="6">
        <f>SUM(E74:E79)</f>
        <v>600</v>
      </c>
      <c r="G79" s="36" t="str">
        <f t="shared" si="15"/>
        <v>Farol Vermelho</v>
      </c>
      <c r="H79">
        <f t="shared" si="13"/>
        <v>6900</v>
      </c>
      <c r="I79" s="6">
        <f t="shared" si="14"/>
        <v>6</v>
      </c>
      <c r="J79" s="66">
        <v>6</v>
      </c>
      <c r="K79" s="66"/>
      <c r="L79" s="6">
        <f>$L74+L78</f>
        <v>3</v>
      </c>
      <c r="M79" s="6">
        <f t="shared" si="19"/>
        <v>1</v>
      </c>
      <c r="N79" s="77">
        <v>100</v>
      </c>
      <c r="O79">
        <f t="shared" si="16"/>
        <v>0.5</v>
      </c>
      <c r="P79" s="77">
        <v>50</v>
      </c>
      <c r="Q79">
        <f t="shared" si="17"/>
        <v>0.3</v>
      </c>
      <c r="R79" s="75">
        <v>15</v>
      </c>
      <c r="S79" s="6">
        <f t="shared" si="18"/>
        <v>0.15</v>
      </c>
    </row>
    <row r="80" spans="1:19" x14ac:dyDescent="0.3">
      <c r="A80" s="37" t="s">
        <v>63</v>
      </c>
      <c r="B80" s="6" t="s">
        <v>164</v>
      </c>
      <c r="C80" s="77">
        <v>15000</v>
      </c>
      <c r="D80" s="6">
        <f>(C80/12)*7</f>
        <v>8750</v>
      </c>
      <c r="E80" s="66">
        <v>0</v>
      </c>
      <c r="F80" s="6">
        <f>SUM(E74:E80)</f>
        <v>600</v>
      </c>
      <c r="G80" s="36" t="str">
        <f t="shared" si="15"/>
        <v>Farol Vermelho</v>
      </c>
      <c r="H80">
        <f t="shared" si="13"/>
        <v>8150</v>
      </c>
      <c r="I80" s="6">
        <f t="shared" si="14"/>
        <v>7</v>
      </c>
      <c r="J80" s="66">
        <v>6</v>
      </c>
      <c r="K80" s="66"/>
      <c r="L80" s="6">
        <f>$L74+L79</f>
        <v>3.5</v>
      </c>
      <c r="M80" s="6">
        <f t="shared" si="19"/>
        <v>1</v>
      </c>
      <c r="N80" s="77">
        <v>100</v>
      </c>
      <c r="O80">
        <f t="shared" si="16"/>
        <v>0.5</v>
      </c>
      <c r="P80" s="77">
        <v>50</v>
      </c>
      <c r="Q80">
        <f t="shared" si="17"/>
        <v>0.3</v>
      </c>
      <c r="R80" s="75">
        <v>15</v>
      </c>
      <c r="S80" s="6">
        <f t="shared" si="18"/>
        <v>0.15</v>
      </c>
    </row>
    <row r="81" spans="1:19" x14ac:dyDescent="0.3">
      <c r="A81" s="37" t="s">
        <v>63</v>
      </c>
      <c r="B81" s="6" t="s">
        <v>165</v>
      </c>
      <c r="C81" s="77">
        <v>15000</v>
      </c>
      <c r="D81" s="6">
        <f>(C81/12)*8</f>
        <v>10000</v>
      </c>
      <c r="E81" s="66">
        <v>0</v>
      </c>
      <c r="F81" s="6">
        <f>SUM(E74:E81)</f>
        <v>600</v>
      </c>
      <c r="G81" s="36" t="str">
        <f t="shared" si="15"/>
        <v>Farol Vermelho</v>
      </c>
      <c r="H81">
        <f t="shared" si="13"/>
        <v>9400</v>
      </c>
      <c r="I81" s="6">
        <f t="shared" si="14"/>
        <v>8</v>
      </c>
      <c r="J81" s="66">
        <v>6</v>
      </c>
      <c r="K81" s="66"/>
      <c r="L81" s="6">
        <f>L74+L80</f>
        <v>4</v>
      </c>
      <c r="M81" s="6">
        <f t="shared" si="19"/>
        <v>1</v>
      </c>
      <c r="N81" s="77">
        <v>100</v>
      </c>
      <c r="O81">
        <f t="shared" si="16"/>
        <v>0.5</v>
      </c>
      <c r="P81" s="77">
        <v>50</v>
      </c>
      <c r="Q81">
        <f t="shared" si="17"/>
        <v>0.3</v>
      </c>
      <c r="R81" s="75">
        <v>15</v>
      </c>
      <c r="S81" s="6">
        <f t="shared" si="18"/>
        <v>0.15</v>
      </c>
    </row>
    <row r="82" spans="1:19" x14ac:dyDescent="0.3">
      <c r="A82" s="37" t="s">
        <v>63</v>
      </c>
      <c r="B82" s="6" t="s">
        <v>166</v>
      </c>
      <c r="C82" s="77">
        <v>15000</v>
      </c>
      <c r="D82" s="6">
        <f>(C82/12)*9</f>
        <v>11250</v>
      </c>
      <c r="E82" s="66">
        <v>0</v>
      </c>
      <c r="F82" s="6">
        <f>SUM(E74:E82)</f>
        <v>600</v>
      </c>
      <c r="G82" s="36" t="str">
        <f t="shared" si="15"/>
        <v>Farol Vermelho</v>
      </c>
      <c r="H82">
        <f t="shared" si="13"/>
        <v>10650</v>
      </c>
      <c r="I82" s="6">
        <f t="shared" si="14"/>
        <v>9</v>
      </c>
      <c r="J82" s="66">
        <v>6</v>
      </c>
      <c r="K82" s="66"/>
      <c r="L82" s="6">
        <f>$L74+L81</f>
        <v>4.5</v>
      </c>
      <c r="M82" s="6">
        <f t="shared" si="19"/>
        <v>1</v>
      </c>
      <c r="N82" s="77">
        <v>100</v>
      </c>
      <c r="O82">
        <f t="shared" si="16"/>
        <v>0.5</v>
      </c>
      <c r="P82" s="77">
        <v>50</v>
      </c>
      <c r="Q82">
        <f t="shared" si="17"/>
        <v>0.3</v>
      </c>
      <c r="R82" s="75">
        <v>15</v>
      </c>
      <c r="S82" s="6">
        <f t="shared" si="18"/>
        <v>0.15</v>
      </c>
    </row>
    <row r="83" spans="1:19" x14ac:dyDescent="0.3">
      <c r="A83" s="37" t="s">
        <v>63</v>
      </c>
      <c r="B83" s="6" t="s">
        <v>167</v>
      </c>
      <c r="C83" s="77">
        <v>15000</v>
      </c>
      <c r="D83" s="6">
        <f>(C83/12)*10</f>
        <v>12500</v>
      </c>
      <c r="E83" s="66">
        <v>0</v>
      </c>
      <c r="F83" s="6">
        <f>SUM(E74:E83)</f>
        <v>600</v>
      </c>
      <c r="G83" s="36" t="str">
        <f t="shared" si="15"/>
        <v>Farol Vermelho</v>
      </c>
      <c r="H83">
        <f t="shared" si="13"/>
        <v>11900</v>
      </c>
      <c r="I83" s="6">
        <f t="shared" si="14"/>
        <v>10</v>
      </c>
      <c r="J83" s="66">
        <v>6</v>
      </c>
      <c r="K83" s="66"/>
      <c r="L83" s="6">
        <f>$L74+L82</f>
        <v>5</v>
      </c>
      <c r="M83" s="6">
        <f t="shared" si="19"/>
        <v>1</v>
      </c>
      <c r="N83" s="77">
        <v>100</v>
      </c>
      <c r="O83">
        <f t="shared" si="16"/>
        <v>0.5</v>
      </c>
      <c r="P83" s="77">
        <v>50</v>
      </c>
      <c r="Q83">
        <f t="shared" si="17"/>
        <v>0.3</v>
      </c>
      <c r="R83" s="75">
        <v>15</v>
      </c>
      <c r="S83" s="6">
        <f t="shared" si="18"/>
        <v>0.15</v>
      </c>
    </row>
    <row r="84" spans="1:19" x14ac:dyDescent="0.3">
      <c r="A84" s="37" t="s">
        <v>63</v>
      </c>
      <c r="B84" s="6" t="s">
        <v>168</v>
      </c>
      <c r="C84" s="77">
        <v>15000</v>
      </c>
      <c r="D84" s="6">
        <f>(C84/12)*11</f>
        <v>13750</v>
      </c>
      <c r="E84" s="66">
        <v>0</v>
      </c>
      <c r="F84" s="6">
        <f>SUM(E74:E84)</f>
        <v>600</v>
      </c>
      <c r="G84" s="36" t="str">
        <f t="shared" si="15"/>
        <v>Farol Vermelho</v>
      </c>
      <c r="H84">
        <f t="shared" si="13"/>
        <v>13150</v>
      </c>
      <c r="I84" s="6">
        <f t="shared" si="14"/>
        <v>11</v>
      </c>
      <c r="J84" s="66">
        <v>6</v>
      </c>
      <c r="K84" s="66"/>
      <c r="L84" s="6">
        <f>L74+L83</f>
        <v>5.5</v>
      </c>
      <c r="M84" s="6">
        <f t="shared" si="19"/>
        <v>1</v>
      </c>
      <c r="N84" s="77">
        <v>100</v>
      </c>
      <c r="O84">
        <f t="shared" si="16"/>
        <v>0.5</v>
      </c>
      <c r="P84" s="77">
        <v>50</v>
      </c>
      <c r="Q84">
        <f t="shared" si="17"/>
        <v>0.3</v>
      </c>
      <c r="R84" s="75">
        <v>15</v>
      </c>
      <c r="S84" s="6">
        <f t="shared" si="18"/>
        <v>0.15</v>
      </c>
    </row>
    <row r="85" spans="1:19" x14ac:dyDescent="0.3">
      <c r="A85" s="37" t="s">
        <v>63</v>
      </c>
      <c r="B85" s="6" t="s">
        <v>169</v>
      </c>
      <c r="C85" s="77">
        <v>15000</v>
      </c>
      <c r="D85" s="6">
        <f>(C85/12)*12</f>
        <v>15000</v>
      </c>
      <c r="E85" s="66">
        <v>0</v>
      </c>
      <c r="F85" s="6">
        <f>SUM(E74:E85)</f>
        <v>600</v>
      </c>
      <c r="G85" s="36" t="str">
        <f t="shared" si="15"/>
        <v>Farol Vermelho</v>
      </c>
      <c r="H85">
        <f t="shared" si="13"/>
        <v>14400</v>
      </c>
      <c r="I85" s="6">
        <f t="shared" si="14"/>
        <v>12</v>
      </c>
      <c r="J85" s="66">
        <v>6</v>
      </c>
      <c r="K85" s="66"/>
      <c r="L85" s="6">
        <f>$L74+L84</f>
        <v>6</v>
      </c>
      <c r="M85" s="6">
        <f t="shared" si="19"/>
        <v>1</v>
      </c>
      <c r="N85" s="77">
        <v>100</v>
      </c>
      <c r="O85">
        <f t="shared" si="16"/>
        <v>0.5</v>
      </c>
      <c r="P85" s="77">
        <v>50</v>
      </c>
      <c r="Q85">
        <f t="shared" si="17"/>
        <v>0.3</v>
      </c>
      <c r="R85" s="75">
        <v>15</v>
      </c>
      <c r="S85" s="6">
        <f t="shared" si="18"/>
        <v>0.15</v>
      </c>
    </row>
    <row r="86" spans="1:19" x14ac:dyDescent="0.3">
      <c r="A86" s="37" t="s">
        <v>120</v>
      </c>
      <c r="B86" s="6" t="s">
        <v>158</v>
      </c>
      <c r="C86" s="77">
        <v>129000</v>
      </c>
      <c r="D86" s="6">
        <f>(C86/12)*1</f>
        <v>10750</v>
      </c>
      <c r="E86" s="66">
        <v>0</v>
      </c>
      <c r="F86" s="6">
        <f>E86</f>
        <v>0</v>
      </c>
      <c r="G86" s="36" t="str">
        <f t="shared" si="15"/>
        <v>Farol Vermelho</v>
      </c>
      <c r="H86">
        <f t="shared" si="13"/>
        <v>10750</v>
      </c>
      <c r="I86" s="6">
        <f t="shared" si="14"/>
        <v>1</v>
      </c>
      <c r="J86" s="66">
        <v>18</v>
      </c>
      <c r="K86" s="66">
        <v>0</v>
      </c>
      <c r="L86" s="6">
        <f>J86/12</f>
        <v>1.5</v>
      </c>
      <c r="M86" s="6">
        <f>K86</f>
        <v>0</v>
      </c>
      <c r="N86" s="77">
        <v>100</v>
      </c>
      <c r="O86">
        <f t="shared" si="16"/>
        <v>0.5</v>
      </c>
      <c r="P86" s="77">
        <v>50</v>
      </c>
      <c r="Q86">
        <f t="shared" si="17"/>
        <v>0.3</v>
      </c>
      <c r="R86" s="75">
        <v>15</v>
      </c>
      <c r="S86" s="6">
        <f t="shared" si="18"/>
        <v>0.15</v>
      </c>
    </row>
    <row r="87" spans="1:19" x14ac:dyDescent="0.3">
      <c r="A87" s="37" t="s">
        <v>120</v>
      </c>
      <c r="B87" s="6" t="s">
        <v>159</v>
      </c>
      <c r="C87" s="77">
        <v>129000</v>
      </c>
      <c r="D87" s="6">
        <f>(C87/12)*2</f>
        <v>21500</v>
      </c>
      <c r="E87" s="66">
        <v>4750</v>
      </c>
      <c r="F87" s="6">
        <f>SUM(E86:E87)</f>
        <v>4750</v>
      </c>
      <c r="G87" s="36" t="str">
        <f t="shared" si="15"/>
        <v>Farol Vermelho</v>
      </c>
      <c r="H87">
        <f t="shared" si="13"/>
        <v>16750</v>
      </c>
      <c r="I87" s="6">
        <f t="shared" si="14"/>
        <v>2</v>
      </c>
      <c r="J87" s="66">
        <v>18</v>
      </c>
      <c r="K87" s="66">
        <v>2</v>
      </c>
      <c r="L87" s="6">
        <f>L86+L86</f>
        <v>3</v>
      </c>
      <c r="M87" s="6">
        <f>M86+K87</f>
        <v>2</v>
      </c>
      <c r="N87" s="77">
        <v>100</v>
      </c>
      <c r="O87">
        <f t="shared" si="16"/>
        <v>0.5</v>
      </c>
      <c r="P87" s="77">
        <v>50</v>
      </c>
      <c r="Q87">
        <f t="shared" si="17"/>
        <v>0.3</v>
      </c>
      <c r="R87" s="75">
        <v>15</v>
      </c>
      <c r="S87" s="6">
        <f t="shared" si="18"/>
        <v>0.15</v>
      </c>
    </row>
    <row r="88" spans="1:19" x14ac:dyDescent="0.3">
      <c r="A88" s="37" t="s">
        <v>120</v>
      </c>
      <c r="B88" s="6" t="s">
        <v>160</v>
      </c>
      <c r="C88" s="77">
        <v>129000</v>
      </c>
      <c r="D88" s="6">
        <f>(C88/12)*3</f>
        <v>32250</v>
      </c>
      <c r="E88" s="66">
        <v>0</v>
      </c>
      <c r="F88" s="6">
        <f>SUM(E86:E88)</f>
        <v>4750</v>
      </c>
      <c r="G88" s="36" t="str">
        <f t="shared" si="15"/>
        <v>Farol Vermelho</v>
      </c>
      <c r="H88">
        <f t="shared" si="13"/>
        <v>27500</v>
      </c>
      <c r="I88" s="6">
        <f t="shared" si="14"/>
        <v>3</v>
      </c>
      <c r="J88" s="66">
        <v>18</v>
      </c>
      <c r="K88" s="66">
        <v>0</v>
      </c>
      <c r="L88" s="6">
        <f>$L86+L87</f>
        <v>4.5</v>
      </c>
      <c r="M88" s="6">
        <f t="shared" ref="M88:M97" si="20">M87+K88</f>
        <v>2</v>
      </c>
      <c r="N88" s="77">
        <v>100</v>
      </c>
      <c r="O88">
        <f t="shared" si="16"/>
        <v>0.5</v>
      </c>
      <c r="P88" s="77">
        <v>50</v>
      </c>
      <c r="Q88">
        <f t="shared" si="17"/>
        <v>0.3</v>
      </c>
      <c r="R88" s="75">
        <v>15</v>
      </c>
      <c r="S88" s="6">
        <f t="shared" si="18"/>
        <v>0.15</v>
      </c>
    </row>
    <row r="89" spans="1:19" x14ac:dyDescent="0.3">
      <c r="A89" s="37" t="s">
        <v>120</v>
      </c>
      <c r="B89" s="6" t="s">
        <v>161</v>
      </c>
      <c r="C89" s="77">
        <v>129000</v>
      </c>
      <c r="D89" s="6">
        <f>(C89/12)*4</f>
        <v>43000</v>
      </c>
      <c r="E89" s="66">
        <v>0</v>
      </c>
      <c r="F89" s="6">
        <f>SUM(E86:E89)</f>
        <v>4750</v>
      </c>
      <c r="G89" s="36" t="str">
        <f t="shared" si="15"/>
        <v>Farol Vermelho</v>
      </c>
      <c r="H89">
        <f t="shared" si="13"/>
        <v>38250</v>
      </c>
      <c r="I89" s="6">
        <f t="shared" si="14"/>
        <v>4</v>
      </c>
      <c r="J89" s="66">
        <v>18</v>
      </c>
      <c r="K89" s="66">
        <v>0</v>
      </c>
      <c r="L89" s="6">
        <f>$L86+L88</f>
        <v>6</v>
      </c>
      <c r="M89" s="6">
        <f t="shared" si="20"/>
        <v>2</v>
      </c>
      <c r="N89" s="77">
        <v>100</v>
      </c>
      <c r="O89">
        <f t="shared" si="16"/>
        <v>0.5</v>
      </c>
      <c r="P89" s="77">
        <v>50</v>
      </c>
      <c r="Q89">
        <f t="shared" si="17"/>
        <v>0.3</v>
      </c>
      <c r="R89" s="75">
        <v>15</v>
      </c>
      <c r="S89" s="6">
        <f t="shared" si="18"/>
        <v>0.15</v>
      </c>
    </row>
    <row r="90" spans="1:19" x14ac:dyDescent="0.3">
      <c r="A90" s="37" t="s">
        <v>120</v>
      </c>
      <c r="B90" s="6" t="s">
        <v>162</v>
      </c>
      <c r="C90" s="77">
        <v>129000</v>
      </c>
      <c r="D90" s="6">
        <f>(C90/12)*5</f>
        <v>53750</v>
      </c>
      <c r="E90" s="66">
        <v>14306.91</v>
      </c>
      <c r="F90" s="6">
        <f>SUM(E86:E90)</f>
        <v>19056.91</v>
      </c>
      <c r="G90" s="36" t="str">
        <f t="shared" si="15"/>
        <v>Farol Vermelho</v>
      </c>
      <c r="H90">
        <f t="shared" si="13"/>
        <v>34693.089999999997</v>
      </c>
      <c r="I90" s="6">
        <f t="shared" si="14"/>
        <v>5</v>
      </c>
      <c r="J90" s="66">
        <v>18</v>
      </c>
      <c r="K90" s="66">
        <v>5</v>
      </c>
      <c r="L90" s="6">
        <f>L86+L89</f>
        <v>7.5</v>
      </c>
      <c r="M90" s="6">
        <f t="shared" si="20"/>
        <v>7</v>
      </c>
      <c r="N90" s="77">
        <v>100</v>
      </c>
      <c r="O90">
        <f t="shared" si="16"/>
        <v>0.5</v>
      </c>
      <c r="P90" s="77">
        <v>50</v>
      </c>
      <c r="Q90">
        <f t="shared" si="17"/>
        <v>0.3</v>
      </c>
      <c r="R90" s="75">
        <v>15</v>
      </c>
      <c r="S90" s="6">
        <f t="shared" si="18"/>
        <v>0.15</v>
      </c>
    </row>
    <row r="91" spans="1:19" x14ac:dyDescent="0.3">
      <c r="A91" s="37" t="s">
        <v>120</v>
      </c>
      <c r="B91" s="6" t="s">
        <v>163</v>
      </c>
      <c r="C91" s="77">
        <v>129000</v>
      </c>
      <c r="D91" s="6">
        <f>(C91/12)*6</f>
        <v>64500</v>
      </c>
      <c r="E91" s="66">
        <v>0</v>
      </c>
      <c r="F91" s="6">
        <f>SUM(E86:E91)</f>
        <v>19056.91</v>
      </c>
      <c r="G91" s="36" t="str">
        <f t="shared" si="15"/>
        <v>Farol Vermelho</v>
      </c>
      <c r="H91">
        <f t="shared" si="13"/>
        <v>45443.09</v>
      </c>
      <c r="I91" s="6">
        <f t="shared" si="14"/>
        <v>6</v>
      </c>
      <c r="J91" s="66">
        <v>18</v>
      </c>
      <c r="K91" s="66"/>
      <c r="L91" s="6">
        <f>$L86+L90</f>
        <v>9</v>
      </c>
      <c r="M91" s="6">
        <f t="shared" si="20"/>
        <v>7</v>
      </c>
      <c r="N91" s="77">
        <v>100</v>
      </c>
      <c r="O91">
        <f t="shared" si="16"/>
        <v>0.5</v>
      </c>
      <c r="P91" s="77">
        <v>50</v>
      </c>
      <c r="Q91">
        <f t="shared" si="17"/>
        <v>0.3</v>
      </c>
      <c r="R91" s="75">
        <v>15</v>
      </c>
      <c r="S91" s="6">
        <f t="shared" si="18"/>
        <v>0.15</v>
      </c>
    </row>
    <row r="92" spans="1:19" x14ac:dyDescent="0.3">
      <c r="A92" s="37" t="s">
        <v>120</v>
      </c>
      <c r="B92" s="6" t="s">
        <v>164</v>
      </c>
      <c r="C92" s="77">
        <v>129000</v>
      </c>
      <c r="D92" s="6">
        <f>(C92/12)*7</f>
        <v>75250</v>
      </c>
      <c r="E92" s="66">
        <v>0</v>
      </c>
      <c r="F92" s="6">
        <f>SUM(E86:E92)</f>
        <v>19056.91</v>
      </c>
      <c r="G92" s="36" t="str">
        <f t="shared" si="15"/>
        <v>Farol Vermelho</v>
      </c>
      <c r="H92">
        <f t="shared" si="13"/>
        <v>56193.09</v>
      </c>
      <c r="I92" s="6">
        <f t="shared" si="14"/>
        <v>7</v>
      </c>
      <c r="J92" s="66">
        <v>18</v>
      </c>
      <c r="K92" s="66"/>
      <c r="L92" s="6">
        <f>$L86+L91</f>
        <v>10.5</v>
      </c>
      <c r="M92" s="6">
        <f t="shared" si="20"/>
        <v>7</v>
      </c>
      <c r="N92" s="77">
        <v>100</v>
      </c>
      <c r="O92">
        <f t="shared" si="16"/>
        <v>0.5</v>
      </c>
      <c r="P92" s="77">
        <v>50</v>
      </c>
      <c r="Q92">
        <f t="shared" si="17"/>
        <v>0.3</v>
      </c>
      <c r="R92" s="75">
        <v>15</v>
      </c>
      <c r="S92" s="6">
        <f t="shared" si="18"/>
        <v>0.15</v>
      </c>
    </row>
    <row r="93" spans="1:19" x14ac:dyDescent="0.3">
      <c r="A93" s="37" t="s">
        <v>120</v>
      </c>
      <c r="B93" s="6" t="s">
        <v>165</v>
      </c>
      <c r="C93" s="77">
        <v>129000</v>
      </c>
      <c r="D93" s="6">
        <f>(C93/12)*8</f>
        <v>86000</v>
      </c>
      <c r="E93" s="66">
        <v>0</v>
      </c>
      <c r="F93" s="6">
        <f>SUM(E86:E93)</f>
        <v>19056.91</v>
      </c>
      <c r="G93" s="36" t="str">
        <f t="shared" si="15"/>
        <v>Farol Vermelho</v>
      </c>
      <c r="H93">
        <f t="shared" si="13"/>
        <v>66943.09</v>
      </c>
      <c r="I93" s="6">
        <f t="shared" si="14"/>
        <v>8</v>
      </c>
      <c r="J93" s="66">
        <v>18</v>
      </c>
      <c r="K93" s="66"/>
      <c r="L93" s="6">
        <f>L86+L92</f>
        <v>12</v>
      </c>
      <c r="M93" s="6">
        <f t="shared" si="20"/>
        <v>7</v>
      </c>
      <c r="N93" s="77">
        <v>100</v>
      </c>
      <c r="O93">
        <f t="shared" si="16"/>
        <v>0.5</v>
      </c>
      <c r="P93" s="77">
        <v>50</v>
      </c>
      <c r="Q93">
        <f t="shared" si="17"/>
        <v>0.3</v>
      </c>
      <c r="R93" s="75">
        <v>15</v>
      </c>
      <c r="S93" s="6">
        <f t="shared" si="18"/>
        <v>0.15</v>
      </c>
    </row>
    <row r="94" spans="1:19" x14ac:dyDescent="0.3">
      <c r="A94" s="37" t="s">
        <v>120</v>
      </c>
      <c r="B94" s="6" t="s">
        <v>166</v>
      </c>
      <c r="C94" s="77">
        <v>129000</v>
      </c>
      <c r="D94" s="6">
        <f>(C94/12)*9</f>
        <v>96750</v>
      </c>
      <c r="E94" s="66">
        <v>0</v>
      </c>
      <c r="F94" s="6">
        <f>SUM(E86:E94)</f>
        <v>19056.91</v>
      </c>
      <c r="G94" s="36" t="str">
        <f t="shared" si="15"/>
        <v>Farol Vermelho</v>
      </c>
      <c r="H94">
        <f t="shared" si="13"/>
        <v>77693.09</v>
      </c>
      <c r="I94" s="6">
        <f t="shared" si="14"/>
        <v>9</v>
      </c>
      <c r="J94" s="66">
        <v>18</v>
      </c>
      <c r="K94" s="66"/>
      <c r="L94" s="6">
        <f>$L86+L93</f>
        <v>13.5</v>
      </c>
      <c r="M94" s="6">
        <f t="shared" si="20"/>
        <v>7</v>
      </c>
      <c r="N94" s="77">
        <v>100</v>
      </c>
      <c r="O94">
        <f t="shared" si="16"/>
        <v>0.5</v>
      </c>
      <c r="P94" s="77">
        <v>50</v>
      </c>
      <c r="Q94">
        <f t="shared" si="17"/>
        <v>0.3</v>
      </c>
      <c r="R94" s="75">
        <v>15</v>
      </c>
      <c r="S94" s="6">
        <f t="shared" si="18"/>
        <v>0.15</v>
      </c>
    </row>
    <row r="95" spans="1:19" x14ac:dyDescent="0.3">
      <c r="A95" s="37" t="s">
        <v>120</v>
      </c>
      <c r="B95" s="6" t="s">
        <v>167</v>
      </c>
      <c r="C95" s="77">
        <v>129000</v>
      </c>
      <c r="D95" s="6">
        <f>(C95/12)*10</f>
        <v>107500</v>
      </c>
      <c r="E95" s="66">
        <v>0</v>
      </c>
      <c r="F95" s="6">
        <f>SUM(E86:E95)</f>
        <v>19056.91</v>
      </c>
      <c r="G95" s="36" t="str">
        <f t="shared" si="15"/>
        <v>Farol Vermelho</v>
      </c>
      <c r="H95">
        <f t="shared" si="13"/>
        <v>88443.09</v>
      </c>
      <c r="I95" s="6">
        <f t="shared" si="14"/>
        <v>10</v>
      </c>
      <c r="J95" s="66">
        <v>18</v>
      </c>
      <c r="K95" s="66"/>
      <c r="L95" s="6">
        <f>$L86+L94</f>
        <v>15</v>
      </c>
      <c r="M95" s="6">
        <f t="shared" si="20"/>
        <v>7</v>
      </c>
      <c r="N95" s="77">
        <v>100</v>
      </c>
      <c r="O95">
        <f t="shared" si="16"/>
        <v>0.5</v>
      </c>
      <c r="P95" s="77">
        <v>50</v>
      </c>
      <c r="Q95">
        <f t="shared" si="17"/>
        <v>0.3</v>
      </c>
      <c r="R95" s="75">
        <v>15</v>
      </c>
      <c r="S95" s="6">
        <f t="shared" si="18"/>
        <v>0.15</v>
      </c>
    </row>
    <row r="96" spans="1:19" x14ac:dyDescent="0.3">
      <c r="A96" s="37" t="s">
        <v>120</v>
      </c>
      <c r="B96" s="6" t="s">
        <v>168</v>
      </c>
      <c r="C96" s="77">
        <v>129000</v>
      </c>
      <c r="D96" s="6">
        <f>(C96/12)*11</f>
        <v>118250</v>
      </c>
      <c r="E96" s="66">
        <v>0</v>
      </c>
      <c r="F96" s="6">
        <f>SUM(E86:E96)</f>
        <v>19056.91</v>
      </c>
      <c r="G96" s="36" t="str">
        <f t="shared" si="15"/>
        <v>Farol Vermelho</v>
      </c>
      <c r="H96">
        <f t="shared" si="13"/>
        <v>99193.09</v>
      </c>
      <c r="I96" s="6">
        <f t="shared" si="14"/>
        <v>11</v>
      </c>
      <c r="J96" s="66">
        <v>18</v>
      </c>
      <c r="K96" s="66"/>
      <c r="L96" s="6">
        <f>L86+L95</f>
        <v>16.5</v>
      </c>
      <c r="M96" s="6">
        <f t="shared" si="20"/>
        <v>7</v>
      </c>
      <c r="N96" s="77">
        <v>100</v>
      </c>
      <c r="O96">
        <f t="shared" si="16"/>
        <v>0.5</v>
      </c>
      <c r="P96" s="77">
        <v>50</v>
      </c>
      <c r="Q96">
        <f t="shared" si="17"/>
        <v>0.3</v>
      </c>
      <c r="R96" s="75">
        <v>15</v>
      </c>
      <c r="S96" s="6">
        <f t="shared" si="18"/>
        <v>0.15</v>
      </c>
    </row>
    <row r="97" spans="1:19" x14ac:dyDescent="0.3">
      <c r="A97" s="37" t="s">
        <v>120</v>
      </c>
      <c r="B97" s="6" t="s">
        <v>169</v>
      </c>
      <c r="C97" s="77">
        <v>129000</v>
      </c>
      <c r="D97" s="6">
        <f>(C97/12)*12</f>
        <v>129000</v>
      </c>
      <c r="E97" s="66">
        <v>0</v>
      </c>
      <c r="F97" s="6">
        <f>SUM(E86:E97)</f>
        <v>19056.91</v>
      </c>
      <c r="G97" s="36" t="str">
        <f t="shared" si="15"/>
        <v>Farol Vermelho</v>
      </c>
      <c r="H97">
        <f t="shared" si="13"/>
        <v>109943.09</v>
      </c>
      <c r="I97" s="6">
        <f t="shared" si="14"/>
        <v>12</v>
      </c>
      <c r="J97" s="66">
        <v>18</v>
      </c>
      <c r="K97" s="66"/>
      <c r="L97" s="6">
        <f>$L86+L96</f>
        <v>18</v>
      </c>
      <c r="M97" s="6">
        <f t="shared" si="20"/>
        <v>7</v>
      </c>
      <c r="N97" s="77">
        <v>100</v>
      </c>
      <c r="O97">
        <f t="shared" si="16"/>
        <v>0.5</v>
      </c>
      <c r="P97" s="77">
        <v>50</v>
      </c>
      <c r="Q97">
        <f t="shared" si="17"/>
        <v>0.3</v>
      </c>
      <c r="R97" s="75">
        <v>15</v>
      </c>
      <c r="S97" s="6">
        <f t="shared" si="18"/>
        <v>0.15</v>
      </c>
    </row>
    <row r="98" spans="1:19" x14ac:dyDescent="0.3">
      <c r="A98" s="37" t="s">
        <v>48</v>
      </c>
      <c r="B98" s="6" t="s">
        <v>158</v>
      </c>
      <c r="C98" s="77">
        <v>54610.2</v>
      </c>
      <c r="D98" s="6">
        <f>(C98/12)*1</f>
        <v>4550.8499999999995</v>
      </c>
      <c r="E98" s="66">
        <v>2880</v>
      </c>
      <c r="F98" s="6">
        <f>E98</f>
        <v>2880</v>
      </c>
      <c r="G98" s="36" t="str">
        <f t="shared" si="15"/>
        <v>Farol Vermelho</v>
      </c>
      <c r="H98">
        <f t="shared" si="13"/>
        <v>1670.8499999999995</v>
      </c>
      <c r="I98" s="6">
        <f t="shared" si="14"/>
        <v>1</v>
      </c>
      <c r="J98" s="66">
        <v>100</v>
      </c>
      <c r="K98" s="66">
        <v>9</v>
      </c>
      <c r="L98" s="6">
        <f>J98/12</f>
        <v>8.3333333333333339</v>
      </c>
      <c r="M98" s="6">
        <f>K98</f>
        <v>9</v>
      </c>
      <c r="N98" s="77">
        <v>100</v>
      </c>
      <c r="O98">
        <f t="shared" si="16"/>
        <v>0.5</v>
      </c>
      <c r="P98" s="77">
        <v>50</v>
      </c>
      <c r="Q98">
        <f t="shared" si="17"/>
        <v>0.3</v>
      </c>
      <c r="R98" s="75">
        <v>15</v>
      </c>
      <c r="S98" s="6">
        <f t="shared" si="18"/>
        <v>0.15</v>
      </c>
    </row>
    <row r="99" spans="1:19" x14ac:dyDescent="0.3">
      <c r="A99" s="37" t="s">
        <v>48</v>
      </c>
      <c r="B99" s="6" t="s">
        <v>159</v>
      </c>
      <c r="C99" s="77">
        <v>54610.2</v>
      </c>
      <c r="D99" s="6">
        <f>(C99/12)*2</f>
        <v>9101.6999999999989</v>
      </c>
      <c r="E99" s="66">
        <v>3493</v>
      </c>
      <c r="F99" s="6">
        <f>SUM(E98:E99)</f>
        <v>6373</v>
      </c>
      <c r="G99" s="36" t="str">
        <f t="shared" si="15"/>
        <v>Farol Vermelho</v>
      </c>
      <c r="H99">
        <f t="shared" si="13"/>
        <v>2728.6999999999989</v>
      </c>
      <c r="I99" s="6">
        <f t="shared" si="14"/>
        <v>2</v>
      </c>
      <c r="J99" s="66">
        <v>100</v>
      </c>
      <c r="K99" s="66">
        <v>25</v>
      </c>
      <c r="L99" s="6">
        <f>L98+L98</f>
        <v>16.666666666666668</v>
      </c>
      <c r="M99" s="6">
        <f>M98+K99</f>
        <v>34</v>
      </c>
      <c r="N99" s="77">
        <v>100</v>
      </c>
      <c r="O99">
        <f t="shared" si="16"/>
        <v>0.5</v>
      </c>
      <c r="P99" s="77">
        <v>50</v>
      </c>
      <c r="Q99">
        <f t="shared" si="17"/>
        <v>0.3</v>
      </c>
      <c r="R99" s="75">
        <v>15</v>
      </c>
      <c r="S99" s="6">
        <f t="shared" si="18"/>
        <v>0.15</v>
      </c>
    </row>
    <row r="100" spans="1:19" x14ac:dyDescent="0.3">
      <c r="A100" s="37" t="s">
        <v>48</v>
      </c>
      <c r="B100" s="6" t="s">
        <v>160</v>
      </c>
      <c r="C100" s="77">
        <v>54610.2</v>
      </c>
      <c r="D100" s="6">
        <f>(C100/12)*3</f>
        <v>13652.55</v>
      </c>
      <c r="E100" s="66">
        <v>240</v>
      </c>
      <c r="F100" s="6">
        <f>SUM(E98:E100)</f>
        <v>6613</v>
      </c>
      <c r="G100" s="36" t="str">
        <f t="shared" si="15"/>
        <v>Farol Vermelho</v>
      </c>
      <c r="H100">
        <f t="shared" si="13"/>
        <v>7039.5499999999993</v>
      </c>
      <c r="I100" s="6">
        <f t="shared" si="14"/>
        <v>3</v>
      </c>
      <c r="J100" s="66">
        <v>100</v>
      </c>
      <c r="K100" s="66">
        <v>2</v>
      </c>
      <c r="L100" s="6">
        <f>$L98+L99</f>
        <v>25</v>
      </c>
      <c r="M100" s="6">
        <f t="shared" ref="M100:M109" si="21">M99+K100</f>
        <v>36</v>
      </c>
      <c r="N100" s="77">
        <v>100</v>
      </c>
      <c r="O100">
        <f t="shared" si="16"/>
        <v>0.5</v>
      </c>
      <c r="P100" s="77">
        <v>50</v>
      </c>
      <c r="Q100">
        <f t="shared" si="17"/>
        <v>0.3</v>
      </c>
      <c r="R100" s="75">
        <v>15</v>
      </c>
      <c r="S100" s="6">
        <f t="shared" si="18"/>
        <v>0.15</v>
      </c>
    </row>
    <row r="101" spans="1:19" x14ac:dyDescent="0.3">
      <c r="A101" s="37" t="s">
        <v>48</v>
      </c>
      <c r="B101" s="6" t="s">
        <v>161</v>
      </c>
      <c r="C101" s="77">
        <v>54610.2</v>
      </c>
      <c r="D101" s="6">
        <f>(C101/12)*4</f>
        <v>18203.399999999998</v>
      </c>
      <c r="E101" s="66">
        <v>1425</v>
      </c>
      <c r="F101" s="6">
        <f>SUM(E98:E101)</f>
        <v>8038</v>
      </c>
      <c r="G101" s="36" t="str">
        <f t="shared" si="15"/>
        <v>Farol Vermelho</v>
      </c>
      <c r="H101">
        <f t="shared" si="13"/>
        <v>10165.399999999998</v>
      </c>
      <c r="I101" s="6">
        <f t="shared" si="14"/>
        <v>4</v>
      </c>
      <c r="J101" s="66">
        <v>100</v>
      </c>
      <c r="K101" s="66">
        <v>15</v>
      </c>
      <c r="L101" s="6">
        <f>$L98+L100</f>
        <v>33.333333333333336</v>
      </c>
      <c r="M101" s="6">
        <f t="shared" si="21"/>
        <v>51</v>
      </c>
      <c r="N101" s="77">
        <v>100</v>
      </c>
      <c r="O101">
        <f t="shared" si="16"/>
        <v>0.5</v>
      </c>
      <c r="P101" s="77">
        <v>50</v>
      </c>
      <c r="Q101">
        <f t="shared" si="17"/>
        <v>0.3</v>
      </c>
      <c r="R101" s="75">
        <v>15</v>
      </c>
      <c r="S101" s="6">
        <f t="shared" si="18"/>
        <v>0.15</v>
      </c>
    </row>
    <row r="102" spans="1:19" x14ac:dyDescent="0.3">
      <c r="A102" s="37" t="s">
        <v>48</v>
      </c>
      <c r="B102" s="6" t="s">
        <v>162</v>
      </c>
      <c r="C102" s="77">
        <v>54610.2</v>
      </c>
      <c r="D102" s="6">
        <f>(C102/12)*5</f>
        <v>22754.249999999996</v>
      </c>
      <c r="E102" s="66">
        <v>2288</v>
      </c>
      <c r="F102" s="6">
        <f>SUM(E98:E102)</f>
        <v>10326</v>
      </c>
      <c r="G102" s="36" t="str">
        <f t="shared" si="15"/>
        <v>Farol Vermelho</v>
      </c>
      <c r="H102">
        <f t="shared" si="13"/>
        <v>12428.249999999996</v>
      </c>
      <c r="I102" s="6">
        <f t="shared" si="14"/>
        <v>5</v>
      </c>
      <c r="J102" s="66">
        <v>100</v>
      </c>
      <c r="K102" s="66">
        <v>14</v>
      </c>
      <c r="L102" s="6">
        <f>L98+L101</f>
        <v>41.666666666666671</v>
      </c>
      <c r="M102" s="6">
        <f t="shared" si="21"/>
        <v>65</v>
      </c>
      <c r="N102" s="77">
        <v>100</v>
      </c>
      <c r="O102">
        <f t="shared" si="16"/>
        <v>0.5</v>
      </c>
      <c r="P102" s="77">
        <v>50</v>
      </c>
      <c r="Q102">
        <f t="shared" si="17"/>
        <v>0.3</v>
      </c>
      <c r="R102" s="75">
        <v>15</v>
      </c>
      <c r="S102" s="6">
        <f t="shared" si="18"/>
        <v>0.15</v>
      </c>
    </row>
    <row r="103" spans="1:19" x14ac:dyDescent="0.3">
      <c r="A103" s="37" t="s">
        <v>48</v>
      </c>
      <c r="B103" s="6" t="s">
        <v>163</v>
      </c>
      <c r="C103" s="77">
        <v>54610.2</v>
      </c>
      <c r="D103" s="6">
        <f>(C103/12)*6</f>
        <v>27305.1</v>
      </c>
      <c r="E103" s="66">
        <v>0</v>
      </c>
      <c r="F103" s="6">
        <f>SUM(E98:E103)</f>
        <v>10326</v>
      </c>
      <c r="G103" s="36" t="str">
        <f t="shared" si="15"/>
        <v>Farol Vermelho</v>
      </c>
      <c r="H103">
        <f t="shared" si="13"/>
        <v>16979.099999999999</v>
      </c>
      <c r="I103" s="6">
        <f t="shared" si="14"/>
        <v>6</v>
      </c>
      <c r="J103" s="66">
        <v>100</v>
      </c>
      <c r="K103" s="66"/>
      <c r="L103" s="6">
        <f>$L98+L102</f>
        <v>50.000000000000007</v>
      </c>
      <c r="M103" s="6">
        <f t="shared" si="21"/>
        <v>65</v>
      </c>
      <c r="N103" s="77">
        <v>100</v>
      </c>
      <c r="O103">
        <f t="shared" si="16"/>
        <v>0.5</v>
      </c>
      <c r="P103" s="77">
        <v>50</v>
      </c>
      <c r="Q103">
        <f t="shared" si="17"/>
        <v>0.3</v>
      </c>
      <c r="R103" s="75">
        <v>15</v>
      </c>
      <c r="S103" s="6">
        <f t="shared" si="18"/>
        <v>0.15</v>
      </c>
    </row>
    <row r="104" spans="1:19" x14ac:dyDescent="0.3">
      <c r="A104" s="37" t="s">
        <v>48</v>
      </c>
      <c r="B104" s="6" t="s">
        <v>164</v>
      </c>
      <c r="C104" s="77">
        <v>54610.2</v>
      </c>
      <c r="D104" s="6">
        <f>(C104/12)*7</f>
        <v>31855.949999999997</v>
      </c>
      <c r="E104" s="66">
        <v>0</v>
      </c>
      <c r="F104" s="6">
        <f>SUM(E98:E104)</f>
        <v>10326</v>
      </c>
      <c r="G104" s="36" t="str">
        <f t="shared" si="15"/>
        <v>Farol Vermelho</v>
      </c>
      <c r="H104">
        <f t="shared" si="13"/>
        <v>21529.949999999997</v>
      </c>
      <c r="I104" s="6">
        <f t="shared" si="14"/>
        <v>7</v>
      </c>
      <c r="J104" s="66">
        <v>100</v>
      </c>
      <c r="K104" s="66"/>
      <c r="L104" s="6">
        <f>$L98+L103</f>
        <v>58.333333333333343</v>
      </c>
      <c r="M104" s="6">
        <f t="shared" si="21"/>
        <v>65</v>
      </c>
      <c r="N104" s="77">
        <v>100</v>
      </c>
      <c r="O104">
        <f t="shared" si="16"/>
        <v>0.5</v>
      </c>
      <c r="P104" s="77">
        <v>50</v>
      </c>
      <c r="Q104">
        <f t="shared" si="17"/>
        <v>0.3</v>
      </c>
      <c r="R104" s="75">
        <v>15</v>
      </c>
      <c r="S104" s="6">
        <f t="shared" si="18"/>
        <v>0.15</v>
      </c>
    </row>
    <row r="105" spans="1:19" x14ac:dyDescent="0.3">
      <c r="A105" s="37" t="s">
        <v>48</v>
      </c>
      <c r="B105" s="6" t="s">
        <v>165</v>
      </c>
      <c r="C105" s="77">
        <v>54610.2</v>
      </c>
      <c r="D105" s="6">
        <f>(C105/12)*8</f>
        <v>36406.799999999996</v>
      </c>
      <c r="E105" s="66">
        <v>0</v>
      </c>
      <c r="F105" s="6">
        <f>SUM(E98:E105)</f>
        <v>10326</v>
      </c>
      <c r="G105" s="36" t="str">
        <f t="shared" si="15"/>
        <v>Farol Vermelho</v>
      </c>
      <c r="H105">
        <f t="shared" si="13"/>
        <v>26080.799999999996</v>
      </c>
      <c r="I105" s="6">
        <f t="shared" si="14"/>
        <v>8</v>
      </c>
      <c r="J105" s="66">
        <v>100</v>
      </c>
      <c r="K105" s="66"/>
      <c r="L105" s="6">
        <f>L98+L104</f>
        <v>66.666666666666671</v>
      </c>
      <c r="M105" s="6">
        <f t="shared" si="21"/>
        <v>65</v>
      </c>
      <c r="N105" s="77">
        <v>100</v>
      </c>
      <c r="O105">
        <f t="shared" si="16"/>
        <v>0.5</v>
      </c>
      <c r="P105" s="77">
        <v>50</v>
      </c>
      <c r="Q105">
        <f t="shared" si="17"/>
        <v>0.3</v>
      </c>
      <c r="R105" s="75">
        <v>15</v>
      </c>
      <c r="S105" s="6">
        <f t="shared" si="18"/>
        <v>0.15</v>
      </c>
    </row>
    <row r="106" spans="1:19" x14ac:dyDescent="0.3">
      <c r="A106" s="37" t="s">
        <v>48</v>
      </c>
      <c r="B106" s="6" t="s">
        <v>166</v>
      </c>
      <c r="C106" s="77">
        <v>54610.2</v>
      </c>
      <c r="D106" s="6">
        <f>(C106/12)*9</f>
        <v>40957.649999999994</v>
      </c>
      <c r="E106" s="66">
        <v>0</v>
      </c>
      <c r="F106" s="6">
        <f>SUM(E98:E106)</f>
        <v>10326</v>
      </c>
      <c r="G106" s="36" t="str">
        <f t="shared" si="15"/>
        <v>Farol Vermelho</v>
      </c>
      <c r="H106">
        <f t="shared" si="13"/>
        <v>30631.649999999994</v>
      </c>
      <c r="I106" s="6">
        <f t="shared" si="14"/>
        <v>9</v>
      </c>
      <c r="J106" s="66">
        <v>100</v>
      </c>
      <c r="K106" s="66"/>
      <c r="L106" s="6">
        <f>$L98+L105</f>
        <v>75</v>
      </c>
      <c r="M106" s="6">
        <f t="shared" si="21"/>
        <v>65</v>
      </c>
      <c r="N106" s="77">
        <v>100</v>
      </c>
      <c r="O106">
        <f t="shared" si="16"/>
        <v>0.5</v>
      </c>
      <c r="P106" s="77">
        <v>50</v>
      </c>
      <c r="Q106">
        <f t="shared" si="17"/>
        <v>0.3</v>
      </c>
      <c r="R106" s="75">
        <v>15</v>
      </c>
      <c r="S106" s="6">
        <f t="shared" si="18"/>
        <v>0.15</v>
      </c>
    </row>
    <row r="107" spans="1:19" x14ac:dyDescent="0.3">
      <c r="A107" s="37" t="s">
        <v>48</v>
      </c>
      <c r="B107" s="6" t="s">
        <v>167</v>
      </c>
      <c r="C107" s="77">
        <v>54610.2</v>
      </c>
      <c r="D107" s="6">
        <f>(C107/12)*10</f>
        <v>45508.499999999993</v>
      </c>
      <c r="E107" s="66">
        <v>0</v>
      </c>
      <c r="F107" s="6">
        <f>SUM(E98:E107)</f>
        <v>10326</v>
      </c>
      <c r="G107" s="36" t="str">
        <f t="shared" si="15"/>
        <v>Farol Vermelho</v>
      </c>
      <c r="H107">
        <f t="shared" si="13"/>
        <v>35182.499999999993</v>
      </c>
      <c r="I107" s="6">
        <f t="shared" si="14"/>
        <v>10</v>
      </c>
      <c r="J107" s="66">
        <v>100</v>
      </c>
      <c r="K107" s="66"/>
      <c r="L107" s="6">
        <f>$L98+L106</f>
        <v>83.333333333333329</v>
      </c>
      <c r="M107" s="6">
        <f t="shared" si="21"/>
        <v>65</v>
      </c>
      <c r="N107" s="77">
        <v>100</v>
      </c>
      <c r="O107">
        <f t="shared" si="16"/>
        <v>0.5</v>
      </c>
      <c r="P107" s="77">
        <v>50</v>
      </c>
      <c r="Q107">
        <f t="shared" si="17"/>
        <v>0.3</v>
      </c>
      <c r="R107" s="75">
        <v>15</v>
      </c>
      <c r="S107" s="6">
        <f t="shared" si="18"/>
        <v>0.15</v>
      </c>
    </row>
    <row r="108" spans="1:19" x14ac:dyDescent="0.3">
      <c r="A108" s="37" t="s">
        <v>48</v>
      </c>
      <c r="B108" s="6" t="s">
        <v>168</v>
      </c>
      <c r="C108" s="77">
        <v>54610.2</v>
      </c>
      <c r="D108" s="6">
        <f>(C108/12)*11</f>
        <v>50059.349999999991</v>
      </c>
      <c r="E108" s="66">
        <v>0</v>
      </c>
      <c r="F108" s="6">
        <f>SUM(E98:E108)</f>
        <v>10326</v>
      </c>
      <c r="G108" s="36" t="str">
        <f t="shared" si="15"/>
        <v>Farol Vermelho</v>
      </c>
      <c r="H108">
        <f t="shared" si="13"/>
        <v>39733.349999999991</v>
      </c>
      <c r="I108" s="6">
        <f t="shared" si="14"/>
        <v>11</v>
      </c>
      <c r="J108" s="66">
        <v>100</v>
      </c>
      <c r="K108" s="66"/>
      <c r="L108" s="6">
        <f>L98+L107</f>
        <v>91.666666666666657</v>
      </c>
      <c r="M108" s="6">
        <f t="shared" si="21"/>
        <v>65</v>
      </c>
      <c r="N108" s="77">
        <v>100</v>
      </c>
      <c r="O108">
        <f t="shared" si="16"/>
        <v>0.5</v>
      </c>
      <c r="P108" s="77">
        <v>50</v>
      </c>
      <c r="Q108">
        <f t="shared" si="17"/>
        <v>0.3</v>
      </c>
      <c r="R108" s="75">
        <v>15</v>
      </c>
      <c r="S108" s="6">
        <f t="shared" si="18"/>
        <v>0.15</v>
      </c>
    </row>
    <row r="109" spans="1:19" x14ac:dyDescent="0.3">
      <c r="A109" s="37" t="s">
        <v>48</v>
      </c>
      <c r="B109" s="6" t="s">
        <v>169</v>
      </c>
      <c r="C109" s="77">
        <v>54610.2</v>
      </c>
      <c r="D109" s="6">
        <f>(C109/12)*12</f>
        <v>54610.2</v>
      </c>
      <c r="E109" s="66">
        <v>0</v>
      </c>
      <c r="F109" s="6">
        <f>SUM(E98:E109)</f>
        <v>10326</v>
      </c>
      <c r="G109" s="36" t="str">
        <f t="shared" si="15"/>
        <v>Farol Vermelho</v>
      </c>
      <c r="H109">
        <f t="shared" si="13"/>
        <v>44284.2</v>
      </c>
      <c r="I109" s="6">
        <f t="shared" si="14"/>
        <v>12</v>
      </c>
      <c r="J109" s="66">
        <v>100</v>
      </c>
      <c r="K109" s="66"/>
      <c r="L109" s="6">
        <f>$L98+L108</f>
        <v>99.999999999999986</v>
      </c>
      <c r="M109" s="6">
        <f t="shared" si="21"/>
        <v>65</v>
      </c>
      <c r="N109" s="77">
        <v>100</v>
      </c>
      <c r="O109">
        <f t="shared" si="16"/>
        <v>0.5</v>
      </c>
      <c r="P109" s="77">
        <v>50</v>
      </c>
      <c r="Q109">
        <f t="shared" si="17"/>
        <v>0.3</v>
      </c>
      <c r="R109" s="75">
        <v>15</v>
      </c>
      <c r="S109" s="6">
        <f t="shared" si="18"/>
        <v>0.15</v>
      </c>
    </row>
    <row r="110" spans="1:19" x14ac:dyDescent="0.3">
      <c r="A110" s="37" t="s">
        <v>93</v>
      </c>
      <c r="B110" s="6" t="s">
        <v>158</v>
      </c>
      <c r="C110" s="77">
        <v>53550</v>
      </c>
      <c r="D110" s="6">
        <f>(C110/12)*1</f>
        <v>4462.5</v>
      </c>
      <c r="E110" s="66">
        <v>1040</v>
      </c>
      <c r="F110" s="6">
        <f>E110</f>
        <v>1040</v>
      </c>
      <c r="G110" s="36" t="str">
        <f t="shared" si="15"/>
        <v>Farol Vermelho</v>
      </c>
      <c r="H110">
        <f t="shared" si="13"/>
        <v>3422.5</v>
      </c>
      <c r="I110" s="6">
        <f t="shared" si="14"/>
        <v>1</v>
      </c>
      <c r="J110" s="66">
        <v>10</v>
      </c>
      <c r="K110" s="66">
        <v>1</v>
      </c>
      <c r="L110" s="6">
        <f>J110/12</f>
        <v>0.83333333333333337</v>
      </c>
      <c r="M110" s="6">
        <f>K110</f>
        <v>1</v>
      </c>
      <c r="N110" s="77">
        <v>100</v>
      </c>
      <c r="O110">
        <f t="shared" si="16"/>
        <v>0.5</v>
      </c>
      <c r="P110" s="77">
        <v>50</v>
      </c>
      <c r="Q110">
        <f t="shared" si="17"/>
        <v>0.3</v>
      </c>
      <c r="R110" s="75">
        <v>15</v>
      </c>
      <c r="S110" s="6">
        <f t="shared" si="18"/>
        <v>0.15</v>
      </c>
    </row>
    <row r="111" spans="1:19" x14ac:dyDescent="0.3">
      <c r="A111" s="37" t="s">
        <v>93</v>
      </c>
      <c r="B111" s="6" t="s">
        <v>159</v>
      </c>
      <c r="C111" s="77">
        <v>53550</v>
      </c>
      <c r="D111" s="6">
        <f>(C111/12)*2</f>
        <v>8925</v>
      </c>
      <c r="E111" s="66">
        <v>0</v>
      </c>
      <c r="F111" s="6">
        <f>SUM(E110:E111)</f>
        <v>1040</v>
      </c>
      <c r="G111" s="36" t="str">
        <f t="shared" si="15"/>
        <v>Farol Vermelho</v>
      </c>
      <c r="H111">
        <f t="shared" si="13"/>
        <v>7885</v>
      </c>
      <c r="I111" s="6">
        <f t="shared" si="14"/>
        <v>2</v>
      </c>
      <c r="J111" s="66">
        <v>10</v>
      </c>
      <c r="K111" s="66">
        <v>0</v>
      </c>
      <c r="L111" s="6">
        <f>L110+L110</f>
        <v>1.6666666666666667</v>
      </c>
      <c r="M111" s="6">
        <f>M110+K111</f>
        <v>1</v>
      </c>
      <c r="N111" s="77">
        <v>100</v>
      </c>
      <c r="O111">
        <f t="shared" si="16"/>
        <v>0.5</v>
      </c>
      <c r="P111" s="77">
        <v>50</v>
      </c>
      <c r="Q111">
        <f t="shared" si="17"/>
        <v>0.3</v>
      </c>
      <c r="R111" s="75">
        <v>15</v>
      </c>
      <c r="S111" s="6">
        <f t="shared" si="18"/>
        <v>0.15</v>
      </c>
    </row>
    <row r="112" spans="1:19" x14ac:dyDescent="0.3">
      <c r="A112" s="37" t="s">
        <v>93</v>
      </c>
      <c r="B112" s="6" t="s">
        <v>160</v>
      </c>
      <c r="C112" s="77">
        <v>53550</v>
      </c>
      <c r="D112" s="6">
        <f>(C112/12)*3</f>
        <v>13387.5</v>
      </c>
      <c r="E112" s="66">
        <v>0</v>
      </c>
      <c r="F112" s="6">
        <f>SUM(E110:E112)</f>
        <v>1040</v>
      </c>
      <c r="G112" s="36" t="str">
        <f t="shared" si="15"/>
        <v>Farol Vermelho</v>
      </c>
      <c r="H112">
        <f t="shared" si="13"/>
        <v>12347.5</v>
      </c>
      <c r="I112" s="6">
        <f t="shared" si="14"/>
        <v>3</v>
      </c>
      <c r="J112" s="66">
        <v>10</v>
      </c>
      <c r="K112" s="66">
        <v>0</v>
      </c>
      <c r="L112" s="6">
        <f>$L110+L111</f>
        <v>2.5</v>
      </c>
      <c r="M112" s="6">
        <f t="shared" ref="M112:M121" si="22">M111+K112</f>
        <v>1</v>
      </c>
      <c r="N112" s="77">
        <v>100</v>
      </c>
      <c r="O112">
        <f t="shared" si="16"/>
        <v>0.5</v>
      </c>
      <c r="P112" s="77">
        <v>50</v>
      </c>
      <c r="Q112">
        <f t="shared" si="17"/>
        <v>0.3</v>
      </c>
      <c r="R112" s="75">
        <v>15</v>
      </c>
      <c r="S112" s="6">
        <f t="shared" si="18"/>
        <v>0.15</v>
      </c>
    </row>
    <row r="113" spans="1:19" x14ac:dyDescent="0.3">
      <c r="A113" s="37" t="s">
        <v>93</v>
      </c>
      <c r="B113" s="6" t="s">
        <v>161</v>
      </c>
      <c r="C113" s="77">
        <v>53550</v>
      </c>
      <c r="D113" s="6">
        <f>(C113/12)*4</f>
        <v>17850</v>
      </c>
      <c r="E113" s="66">
        <v>0</v>
      </c>
      <c r="F113" s="6">
        <f>SUM(E110:E113)</f>
        <v>1040</v>
      </c>
      <c r="G113" s="36" t="str">
        <f t="shared" si="15"/>
        <v>Farol Vermelho</v>
      </c>
      <c r="H113">
        <f t="shared" si="13"/>
        <v>16810</v>
      </c>
      <c r="I113" s="6">
        <f t="shared" si="14"/>
        <v>4</v>
      </c>
      <c r="J113" s="66">
        <v>10</v>
      </c>
      <c r="K113" s="66">
        <v>0</v>
      </c>
      <c r="L113" s="6">
        <f>$L110+L112</f>
        <v>3.3333333333333335</v>
      </c>
      <c r="M113" s="6">
        <f t="shared" si="22"/>
        <v>1</v>
      </c>
      <c r="N113" s="77">
        <v>100</v>
      </c>
      <c r="O113">
        <f t="shared" si="16"/>
        <v>0.5</v>
      </c>
      <c r="P113" s="77">
        <v>50</v>
      </c>
      <c r="Q113">
        <f t="shared" si="17"/>
        <v>0.3</v>
      </c>
      <c r="R113" s="75">
        <v>15</v>
      </c>
      <c r="S113" s="6">
        <f t="shared" si="18"/>
        <v>0.15</v>
      </c>
    </row>
    <row r="114" spans="1:19" x14ac:dyDescent="0.3">
      <c r="A114" s="37" t="s">
        <v>93</v>
      </c>
      <c r="B114" s="6" t="s">
        <v>162</v>
      </c>
      <c r="C114" s="77">
        <v>53550</v>
      </c>
      <c r="D114" s="6">
        <f>(C114/12)*5</f>
        <v>22312.5</v>
      </c>
      <c r="E114" s="66">
        <v>4100</v>
      </c>
      <c r="F114" s="6">
        <f>SUM(E110:E114)</f>
        <v>5140</v>
      </c>
      <c r="G114" s="36" t="str">
        <f t="shared" si="15"/>
        <v>Farol Vermelho</v>
      </c>
      <c r="H114">
        <f t="shared" si="13"/>
        <v>17172.5</v>
      </c>
      <c r="I114" s="6">
        <f t="shared" si="14"/>
        <v>5</v>
      </c>
      <c r="J114" s="66">
        <v>10</v>
      </c>
      <c r="K114" s="66">
        <v>2</v>
      </c>
      <c r="L114" s="6">
        <f>L110+L113</f>
        <v>4.166666666666667</v>
      </c>
      <c r="M114" s="6">
        <f t="shared" si="22"/>
        <v>3</v>
      </c>
      <c r="N114" s="77">
        <v>100</v>
      </c>
      <c r="O114">
        <f t="shared" si="16"/>
        <v>0.5</v>
      </c>
      <c r="P114" s="77">
        <v>50</v>
      </c>
      <c r="Q114">
        <f t="shared" si="17"/>
        <v>0.3</v>
      </c>
      <c r="R114" s="75">
        <v>15</v>
      </c>
      <c r="S114" s="6">
        <f t="shared" si="18"/>
        <v>0.15</v>
      </c>
    </row>
    <row r="115" spans="1:19" x14ac:dyDescent="0.3">
      <c r="A115" s="37" t="s">
        <v>93</v>
      </c>
      <c r="B115" s="6" t="s">
        <v>163</v>
      </c>
      <c r="C115" s="77">
        <v>53550</v>
      </c>
      <c r="D115" s="6">
        <f>(C115/12)*6</f>
        <v>26775</v>
      </c>
      <c r="E115" s="66">
        <v>0</v>
      </c>
      <c r="F115" s="6">
        <f>SUM(E110:E115)</f>
        <v>5140</v>
      </c>
      <c r="G115" s="36" t="str">
        <f t="shared" si="15"/>
        <v>Farol Vermelho</v>
      </c>
      <c r="H115">
        <f t="shared" si="13"/>
        <v>21635</v>
      </c>
      <c r="I115" s="6">
        <f t="shared" si="14"/>
        <v>6</v>
      </c>
      <c r="J115" s="66">
        <v>10</v>
      </c>
      <c r="K115" s="66"/>
      <c r="L115" s="6">
        <f>$L110+L114</f>
        <v>5</v>
      </c>
      <c r="M115" s="6">
        <f t="shared" si="22"/>
        <v>3</v>
      </c>
      <c r="N115" s="77">
        <v>100</v>
      </c>
      <c r="O115">
        <f t="shared" si="16"/>
        <v>0.5</v>
      </c>
      <c r="P115" s="77">
        <v>50</v>
      </c>
      <c r="Q115">
        <f t="shared" si="17"/>
        <v>0.3</v>
      </c>
      <c r="R115" s="75">
        <v>15</v>
      </c>
      <c r="S115" s="6">
        <f t="shared" si="18"/>
        <v>0.15</v>
      </c>
    </row>
    <row r="116" spans="1:19" x14ac:dyDescent="0.3">
      <c r="A116" s="37" t="s">
        <v>93</v>
      </c>
      <c r="B116" s="6" t="s">
        <v>164</v>
      </c>
      <c r="C116" s="77">
        <v>53550</v>
      </c>
      <c r="D116" s="6">
        <f>(C116/12)*7</f>
        <v>31237.5</v>
      </c>
      <c r="E116" s="66">
        <v>0</v>
      </c>
      <c r="F116" s="6">
        <f>SUM(E110:E116)</f>
        <v>5140</v>
      </c>
      <c r="G116" s="36" t="str">
        <f t="shared" si="15"/>
        <v>Farol Vermelho</v>
      </c>
      <c r="H116">
        <f t="shared" si="13"/>
        <v>26097.5</v>
      </c>
      <c r="I116" s="6">
        <f t="shared" si="14"/>
        <v>7</v>
      </c>
      <c r="J116" s="66">
        <v>10</v>
      </c>
      <c r="K116" s="66"/>
      <c r="L116" s="6">
        <f>$L110+L115</f>
        <v>5.833333333333333</v>
      </c>
      <c r="M116" s="6">
        <f t="shared" si="22"/>
        <v>3</v>
      </c>
      <c r="N116" s="77">
        <v>100</v>
      </c>
      <c r="O116">
        <f t="shared" si="16"/>
        <v>0.5</v>
      </c>
      <c r="P116" s="77">
        <v>50</v>
      </c>
      <c r="Q116">
        <f t="shared" si="17"/>
        <v>0.3</v>
      </c>
      <c r="R116" s="75">
        <v>15</v>
      </c>
      <c r="S116" s="6">
        <f t="shared" si="18"/>
        <v>0.15</v>
      </c>
    </row>
    <row r="117" spans="1:19" x14ac:dyDescent="0.3">
      <c r="A117" s="37" t="s">
        <v>93</v>
      </c>
      <c r="B117" s="6" t="s">
        <v>165</v>
      </c>
      <c r="C117" s="77">
        <v>53550</v>
      </c>
      <c r="D117" s="6">
        <f>(C117/12)*8</f>
        <v>35700</v>
      </c>
      <c r="E117" s="66">
        <v>0</v>
      </c>
      <c r="F117" s="6">
        <f>SUM(E110:E117)</f>
        <v>5140</v>
      </c>
      <c r="G117" s="36" t="str">
        <f t="shared" si="15"/>
        <v>Farol Vermelho</v>
      </c>
      <c r="H117">
        <f t="shared" si="13"/>
        <v>30560</v>
      </c>
      <c r="I117" s="6">
        <f t="shared" si="14"/>
        <v>8</v>
      </c>
      <c r="J117" s="66">
        <v>10</v>
      </c>
      <c r="K117" s="66"/>
      <c r="L117" s="6">
        <f>L110+L116</f>
        <v>6.6666666666666661</v>
      </c>
      <c r="M117" s="6">
        <f t="shared" si="22"/>
        <v>3</v>
      </c>
      <c r="N117" s="77">
        <v>100</v>
      </c>
      <c r="O117">
        <f t="shared" si="16"/>
        <v>0.5</v>
      </c>
      <c r="P117" s="77">
        <v>50</v>
      </c>
      <c r="Q117">
        <f t="shared" si="17"/>
        <v>0.3</v>
      </c>
      <c r="R117" s="75">
        <v>15</v>
      </c>
      <c r="S117" s="6">
        <f t="shared" si="18"/>
        <v>0.15</v>
      </c>
    </row>
    <row r="118" spans="1:19" x14ac:dyDescent="0.3">
      <c r="A118" s="37" t="s">
        <v>93</v>
      </c>
      <c r="B118" s="6" t="s">
        <v>166</v>
      </c>
      <c r="C118" s="77">
        <v>53550</v>
      </c>
      <c r="D118" s="6">
        <f>(C118/12)*9</f>
        <v>40162.5</v>
      </c>
      <c r="E118" s="66">
        <v>0</v>
      </c>
      <c r="F118" s="6">
        <f>SUM(E110:E118)</f>
        <v>5140</v>
      </c>
      <c r="G118" s="36" t="str">
        <f t="shared" si="15"/>
        <v>Farol Vermelho</v>
      </c>
      <c r="H118">
        <f t="shared" si="13"/>
        <v>35022.5</v>
      </c>
      <c r="I118" s="6">
        <f t="shared" si="14"/>
        <v>9</v>
      </c>
      <c r="J118" s="66">
        <v>10</v>
      </c>
      <c r="K118" s="66"/>
      <c r="L118" s="6">
        <f>$L110+L117</f>
        <v>7.4999999999999991</v>
      </c>
      <c r="M118" s="6">
        <f t="shared" si="22"/>
        <v>3</v>
      </c>
      <c r="N118" s="77">
        <v>100</v>
      </c>
      <c r="O118">
        <f t="shared" si="16"/>
        <v>0.5</v>
      </c>
      <c r="P118" s="77">
        <v>50</v>
      </c>
      <c r="Q118">
        <f t="shared" si="17"/>
        <v>0.3</v>
      </c>
      <c r="R118" s="75">
        <v>15</v>
      </c>
      <c r="S118" s="6">
        <f t="shared" si="18"/>
        <v>0.15</v>
      </c>
    </row>
    <row r="119" spans="1:19" x14ac:dyDescent="0.3">
      <c r="A119" s="37" t="s">
        <v>93</v>
      </c>
      <c r="B119" s="6" t="s">
        <v>167</v>
      </c>
      <c r="C119" s="77">
        <v>53550</v>
      </c>
      <c r="D119" s="6">
        <f>(C119/12)*10</f>
        <v>44625</v>
      </c>
      <c r="E119" s="66">
        <v>0</v>
      </c>
      <c r="F119" s="6">
        <f>SUM(E110:E119)</f>
        <v>5140</v>
      </c>
      <c r="G119" s="36" t="str">
        <f t="shared" si="15"/>
        <v>Farol Vermelho</v>
      </c>
      <c r="H119">
        <f t="shared" si="13"/>
        <v>39485</v>
      </c>
      <c r="I119" s="6">
        <f t="shared" si="14"/>
        <v>10</v>
      </c>
      <c r="J119" s="66">
        <v>10</v>
      </c>
      <c r="K119" s="66"/>
      <c r="L119" s="6">
        <f>$L110+L118</f>
        <v>8.3333333333333321</v>
      </c>
      <c r="M119" s="6">
        <f t="shared" si="22"/>
        <v>3</v>
      </c>
      <c r="N119" s="77">
        <v>100</v>
      </c>
      <c r="O119">
        <f t="shared" si="16"/>
        <v>0.5</v>
      </c>
      <c r="P119" s="77">
        <v>50</v>
      </c>
      <c r="Q119">
        <f t="shared" si="17"/>
        <v>0.3</v>
      </c>
      <c r="R119" s="75">
        <v>15</v>
      </c>
      <c r="S119" s="6">
        <f t="shared" si="18"/>
        <v>0.15</v>
      </c>
    </row>
    <row r="120" spans="1:19" x14ac:dyDescent="0.3">
      <c r="A120" s="37" t="s">
        <v>93</v>
      </c>
      <c r="B120" s="6" t="s">
        <v>168</v>
      </c>
      <c r="C120" s="77">
        <v>53550</v>
      </c>
      <c r="D120" s="6">
        <f>(C120/12)*11</f>
        <v>49087.5</v>
      </c>
      <c r="E120" s="66">
        <v>0</v>
      </c>
      <c r="F120" s="6">
        <f>SUM(E110:E120)</f>
        <v>5140</v>
      </c>
      <c r="G120" s="36" t="str">
        <f t="shared" si="15"/>
        <v>Farol Vermelho</v>
      </c>
      <c r="H120">
        <f t="shared" si="13"/>
        <v>43947.5</v>
      </c>
      <c r="I120" s="6">
        <f t="shared" si="14"/>
        <v>11</v>
      </c>
      <c r="J120" s="66">
        <v>10</v>
      </c>
      <c r="K120" s="66"/>
      <c r="L120" s="6">
        <f>L110+L119</f>
        <v>9.1666666666666661</v>
      </c>
      <c r="M120" s="6">
        <f t="shared" si="22"/>
        <v>3</v>
      </c>
      <c r="N120" s="77">
        <v>100</v>
      </c>
      <c r="O120">
        <f t="shared" si="16"/>
        <v>0.5</v>
      </c>
      <c r="P120" s="77">
        <v>50</v>
      </c>
      <c r="Q120">
        <f t="shared" si="17"/>
        <v>0.3</v>
      </c>
      <c r="R120" s="75">
        <v>15</v>
      </c>
      <c r="S120" s="6">
        <f t="shared" si="18"/>
        <v>0.15</v>
      </c>
    </row>
    <row r="121" spans="1:19" x14ac:dyDescent="0.3">
      <c r="A121" s="37" t="s">
        <v>93</v>
      </c>
      <c r="B121" s="6" t="s">
        <v>169</v>
      </c>
      <c r="C121" s="77">
        <v>53550</v>
      </c>
      <c r="D121" s="6">
        <f>(C121/12)*12</f>
        <v>53550</v>
      </c>
      <c r="E121" s="66">
        <v>0</v>
      </c>
      <c r="F121" s="6">
        <f>SUM(E110:E121)</f>
        <v>5140</v>
      </c>
      <c r="G121" s="36" t="str">
        <f t="shared" si="15"/>
        <v>Farol Vermelho</v>
      </c>
      <c r="H121">
        <f t="shared" si="13"/>
        <v>48410</v>
      </c>
      <c r="I121" s="6">
        <f t="shared" si="14"/>
        <v>12</v>
      </c>
      <c r="J121" s="66">
        <v>10</v>
      </c>
      <c r="K121" s="66"/>
      <c r="L121" s="6">
        <f>$L110+L120</f>
        <v>10</v>
      </c>
      <c r="M121" s="6">
        <f t="shared" si="22"/>
        <v>3</v>
      </c>
      <c r="N121" s="77">
        <v>100</v>
      </c>
      <c r="O121">
        <f t="shared" si="16"/>
        <v>0.5</v>
      </c>
      <c r="P121" s="77">
        <v>50</v>
      </c>
      <c r="Q121">
        <f t="shared" si="17"/>
        <v>0.3</v>
      </c>
      <c r="R121" s="75">
        <v>15</v>
      </c>
      <c r="S121" s="6">
        <f t="shared" si="18"/>
        <v>0.15</v>
      </c>
    </row>
    <row r="122" spans="1:19" x14ac:dyDescent="0.3">
      <c r="A122" s="37" t="s">
        <v>119</v>
      </c>
      <c r="B122" s="6" t="s">
        <v>158</v>
      </c>
      <c r="C122" s="77">
        <v>2500</v>
      </c>
      <c r="D122" s="6">
        <f>(C122/12)*1</f>
        <v>208.33333333333334</v>
      </c>
      <c r="E122" s="66">
        <v>0</v>
      </c>
      <c r="F122" s="6">
        <f>E122</f>
        <v>0</v>
      </c>
      <c r="G122" s="36" t="str">
        <f t="shared" si="15"/>
        <v>Farol Vermelho</v>
      </c>
      <c r="H122">
        <f t="shared" si="13"/>
        <v>208.33333333333334</v>
      </c>
      <c r="I122" s="6">
        <f t="shared" si="14"/>
        <v>1</v>
      </c>
      <c r="J122" s="66">
        <v>6</v>
      </c>
      <c r="K122" s="66">
        <v>0</v>
      </c>
      <c r="L122" s="6">
        <f>J122/12</f>
        <v>0.5</v>
      </c>
      <c r="M122" s="6">
        <f>K122</f>
        <v>0</v>
      </c>
      <c r="N122" s="77">
        <v>100</v>
      </c>
      <c r="O122">
        <f t="shared" si="16"/>
        <v>0.5</v>
      </c>
      <c r="P122" s="77">
        <v>50</v>
      </c>
      <c r="Q122">
        <f t="shared" si="17"/>
        <v>0.3</v>
      </c>
      <c r="R122" s="75">
        <v>15</v>
      </c>
      <c r="S122" s="6">
        <f t="shared" si="18"/>
        <v>0.15</v>
      </c>
    </row>
    <row r="123" spans="1:19" x14ac:dyDescent="0.3">
      <c r="A123" s="37" t="s">
        <v>119</v>
      </c>
      <c r="B123" s="6" t="s">
        <v>159</v>
      </c>
      <c r="C123" s="77">
        <v>2500</v>
      </c>
      <c r="D123" s="6">
        <f>(C123/12)*2</f>
        <v>416.66666666666669</v>
      </c>
      <c r="E123" s="66">
        <v>0</v>
      </c>
      <c r="F123" s="6">
        <f>SUM(E122:E123)</f>
        <v>0</v>
      </c>
      <c r="G123" s="36" t="str">
        <f t="shared" si="15"/>
        <v>Farol Vermelho</v>
      </c>
      <c r="H123">
        <f t="shared" si="13"/>
        <v>416.66666666666669</v>
      </c>
      <c r="I123" s="6">
        <f t="shared" si="14"/>
        <v>2</v>
      </c>
      <c r="J123" s="66">
        <v>6</v>
      </c>
      <c r="K123" s="66">
        <v>0</v>
      </c>
      <c r="L123" s="6">
        <f>L122+L122</f>
        <v>1</v>
      </c>
      <c r="M123" s="6">
        <f>M122+K123</f>
        <v>0</v>
      </c>
      <c r="N123" s="77">
        <v>100</v>
      </c>
      <c r="O123">
        <f t="shared" si="16"/>
        <v>0.5</v>
      </c>
      <c r="P123" s="77">
        <v>50</v>
      </c>
      <c r="Q123">
        <f t="shared" si="17"/>
        <v>0.3</v>
      </c>
      <c r="R123" s="75">
        <v>15</v>
      </c>
      <c r="S123" s="6">
        <f t="shared" si="18"/>
        <v>0.15</v>
      </c>
    </row>
    <row r="124" spans="1:19" x14ac:dyDescent="0.3">
      <c r="A124" s="37" t="s">
        <v>119</v>
      </c>
      <c r="B124" s="6" t="s">
        <v>160</v>
      </c>
      <c r="C124" s="77">
        <v>2500</v>
      </c>
      <c r="D124" s="6">
        <f>(C124/12)*3</f>
        <v>625</v>
      </c>
      <c r="E124" s="66">
        <v>0</v>
      </c>
      <c r="F124" s="6">
        <f>SUM(E122:E124)</f>
        <v>0</v>
      </c>
      <c r="G124" s="36" t="str">
        <f t="shared" si="15"/>
        <v>Farol Vermelho</v>
      </c>
      <c r="H124">
        <f t="shared" si="13"/>
        <v>625</v>
      </c>
      <c r="I124" s="6">
        <f t="shared" si="14"/>
        <v>3</v>
      </c>
      <c r="J124" s="66">
        <v>6</v>
      </c>
      <c r="K124" s="66">
        <v>0</v>
      </c>
      <c r="L124" s="6">
        <f>$L122+L123</f>
        <v>1.5</v>
      </c>
      <c r="M124" s="6">
        <f t="shared" ref="M124:M133" si="23">M123+K124</f>
        <v>0</v>
      </c>
      <c r="N124" s="77">
        <v>100</v>
      </c>
      <c r="O124">
        <f t="shared" si="16"/>
        <v>0.5</v>
      </c>
      <c r="P124" s="77">
        <v>50</v>
      </c>
      <c r="Q124">
        <f t="shared" si="17"/>
        <v>0.3</v>
      </c>
      <c r="R124" s="75">
        <v>15</v>
      </c>
      <c r="S124" s="6">
        <f t="shared" si="18"/>
        <v>0.15</v>
      </c>
    </row>
    <row r="125" spans="1:19" x14ac:dyDescent="0.3">
      <c r="A125" s="37" t="s">
        <v>119</v>
      </c>
      <c r="B125" s="6" t="s">
        <v>161</v>
      </c>
      <c r="C125" s="77">
        <v>2500</v>
      </c>
      <c r="D125" s="6">
        <f>(C125/12)*4</f>
        <v>833.33333333333337</v>
      </c>
      <c r="E125" s="66">
        <v>0</v>
      </c>
      <c r="F125" s="6">
        <f>SUM(E122:E125)</f>
        <v>0</v>
      </c>
      <c r="G125" s="36" t="str">
        <f t="shared" si="15"/>
        <v>Farol Vermelho</v>
      </c>
      <c r="H125">
        <f t="shared" si="13"/>
        <v>833.33333333333337</v>
      </c>
      <c r="I125" s="6">
        <f t="shared" si="14"/>
        <v>4</v>
      </c>
      <c r="J125" s="66">
        <v>6</v>
      </c>
      <c r="K125" s="66">
        <v>0</v>
      </c>
      <c r="L125" s="6">
        <f>$L122+L124</f>
        <v>2</v>
      </c>
      <c r="M125" s="6">
        <f t="shared" si="23"/>
        <v>0</v>
      </c>
      <c r="N125" s="77">
        <v>100</v>
      </c>
      <c r="O125">
        <f t="shared" si="16"/>
        <v>0.5</v>
      </c>
      <c r="P125" s="77">
        <v>50</v>
      </c>
      <c r="Q125">
        <f t="shared" si="17"/>
        <v>0.3</v>
      </c>
      <c r="R125" s="75">
        <v>15</v>
      </c>
      <c r="S125" s="6">
        <f t="shared" si="18"/>
        <v>0.15</v>
      </c>
    </row>
    <row r="126" spans="1:19" x14ac:dyDescent="0.3">
      <c r="A126" s="37" t="s">
        <v>119</v>
      </c>
      <c r="B126" s="6" t="s">
        <v>162</v>
      </c>
      <c r="C126" s="77">
        <v>2500</v>
      </c>
      <c r="D126" s="6">
        <f>(C126/12)*5</f>
        <v>1041.6666666666667</v>
      </c>
      <c r="E126" s="66">
        <v>0</v>
      </c>
      <c r="F126" s="6">
        <f>SUM(E122:E126)</f>
        <v>0</v>
      </c>
      <c r="G126" s="36" t="str">
        <f t="shared" si="15"/>
        <v>Farol Vermelho</v>
      </c>
      <c r="H126">
        <f t="shared" si="13"/>
        <v>1041.6666666666667</v>
      </c>
      <c r="I126" s="6">
        <f t="shared" si="14"/>
        <v>5</v>
      </c>
      <c r="J126" s="66">
        <v>6</v>
      </c>
      <c r="K126" s="66"/>
      <c r="L126" s="6">
        <f>L122+L125</f>
        <v>2.5</v>
      </c>
      <c r="M126" s="6">
        <f t="shared" si="23"/>
        <v>0</v>
      </c>
      <c r="N126" s="77">
        <v>100</v>
      </c>
      <c r="O126">
        <f t="shared" si="16"/>
        <v>0.5</v>
      </c>
      <c r="P126" s="77">
        <v>50</v>
      </c>
      <c r="Q126">
        <f t="shared" si="17"/>
        <v>0.3</v>
      </c>
      <c r="R126" s="75">
        <v>15</v>
      </c>
      <c r="S126" s="6">
        <f t="shared" si="18"/>
        <v>0.15</v>
      </c>
    </row>
    <row r="127" spans="1:19" x14ac:dyDescent="0.3">
      <c r="A127" s="37" t="s">
        <v>119</v>
      </c>
      <c r="B127" s="6" t="s">
        <v>163</v>
      </c>
      <c r="C127" s="77">
        <v>2500</v>
      </c>
      <c r="D127" s="6">
        <f>(C127/12)*6</f>
        <v>1250</v>
      </c>
      <c r="E127" s="66">
        <v>0</v>
      </c>
      <c r="F127" s="6">
        <f>SUM(E122:E127)</f>
        <v>0</v>
      </c>
      <c r="G127" s="36" t="str">
        <f t="shared" si="15"/>
        <v>Farol Vermelho</v>
      </c>
      <c r="H127">
        <f t="shared" si="13"/>
        <v>1250</v>
      </c>
      <c r="I127" s="6">
        <f t="shared" si="14"/>
        <v>6</v>
      </c>
      <c r="J127" s="66">
        <v>6</v>
      </c>
      <c r="K127" s="66"/>
      <c r="L127" s="6">
        <f>$L122+L126</f>
        <v>3</v>
      </c>
      <c r="M127" s="6">
        <f t="shared" si="23"/>
        <v>0</v>
      </c>
      <c r="N127" s="77">
        <v>100</v>
      </c>
      <c r="O127">
        <f t="shared" si="16"/>
        <v>0.5</v>
      </c>
      <c r="P127" s="77">
        <v>50</v>
      </c>
      <c r="Q127">
        <f t="shared" si="17"/>
        <v>0.3</v>
      </c>
      <c r="R127" s="75">
        <v>15</v>
      </c>
      <c r="S127" s="6">
        <f t="shared" si="18"/>
        <v>0.15</v>
      </c>
    </row>
    <row r="128" spans="1:19" x14ac:dyDescent="0.3">
      <c r="A128" s="37" t="s">
        <v>119</v>
      </c>
      <c r="B128" s="6" t="s">
        <v>164</v>
      </c>
      <c r="C128" s="77">
        <v>2500</v>
      </c>
      <c r="D128" s="6">
        <f>(C128/12)*7</f>
        <v>1458.3333333333335</v>
      </c>
      <c r="E128" s="66">
        <v>0</v>
      </c>
      <c r="F128" s="6">
        <f>SUM(E122:E128)</f>
        <v>0</v>
      </c>
      <c r="G128" s="36" t="str">
        <f t="shared" si="15"/>
        <v>Farol Vermelho</v>
      </c>
      <c r="H128">
        <f t="shared" si="13"/>
        <v>1458.3333333333335</v>
      </c>
      <c r="I128" s="6">
        <f t="shared" si="14"/>
        <v>7</v>
      </c>
      <c r="J128" s="66">
        <v>6</v>
      </c>
      <c r="K128" s="66"/>
      <c r="L128" s="6">
        <f>$L122+L127</f>
        <v>3.5</v>
      </c>
      <c r="M128" s="6">
        <f t="shared" si="23"/>
        <v>0</v>
      </c>
      <c r="N128" s="77">
        <v>100</v>
      </c>
      <c r="O128">
        <f t="shared" si="16"/>
        <v>0.5</v>
      </c>
      <c r="P128" s="77">
        <v>50</v>
      </c>
      <c r="Q128">
        <f t="shared" si="17"/>
        <v>0.3</v>
      </c>
      <c r="R128" s="75">
        <v>15</v>
      </c>
      <c r="S128" s="6">
        <f t="shared" si="18"/>
        <v>0.15</v>
      </c>
    </row>
    <row r="129" spans="1:19" x14ac:dyDescent="0.3">
      <c r="A129" s="37" t="s">
        <v>119</v>
      </c>
      <c r="B129" s="6" t="s">
        <v>165</v>
      </c>
      <c r="C129" s="77">
        <v>2500</v>
      </c>
      <c r="D129" s="6">
        <f>(C129/12)*8</f>
        <v>1666.6666666666667</v>
      </c>
      <c r="E129" s="66">
        <v>0</v>
      </c>
      <c r="F129" s="6">
        <f>SUM(E122:E129)</f>
        <v>0</v>
      </c>
      <c r="G129" s="36" t="str">
        <f t="shared" si="15"/>
        <v>Farol Vermelho</v>
      </c>
      <c r="H129">
        <f t="shared" si="13"/>
        <v>1666.6666666666667</v>
      </c>
      <c r="I129" s="6">
        <f t="shared" si="14"/>
        <v>8</v>
      </c>
      <c r="J129" s="66">
        <v>6</v>
      </c>
      <c r="K129" s="66"/>
      <c r="L129" s="6">
        <f>L122+L128</f>
        <v>4</v>
      </c>
      <c r="M129" s="6">
        <f t="shared" si="23"/>
        <v>0</v>
      </c>
      <c r="N129" s="77">
        <v>100</v>
      </c>
      <c r="O129">
        <f t="shared" si="16"/>
        <v>0.5</v>
      </c>
      <c r="P129" s="77">
        <v>50</v>
      </c>
      <c r="Q129">
        <f t="shared" si="17"/>
        <v>0.3</v>
      </c>
      <c r="R129" s="75">
        <v>15</v>
      </c>
      <c r="S129" s="6">
        <f t="shared" si="18"/>
        <v>0.15</v>
      </c>
    </row>
    <row r="130" spans="1:19" x14ac:dyDescent="0.3">
      <c r="A130" s="37" t="s">
        <v>119</v>
      </c>
      <c r="B130" s="6" t="s">
        <v>166</v>
      </c>
      <c r="C130" s="77">
        <v>2500</v>
      </c>
      <c r="D130" s="6">
        <f>(C130/12)*9</f>
        <v>1875</v>
      </c>
      <c r="E130" s="66">
        <v>0</v>
      </c>
      <c r="F130" s="6">
        <f>SUM(E122:E130)</f>
        <v>0</v>
      </c>
      <c r="G130" s="36" t="str">
        <f t="shared" si="15"/>
        <v>Farol Vermelho</v>
      </c>
      <c r="H130">
        <f t="shared" ref="H130:H193" si="24">IF(D130-F130&lt;0,0,D130-F130)</f>
        <v>1875</v>
      </c>
      <c r="I130" s="6">
        <f t="shared" ref="I130:I193" si="25">_xlfn.IFS(B130="Janeiro",1,B130="Fevereiro",2,B130="Março",3,B130="Abril",4,B130="Maio",5,B130="Junho",6,B130="Julho",7,B130="Agosto",8,B130="Setembro",9,B130="Outubro",10,B130="Novembro",11,B130="Dezembro",12,TRUE,0)</f>
        <v>9</v>
      </c>
      <c r="J130" s="66">
        <v>6</v>
      </c>
      <c r="K130" s="66"/>
      <c r="L130" s="6">
        <f>$L122+L129</f>
        <v>4.5</v>
      </c>
      <c r="M130" s="6">
        <f t="shared" si="23"/>
        <v>0</v>
      </c>
      <c r="N130" s="77">
        <v>100</v>
      </c>
      <c r="O130">
        <f t="shared" si="16"/>
        <v>0.5</v>
      </c>
      <c r="P130" s="77">
        <v>50</v>
      </c>
      <c r="Q130">
        <f t="shared" si="17"/>
        <v>0.3</v>
      </c>
      <c r="R130" s="75">
        <v>15</v>
      </c>
      <c r="S130" s="6">
        <f t="shared" si="18"/>
        <v>0.15</v>
      </c>
    </row>
    <row r="131" spans="1:19" x14ac:dyDescent="0.3">
      <c r="A131" s="37" t="s">
        <v>119</v>
      </c>
      <c r="B131" s="6" t="s">
        <v>167</v>
      </c>
      <c r="C131" s="77">
        <v>2500</v>
      </c>
      <c r="D131" s="6">
        <f>(C131/12)*10</f>
        <v>2083.3333333333335</v>
      </c>
      <c r="E131" s="66">
        <v>0</v>
      </c>
      <c r="F131" s="6">
        <f>SUM(E122:E131)</f>
        <v>0</v>
      </c>
      <c r="G131" s="36" t="str">
        <f t="shared" ref="G131:G194" si="26">_xlfn.IFS(F131&gt;D131,"Farol Verde",F131&gt;=D131*0.85,"Farol Amarelo",F131&lt;D131*0.85,"Farol Vermelho","Verdadeiro",0)</f>
        <v>Farol Vermelho</v>
      </c>
      <c r="H131">
        <f t="shared" si="24"/>
        <v>2083.3333333333335</v>
      </c>
      <c r="I131" s="6">
        <f t="shared" si="25"/>
        <v>10</v>
      </c>
      <c r="J131" s="66">
        <v>6</v>
      </c>
      <c r="K131" s="66"/>
      <c r="L131" s="6">
        <f>$L122+L130</f>
        <v>5</v>
      </c>
      <c r="M131" s="6">
        <f t="shared" si="23"/>
        <v>0</v>
      </c>
      <c r="N131" s="77">
        <v>100</v>
      </c>
      <c r="O131">
        <f t="shared" ref="O131:O194" si="27">P131/N131</f>
        <v>0.5</v>
      </c>
      <c r="P131" s="77">
        <v>50</v>
      </c>
      <c r="Q131">
        <f t="shared" ref="Q131:Q194" si="28">R131/P131</f>
        <v>0.3</v>
      </c>
      <c r="R131" s="75">
        <v>15</v>
      </c>
      <c r="S131" s="6">
        <f t="shared" ref="S131:S194" si="29">R131/N131</f>
        <v>0.15</v>
      </c>
    </row>
    <row r="132" spans="1:19" x14ac:dyDescent="0.3">
      <c r="A132" s="37" t="s">
        <v>119</v>
      </c>
      <c r="B132" s="6" t="s">
        <v>168</v>
      </c>
      <c r="C132" s="77">
        <v>2500</v>
      </c>
      <c r="D132" s="6">
        <f>(C132/12)*11</f>
        <v>2291.666666666667</v>
      </c>
      <c r="E132" s="66">
        <v>0</v>
      </c>
      <c r="F132" s="6">
        <f>SUM(E122:E132)</f>
        <v>0</v>
      </c>
      <c r="G132" s="36" t="str">
        <f t="shared" si="26"/>
        <v>Farol Vermelho</v>
      </c>
      <c r="H132">
        <f t="shared" si="24"/>
        <v>2291.666666666667</v>
      </c>
      <c r="I132" s="6">
        <f t="shared" si="25"/>
        <v>11</v>
      </c>
      <c r="J132" s="66">
        <v>6</v>
      </c>
      <c r="K132" s="66"/>
      <c r="L132" s="6">
        <f>L122+L131</f>
        <v>5.5</v>
      </c>
      <c r="M132" s="6">
        <f t="shared" si="23"/>
        <v>0</v>
      </c>
      <c r="N132" s="77">
        <v>100</v>
      </c>
      <c r="O132">
        <f t="shared" si="27"/>
        <v>0.5</v>
      </c>
      <c r="P132" s="77">
        <v>50</v>
      </c>
      <c r="Q132">
        <f t="shared" si="28"/>
        <v>0.3</v>
      </c>
      <c r="R132" s="75">
        <v>15</v>
      </c>
      <c r="S132" s="6">
        <f t="shared" si="29"/>
        <v>0.15</v>
      </c>
    </row>
    <row r="133" spans="1:19" x14ac:dyDescent="0.3">
      <c r="A133" s="37" t="s">
        <v>119</v>
      </c>
      <c r="B133" s="6" t="s">
        <v>169</v>
      </c>
      <c r="C133" s="77">
        <v>2500</v>
      </c>
      <c r="D133" s="6">
        <f>(C133/12)*12</f>
        <v>2500</v>
      </c>
      <c r="E133" s="66">
        <v>0</v>
      </c>
      <c r="F133" s="6">
        <f>SUM(E122:E133)</f>
        <v>0</v>
      </c>
      <c r="G133" s="36" t="str">
        <f t="shared" si="26"/>
        <v>Farol Vermelho</v>
      </c>
      <c r="H133">
        <f t="shared" si="24"/>
        <v>2500</v>
      </c>
      <c r="I133" s="6">
        <f t="shared" si="25"/>
        <v>12</v>
      </c>
      <c r="J133" s="66">
        <v>6</v>
      </c>
      <c r="K133" s="66"/>
      <c r="L133" s="6">
        <f>$L122+L132</f>
        <v>6</v>
      </c>
      <c r="M133" s="6">
        <f t="shared" si="23"/>
        <v>0</v>
      </c>
      <c r="N133" s="77">
        <v>100</v>
      </c>
      <c r="O133">
        <f t="shared" si="27"/>
        <v>0.5</v>
      </c>
      <c r="P133" s="77">
        <v>50</v>
      </c>
      <c r="Q133">
        <f t="shared" si="28"/>
        <v>0.3</v>
      </c>
      <c r="R133" s="75">
        <v>15</v>
      </c>
      <c r="S133" s="6">
        <f t="shared" si="29"/>
        <v>0.15</v>
      </c>
    </row>
    <row r="134" spans="1:19" x14ac:dyDescent="0.3">
      <c r="A134" s="37" t="s">
        <v>123</v>
      </c>
      <c r="B134" s="6" t="s">
        <v>158</v>
      </c>
      <c r="C134" s="77">
        <v>61746.25</v>
      </c>
      <c r="D134" s="6">
        <f>(C134/12)*1</f>
        <v>5145.520833333333</v>
      </c>
      <c r="E134" s="66">
        <v>0</v>
      </c>
      <c r="F134" s="6">
        <f>E134</f>
        <v>0</v>
      </c>
      <c r="G134" s="36" t="str">
        <f t="shared" si="26"/>
        <v>Farol Vermelho</v>
      </c>
      <c r="H134">
        <f t="shared" si="24"/>
        <v>5145.520833333333</v>
      </c>
      <c r="I134" s="6">
        <f t="shared" si="25"/>
        <v>1</v>
      </c>
      <c r="J134" s="66">
        <v>40</v>
      </c>
      <c r="K134" s="66">
        <v>0</v>
      </c>
      <c r="L134" s="6">
        <f>J134/12</f>
        <v>3.3333333333333335</v>
      </c>
      <c r="M134" s="6">
        <f>K134</f>
        <v>0</v>
      </c>
      <c r="N134" s="77">
        <v>100</v>
      </c>
      <c r="O134">
        <f t="shared" si="27"/>
        <v>0.5</v>
      </c>
      <c r="P134" s="77">
        <v>50</v>
      </c>
      <c r="Q134">
        <f t="shared" si="28"/>
        <v>0.3</v>
      </c>
      <c r="R134" s="75">
        <v>15</v>
      </c>
      <c r="S134" s="6">
        <f t="shared" si="29"/>
        <v>0.15</v>
      </c>
    </row>
    <row r="135" spans="1:19" x14ac:dyDescent="0.3">
      <c r="A135" s="37" t="s">
        <v>123</v>
      </c>
      <c r="B135" s="6" t="s">
        <v>159</v>
      </c>
      <c r="C135" s="77">
        <v>61746.25</v>
      </c>
      <c r="D135" s="6">
        <f>(C135/12)*2</f>
        <v>10291.041666666666</v>
      </c>
      <c r="E135" s="66">
        <v>100</v>
      </c>
      <c r="F135" s="6">
        <f>SUM(E134:E135)</f>
        <v>100</v>
      </c>
      <c r="G135" s="36" t="str">
        <f t="shared" si="26"/>
        <v>Farol Vermelho</v>
      </c>
      <c r="H135">
        <f t="shared" si="24"/>
        <v>10191.041666666666</v>
      </c>
      <c r="I135" s="6">
        <f t="shared" si="25"/>
        <v>2</v>
      </c>
      <c r="J135" s="66">
        <v>40</v>
      </c>
      <c r="K135" s="66">
        <v>1</v>
      </c>
      <c r="L135" s="6">
        <f>L134+L134</f>
        <v>6.666666666666667</v>
      </c>
      <c r="M135" s="6">
        <f>M134+K135</f>
        <v>1</v>
      </c>
      <c r="N135" s="77">
        <v>100</v>
      </c>
      <c r="O135">
        <f t="shared" si="27"/>
        <v>0.5</v>
      </c>
      <c r="P135" s="77">
        <v>50</v>
      </c>
      <c r="Q135">
        <f t="shared" si="28"/>
        <v>0.3</v>
      </c>
      <c r="R135" s="75">
        <v>15</v>
      </c>
      <c r="S135" s="6">
        <f t="shared" si="29"/>
        <v>0.15</v>
      </c>
    </row>
    <row r="136" spans="1:19" x14ac:dyDescent="0.3">
      <c r="A136" s="37" t="s">
        <v>123</v>
      </c>
      <c r="B136" s="6" t="s">
        <v>160</v>
      </c>
      <c r="C136" s="77">
        <v>61746.25</v>
      </c>
      <c r="D136" s="6">
        <f>(C136/12)*3</f>
        <v>15436.5625</v>
      </c>
      <c r="E136" s="66">
        <v>1425.88</v>
      </c>
      <c r="F136" s="6">
        <f>SUM(E134:E136)</f>
        <v>1525.88</v>
      </c>
      <c r="G136" s="36" t="str">
        <f t="shared" si="26"/>
        <v>Farol Vermelho</v>
      </c>
      <c r="H136">
        <f t="shared" si="24"/>
        <v>13910.682499999999</v>
      </c>
      <c r="I136" s="6">
        <f t="shared" si="25"/>
        <v>3</v>
      </c>
      <c r="J136" s="66">
        <v>40</v>
      </c>
      <c r="K136" s="66">
        <v>2</v>
      </c>
      <c r="L136" s="6">
        <f>$L134+L135</f>
        <v>10</v>
      </c>
      <c r="M136" s="6">
        <f t="shared" ref="M136:M145" si="30">M135+K136</f>
        <v>3</v>
      </c>
      <c r="N136" s="77">
        <v>100</v>
      </c>
      <c r="O136">
        <f t="shared" si="27"/>
        <v>0.5</v>
      </c>
      <c r="P136" s="77">
        <v>50</v>
      </c>
      <c r="Q136">
        <f t="shared" si="28"/>
        <v>0.3</v>
      </c>
      <c r="R136" s="75">
        <v>15</v>
      </c>
      <c r="S136" s="6">
        <f t="shared" si="29"/>
        <v>0.15</v>
      </c>
    </row>
    <row r="137" spans="1:19" x14ac:dyDescent="0.3">
      <c r="A137" s="37" t="s">
        <v>123</v>
      </c>
      <c r="B137" s="6" t="s">
        <v>161</v>
      </c>
      <c r="C137" s="77">
        <v>61746.25</v>
      </c>
      <c r="D137" s="6">
        <f>(C137/12)*4</f>
        <v>20582.083333333332</v>
      </c>
      <c r="E137" s="66">
        <v>113</v>
      </c>
      <c r="F137" s="6">
        <f>SUM(E134:E137)</f>
        <v>1638.88</v>
      </c>
      <c r="G137" s="36" t="str">
        <f t="shared" si="26"/>
        <v>Farol Vermelho</v>
      </c>
      <c r="H137">
        <f t="shared" si="24"/>
        <v>18943.203333333331</v>
      </c>
      <c r="I137" s="6">
        <f t="shared" si="25"/>
        <v>4</v>
      </c>
      <c r="J137" s="66">
        <v>40</v>
      </c>
      <c r="K137" s="66">
        <v>1</v>
      </c>
      <c r="L137" s="6">
        <f>$L134+L136</f>
        <v>13.333333333333334</v>
      </c>
      <c r="M137" s="6">
        <f t="shared" si="30"/>
        <v>4</v>
      </c>
      <c r="N137" s="77">
        <v>100</v>
      </c>
      <c r="O137">
        <f t="shared" si="27"/>
        <v>0.5</v>
      </c>
      <c r="P137" s="77">
        <v>50</v>
      </c>
      <c r="Q137">
        <f t="shared" si="28"/>
        <v>0.3</v>
      </c>
      <c r="R137" s="75">
        <v>15</v>
      </c>
      <c r="S137" s="6">
        <f t="shared" si="29"/>
        <v>0.15</v>
      </c>
    </row>
    <row r="138" spans="1:19" x14ac:dyDescent="0.3">
      <c r="A138" s="37" t="s">
        <v>123</v>
      </c>
      <c r="B138" s="6" t="s">
        <v>162</v>
      </c>
      <c r="C138" s="77">
        <v>61746.25</v>
      </c>
      <c r="D138" s="6">
        <f>(C138/12)*5</f>
        <v>25727.604166666664</v>
      </c>
      <c r="E138" s="66">
        <v>1445</v>
      </c>
      <c r="F138" s="6">
        <f>SUM(E134:E138)</f>
        <v>3083.88</v>
      </c>
      <c r="G138" s="36" t="str">
        <f t="shared" si="26"/>
        <v>Farol Vermelho</v>
      </c>
      <c r="H138">
        <f t="shared" si="24"/>
        <v>22643.724166666663</v>
      </c>
      <c r="I138" s="6">
        <f t="shared" si="25"/>
        <v>5</v>
      </c>
      <c r="J138" s="66">
        <v>40</v>
      </c>
      <c r="K138" s="66">
        <v>2</v>
      </c>
      <c r="L138" s="6">
        <f>L134+L137</f>
        <v>16.666666666666668</v>
      </c>
      <c r="M138" s="6">
        <f t="shared" si="30"/>
        <v>6</v>
      </c>
      <c r="N138" s="77">
        <v>100</v>
      </c>
      <c r="O138">
        <f t="shared" si="27"/>
        <v>0.5</v>
      </c>
      <c r="P138" s="77">
        <v>50</v>
      </c>
      <c r="Q138">
        <f t="shared" si="28"/>
        <v>0.3</v>
      </c>
      <c r="R138" s="75">
        <v>15</v>
      </c>
      <c r="S138" s="6">
        <f t="shared" si="29"/>
        <v>0.15</v>
      </c>
    </row>
    <row r="139" spans="1:19" x14ac:dyDescent="0.3">
      <c r="A139" s="37" t="s">
        <v>123</v>
      </c>
      <c r="B139" s="6" t="s">
        <v>163</v>
      </c>
      <c r="C139" s="77">
        <v>61746.25</v>
      </c>
      <c r="D139" s="6">
        <f>(C139/12)*6</f>
        <v>30873.125</v>
      </c>
      <c r="E139" s="66">
        <v>0</v>
      </c>
      <c r="F139" s="6">
        <f>SUM(E134:E139)</f>
        <v>3083.88</v>
      </c>
      <c r="G139" s="36" t="str">
        <f t="shared" si="26"/>
        <v>Farol Vermelho</v>
      </c>
      <c r="H139">
        <f t="shared" si="24"/>
        <v>27789.244999999999</v>
      </c>
      <c r="I139" s="6">
        <f t="shared" si="25"/>
        <v>6</v>
      </c>
      <c r="J139" s="66">
        <v>40</v>
      </c>
      <c r="K139" s="66"/>
      <c r="L139" s="6">
        <f>$L134+L138</f>
        <v>20</v>
      </c>
      <c r="M139" s="6">
        <f t="shared" si="30"/>
        <v>6</v>
      </c>
      <c r="N139" s="77">
        <v>100</v>
      </c>
      <c r="O139">
        <f t="shared" si="27"/>
        <v>0.5</v>
      </c>
      <c r="P139" s="77">
        <v>50</v>
      </c>
      <c r="Q139">
        <f t="shared" si="28"/>
        <v>0.3</v>
      </c>
      <c r="R139" s="75">
        <v>15</v>
      </c>
      <c r="S139" s="6">
        <f t="shared" si="29"/>
        <v>0.15</v>
      </c>
    </row>
    <row r="140" spans="1:19" x14ac:dyDescent="0.3">
      <c r="A140" s="37" t="s">
        <v>123</v>
      </c>
      <c r="B140" s="6" t="s">
        <v>164</v>
      </c>
      <c r="C140" s="77">
        <v>61746.25</v>
      </c>
      <c r="D140" s="6">
        <f>(C140/12)*7</f>
        <v>36018.645833333328</v>
      </c>
      <c r="E140" s="66">
        <v>0</v>
      </c>
      <c r="F140" s="6">
        <f>SUM(E134:E140)</f>
        <v>3083.88</v>
      </c>
      <c r="G140" s="36" t="str">
        <f t="shared" si="26"/>
        <v>Farol Vermelho</v>
      </c>
      <c r="H140">
        <f t="shared" si="24"/>
        <v>32934.765833333331</v>
      </c>
      <c r="I140" s="6">
        <f t="shared" si="25"/>
        <v>7</v>
      </c>
      <c r="J140" s="66">
        <v>40</v>
      </c>
      <c r="K140" s="66"/>
      <c r="L140" s="6">
        <f>$L134+L139</f>
        <v>23.333333333333332</v>
      </c>
      <c r="M140" s="6">
        <f t="shared" si="30"/>
        <v>6</v>
      </c>
      <c r="N140" s="77">
        <v>100</v>
      </c>
      <c r="O140">
        <f t="shared" si="27"/>
        <v>0.5</v>
      </c>
      <c r="P140" s="77">
        <v>50</v>
      </c>
      <c r="Q140">
        <f t="shared" si="28"/>
        <v>0.3</v>
      </c>
      <c r="R140" s="75">
        <v>15</v>
      </c>
      <c r="S140" s="6">
        <f t="shared" si="29"/>
        <v>0.15</v>
      </c>
    </row>
    <row r="141" spans="1:19" x14ac:dyDescent="0.3">
      <c r="A141" s="37" t="s">
        <v>123</v>
      </c>
      <c r="B141" s="6" t="s">
        <v>165</v>
      </c>
      <c r="C141" s="77">
        <v>61746.25</v>
      </c>
      <c r="D141" s="6">
        <f>(C141/12)*8</f>
        <v>41164.166666666664</v>
      </c>
      <c r="E141" s="66">
        <v>0</v>
      </c>
      <c r="F141" s="6">
        <f>SUM(E134:E141)</f>
        <v>3083.88</v>
      </c>
      <c r="G141" s="36" t="str">
        <f t="shared" si="26"/>
        <v>Farol Vermelho</v>
      </c>
      <c r="H141">
        <f t="shared" si="24"/>
        <v>38080.286666666667</v>
      </c>
      <c r="I141" s="6">
        <f t="shared" si="25"/>
        <v>8</v>
      </c>
      <c r="J141" s="66">
        <v>40</v>
      </c>
      <c r="K141" s="66"/>
      <c r="L141" s="6">
        <f>L134+L140</f>
        <v>26.666666666666664</v>
      </c>
      <c r="M141" s="6">
        <f t="shared" si="30"/>
        <v>6</v>
      </c>
      <c r="N141" s="77">
        <v>100</v>
      </c>
      <c r="O141">
        <f t="shared" si="27"/>
        <v>0.5</v>
      </c>
      <c r="P141" s="77">
        <v>50</v>
      </c>
      <c r="Q141">
        <f t="shared" si="28"/>
        <v>0.3</v>
      </c>
      <c r="R141" s="75">
        <v>15</v>
      </c>
      <c r="S141" s="6">
        <f t="shared" si="29"/>
        <v>0.15</v>
      </c>
    </row>
    <row r="142" spans="1:19" x14ac:dyDescent="0.3">
      <c r="A142" s="37" t="s">
        <v>123</v>
      </c>
      <c r="B142" s="6" t="s">
        <v>166</v>
      </c>
      <c r="C142" s="77">
        <v>61746.25</v>
      </c>
      <c r="D142" s="6">
        <f>(C142/12)*9</f>
        <v>46309.6875</v>
      </c>
      <c r="E142" s="66">
        <v>0</v>
      </c>
      <c r="F142" s="6">
        <f>SUM(E134:E142)</f>
        <v>3083.88</v>
      </c>
      <c r="G142" s="36" t="str">
        <f t="shared" si="26"/>
        <v>Farol Vermelho</v>
      </c>
      <c r="H142">
        <f t="shared" si="24"/>
        <v>43225.807500000003</v>
      </c>
      <c r="I142" s="6">
        <f t="shared" si="25"/>
        <v>9</v>
      </c>
      <c r="J142" s="66">
        <v>40</v>
      </c>
      <c r="K142" s="66"/>
      <c r="L142" s="6">
        <f>$L134+L141</f>
        <v>29.999999999999996</v>
      </c>
      <c r="M142" s="6">
        <f t="shared" si="30"/>
        <v>6</v>
      </c>
      <c r="N142" s="77">
        <v>100</v>
      </c>
      <c r="O142">
        <f t="shared" si="27"/>
        <v>0.5</v>
      </c>
      <c r="P142" s="77">
        <v>50</v>
      </c>
      <c r="Q142">
        <f t="shared" si="28"/>
        <v>0.3</v>
      </c>
      <c r="R142" s="75">
        <v>15</v>
      </c>
      <c r="S142" s="6">
        <f t="shared" si="29"/>
        <v>0.15</v>
      </c>
    </row>
    <row r="143" spans="1:19" x14ac:dyDescent="0.3">
      <c r="A143" s="37" t="s">
        <v>123</v>
      </c>
      <c r="B143" s="6" t="s">
        <v>167</v>
      </c>
      <c r="C143" s="77">
        <v>61746.25</v>
      </c>
      <c r="D143" s="6">
        <f>(C143/12)*10</f>
        <v>51455.208333333328</v>
      </c>
      <c r="E143" s="66">
        <v>0</v>
      </c>
      <c r="F143" s="6">
        <f>SUM(E134:E143)</f>
        <v>3083.88</v>
      </c>
      <c r="G143" s="36" t="str">
        <f t="shared" si="26"/>
        <v>Farol Vermelho</v>
      </c>
      <c r="H143">
        <f t="shared" si="24"/>
        <v>48371.328333333331</v>
      </c>
      <c r="I143" s="6">
        <f t="shared" si="25"/>
        <v>10</v>
      </c>
      <c r="J143" s="66">
        <v>40</v>
      </c>
      <c r="K143" s="66"/>
      <c r="L143" s="6">
        <f>$L134+L142</f>
        <v>33.333333333333329</v>
      </c>
      <c r="M143" s="6">
        <f t="shared" si="30"/>
        <v>6</v>
      </c>
      <c r="N143" s="77">
        <v>100</v>
      </c>
      <c r="O143">
        <f t="shared" si="27"/>
        <v>0.5</v>
      </c>
      <c r="P143" s="77">
        <v>50</v>
      </c>
      <c r="Q143">
        <f t="shared" si="28"/>
        <v>0.3</v>
      </c>
      <c r="R143" s="75">
        <v>15</v>
      </c>
      <c r="S143" s="6">
        <f t="shared" si="29"/>
        <v>0.15</v>
      </c>
    </row>
    <row r="144" spans="1:19" x14ac:dyDescent="0.3">
      <c r="A144" s="37" t="s">
        <v>123</v>
      </c>
      <c r="B144" s="6" t="s">
        <v>168</v>
      </c>
      <c r="C144" s="77">
        <v>61746.25</v>
      </c>
      <c r="D144" s="6">
        <f>(C144/12)*11</f>
        <v>56600.729166666664</v>
      </c>
      <c r="E144" s="66">
        <v>0</v>
      </c>
      <c r="F144" s="6">
        <f>SUM(E134:E144)</f>
        <v>3083.88</v>
      </c>
      <c r="G144" s="36" t="str">
        <f t="shared" si="26"/>
        <v>Farol Vermelho</v>
      </c>
      <c r="H144">
        <f t="shared" si="24"/>
        <v>53516.849166666667</v>
      </c>
      <c r="I144" s="6">
        <f t="shared" si="25"/>
        <v>11</v>
      </c>
      <c r="J144" s="66">
        <v>40</v>
      </c>
      <c r="K144" s="66"/>
      <c r="L144" s="6">
        <f>L134+L143</f>
        <v>36.666666666666664</v>
      </c>
      <c r="M144" s="6">
        <f t="shared" si="30"/>
        <v>6</v>
      </c>
      <c r="N144" s="77">
        <v>100</v>
      </c>
      <c r="O144">
        <f t="shared" si="27"/>
        <v>0.5</v>
      </c>
      <c r="P144" s="77">
        <v>50</v>
      </c>
      <c r="Q144">
        <f t="shared" si="28"/>
        <v>0.3</v>
      </c>
      <c r="R144" s="75">
        <v>15</v>
      </c>
      <c r="S144" s="6">
        <f t="shared" si="29"/>
        <v>0.15</v>
      </c>
    </row>
    <row r="145" spans="1:19" x14ac:dyDescent="0.3">
      <c r="A145" s="37" t="s">
        <v>123</v>
      </c>
      <c r="B145" s="6" t="s">
        <v>169</v>
      </c>
      <c r="C145" s="77">
        <v>61746.25</v>
      </c>
      <c r="D145" s="6">
        <f>(C145/12)*12</f>
        <v>61746.25</v>
      </c>
      <c r="E145" s="66">
        <v>0</v>
      </c>
      <c r="F145" s="6">
        <f>SUM(E134:E145)</f>
        <v>3083.88</v>
      </c>
      <c r="G145" s="36" t="str">
        <f t="shared" si="26"/>
        <v>Farol Vermelho</v>
      </c>
      <c r="H145">
        <f t="shared" si="24"/>
        <v>58662.37</v>
      </c>
      <c r="I145" s="6">
        <f t="shared" si="25"/>
        <v>12</v>
      </c>
      <c r="J145" s="66">
        <v>40</v>
      </c>
      <c r="K145" s="66"/>
      <c r="L145" s="6">
        <f>$L134+L144</f>
        <v>40</v>
      </c>
      <c r="M145" s="6">
        <f t="shared" si="30"/>
        <v>6</v>
      </c>
      <c r="N145" s="77">
        <v>100</v>
      </c>
      <c r="O145">
        <f t="shared" si="27"/>
        <v>0.5</v>
      </c>
      <c r="P145" s="77">
        <v>50</v>
      </c>
      <c r="Q145">
        <f t="shared" si="28"/>
        <v>0.3</v>
      </c>
      <c r="R145" s="75">
        <v>15</v>
      </c>
      <c r="S145" s="6">
        <f t="shared" si="29"/>
        <v>0.15</v>
      </c>
    </row>
    <row r="146" spans="1:19" x14ac:dyDescent="0.3">
      <c r="A146" s="37" t="s">
        <v>103</v>
      </c>
      <c r="B146" s="6" t="s">
        <v>158</v>
      </c>
      <c r="C146" s="77">
        <v>12000</v>
      </c>
      <c r="D146" s="6">
        <f>(C146/12)*1</f>
        <v>1000</v>
      </c>
      <c r="E146" s="66">
        <v>0</v>
      </c>
      <c r="F146" s="6">
        <f>E146</f>
        <v>0</v>
      </c>
      <c r="G146" s="36" t="str">
        <f t="shared" si="26"/>
        <v>Farol Vermelho</v>
      </c>
      <c r="H146">
        <f t="shared" si="24"/>
        <v>1000</v>
      </c>
      <c r="I146" s="6">
        <f t="shared" si="25"/>
        <v>1</v>
      </c>
      <c r="J146" s="66">
        <v>40</v>
      </c>
      <c r="K146" s="66">
        <v>0</v>
      </c>
      <c r="L146" s="6">
        <f>J146/12</f>
        <v>3.3333333333333335</v>
      </c>
      <c r="M146" s="6">
        <f>K146</f>
        <v>0</v>
      </c>
      <c r="N146" s="77">
        <v>100</v>
      </c>
      <c r="O146">
        <f t="shared" si="27"/>
        <v>0.5</v>
      </c>
      <c r="P146" s="77">
        <v>50</v>
      </c>
      <c r="Q146">
        <f t="shared" si="28"/>
        <v>0.3</v>
      </c>
      <c r="R146" s="75">
        <v>15</v>
      </c>
      <c r="S146" s="6">
        <f t="shared" si="29"/>
        <v>0.15</v>
      </c>
    </row>
    <row r="147" spans="1:19" x14ac:dyDescent="0.3">
      <c r="A147" s="37" t="s">
        <v>103</v>
      </c>
      <c r="B147" s="6" t="s">
        <v>159</v>
      </c>
      <c r="C147" s="77">
        <v>12000</v>
      </c>
      <c r="D147" s="6">
        <f>(C147/12)*2</f>
        <v>2000</v>
      </c>
      <c r="E147" s="66">
        <v>0</v>
      </c>
      <c r="F147" s="6">
        <f>SUM(E146:E147)</f>
        <v>0</v>
      </c>
      <c r="G147" s="36" t="str">
        <f t="shared" si="26"/>
        <v>Farol Vermelho</v>
      </c>
      <c r="H147">
        <f t="shared" si="24"/>
        <v>2000</v>
      </c>
      <c r="I147" s="6">
        <f t="shared" si="25"/>
        <v>2</v>
      </c>
      <c r="J147" s="66">
        <v>40</v>
      </c>
      <c r="K147" s="66">
        <v>0</v>
      </c>
      <c r="L147" s="6">
        <f>L146+L146</f>
        <v>6.666666666666667</v>
      </c>
      <c r="M147" s="6">
        <f>M146+K147</f>
        <v>0</v>
      </c>
      <c r="N147" s="77">
        <v>100</v>
      </c>
      <c r="O147">
        <f t="shared" si="27"/>
        <v>0.5</v>
      </c>
      <c r="P147" s="77">
        <v>50</v>
      </c>
      <c r="Q147">
        <f t="shared" si="28"/>
        <v>0.3</v>
      </c>
      <c r="R147" s="75">
        <v>15</v>
      </c>
      <c r="S147" s="6">
        <f t="shared" si="29"/>
        <v>0.15</v>
      </c>
    </row>
    <row r="148" spans="1:19" x14ac:dyDescent="0.3">
      <c r="A148" s="37" t="s">
        <v>103</v>
      </c>
      <c r="B148" s="6" t="s">
        <v>160</v>
      </c>
      <c r="C148" s="77">
        <v>12000</v>
      </c>
      <c r="D148" s="6">
        <f>(C148/12)*3</f>
        <v>3000</v>
      </c>
      <c r="E148" s="66">
        <v>0</v>
      </c>
      <c r="F148" s="6">
        <f>SUM(E146:E148)</f>
        <v>0</v>
      </c>
      <c r="G148" s="36" t="str">
        <f t="shared" si="26"/>
        <v>Farol Vermelho</v>
      </c>
      <c r="H148">
        <f t="shared" si="24"/>
        <v>3000</v>
      </c>
      <c r="I148" s="6">
        <f t="shared" si="25"/>
        <v>3</v>
      </c>
      <c r="J148" s="66">
        <v>40</v>
      </c>
      <c r="K148" s="66">
        <v>0</v>
      </c>
      <c r="L148" s="6">
        <f>$L146+L147</f>
        <v>10</v>
      </c>
      <c r="M148" s="6">
        <f t="shared" ref="M148:M157" si="31">M147+K148</f>
        <v>0</v>
      </c>
      <c r="N148" s="77">
        <v>100</v>
      </c>
      <c r="O148">
        <f t="shared" si="27"/>
        <v>0.5</v>
      </c>
      <c r="P148" s="77">
        <v>50</v>
      </c>
      <c r="Q148">
        <f t="shared" si="28"/>
        <v>0.3</v>
      </c>
      <c r="R148" s="75">
        <v>15</v>
      </c>
      <c r="S148" s="6">
        <f t="shared" si="29"/>
        <v>0.15</v>
      </c>
    </row>
    <row r="149" spans="1:19" x14ac:dyDescent="0.3">
      <c r="A149" s="37" t="s">
        <v>103</v>
      </c>
      <c r="B149" s="6" t="s">
        <v>161</v>
      </c>
      <c r="C149" s="77">
        <v>12000</v>
      </c>
      <c r="D149" s="6">
        <f>(C149/12)*4</f>
        <v>4000</v>
      </c>
      <c r="E149" s="66">
        <v>245</v>
      </c>
      <c r="F149" s="6">
        <f>SUM(E146:E149)</f>
        <v>245</v>
      </c>
      <c r="G149" s="36" t="str">
        <f t="shared" si="26"/>
        <v>Farol Vermelho</v>
      </c>
      <c r="H149">
        <f t="shared" si="24"/>
        <v>3755</v>
      </c>
      <c r="I149" s="6">
        <f t="shared" si="25"/>
        <v>4</v>
      </c>
      <c r="J149" s="66">
        <v>40</v>
      </c>
      <c r="K149" s="66">
        <v>4</v>
      </c>
      <c r="L149" s="6">
        <f>$L146+L148</f>
        <v>13.333333333333334</v>
      </c>
      <c r="M149" s="6">
        <f t="shared" si="31"/>
        <v>4</v>
      </c>
      <c r="N149" s="77">
        <v>100</v>
      </c>
      <c r="O149">
        <f t="shared" si="27"/>
        <v>0.5</v>
      </c>
      <c r="P149" s="77">
        <v>50</v>
      </c>
      <c r="Q149">
        <f t="shared" si="28"/>
        <v>0.3</v>
      </c>
      <c r="R149" s="75">
        <v>15</v>
      </c>
      <c r="S149" s="6">
        <f t="shared" si="29"/>
        <v>0.15</v>
      </c>
    </row>
    <row r="150" spans="1:19" x14ac:dyDescent="0.3">
      <c r="A150" s="37" t="s">
        <v>103</v>
      </c>
      <c r="B150" s="6" t="s">
        <v>162</v>
      </c>
      <c r="C150" s="77">
        <v>12000</v>
      </c>
      <c r="D150" s="6">
        <f>(C150/12)*5</f>
        <v>5000</v>
      </c>
      <c r="E150" s="66">
        <v>577.5</v>
      </c>
      <c r="F150" s="6">
        <f>SUM(E146:E150)</f>
        <v>822.5</v>
      </c>
      <c r="G150" s="36" t="str">
        <f t="shared" si="26"/>
        <v>Farol Vermelho</v>
      </c>
      <c r="H150">
        <f t="shared" si="24"/>
        <v>4177.5</v>
      </c>
      <c r="I150" s="6">
        <f t="shared" si="25"/>
        <v>5</v>
      </c>
      <c r="J150" s="66">
        <v>40</v>
      </c>
      <c r="K150" s="66">
        <v>4</v>
      </c>
      <c r="L150" s="6">
        <f>L146+L149</f>
        <v>16.666666666666668</v>
      </c>
      <c r="M150" s="6">
        <f t="shared" si="31"/>
        <v>8</v>
      </c>
      <c r="N150" s="77">
        <v>100</v>
      </c>
      <c r="O150">
        <f t="shared" si="27"/>
        <v>0.5</v>
      </c>
      <c r="P150" s="77">
        <v>50</v>
      </c>
      <c r="Q150">
        <f t="shared" si="28"/>
        <v>0.3</v>
      </c>
      <c r="R150" s="75">
        <v>15</v>
      </c>
      <c r="S150" s="6">
        <f t="shared" si="29"/>
        <v>0.15</v>
      </c>
    </row>
    <row r="151" spans="1:19" x14ac:dyDescent="0.3">
      <c r="A151" s="37" t="s">
        <v>103</v>
      </c>
      <c r="B151" s="6" t="s">
        <v>163</v>
      </c>
      <c r="C151" s="77">
        <v>12000</v>
      </c>
      <c r="D151" s="6">
        <f>(C151/12)*6</f>
        <v>6000</v>
      </c>
      <c r="E151" s="66">
        <v>0</v>
      </c>
      <c r="F151" s="6">
        <f>SUM(E146:E151)</f>
        <v>822.5</v>
      </c>
      <c r="G151" s="36" t="str">
        <f t="shared" si="26"/>
        <v>Farol Vermelho</v>
      </c>
      <c r="H151">
        <f t="shared" si="24"/>
        <v>5177.5</v>
      </c>
      <c r="I151" s="6">
        <f t="shared" si="25"/>
        <v>6</v>
      </c>
      <c r="J151" s="66">
        <v>40</v>
      </c>
      <c r="K151" s="66"/>
      <c r="L151" s="6">
        <f>$L146+L150</f>
        <v>20</v>
      </c>
      <c r="M151" s="6">
        <f t="shared" si="31"/>
        <v>8</v>
      </c>
      <c r="N151" s="77">
        <v>100</v>
      </c>
      <c r="O151">
        <f t="shared" si="27"/>
        <v>0.5</v>
      </c>
      <c r="P151" s="77">
        <v>50</v>
      </c>
      <c r="Q151">
        <f t="shared" si="28"/>
        <v>0.3</v>
      </c>
      <c r="R151" s="75">
        <v>15</v>
      </c>
      <c r="S151" s="6">
        <f t="shared" si="29"/>
        <v>0.15</v>
      </c>
    </row>
    <row r="152" spans="1:19" x14ac:dyDescent="0.3">
      <c r="A152" s="37" t="s">
        <v>103</v>
      </c>
      <c r="B152" s="6" t="s">
        <v>164</v>
      </c>
      <c r="C152" s="77">
        <v>12000</v>
      </c>
      <c r="D152" s="6">
        <f>(C152/12)*7</f>
        <v>7000</v>
      </c>
      <c r="E152" s="66">
        <v>0</v>
      </c>
      <c r="F152" s="6">
        <f>SUM(E146:E152)</f>
        <v>822.5</v>
      </c>
      <c r="G152" s="36" t="str">
        <f t="shared" si="26"/>
        <v>Farol Vermelho</v>
      </c>
      <c r="H152">
        <f t="shared" si="24"/>
        <v>6177.5</v>
      </c>
      <c r="I152" s="6">
        <f t="shared" si="25"/>
        <v>7</v>
      </c>
      <c r="J152" s="66">
        <v>40</v>
      </c>
      <c r="K152" s="66"/>
      <c r="L152" s="6">
        <f>$L146+L151</f>
        <v>23.333333333333332</v>
      </c>
      <c r="M152" s="6">
        <f t="shared" si="31"/>
        <v>8</v>
      </c>
      <c r="N152" s="77">
        <v>100</v>
      </c>
      <c r="O152">
        <f t="shared" si="27"/>
        <v>0.5</v>
      </c>
      <c r="P152" s="77">
        <v>50</v>
      </c>
      <c r="Q152">
        <f t="shared" si="28"/>
        <v>0.3</v>
      </c>
      <c r="R152" s="75">
        <v>15</v>
      </c>
      <c r="S152" s="6">
        <f t="shared" si="29"/>
        <v>0.15</v>
      </c>
    </row>
    <row r="153" spans="1:19" x14ac:dyDescent="0.3">
      <c r="A153" s="37" t="s">
        <v>103</v>
      </c>
      <c r="B153" s="6" t="s">
        <v>165</v>
      </c>
      <c r="C153" s="77">
        <v>12000</v>
      </c>
      <c r="D153" s="6">
        <f>(C153/12)*8</f>
        <v>8000</v>
      </c>
      <c r="E153" s="66">
        <v>0</v>
      </c>
      <c r="F153" s="6">
        <f>SUM(E146:E153)</f>
        <v>822.5</v>
      </c>
      <c r="G153" s="36" t="str">
        <f t="shared" si="26"/>
        <v>Farol Vermelho</v>
      </c>
      <c r="H153">
        <f t="shared" si="24"/>
        <v>7177.5</v>
      </c>
      <c r="I153" s="6">
        <f t="shared" si="25"/>
        <v>8</v>
      </c>
      <c r="J153" s="66">
        <v>40</v>
      </c>
      <c r="K153" s="66"/>
      <c r="L153" s="6">
        <f>L146+L152</f>
        <v>26.666666666666664</v>
      </c>
      <c r="M153" s="6">
        <f t="shared" si="31"/>
        <v>8</v>
      </c>
      <c r="N153" s="77">
        <v>100</v>
      </c>
      <c r="O153">
        <f t="shared" si="27"/>
        <v>0.5</v>
      </c>
      <c r="P153" s="77">
        <v>50</v>
      </c>
      <c r="Q153">
        <f t="shared" si="28"/>
        <v>0.3</v>
      </c>
      <c r="R153" s="75">
        <v>15</v>
      </c>
      <c r="S153" s="6">
        <f t="shared" si="29"/>
        <v>0.15</v>
      </c>
    </row>
    <row r="154" spans="1:19" x14ac:dyDescent="0.3">
      <c r="A154" s="37" t="s">
        <v>103</v>
      </c>
      <c r="B154" s="6" t="s">
        <v>166</v>
      </c>
      <c r="C154" s="77">
        <v>12000</v>
      </c>
      <c r="D154" s="6">
        <f>(C154/12)*9</f>
        <v>9000</v>
      </c>
      <c r="E154" s="66">
        <v>0</v>
      </c>
      <c r="F154" s="6">
        <f>SUM(E146:E154)</f>
        <v>822.5</v>
      </c>
      <c r="G154" s="36" t="str">
        <f t="shared" si="26"/>
        <v>Farol Vermelho</v>
      </c>
      <c r="H154">
        <f t="shared" si="24"/>
        <v>8177.5</v>
      </c>
      <c r="I154" s="6">
        <f t="shared" si="25"/>
        <v>9</v>
      </c>
      <c r="J154" s="66">
        <v>40</v>
      </c>
      <c r="K154" s="66"/>
      <c r="L154" s="6">
        <f>$L146+L153</f>
        <v>29.999999999999996</v>
      </c>
      <c r="M154" s="6">
        <f t="shared" si="31"/>
        <v>8</v>
      </c>
      <c r="N154" s="77">
        <v>100</v>
      </c>
      <c r="O154">
        <f t="shared" si="27"/>
        <v>0.5</v>
      </c>
      <c r="P154" s="77">
        <v>50</v>
      </c>
      <c r="Q154">
        <f t="shared" si="28"/>
        <v>0.3</v>
      </c>
      <c r="R154" s="75">
        <v>15</v>
      </c>
      <c r="S154" s="6">
        <f t="shared" si="29"/>
        <v>0.15</v>
      </c>
    </row>
    <row r="155" spans="1:19" x14ac:dyDescent="0.3">
      <c r="A155" s="37" t="s">
        <v>103</v>
      </c>
      <c r="B155" s="6" t="s">
        <v>167</v>
      </c>
      <c r="C155" s="77">
        <v>12000</v>
      </c>
      <c r="D155" s="6">
        <f>(C155/12)*10</f>
        <v>10000</v>
      </c>
      <c r="E155" s="66">
        <v>0</v>
      </c>
      <c r="F155" s="6">
        <f>SUM(E146:E155)</f>
        <v>822.5</v>
      </c>
      <c r="G155" s="36" t="str">
        <f t="shared" si="26"/>
        <v>Farol Vermelho</v>
      </c>
      <c r="H155">
        <f t="shared" si="24"/>
        <v>9177.5</v>
      </c>
      <c r="I155" s="6">
        <f t="shared" si="25"/>
        <v>10</v>
      </c>
      <c r="J155" s="66">
        <v>40</v>
      </c>
      <c r="K155" s="66"/>
      <c r="L155" s="6">
        <f>$L146+L154</f>
        <v>33.333333333333329</v>
      </c>
      <c r="M155" s="6">
        <f t="shared" si="31"/>
        <v>8</v>
      </c>
      <c r="N155" s="77">
        <v>100</v>
      </c>
      <c r="O155">
        <f t="shared" si="27"/>
        <v>0.5</v>
      </c>
      <c r="P155" s="77">
        <v>50</v>
      </c>
      <c r="Q155">
        <f t="shared" si="28"/>
        <v>0.3</v>
      </c>
      <c r="R155" s="75">
        <v>15</v>
      </c>
      <c r="S155" s="6">
        <f t="shared" si="29"/>
        <v>0.15</v>
      </c>
    </row>
    <row r="156" spans="1:19" x14ac:dyDescent="0.3">
      <c r="A156" s="37" t="s">
        <v>103</v>
      </c>
      <c r="B156" s="6" t="s">
        <v>168</v>
      </c>
      <c r="C156" s="77">
        <v>12000</v>
      </c>
      <c r="D156" s="6">
        <f>(C156/12)*11</f>
        <v>11000</v>
      </c>
      <c r="E156" s="66">
        <v>0</v>
      </c>
      <c r="F156" s="6">
        <f>SUM(E146:E156)</f>
        <v>822.5</v>
      </c>
      <c r="G156" s="36" t="str">
        <f t="shared" si="26"/>
        <v>Farol Vermelho</v>
      </c>
      <c r="H156">
        <f t="shared" si="24"/>
        <v>10177.5</v>
      </c>
      <c r="I156" s="6">
        <f t="shared" si="25"/>
        <v>11</v>
      </c>
      <c r="J156" s="66">
        <v>40</v>
      </c>
      <c r="K156" s="66"/>
      <c r="L156" s="6">
        <f>L146+L155</f>
        <v>36.666666666666664</v>
      </c>
      <c r="M156" s="6">
        <f t="shared" si="31"/>
        <v>8</v>
      </c>
      <c r="N156" s="77">
        <v>100</v>
      </c>
      <c r="O156">
        <f t="shared" si="27"/>
        <v>0.5</v>
      </c>
      <c r="P156" s="77">
        <v>50</v>
      </c>
      <c r="Q156">
        <f t="shared" si="28"/>
        <v>0.3</v>
      </c>
      <c r="R156" s="75">
        <v>15</v>
      </c>
      <c r="S156" s="6">
        <f t="shared" si="29"/>
        <v>0.15</v>
      </c>
    </row>
    <row r="157" spans="1:19" x14ac:dyDescent="0.3">
      <c r="A157" s="37" t="s">
        <v>103</v>
      </c>
      <c r="B157" s="6" t="s">
        <v>169</v>
      </c>
      <c r="C157" s="77">
        <v>12000</v>
      </c>
      <c r="D157" s="6">
        <f>(C157/12)*12</f>
        <v>12000</v>
      </c>
      <c r="E157" s="66">
        <v>0</v>
      </c>
      <c r="F157" s="6">
        <f>SUM(E146:E157)</f>
        <v>822.5</v>
      </c>
      <c r="G157" s="36" t="str">
        <f t="shared" si="26"/>
        <v>Farol Vermelho</v>
      </c>
      <c r="H157">
        <f t="shared" si="24"/>
        <v>11177.5</v>
      </c>
      <c r="I157" s="6">
        <f t="shared" si="25"/>
        <v>12</v>
      </c>
      <c r="J157" s="66">
        <v>40</v>
      </c>
      <c r="K157" s="66"/>
      <c r="L157" s="6">
        <f>$L146+L156</f>
        <v>40</v>
      </c>
      <c r="M157" s="6">
        <f t="shared" si="31"/>
        <v>8</v>
      </c>
      <c r="N157" s="77">
        <v>100</v>
      </c>
      <c r="O157">
        <f t="shared" si="27"/>
        <v>0.5</v>
      </c>
      <c r="P157" s="77">
        <v>50</v>
      </c>
      <c r="Q157">
        <f t="shared" si="28"/>
        <v>0.3</v>
      </c>
      <c r="R157" s="75">
        <v>15</v>
      </c>
      <c r="S157" s="6">
        <f t="shared" si="29"/>
        <v>0.15</v>
      </c>
    </row>
    <row r="158" spans="1:19" x14ac:dyDescent="0.3">
      <c r="A158" s="37" t="s">
        <v>129</v>
      </c>
      <c r="B158" s="6" t="s">
        <v>158</v>
      </c>
      <c r="C158" s="77">
        <v>57000</v>
      </c>
      <c r="D158" s="6">
        <f>(C158/12)*1</f>
        <v>4750</v>
      </c>
      <c r="E158" s="66">
        <v>1400</v>
      </c>
      <c r="F158" s="6">
        <f>E158</f>
        <v>1400</v>
      </c>
      <c r="G158" s="36" t="str">
        <f t="shared" si="26"/>
        <v>Farol Vermelho</v>
      </c>
      <c r="H158">
        <f t="shared" si="24"/>
        <v>3350</v>
      </c>
      <c r="I158" s="6">
        <f t="shared" si="25"/>
        <v>1</v>
      </c>
      <c r="J158" s="66">
        <v>12</v>
      </c>
      <c r="K158" s="66">
        <v>1</v>
      </c>
      <c r="L158" s="6">
        <f>J158/12</f>
        <v>1</v>
      </c>
      <c r="M158" s="6">
        <f>K158</f>
        <v>1</v>
      </c>
      <c r="N158" s="77">
        <v>100</v>
      </c>
      <c r="O158">
        <f t="shared" si="27"/>
        <v>0.5</v>
      </c>
      <c r="P158" s="77">
        <v>50</v>
      </c>
      <c r="Q158">
        <f t="shared" si="28"/>
        <v>0.3</v>
      </c>
      <c r="R158" s="75">
        <v>15</v>
      </c>
      <c r="S158" s="6">
        <f t="shared" si="29"/>
        <v>0.15</v>
      </c>
    </row>
    <row r="159" spans="1:19" x14ac:dyDescent="0.3">
      <c r="A159" s="37" t="s">
        <v>129</v>
      </c>
      <c r="B159" s="6" t="s">
        <v>159</v>
      </c>
      <c r="C159" s="77">
        <v>57000</v>
      </c>
      <c r="D159" s="6">
        <f>(C159/12)*2</f>
        <v>9500</v>
      </c>
      <c r="E159" s="66">
        <v>0</v>
      </c>
      <c r="F159" s="6">
        <f>SUM(E158:E159)</f>
        <v>1400</v>
      </c>
      <c r="G159" s="36" t="str">
        <f t="shared" si="26"/>
        <v>Farol Vermelho</v>
      </c>
      <c r="H159">
        <f t="shared" si="24"/>
        <v>8100</v>
      </c>
      <c r="I159" s="6">
        <f t="shared" si="25"/>
        <v>2</v>
      </c>
      <c r="J159" s="66">
        <v>12</v>
      </c>
      <c r="K159" s="66">
        <v>0</v>
      </c>
      <c r="L159" s="6">
        <f>L158+L158</f>
        <v>2</v>
      </c>
      <c r="M159" s="6">
        <f>M158+K159</f>
        <v>1</v>
      </c>
      <c r="N159" s="77">
        <v>100</v>
      </c>
      <c r="O159">
        <f t="shared" si="27"/>
        <v>0.5</v>
      </c>
      <c r="P159" s="77">
        <v>50</v>
      </c>
      <c r="Q159">
        <f t="shared" si="28"/>
        <v>0.3</v>
      </c>
      <c r="R159" s="75">
        <v>15</v>
      </c>
      <c r="S159" s="6">
        <f t="shared" si="29"/>
        <v>0.15</v>
      </c>
    </row>
    <row r="160" spans="1:19" x14ac:dyDescent="0.3">
      <c r="A160" s="37" t="s">
        <v>129</v>
      </c>
      <c r="B160" s="6" t="s">
        <v>160</v>
      </c>
      <c r="C160" s="77">
        <v>57000</v>
      </c>
      <c r="D160" s="6">
        <f>(C160/12)*3</f>
        <v>14250</v>
      </c>
      <c r="E160" s="66">
        <v>0</v>
      </c>
      <c r="F160" s="6">
        <f>SUM(E158:E160)</f>
        <v>1400</v>
      </c>
      <c r="G160" s="36" t="str">
        <f t="shared" si="26"/>
        <v>Farol Vermelho</v>
      </c>
      <c r="H160">
        <f t="shared" si="24"/>
        <v>12850</v>
      </c>
      <c r="I160" s="6">
        <f t="shared" si="25"/>
        <v>3</v>
      </c>
      <c r="J160" s="66">
        <v>12</v>
      </c>
      <c r="K160" s="66">
        <v>0</v>
      </c>
      <c r="L160" s="6">
        <f>$L158+L159</f>
        <v>3</v>
      </c>
      <c r="M160" s="6">
        <f t="shared" ref="M160:M169" si="32">M159+K160</f>
        <v>1</v>
      </c>
      <c r="N160" s="77">
        <v>100</v>
      </c>
      <c r="O160">
        <f t="shared" si="27"/>
        <v>0.5</v>
      </c>
      <c r="P160" s="77">
        <v>50</v>
      </c>
      <c r="Q160">
        <f t="shared" si="28"/>
        <v>0.3</v>
      </c>
      <c r="R160" s="75">
        <v>15</v>
      </c>
      <c r="S160" s="6">
        <f t="shared" si="29"/>
        <v>0.15</v>
      </c>
    </row>
    <row r="161" spans="1:19" x14ac:dyDescent="0.3">
      <c r="A161" s="37" t="s">
        <v>129</v>
      </c>
      <c r="B161" s="6" t="s">
        <v>161</v>
      </c>
      <c r="C161" s="77">
        <v>57000</v>
      </c>
      <c r="D161" s="6">
        <f>(C161/12)*4</f>
        <v>19000</v>
      </c>
      <c r="E161" s="66">
        <v>0</v>
      </c>
      <c r="F161" s="6">
        <f>SUM(E158:E161)</f>
        <v>1400</v>
      </c>
      <c r="G161" s="36" t="str">
        <f t="shared" si="26"/>
        <v>Farol Vermelho</v>
      </c>
      <c r="H161">
        <f t="shared" si="24"/>
        <v>17600</v>
      </c>
      <c r="I161" s="6">
        <f t="shared" si="25"/>
        <v>4</v>
      </c>
      <c r="J161" s="66">
        <v>12</v>
      </c>
      <c r="K161" s="66"/>
      <c r="L161" s="6">
        <f>$L158+L160</f>
        <v>4</v>
      </c>
      <c r="M161" s="6">
        <f t="shared" si="32"/>
        <v>1</v>
      </c>
      <c r="N161" s="77">
        <v>100</v>
      </c>
      <c r="O161">
        <f t="shared" si="27"/>
        <v>0.5</v>
      </c>
      <c r="P161" s="77">
        <v>50</v>
      </c>
      <c r="Q161">
        <f t="shared" si="28"/>
        <v>0.3</v>
      </c>
      <c r="R161" s="75">
        <v>15</v>
      </c>
      <c r="S161" s="6">
        <f t="shared" si="29"/>
        <v>0.15</v>
      </c>
    </row>
    <row r="162" spans="1:19" x14ac:dyDescent="0.3">
      <c r="A162" s="37" t="s">
        <v>129</v>
      </c>
      <c r="B162" s="6" t="s">
        <v>162</v>
      </c>
      <c r="C162" s="77">
        <v>57000</v>
      </c>
      <c r="D162" s="6">
        <f>(C162/12)*5</f>
        <v>23750</v>
      </c>
      <c r="E162" s="66">
        <v>0</v>
      </c>
      <c r="F162" s="6">
        <f>SUM(E158:E162)</f>
        <v>1400</v>
      </c>
      <c r="G162" s="36" t="str">
        <f t="shared" si="26"/>
        <v>Farol Vermelho</v>
      </c>
      <c r="H162">
        <f t="shared" si="24"/>
        <v>22350</v>
      </c>
      <c r="I162" s="6">
        <f t="shared" si="25"/>
        <v>5</v>
      </c>
      <c r="J162" s="66">
        <v>12</v>
      </c>
      <c r="K162" s="66"/>
      <c r="L162" s="6">
        <f>L158+L161</f>
        <v>5</v>
      </c>
      <c r="M162" s="6">
        <f t="shared" si="32"/>
        <v>1</v>
      </c>
      <c r="N162" s="77">
        <v>100</v>
      </c>
      <c r="O162">
        <f t="shared" si="27"/>
        <v>0.5</v>
      </c>
      <c r="P162" s="77">
        <v>50</v>
      </c>
      <c r="Q162">
        <f t="shared" si="28"/>
        <v>0.3</v>
      </c>
      <c r="R162" s="75">
        <v>15</v>
      </c>
      <c r="S162" s="6">
        <f t="shared" si="29"/>
        <v>0.15</v>
      </c>
    </row>
    <row r="163" spans="1:19" x14ac:dyDescent="0.3">
      <c r="A163" s="37" t="s">
        <v>129</v>
      </c>
      <c r="B163" s="6" t="s">
        <v>163</v>
      </c>
      <c r="C163" s="77">
        <v>57000</v>
      </c>
      <c r="D163" s="6">
        <f>(C163/12)*6</f>
        <v>28500</v>
      </c>
      <c r="E163" s="66">
        <v>0</v>
      </c>
      <c r="F163" s="6">
        <f>SUM(E158:E163)</f>
        <v>1400</v>
      </c>
      <c r="G163" s="36" t="str">
        <f t="shared" si="26"/>
        <v>Farol Vermelho</v>
      </c>
      <c r="H163">
        <f t="shared" si="24"/>
        <v>27100</v>
      </c>
      <c r="I163" s="6">
        <f t="shared" si="25"/>
        <v>6</v>
      </c>
      <c r="J163" s="66">
        <v>12</v>
      </c>
      <c r="K163" s="66"/>
      <c r="L163" s="6">
        <f>$L158+L162</f>
        <v>6</v>
      </c>
      <c r="M163" s="6">
        <f t="shared" si="32"/>
        <v>1</v>
      </c>
      <c r="N163" s="77">
        <v>100</v>
      </c>
      <c r="O163">
        <f t="shared" si="27"/>
        <v>0.5</v>
      </c>
      <c r="P163" s="77">
        <v>50</v>
      </c>
      <c r="Q163">
        <f t="shared" si="28"/>
        <v>0.3</v>
      </c>
      <c r="R163" s="75">
        <v>15</v>
      </c>
      <c r="S163" s="6">
        <f t="shared" si="29"/>
        <v>0.15</v>
      </c>
    </row>
    <row r="164" spans="1:19" x14ac:dyDescent="0.3">
      <c r="A164" s="37" t="s">
        <v>129</v>
      </c>
      <c r="B164" s="6" t="s">
        <v>164</v>
      </c>
      <c r="C164" s="77">
        <v>57000</v>
      </c>
      <c r="D164" s="6">
        <f>(C164/12)*7</f>
        <v>33250</v>
      </c>
      <c r="E164" s="66">
        <v>0</v>
      </c>
      <c r="F164" s="6">
        <f>SUM(E158:E164)</f>
        <v>1400</v>
      </c>
      <c r="G164" s="36" t="str">
        <f t="shared" si="26"/>
        <v>Farol Vermelho</v>
      </c>
      <c r="H164">
        <f t="shared" si="24"/>
        <v>31850</v>
      </c>
      <c r="I164" s="6">
        <f t="shared" si="25"/>
        <v>7</v>
      </c>
      <c r="J164" s="66">
        <v>12</v>
      </c>
      <c r="K164" s="66"/>
      <c r="L164" s="6">
        <f>$L158+L163</f>
        <v>7</v>
      </c>
      <c r="M164" s="6">
        <f t="shared" si="32"/>
        <v>1</v>
      </c>
      <c r="N164" s="77">
        <v>100</v>
      </c>
      <c r="O164">
        <f t="shared" si="27"/>
        <v>0.5</v>
      </c>
      <c r="P164" s="77">
        <v>50</v>
      </c>
      <c r="Q164">
        <f t="shared" si="28"/>
        <v>0.3</v>
      </c>
      <c r="R164" s="75">
        <v>15</v>
      </c>
      <c r="S164" s="6">
        <f t="shared" si="29"/>
        <v>0.15</v>
      </c>
    </row>
    <row r="165" spans="1:19" x14ac:dyDescent="0.3">
      <c r="A165" s="37" t="s">
        <v>129</v>
      </c>
      <c r="B165" s="6" t="s">
        <v>165</v>
      </c>
      <c r="C165" s="77">
        <v>57000</v>
      </c>
      <c r="D165" s="6">
        <f>(C165/12)*8</f>
        <v>38000</v>
      </c>
      <c r="E165" s="66">
        <v>0</v>
      </c>
      <c r="F165" s="6">
        <f>SUM(E158:E165)</f>
        <v>1400</v>
      </c>
      <c r="G165" s="36" t="str">
        <f t="shared" si="26"/>
        <v>Farol Vermelho</v>
      </c>
      <c r="H165">
        <f t="shared" si="24"/>
        <v>36600</v>
      </c>
      <c r="I165" s="6">
        <f t="shared" si="25"/>
        <v>8</v>
      </c>
      <c r="J165" s="66">
        <v>12</v>
      </c>
      <c r="K165" s="66"/>
      <c r="L165" s="6">
        <f>L158+L164</f>
        <v>8</v>
      </c>
      <c r="M165" s="6">
        <f t="shared" si="32"/>
        <v>1</v>
      </c>
      <c r="N165" s="77">
        <v>100</v>
      </c>
      <c r="O165">
        <f t="shared" si="27"/>
        <v>0.5</v>
      </c>
      <c r="P165" s="77">
        <v>50</v>
      </c>
      <c r="Q165">
        <f t="shared" si="28"/>
        <v>0.3</v>
      </c>
      <c r="R165" s="75">
        <v>15</v>
      </c>
      <c r="S165" s="6">
        <f t="shared" si="29"/>
        <v>0.15</v>
      </c>
    </row>
    <row r="166" spans="1:19" x14ac:dyDescent="0.3">
      <c r="A166" s="37" t="s">
        <v>129</v>
      </c>
      <c r="B166" s="6" t="s">
        <v>166</v>
      </c>
      <c r="C166" s="77">
        <v>57000</v>
      </c>
      <c r="D166" s="6">
        <f>(C166/12)*9</f>
        <v>42750</v>
      </c>
      <c r="E166" s="66">
        <v>0</v>
      </c>
      <c r="F166" s="6">
        <f>SUM(E158:E166)</f>
        <v>1400</v>
      </c>
      <c r="G166" s="36" t="str">
        <f t="shared" si="26"/>
        <v>Farol Vermelho</v>
      </c>
      <c r="H166">
        <f t="shared" si="24"/>
        <v>41350</v>
      </c>
      <c r="I166" s="6">
        <f t="shared" si="25"/>
        <v>9</v>
      </c>
      <c r="J166" s="66">
        <v>12</v>
      </c>
      <c r="K166" s="66"/>
      <c r="L166" s="6">
        <f>$L158+L165</f>
        <v>9</v>
      </c>
      <c r="M166" s="6">
        <f t="shared" si="32"/>
        <v>1</v>
      </c>
      <c r="N166" s="77">
        <v>100</v>
      </c>
      <c r="O166">
        <f t="shared" si="27"/>
        <v>0.5</v>
      </c>
      <c r="P166" s="77">
        <v>50</v>
      </c>
      <c r="Q166">
        <f t="shared" si="28"/>
        <v>0.3</v>
      </c>
      <c r="R166" s="75">
        <v>15</v>
      </c>
      <c r="S166" s="6">
        <f t="shared" si="29"/>
        <v>0.15</v>
      </c>
    </row>
    <row r="167" spans="1:19" x14ac:dyDescent="0.3">
      <c r="A167" s="37" t="s">
        <v>129</v>
      </c>
      <c r="B167" s="6" t="s">
        <v>167</v>
      </c>
      <c r="C167" s="77">
        <v>57000</v>
      </c>
      <c r="D167" s="6">
        <f>(C167/12)*10</f>
        <v>47500</v>
      </c>
      <c r="E167" s="66">
        <v>0</v>
      </c>
      <c r="F167" s="6">
        <f>SUM(E158:E167)</f>
        <v>1400</v>
      </c>
      <c r="G167" s="36" t="str">
        <f t="shared" si="26"/>
        <v>Farol Vermelho</v>
      </c>
      <c r="H167">
        <f t="shared" si="24"/>
        <v>46100</v>
      </c>
      <c r="I167" s="6">
        <f t="shared" si="25"/>
        <v>10</v>
      </c>
      <c r="J167" s="66">
        <v>12</v>
      </c>
      <c r="K167" s="66"/>
      <c r="L167" s="6">
        <f>$L158+L166</f>
        <v>10</v>
      </c>
      <c r="M167" s="6">
        <f t="shared" si="32"/>
        <v>1</v>
      </c>
      <c r="N167" s="77">
        <v>100</v>
      </c>
      <c r="O167">
        <f t="shared" si="27"/>
        <v>0.5</v>
      </c>
      <c r="P167" s="77">
        <v>50</v>
      </c>
      <c r="Q167">
        <f t="shared" si="28"/>
        <v>0.3</v>
      </c>
      <c r="R167" s="75">
        <v>15</v>
      </c>
      <c r="S167" s="6">
        <f t="shared" si="29"/>
        <v>0.15</v>
      </c>
    </row>
    <row r="168" spans="1:19" x14ac:dyDescent="0.3">
      <c r="A168" s="37" t="s">
        <v>129</v>
      </c>
      <c r="B168" s="6" t="s">
        <v>168</v>
      </c>
      <c r="C168" s="77">
        <v>57000</v>
      </c>
      <c r="D168" s="6">
        <f>(C168/12)*11</f>
        <v>52250</v>
      </c>
      <c r="E168" s="66">
        <v>0</v>
      </c>
      <c r="F168" s="6">
        <f>SUM(E158:E168)</f>
        <v>1400</v>
      </c>
      <c r="G168" s="36" t="str">
        <f t="shared" si="26"/>
        <v>Farol Vermelho</v>
      </c>
      <c r="H168">
        <f t="shared" si="24"/>
        <v>50850</v>
      </c>
      <c r="I168" s="6">
        <f t="shared" si="25"/>
        <v>11</v>
      </c>
      <c r="J168" s="66">
        <v>12</v>
      </c>
      <c r="K168" s="66"/>
      <c r="L168" s="6">
        <f>L158+L167</f>
        <v>11</v>
      </c>
      <c r="M168" s="6">
        <f t="shared" si="32"/>
        <v>1</v>
      </c>
      <c r="N168" s="77">
        <v>100</v>
      </c>
      <c r="O168">
        <f t="shared" si="27"/>
        <v>0.5</v>
      </c>
      <c r="P168" s="77">
        <v>50</v>
      </c>
      <c r="Q168">
        <f t="shared" si="28"/>
        <v>0.3</v>
      </c>
      <c r="R168" s="75">
        <v>15</v>
      </c>
      <c r="S168" s="6">
        <f t="shared" si="29"/>
        <v>0.15</v>
      </c>
    </row>
    <row r="169" spans="1:19" x14ac:dyDescent="0.3">
      <c r="A169" s="37" t="s">
        <v>129</v>
      </c>
      <c r="B169" s="6" t="s">
        <v>169</v>
      </c>
      <c r="C169" s="77">
        <v>57000</v>
      </c>
      <c r="D169" s="6">
        <f>(C169/12)*12</f>
        <v>57000</v>
      </c>
      <c r="E169" s="66">
        <v>0</v>
      </c>
      <c r="F169" s="6">
        <f>SUM(E158:E169)</f>
        <v>1400</v>
      </c>
      <c r="G169" s="36" t="str">
        <f t="shared" si="26"/>
        <v>Farol Vermelho</v>
      </c>
      <c r="H169">
        <f t="shared" si="24"/>
        <v>55600</v>
      </c>
      <c r="I169" s="6">
        <f t="shared" si="25"/>
        <v>12</v>
      </c>
      <c r="J169" s="66">
        <v>12</v>
      </c>
      <c r="K169" s="66"/>
      <c r="L169" s="6">
        <f>$L158+L168</f>
        <v>12</v>
      </c>
      <c r="M169" s="6">
        <f t="shared" si="32"/>
        <v>1</v>
      </c>
      <c r="N169" s="77">
        <v>100</v>
      </c>
      <c r="O169">
        <f t="shared" si="27"/>
        <v>0.5</v>
      </c>
      <c r="P169" s="77">
        <v>50</v>
      </c>
      <c r="Q169">
        <f t="shared" si="28"/>
        <v>0.3</v>
      </c>
      <c r="R169" s="75">
        <v>15</v>
      </c>
      <c r="S169" s="6">
        <f t="shared" si="29"/>
        <v>0.15</v>
      </c>
    </row>
    <row r="170" spans="1:19" x14ac:dyDescent="0.3">
      <c r="A170" s="37" t="s">
        <v>96</v>
      </c>
      <c r="B170" s="6" t="s">
        <v>158</v>
      </c>
      <c r="C170" s="77">
        <v>140000</v>
      </c>
      <c r="D170" s="6">
        <f>(C170/12)*1</f>
        <v>11666.666666666666</v>
      </c>
      <c r="E170" s="66">
        <v>0</v>
      </c>
      <c r="F170" s="6">
        <f>E170</f>
        <v>0</v>
      </c>
      <c r="G170" s="36" t="str">
        <f t="shared" si="26"/>
        <v>Farol Vermelho</v>
      </c>
      <c r="H170">
        <f t="shared" si="24"/>
        <v>11666.666666666666</v>
      </c>
      <c r="I170" s="6">
        <f t="shared" si="25"/>
        <v>1</v>
      </c>
      <c r="J170" s="66">
        <v>40</v>
      </c>
      <c r="K170" s="66">
        <v>0</v>
      </c>
      <c r="L170" s="6">
        <f>J170/12</f>
        <v>3.3333333333333335</v>
      </c>
      <c r="M170" s="6">
        <f>K170</f>
        <v>0</v>
      </c>
      <c r="N170" s="77">
        <v>100</v>
      </c>
      <c r="O170">
        <f t="shared" si="27"/>
        <v>0.5</v>
      </c>
      <c r="P170" s="77">
        <v>50</v>
      </c>
      <c r="Q170">
        <f t="shared" si="28"/>
        <v>0.3</v>
      </c>
      <c r="R170" s="75">
        <v>15</v>
      </c>
      <c r="S170" s="6">
        <f t="shared" si="29"/>
        <v>0.15</v>
      </c>
    </row>
    <row r="171" spans="1:19" x14ac:dyDescent="0.3">
      <c r="A171" s="37" t="s">
        <v>96</v>
      </c>
      <c r="B171" s="6" t="s">
        <v>159</v>
      </c>
      <c r="C171" s="77">
        <v>140000</v>
      </c>
      <c r="D171" s="6">
        <f>(C171/12)*2</f>
        <v>23333.333333333332</v>
      </c>
      <c r="E171" s="66">
        <v>0</v>
      </c>
      <c r="F171" s="6">
        <f>SUM(E170:E171)</f>
        <v>0</v>
      </c>
      <c r="G171" s="36" t="str">
        <f t="shared" si="26"/>
        <v>Farol Vermelho</v>
      </c>
      <c r="H171">
        <f t="shared" si="24"/>
        <v>23333.333333333332</v>
      </c>
      <c r="I171" s="6">
        <f t="shared" si="25"/>
        <v>2</v>
      </c>
      <c r="J171" s="66">
        <v>40</v>
      </c>
      <c r="K171" s="66">
        <v>0</v>
      </c>
      <c r="L171" s="6">
        <f>L170+L170</f>
        <v>6.666666666666667</v>
      </c>
      <c r="M171" s="6">
        <f>M170+K171</f>
        <v>0</v>
      </c>
      <c r="N171" s="77">
        <v>100</v>
      </c>
      <c r="O171">
        <f t="shared" si="27"/>
        <v>0.5</v>
      </c>
      <c r="P171" s="77">
        <v>50</v>
      </c>
      <c r="Q171">
        <f t="shared" si="28"/>
        <v>0.3</v>
      </c>
      <c r="R171" s="75">
        <v>15</v>
      </c>
      <c r="S171" s="6">
        <f t="shared" si="29"/>
        <v>0.15</v>
      </c>
    </row>
    <row r="172" spans="1:19" x14ac:dyDescent="0.3">
      <c r="A172" s="37" t="s">
        <v>96</v>
      </c>
      <c r="B172" s="6" t="s">
        <v>160</v>
      </c>
      <c r="C172" s="77">
        <v>140000</v>
      </c>
      <c r="D172" s="6">
        <f>(C172/12)*3</f>
        <v>35000</v>
      </c>
      <c r="E172" s="66">
        <v>4275</v>
      </c>
      <c r="F172" s="6">
        <f>SUM(E170:E172)</f>
        <v>4275</v>
      </c>
      <c r="G172" s="36" t="str">
        <f t="shared" si="26"/>
        <v>Farol Vermelho</v>
      </c>
      <c r="H172">
        <f t="shared" si="24"/>
        <v>30725</v>
      </c>
      <c r="I172" s="6">
        <f t="shared" si="25"/>
        <v>3</v>
      </c>
      <c r="J172" s="66">
        <v>40</v>
      </c>
      <c r="K172" s="66">
        <v>2</v>
      </c>
      <c r="L172" s="6">
        <f>$L170+L171</f>
        <v>10</v>
      </c>
      <c r="M172" s="6">
        <f t="shared" ref="M172:M181" si="33">M171+K172</f>
        <v>2</v>
      </c>
      <c r="N172" s="77">
        <v>100</v>
      </c>
      <c r="O172">
        <f t="shared" si="27"/>
        <v>0.5</v>
      </c>
      <c r="P172" s="77">
        <v>50</v>
      </c>
      <c r="Q172">
        <f t="shared" si="28"/>
        <v>0.3</v>
      </c>
      <c r="R172" s="75">
        <v>15</v>
      </c>
      <c r="S172" s="6">
        <f t="shared" si="29"/>
        <v>0.15</v>
      </c>
    </row>
    <row r="173" spans="1:19" x14ac:dyDescent="0.3">
      <c r="A173" s="37" t="s">
        <v>96</v>
      </c>
      <c r="B173" s="6" t="s">
        <v>161</v>
      </c>
      <c r="C173" s="77">
        <v>140000</v>
      </c>
      <c r="D173" s="6">
        <f>(C173/12)*4</f>
        <v>46666.666666666664</v>
      </c>
      <c r="E173" s="66">
        <v>0</v>
      </c>
      <c r="F173" s="6">
        <f>SUM(E170:E173)</f>
        <v>4275</v>
      </c>
      <c r="G173" s="36" t="str">
        <f t="shared" si="26"/>
        <v>Farol Vermelho</v>
      </c>
      <c r="H173">
        <f t="shared" si="24"/>
        <v>42391.666666666664</v>
      </c>
      <c r="I173" s="6">
        <f t="shared" si="25"/>
        <v>4</v>
      </c>
      <c r="J173" s="66">
        <v>40</v>
      </c>
      <c r="K173" s="66">
        <v>0</v>
      </c>
      <c r="L173" s="6">
        <f>$L170+L172</f>
        <v>13.333333333333334</v>
      </c>
      <c r="M173" s="6">
        <f t="shared" si="33"/>
        <v>2</v>
      </c>
      <c r="N173" s="77">
        <v>100</v>
      </c>
      <c r="O173">
        <f t="shared" si="27"/>
        <v>0.5</v>
      </c>
      <c r="P173" s="77">
        <v>50</v>
      </c>
      <c r="Q173">
        <f t="shared" si="28"/>
        <v>0.3</v>
      </c>
      <c r="R173" s="75">
        <v>15</v>
      </c>
      <c r="S173" s="6">
        <f t="shared" si="29"/>
        <v>0.15</v>
      </c>
    </row>
    <row r="174" spans="1:19" x14ac:dyDescent="0.3">
      <c r="A174" s="37" t="s">
        <v>96</v>
      </c>
      <c r="B174" s="6" t="s">
        <v>162</v>
      </c>
      <c r="C174" s="77">
        <v>140000</v>
      </c>
      <c r="D174" s="6">
        <f>(C174/12)*5</f>
        <v>58333.333333333328</v>
      </c>
      <c r="E174" s="66">
        <v>6600</v>
      </c>
      <c r="F174" s="6">
        <f>SUM(E170:E174)</f>
        <v>10875</v>
      </c>
      <c r="G174" s="36" t="str">
        <f t="shared" si="26"/>
        <v>Farol Vermelho</v>
      </c>
      <c r="H174">
        <f t="shared" si="24"/>
        <v>47458.333333333328</v>
      </c>
      <c r="I174" s="6">
        <f t="shared" si="25"/>
        <v>5</v>
      </c>
      <c r="J174" s="66">
        <v>40</v>
      </c>
      <c r="K174" s="66">
        <v>2</v>
      </c>
      <c r="L174" s="6">
        <f>L170+L173</f>
        <v>16.666666666666668</v>
      </c>
      <c r="M174" s="6">
        <f t="shared" si="33"/>
        <v>4</v>
      </c>
      <c r="N174" s="77">
        <v>100</v>
      </c>
      <c r="O174">
        <f t="shared" si="27"/>
        <v>0.5</v>
      </c>
      <c r="P174" s="77">
        <v>50</v>
      </c>
      <c r="Q174">
        <f t="shared" si="28"/>
        <v>0.3</v>
      </c>
      <c r="R174" s="75">
        <v>15</v>
      </c>
      <c r="S174" s="6">
        <f t="shared" si="29"/>
        <v>0.15</v>
      </c>
    </row>
    <row r="175" spans="1:19" x14ac:dyDescent="0.3">
      <c r="A175" s="37" t="s">
        <v>96</v>
      </c>
      <c r="B175" s="6" t="s">
        <v>163</v>
      </c>
      <c r="C175" s="77">
        <v>140000</v>
      </c>
      <c r="D175" s="6">
        <f>(C175/12)*6</f>
        <v>70000</v>
      </c>
      <c r="E175" s="66">
        <v>0</v>
      </c>
      <c r="F175" s="6">
        <f>SUM(E170:E175)</f>
        <v>10875</v>
      </c>
      <c r="G175" s="36" t="str">
        <f t="shared" si="26"/>
        <v>Farol Vermelho</v>
      </c>
      <c r="H175">
        <f t="shared" si="24"/>
        <v>59125</v>
      </c>
      <c r="I175" s="6">
        <f t="shared" si="25"/>
        <v>6</v>
      </c>
      <c r="J175" s="66">
        <v>40</v>
      </c>
      <c r="K175" s="66"/>
      <c r="L175" s="6">
        <f>$L170+L174</f>
        <v>20</v>
      </c>
      <c r="M175" s="6">
        <f t="shared" si="33"/>
        <v>4</v>
      </c>
      <c r="N175" s="77">
        <v>100</v>
      </c>
      <c r="O175">
        <f t="shared" si="27"/>
        <v>0.5</v>
      </c>
      <c r="P175" s="77">
        <v>50</v>
      </c>
      <c r="Q175">
        <f t="shared" si="28"/>
        <v>0.3</v>
      </c>
      <c r="R175" s="75">
        <v>15</v>
      </c>
      <c r="S175" s="6">
        <f t="shared" si="29"/>
        <v>0.15</v>
      </c>
    </row>
    <row r="176" spans="1:19" x14ac:dyDescent="0.3">
      <c r="A176" s="37" t="s">
        <v>96</v>
      </c>
      <c r="B176" s="6" t="s">
        <v>164</v>
      </c>
      <c r="C176" s="77">
        <v>140000</v>
      </c>
      <c r="D176" s="6">
        <f>(C176/12)*7</f>
        <v>81666.666666666657</v>
      </c>
      <c r="E176" s="66">
        <v>0</v>
      </c>
      <c r="F176" s="6">
        <f>SUM(E170:E176)</f>
        <v>10875</v>
      </c>
      <c r="G176" s="36" t="str">
        <f t="shared" si="26"/>
        <v>Farol Vermelho</v>
      </c>
      <c r="H176">
        <f t="shared" si="24"/>
        <v>70791.666666666657</v>
      </c>
      <c r="I176" s="6">
        <f t="shared" si="25"/>
        <v>7</v>
      </c>
      <c r="J176" s="66">
        <v>40</v>
      </c>
      <c r="K176" s="66"/>
      <c r="L176" s="6">
        <f>$L170+L175</f>
        <v>23.333333333333332</v>
      </c>
      <c r="M176" s="6">
        <f t="shared" si="33"/>
        <v>4</v>
      </c>
      <c r="N176" s="77">
        <v>100</v>
      </c>
      <c r="O176">
        <f t="shared" si="27"/>
        <v>0.5</v>
      </c>
      <c r="P176" s="77">
        <v>50</v>
      </c>
      <c r="Q176">
        <f t="shared" si="28"/>
        <v>0.3</v>
      </c>
      <c r="R176" s="75">
        <v>15</v>
      </c>
      <c r="S176" s="6">
        <f t="shared" si="29"/>
        <v>0.15</v>
      </c>
    </row>
    <row r="177" spans="1:19" x14ac:dyDescent="0.3">
      <c r="A177" s="37" t="s">
        <v>96</v>
      </c>
      <c r="B177" s="6" t="s">
        <v>165</v>
      </c>
      <c r="C177" s="77">
        <v>140000</v>
      </c>
      <c r="D177" s="6">
        <f>(C177/12)*8</f>
        <v>93333.333333333328</v>
      </c>
      <c r="E177" s="66">
        <v>0</v>
      </c>
      <c r="F177" s="6">
        <f>SUM(E170:E177)</f>
        <v>10875</v>
      </c>
      <c r="G177" s="36" t="str">
        <f t="shared" si="26"/>
        <v>Farol Vermelho</v>
      </c>
      <c r="H177">
        <f t="shared" si="24"/>
        <v>82458.333333333328</v>
      </c>
      <c r="I177" s="6">
        <f t="shared" si="25"/>
        <v>8</v>
      </c>
      <c r="J177" s="66">
        <v>40</v>
      </c>
      <c r="K177" s="66"/>
      <c r="L177" s="6">
        <f>L170+L176</f>
        <v>26.666666666666664</v>
      </c>
      <c r="M177" s="6">
        <f t="shared" si="33"/>
        <v>4</v>
      </c>
      <c r="N177" s="77">
        <v>100</v>
      </c>
      <c r="O177">
        <f t="shared" si="27"/>
        <v>0.5</v>
      </c>
      <c r="P177" s="77">
        <v>50</v>
      </c>
      <c r="Q177">
        <f t="shared" si="28"/>
        <v>0.3</v>
      </c>
      <c r="R177" s="75">
        <v>15</v>
      </c>
      <c r="S177" s="6">
        <f t="shared" si="29"/>
        <v>0.15</v>
      </c>
    </row>
    <row r="178" spans="1:19" x14ac:dyDescent="0.3">
      <c r="A178" s="37" t="s">
        <v>96</v>
      </c>
      <c r="B178" s="6" t="s">
        <v>166</v>
      </c>
      <c r="C178" s="77">
        <v>140000</v>
      </c>
      <c r="D178" s="6">
        <f>(C178/12)*9</f>
        <v>105000</v>
      </c>
      <c r="E178" s="66">
        <v>0</v>
      </c>
      <c r="F178" s="6">
        <f>SUM(E170:E178)</f>
        <v>10875</v>
      </c>
      <c r="G178" s="36" t="str">
        <f t="shared" si="26"/>
        <v>Farol Vermelho</v>
      </c>
      <c r="H178">
        <f t="shared" si="24"/>
        <v>94125</v>
      </c>
      <c r="I178" s="6">
        <f t="shared" si="25"/>
        <v>9</v>
      </c>
      <c r="J178" s="66">
        <v>40</v>
      </c>
      <c r="K178" s="66"/>
      <c r="L178" s="6">
        <f>$L170+L177</f>
        <v>29.999999999999996</v>
      </c>
      <c r="M178" s="6">
        <f t="shared" si="33"/>
        <v>4</v>
      </c>
      <c r="N178" s="77">
        <v>100</v>
      </c>
      <c r="O178">
        <f t="shared" si="27"/>
        <v>0.5</v>
      </c>
      <c r="P178" s="77">
        <v>50</v>
      </c>
      <c r="Q178">
        <f t="shared" si="28"/>
        <v>0.3</v>
      </c>
      <c r="R178" s="75">
        <v>15</v>
      </c>
      <c r="S178" s="6">
        <f t="shared" si="29"/>
        <v>0.15</v>
      </c>
    </row>
    <row r="179" spans="1:19" x14ac:dyDescent="0.3">
      <c r="A179" s="37" t="s">
        <v>96</v>
      </c>
      <c r="B179" s="6" t="s">
        <v>167</v>
      </c>
      <c r="C179" s="77">
        <v>140000</v>
      </c>
      <c r="D179" s="6">
        <f>(C179/12)*10</f>
        <v>116666.66666666666</v>
      </c>
      <c r="E179" s="66">
        <v>0</v>
      </c>
      <c r="F179" s="6">
        <f>SUM(E170:E179)</f>
        <v>10875</v>
      </c>
      <c r="G179" s="36" t="str">
        <f t="shared" si="26"/>
        <v>Farol Vermelho</v>
      </c>
      <c r="H179">
        <f t="shared" si="24"/>
        <v>105791.66666666666</v>
      </c>
      <c r="I179" s="6">
        <f t="shared" si="25"/>
        <v>10</v>
      </c>
      <c r="J179" s="66">
        <v>40</v>
      </c>
      <c r="K179" s="66"/>
      <c r="L179" s="6">
        <f>$L170+L178</f>
        <v>33.333333333333329</v>
      </c>
      <c r="M179" s="6">
        <f t="shared" si="33"/>
        <v>4</v>
      </c>
      <c r="N179" s="77">
        <v>100</v>
      </c>
      <c r="O179">
        <f t="shared" si="27"/>
        <v>0.5</v>
      </c>
      <c r="P179" s="77">
        <v>50</v>
      </c>
      <c r="Q179">
        <f t="shared" si="28"/>
        <v>0.3</v>
      </c>
      <c r="R179" s="75">
        <v>15</v>
      </c>
      <c r="S179" s="6">
        <f t="shared" si="29"/>
        <v>0.15</v>
      </c>
    </row>
    <row r="180" spans="1:19" x14ac:dyDescent="0.3">
      <c r="A180" s="37" t="s">
        <v>96</v>
      </c>
      <c r="B180" s="6" t="s">
        <v>168</v>
      </c>
      <c r="C180" s="77">
        <v>140000</v>
      </c>
      <c r="D180" s="6">
        <f>(C180/12)*11</f>
        <v>128333.33333333333</v>
      </c>
      <c r="E180" s="66">
        <v>0</v>
      </c>
      <c r="F180" s="6">
        <f>SUM(E170:E180)</f>
        <v>10875</v>
      </c>
      <c r="G180" s="36" t="str">
        <f t="shared" si="26"/>
        <v>Farol Vermelho</v>
      </c>
      <c r="H180">
        <f t="shared" si="24"/>
        <v>117458.33333333333</v>
      </c>
      <c r="I180" s="6">
        <f t="shared" si="25"/>
        <v>11</v>
      </c>
      <c r="J180" s="66">
        <v>40</v>
      </c>
      <c r="K180" s="66"/>
      <c r="L180" s="6">
        <f>L170+L179</f>
        <v>36.666666666666664</v>
      </c>
      <c r="M180" s="6">
        <f t="shared" si="33"/>
        <v>4</v>
      </c>
      <c r="N180" s="77">
        <v>100</v>
      </c>
      <c r="O180">
        <f t="shared" si="27"/>
        <v>0.5</v>
      </c>
      <c r="P180" s="77">
        <v>50</v>
      </c>
      <c r="Q180">
        <f t="shared" si="28"/>
        <v>0.3</v>
      </c>
      <c r="R180" s="75">
        <v>15</v>
      </c>
      <c r="S180" s="6">
        <f t="shared" si="29"/>
        <v>0.15</v>
      </c>
    </row>
    <row r="181" spans="1:19" x14ac:dyDescent="0.3">
      <c r="A181" s="37" t="s">
        <v>96</v>
      </c>
      <c r="B181" s="6" t="s">
        <v>169</v>
      </c>
      <c r="C181" s="77">
        <v>140000</v>
      </c>
      <c r="D181" s="6">
        <f>(C181/12)*12</f>
        <v>140000</v>
      </c>
      <c r="E181" s="66">
        <v>0</v>
      </c>
      <c r="F181" s="6">
        <f>SUM(E170:E181)</f>
        <v>10875</v>
      </c>
      <c r="G181" s="36" t="str">
        <f t="shared" si="26"/>
        <v>Farol Vermelho</v>
      </c>
      <c r="H181">
        <f t="shared" si="24"/>
        <v>129125</v>
      </c>
      <c r="I181" s="6">
        <f t="shared" si="25"/>
        <v>12</v>
      </c>
      <c r="J181" s="66">
        <v>40</v>
      </c>
      <c r="K181" s="66"/>
      <c r="L181" s="6">
        <f>$L170+L180</f>
        <v>40</v>
      </c>
      <c r="M181" s="6">
        <f t="shared" si="33"/>
        <v>4</v>
      </c>
      <c r="N181" s="77">
        <v>100</v>
      </c>
      <c r="O181">
        <f t="shared" si="27"/>
        <v>0.5</v>
      </c>
      <c r="P181" s="77">
        <v>50</v>
      </c>
      <c r="Q181">
        <f t="shared" si="28"/>
        <v>0.3</v>
      </c>
      <c r="R181" s="75">
        <v>15</v>
      </c>
      <c r="S181" s="6">
        <f t="shared" si="29"/>
        <v>0.15</v>
      </c>
    </row>
    <row r="182" spans="1:19" x14ac:dyDescent="0.3">
      <c r="A182" s="37" t="s">
        <v>38</v>
      </c>
      <c r="B182" s="6" t="s">
        <v>158</v>
      </c>
      <c r="C182" s="77">
        <v>6600</v>
      </c>
      <c r="D182" s="6">
        <f>(C182/12)*1</f>
        <v>550</v>
      </c>
      <c r="E182" s="66">
        <v>0</v>
      </c>
      <c r="F182" s="6">
        <f>E182</f>
        <v>0</v>
      </c>
      <c r="G182" s="36" t="str">
        <f t="shared" si="26"/>
        <v>Farol Vermelho</v>
      </c>
      <c r="H182">
        <f t="shared" si="24"/>
        <v>550</v>
      </c>
      <c r="I182" s="6">
        <f t="shared" si="25"/>
        <v>1</v>
      </c>
      <c r="J182" s="76">
        <v>6</v>
      </c>
      <c r="K182" s="66">
        <v>0</v>
      </c>
      <c r="L182" s="6">
        <f>J182/12</f>
        <v>0.5</v>
      </c>
      <c r="M182" s="6">
        <f>K182</f>
        <v>0</v>
      </c>
      <c r="N182" s="77">
        <v>100</v>
      </c>
      <c r="O182">
        <f t="shared" si="27"/>
        <v>0.5</v>
      </c>
      <c r="P182" s="77">
        <v>50</v>
      </c>
      <c r="Q182">
        <f t="shared" si="28"/>
        <v>0.3</v>
      </c>
      <c r="R182" s="75">
        <v>15</v>
      </c>
      <c r="S182" s="6">
        <f t="shared" si="29"/>
        <v>0.15</v>
      </c>
    </row>
    <row r="183" spans="1:19" x14ac:dyDescent="0.3">
      <c r="A183" s="37" t="s">
        <v>38</v>
      </c>
      <c r="B183" s="6" t="s">
        <v>159</v>
      </c>
      <c r="C183" s="77">
        <v>6600</v>
      </c>
      <c r="D183" s="6">
        <f>(C183/12)*2</f>
        <v>1100</v>
      </c>
      <c r="E183" s="66">
        <v>0</v>
      </c>
      <c r="F183" s="6">
        <f>SUM(E182:E183)</f>
        <v>0</v>
      </c>
      <c r="G183" s="36" t="str">
        <f t="shared" si="26"/>
        <v>Farol Vermelho</v>
      </c>
      <c r="H183">
        <f t="shared" si="24"/>
        <v>1100</v>
      </c>
      <c r="I183" s="6">
        <f t="shared" si="25"/>
        <v>2</v>
      </c>
      <c r="J183" s="76">
        <v>6</v>
      </c>
      <c r="K183" s="66">
        <v>0</v>
      </c>
      <c r="L183" s="6">
        <f>L182+L182</f>
        <v>1</v>
      </c>
      <c r="M183" s="6">
        <f>M182+K183</f>
        <v>0</v>
      </c>
      <c r="N183" s="77">
        <v>100</v>
      </c>
      <c r="O183">
        <f t="shared" si="27"/>
        <v>0.5</v>
      </c>
      <c r="P183" s="77">
        <v>50</v>
      </c>
      <c r="Q183">
        <f t="shared" si="28"/>
        <v>0.3</v>
      </c>
      <c r="R183" s="75">
        <v>15</v>
      </c>
      <c r="S183" s="6">
        <f t="shared" si="29"/>
        <v>0.15</v>
      </c>
    </row>
    <row r="184" spans="1:19" x14ac:dyDescent="0.3">
      <c r="A184" s="37" t="s">
        <v>38</v>
      </c>
      <c r="B184" s="6" t="s">
        <v>160</v>
      </c>
      <c r="C184" s="77">
        <v>6600</v>
      </c>
      <c r="D184" s="6">
        <f>(C184/12)*3</f>
        <v>1650</v>
      </c>
      <c r="E184" s="66">
        <v>1800</v>
      </c>
      <c r="F184" s="6">
        <f>SUM(E182:E184)</f>
        <v>1800</v>
      </c>
      <c r="G184" s="36" t="str">
        <f t="shared" si="26"/>
        <v>Farol Verde</v>
      </c>
      <c r="H184">
        <f t="shared" si="24"/>
        <v>0</v>
      </c>
      <c r="I184" s="6">
        <f t="shared" si="25"/>
        <v>3</v>
      </c>
      <c r="J184" s="76">
        <v>6</v>
      </c>
      <c r="K184" s="66">
        <v>2</v>
      </c>
      <c r="L184" s="6">
        <f>$L182+L183</f>
        <v>1.5</v>
      </c>
      <c r="M184" s="6">
        <f t="shared" ref="M184:M193" si="34">M183+K184</f>
        <v>2</v>
      </c>
      <c r="N184" s="77">
        <v>100</v>
      </c>
      <c r="O184">
        <f t="shared" si="27"/>
        <v>0.5</v>
      </c>
      <c r="P184" s="77">
        <v>50</v>
      </c>
      <c r="Q184">
        <f t="shared" si="28"/>
        <v>0.3</v>
      </c>
      <c r="R184" s="75">
        <v>15</v>
      </c>
      <c r="S184" s="6">
        <f t="shared" si="29"/>
        <v>0.15</v>
      </c>
    </row>
    <row r="185" spans="1:19" x14ac:dyDescent="0.3">
      <c r="A185" s="37" t="s">
        <v>38</v>
      </c>
      <c r="B185" s="6" t="s">
        <v>161</v>
      </c>
      <c r="C185" s="77">
        <v>6600</v>
      </c>
      <c r="D185" s="6">
        <f>(C185/12)*4</f>
        <v>2200</v>
      </c>
      <c r="E185" s="66">
        <v>0</v>
      </c>
      <c r="F185" s="6">
        <f>SUM(E182:E185)</f>
        <v>1800</v>
      </c>
      <c r="G185" s="36" t="str">
        <f t="shared" si="26"/>
        <v>Farol Vermelho</v>
      </c>
      <c r="H185">
        <f t="shared" si="24"/>
        <v>400</v>
      </c>
      <c r="I185" s="6">
        <f t="shared" si="25"/>
        <v>4</v>
      </c>
      <c r="J185" s="76">
        <v>6</v>
      </c>
      <c r="K185" s="66"/>
      <c r="L185" s="6">
        <f>$L182+L184</f>
        <v>2</v>
      </c>
      <c r="M185" s="6">
        <f t="shared" si="34"/>
        <v>2</v>
      </c>
      <c r="N185" s="77">
        <v>100</v>
      </c>
      <c r="O185">
        <f t="shared" si="27"/>
        <v>0.5</v>
      </c>
      <c r="P185" s="77">
        <v>50</v>
      </c>
      <c r="Q185">
        <f t="shared" si="28"/>
        <v>0.3</v>
      </c>
      <c r="R185" s="75">
        <v>15</v>
      </c>
      <c r="S185" s="6">
        <f t="shared" si="29"/>
        <v>0.15</v>
      </c>
    </row>
    <row r="186" spans="1:19" x14ac:dyDescent="0.3">
      <c r="A186" s="37" t="s">
        <v>38</v>
      </c>
      <c r="B186" s="6" t="s">
        <v>162</v>
      </c>
      <c r="C186" s="77">
        <v>6600</v>
      </c>
      <c r="D186" s="6">
        <f>(C186/12)*5</f>
        <v>2750</v>
      </c>
      <c r="E186" s="66">
        <v>0</v>
      </c>
      <c r="F186" s="6">
        <f>SUM(E182:E186)</f>
        <v>1800</v>
      </c>
      <c r="G186" s="36" t="str">
        <f t="shared" si="26"/>
        <v>Farol Vermelho</v>
      </c>
      <c r="H186">
        <f t="shared" si="24"/>
        <v>950</v>
      </c>
      <c r="I186" s="6">
        <f t="shared" si="25"/>
        <v>5</v>
      </c>
      <c r="J186" s="76">
        <v>6</v>
      </c>
      <c r="K186" s="66"/>
      <c r="L186" s="6">
        <f>L182+L185</f>
        <v>2.5</v>
      </c>
      <c r="M186" s="6">
        <f t="shared" si="34"/>
        <v>2</v>
      </c>
      <c r="N186" s="77">
        <v>100</v>
      </c>
      <c r="O186">
        <f t="shared" si="27"/>
        <v>0.5</v>
      </c>
      <c r="P186" s="77">
        <v>50</v>
      </c>
      <c r="Q186">
        <f t="shared" si="28"/>
        <v>0.3</v>
      </c>
      <c r="R186" s="75">
        <v>15</v>
      </c>
      <c r="S186" s="6">
        <f t="shared" si="29"/>
        <v>0.15</v>
      </c>
    </row>
    <row r="187" spans="1:19" x14ac:dyDescent="0.3">
      <c r="A187" s="37" t="s">
        <v>38</v>
      </c>
      <c r="B187" s="6" t="s">
        <v>163</v>
      </c>
      <c r="C187" s="77">
        <v>6600</v>
      </c>
      <c r="D187" s="6">
        <f>(C187/12)*6</f>
        <v>3300</v>
      </c>
      <c r="E187" s="66">
        <v>0</v>
      </c>
      <c r="F187" s="6">
        <f>SUM(E182:E187)</f>
        <v>1800</v>
      </c>
      <c r="G187" s="36" t="str">
        <f t="shared" si="26"/>
        <v>Farol Vermelho</v>
      </c>
      <c r="H187">
        <f t="shared" si="24"/>
        <v>1500</v>
      </c>
      <c r="I187" s="6">
        <f t="shared" si="25"/>
        <v>6</v>
      </c>
      <c r="J187" s="76">
        <v>6</v>
      </c>
      <c r="K187" s="66"/>
      <c r="L187" s="6">
        <f>$L182+L186</f>
        <v>3</v>
      </c>
      <c r="M187" s="6">
        <f t="shared" si="34"/>
        <v>2</v>
      </c>
      <c r="N187" s="77">
        <v>100</v>
      </c>
      <c r="O187">
        <f t="shared" si="27"/>
        <v>0.5</v>
      </c>
      <c r="P187" s="77">
        <v>50</v>
      </c>
      <c r="Q187">
        <f t="shared" si="28"/>
        <v>0.3</v>
      </c>
      <c r="R187" s="75">
        <v>15</v>
      </c>
      <c r="S187" s="6">
        <f t="shared" si="29"/>
        <v>0.15</v>
      </c>
    </row>
    <row r="188" spans="1:19" x14ac:dyDescent="0.3">
      <c r="A188" s="37" t="s">
        <v>38</v>
      </c>
      <c r="B188" s="6" t="s">
        <v>164</v>
      </c>
      <c r="C188" s="77">
        <v>6600</v>
      </c>
      <c r="D188" s="6">
        <f>(C188/12)*7</f>
        <v>3850</v>
      </c>
      <c r="E188" s="66">
        <v>0</v>
      </c>
      <c r="F188" s="6">
        <f>SUM(E182:E188)</f>
        <v>1800</v>
      </c>
      <c r="G188" s="36" t="str">
        <f t="shared" si="26"/>
        <v>Farol Vermelho</v>
      </c>
      <c r="H188">
        <f t="shared" si="24"/>
        <v>2050</v>
      </c>
      <c r="I188" s="6">
        <f t="shared" si="25"/>
        <v>7</v>
      </c>
      <c r="J188" s="76">
        <v>6</v>
      </c>
      <c r="K188" s="66"/>
      <c r="L188" s="6">
        <f>$L182+L187</f>
        <v>3.5</v>
      </c>
      <c r="M188" s="6">
        <f t="shared" si="34"/>
        <v>2</v>
      </c>
      <c r="N188" s="77">
        <v>100</v>
      </c>
      <c r="O188">
        <f t="shared" si="27"/>
        <v>0.5</v>
      </c>
      <c r="P188" s="77">
        <v>50</v>
      </c>
      <c r="Q188">
        <f t="shared" si="28"/>
        <v>0.3</v>
      </c>
      <c r="R188" s="75">
        <v>15</v>
      </c>
      <c r="S188" s="6">
        <f t="shared" si="29"/>
        <v>0.15</v>
      </c>
    </row>
    <row r="189" spans="1:19" x14ac:dyDescent="0.3">
      <c r="A189" s="37" t="s">
        <v>38</v>
      </c>
      <c r="B189" s="6" t="s">
        <v>165</v>
      </c>
      <c r="C189" s="77">
        <v>6600</v>
      </c>
      <c r="D189" s="6">
        <f>(C189/12)*8</f>
        <v>4400</v>
      </c>
      <c r="E189" s="66">
        <v>0</v>
      </c>
      <c r="F189" s="6">
        <f>SUM(E182:E189)</f>
        <v>1800</v>
      </c>
      <c r="G189" s="36" t="str">
        <f t="shared" si="26"/>
        <v>Farol Vermelho</v>
      </c>
      <c r="H189">
        <f t="shared" si="24"/>
        <v>2600</v>
      </c>
      <c r="I189" s="6">
        <f t="shared" si="25"/>
        <v>8</v>
      </c>
      <c r="J189" s="76">
        <v>6</v>
      </c>
      <c r="K189" s="66"/>
      <c r="L189" s="6">
        <f>L182+L188</f>
        <v>4</v>
      </c>
      <c r="M189" s="6">
        <f t="shared" si="34"/>
        <v>2</v>
      </c>
      <c r="N189" s="77">
        <v>100</v>
      </c>
      <c r="O189">
        <f t="shared" si="27"/>
        <v>0.5</v>
      </c>
      <c r="P189" s="77">
        <v>50</v>
      </c>
      <c r="Q189">
        <f t="shared" si="28"/>
        <v>0.3</v>
      </c>
      <c r="R189" s="75">
        <v>15</v>
      </c>
      <c r="S189" s="6">
        <f t="shared" si="29"/>
        <v>0.15</v>
      </c>
    </row>
    <row r="190" spans="1:19" x14ac:dyDescent="0.3">
      <c r="A190" s="37" t="s">
        <v>38</v>
      </c>
      <c r="B190" s="6" t="s">
        <v>166</v>
      </c>
      <c r="C190" s="77">
        <v>6600</v>
      </c>
      <c r="D190" s="6">
        <f>(C190/12)*9</f>
        <v>4950</v>
      </c>
      <c r="E190" s="66">
        <v>0</v>
      </c>
      <c r="F190" s="6">
        <f>SUM(E182:E190)</f>
        <v>1800</v>
      </c>
      <c r="G190" s="36" t="str">
        <f t="shared" si="26"/>
        <v>Farol Vermelho</v>
      </c>
      <c r="H190">
        <f t="shared" si="24"/>
        <v>3150</v>
      </c>
      <c r="I190" s="6">
        <f t="shared" si="25"/>
        <v>9</v>
      </c>
      <c r="J190" s="76">
        <v>6</v>
      </c>
      <c r="K190" s="66"/>
      <c r="L190" s="6">
        <f>$L182+L189</f>
        <v>4.5</v>
      </c>
      <c r="M190" s="6">
        <f t="shared" si="34"/>
        <v>2</v>
      </c>
      <c r="N190" s="77">
        <v>100</v>
      </c>
      <c r="O190">
        <f t="shared" si="27"/>
        <v>0.5</v>
      </c>
      <c r="P190" s="77">
        <v>50</v>
      </c>
      <c r="Q190">
        <f t="shared" si="28"/>
        <v>0.3</v>
      </c>
      <c r="R190" s="75">
        <v>15</v>
      </c>
      <c r="S190" s="6">
        <f t="shared" si="29"/>
        <v>0.15</v>
      </c>
    </row>
    <row r="191" spans="1:19" x14ac:dyDescent="0.3">
      <c r="A191" s="37" t="s">
        <v>38</v>
      </c>
      <c r="B191" s="6" t="s">
        <v>167</v>
      </c>
      <c r="C191" s="77">
        <v>6600</v>
      </c>
      <c r="D191" s="6">
        <f>(C191/12)*10</f>
        <v>5500</v>
      </c>
      <c r="E191" s="66">
        <v>0</v>
      </c>
      <c r="F191" s="6">
        <f>SUM(E182:E191)</f>
        <v>1800</v>
      </c>
      <c r="G191" s="36" t="str">
        <f t="shared" si="26"/>
        <v>Farol Vermelho</v>
      </c>
      <c r="H191">
        <f t="shared" si="24"/>
        <v>3700</v>
      </c>
      <c r="I191" s="6">
        <f t="shared" si="25"/>
        <v>10</v>
      </c>
      <c r="J191" s="76">
        <v>6</v>
      </c>
      <c r="K191" s="66"/>
      <c r="L191" s="6">
        <f>$L182+L190</f>
        <v>5</v>
      </c>
      <c r="M191" s="6">
        <f t="shared" si="34"/>
        <v>2</v>
      </c>
      <c r="N191" s="77">
        <v>100</v>
      </c>
      <c r="O191">
        <f t="shared" si="27"/>
        <v>0.5</v>
      </c>
      <c r="P191" s="77">
        <v>50</v>
      </c>
      <c r="Q191">
        <f t="shared" si="28"/>
        <v>0.3</v>
      </c>
      <c r="R191" s="75">
        <v>15</v>
      </c>
      <c r="S191" s="6">
        <f t="shared" si="29"/>
        <v>0.15</v>
      </c>
    </row>
    <row r="192" spans="1:19" x14ac:dyDescent="0.3">
      <c r="A192" s="37" t="s">
        <v>38</v>
      </c>
      <c r="B192" s="6" t="s">
        <v>168</v>
      </c>
      <c r="C192" s="77">
        <v>6600</v>
      </c>
      <c r="D192" s="6">
        <f>(C192/12)*11</f>
        <v>6050</v>
      </c>
      <c r="E192" s="66">
        <v>0</v>
      </c>
      <c r="F192" s="6">
        <f>SUM(E182:E192)</f>
        <v>1800</v>
      </c>
      <c r="G192" s="36" t="str">
        <f t="shared" si="26"/>
        <v>Farol Vermelho</v>
      </c>
      <c r="H192">
        <f t="shared" si="24"/>
        <v>4250</v>
      </c>
      <c r="I192" s="6">
        <f t="shared" si="25"/>
        <v>11</v>
      </c>
      <c r="J192" s="76">
        <v>6</v>
      </c>
      <c r="K192" s="66"/>
      <c r="L192" s="6">
        <f>L182+L191</f>
        <v>5.5</v>
      </c>
      <c r="M192" s="6">
        <f t="shared" si="34"/>
        <v>2</v>
      </c>
      <c r="N192" s="77">
        <v>100</v>
      </c>
      <c r="O192">
        <f t="shared" si="27"/>
        <v>0.5</v>
      </c>
      <c r="P192" s="77">
        <v>50</v>
      </c>
      <c r="Q192">
        <f t="shared" si="28"/>
        <v>0.3</v>
      </c>
      <c r="R192" s="75">
        <v>15</v>
      </c>
      <c r="S192" s="6">
        <f t="shared" si="29"/>
        <v>0.15</v>
      </c>
    </row>
    <row r="193" spans="1:19" x14ac:dyDescent="0.3">
      <c r="A193" s="37" t="s">
        <v>38</v>
      </c>
      <c r="B193" s="6" t="s">
        <v>169</v>
      </c>
      <c r="C193" s="77">
        <v>6600</v>
      </c>
      <c r="D193" s="6">
        <f>(C193/12)*12</f>
        <v>6600</v>
      </c>
      <c r="E193" s="66">
        <v>0</v>
      </c>
      <c r="F193" s="6">
        <f>SUM(E182:E193)</f>
        <v>1800</v>
      </c>
      <c r="G193" s="36" t="str">
        <f t="shared" si="26"/>
        <v>Farol Vermelho</v>
      </c>
      <c r="H193">
        <f t="shared" si="24"/>
        <v>4800</v>
      </c>
      <c r="I193" s="6">
        <f t="shared" si="25"/>
        <v>12</v>
      </c>
      <c r="J193" s="76">
        <v>6</v>
      </c>
      <c r="K193" s="66"/>
      <c r="L193" s="6">
        <f>$L182+L192</f>
        <v>6</v>
      </c>
      <c r="M193" s="6">
        <f t="shared" si="34"/>
        <v>2</v>
      </c>
      <c r="N193" s="77">
        <v>100</v>
      </c>
      <c r="O193">
        <f t="shared" si="27"/>
        <v>0.5</v>
      </c>
      <c r="P193" s="77">
        <v>50</v>
      </c>
      <c r="Q193">
        <f t="shared" si="28"/>
        <v>0.3</v>
      </c>
      <c r="R193" s="75">
        <v>15</v>
      </c>
      <c r="S193" s="6">
        <f t="shared" si="29"/>
        <v>0.15</v>
      </c>
    </row>
    <row r="194" spans="1:19" x14ac:dyDescent="0.3">
      <c r="A194" s="37" t="s">
        <v>95</v>
      </c>
      <c r="B194" s="6" t="s">
        <v>158</v>
      </c>
      <c r="C194" s="77">
        <v>50000</v>
      </c>
      <c r="D194" s="6">
        <f>(C194/12)*1</f>
        <v>4166.666666666667</v>
      </c>
      <c r="E194" s="66">
        <v>4057</v>
      </c>
      <c r="F194" s="6">
        <f>E194</f>
        <v>4057</v>
      </c>
      <c r="G194" s="36" t="str">
        <f t="shared" si="26"/>
        <v>Farol Amarelo</v>
      </c>
      <c r="H194">
        <f t="shared" ref="H194:H257" si="35">IF(D194-F194&lt;0,0,D194-F194)</f>
        <v>109.66666666666697</v>
      </c>
      <c r="I194" s="6">
        <f t="shared" ref="I194:I257" si="36">_xlfn.IFS(B194="Janeiro",1,B194="Fevereiro",2,B194="Março",3,B194="Abril",4,B194="Maio",5,B194="Junho",6,B194="Julho",7,B194="Agosto",8,B194="Setembro",9,B194="Outubro",10,B194="Novembro",11,B194="Dezembro",12,TRUE,0)</f>
        <v>1</v>
      </c>
      <c r="J194" s="76">
        <v>14</v>
      </c>
      <c r="K194" s="66">
        <v>4</v>
      </c>
      <c r="L194" s="6">
        <f>J194/12</f>
        <v>1.1666666666666667</v>
      </c>
      <c r="M194" s="6">
        <f>K194</f>
        <v>4</v>
      </c>
      <c r="N194" s="77">
        <v>100</v>
      </c>
      <c r="O194">
        <f t="shared" si="27"/>
        <v>0.5</v>
      </c>
      <c r="P194" s="77">
        <v>50</v>
      </c>
      <c r="Q194">
        <f t="shared" si="28"/>
        <v>0.3</v>
      </c>
      <c r="R194" s="75">
        <v>15</v>
      </c>
      <c r="S194" s="6">
        <f t="shared" si="29"/>
        <v>0.15</v>
      </c>
    </row>
    <row r="195" spans="1:19" x14ac:dyDescent="0.3">
      <c r="A195" s="37" t="s">
        <v>95</v>
      </c>
      <c r="B195" s="6" t="s">
        <v>159</v>
      </c>
      <c r="C195" s="77">
        <v>50000</v>
      </c>
      <c r="D195" s="6">
        <f>(C195/12)*2</f>
        <v>8333.3333333333339</v>
      </c>
      <c r="E195" s="66">
        <v>0</v>
      </c>
      <c r="F195" s="6">
        <f>SUM(E194:E195)</f>
        <v>4057</v>
      </c>
      <c r="G195" s="36" t="str">
        <f t="shared" ref="G195:G258" si="37">_xlfn.IFS(F195&gt;D195,"Farol Verde",F195&gt;=D195*0.85,"Farol Amarelo",F195&lt;D195*0.85,"Farol Vermelho","Verdadeiro",0)</f>
        <v>Farol Vermelho</v>
      </c>
      <c r="H195">
        <f t="shared" si="35"/>
        <v>4276.3333333333339</v>
      </c>
      <c r="I195" s="6">
        <f t="shared" si="36"/>
        <v>2</v>
      </c>
      <c r="J195" s="76">
        <v>14</v>
      </c>
      <c r="K195" s="66">
        <v>0</v>
      </c>
      <c r="L195" s="6">
        <f>L194+L194</f>
        <v>2.3333333333333335</v>
      </c>
      <c r="M195" s="6">
        <f>M194+K195</f>
        <v>4</v>
      </c>
      <c r="N195" s="77">
        <v>100</v>
      </c>
      <c r="O195">
        <f t="shared" ref="O195:O258" si="38">P195/N195</f>
        <v>0.5</v>
      </c>
      <c r="P195" s="77">
        <v>50</v>
      </c>
      <c r="Q195">
        <f t="shared" ref="Q195:Q258" si="39">R195/P195</f>
        <v>0.3</v>
      </c>
      <c r="R195" s="75">
        <v>15</v>
      </c>
      <c r="S195" s="6">
        <f t="shared" ref="S195:S258" si="40">R195/N195</f>
        <v>0.15</v>
      </c>
    </row>
    <row r="196" spans="1:19" x14ac:dyDescent="0.3">
      <c r="A196" s="37" t="s">
        <v>95</v>
      </c>
      <c r="B196" s="6" t="s">
        <v>160</v>
      </c>
      <c r="C196" s="77">
        <v>50000</v>
      </c>
      <c r="D196" s="6">
        <f>(C196/12)*3</f>
        <v>12500</v>
      </c>
      <c r="E196" s="66">
        <v>1750</v>
      </c>
      <c r="F196" s="6">
        <f>SUM(E194:E196)</f>
        <v>5807</v>
      </c>
      <c r="G196" s="36" t="str">
        <f t="shared" si="37"/>
        <v>Farol Vermelho</v>
      </c>
      <c r="H196">
        <f t="shared" si="35"/>
        <v>6693</v>
      </c>
      <c r="I196" s="6">
        <f t="shared" si="36"/>
        <v>3</v>
      </c>
      <c r="J196" s="76">
        <v>14</v>
      </c>
      <c r="K196" s="66">
        <v>1</v>
      </c>
      <c r="L196" s="6">
        <f>$L194+L195</f>
        <v>3.5</v>
      </c>
      <c r="M196" s="6">
        <f t="shared" ref="M196:M205" si="41">M195+K196</f>
        <v>5</v>
      </c>
      <c r="N196" s="77">
        <v>100</v>
      </c>
      <c r="O196">
        <f t="shared" si="38"/>
        <v>0.5</v>
      </c>
      <c r="P196" s="77">
        <v>50</v>
      </c>
      <c r="Q196">
        <f t="shared" si="39"/>
        <v>0.3</v>
      </c>
      <c r="R196" s="75">
        <v>15</v>
      </c>
      <c r="S196" s="6">
        <f t="shared" si="40"/>
        <v>0.15</v>
      </c>
    </row>
    <row r="197" spans="1:19" x14ac:dyDescent="0.3">
      <c r="A197" s="37" t="s">
        <v>95</v>
      </c>
      <c r="B197" s="6" t="s">
        <v>161</v>
      </c>
      <c r="C197" s="77">
        <v>50000</v>
      </c>
      <c r="D197" s="6">
        <f>(C197/12)*4</f>
        <v>16666.666666666668</v>
      </c>
      <c r="E197" s="66">
        <v>0</v>
      </c>
      <c r="F197" s="6">
        <f>SUM(E194:E197)</f>
        <v>5807</v>
      </c>
      <c r="G197" s="36" t="str">
        <f t="shared" si="37"/>
        <v>Farol Vermelho</v>
      </c>
      <c r="H197">
        <f t="shared" si="35"/>
        <v>10859.666666666668</v>
      </c>
      <c r="I197" s="6">
        <f t="shared" si="36"/>
        <v>4</v>
      </c>
      <c r="J197" s="76">
        <v>14</v>
      </c>
      <c r="K197" s="66">
        <v>0</v>
      </c>
      <c r="L197" s="6">
        <f>$L194+L196</f>
        <v>4.666666666666667</v>
      </c>
      <c r="M197" s="6">
        <f t="shared" si="41"/>
        <v>5</v>
      </c>
      <c r="N197" s="77">
        <v>100</v>
      </c>
      <c r="O197">
        <f t="shared" si="38"/>
        <v>0.5</v>
      </c>
      <c r="P197" s="77">
        <v>50</v>
      </c>
      <c r="Q197">
        <f t="shared" si="39"/>
        <v>0.3</v>
      </c>
      <c r="R197" s="75">
        <v>15</v>
      </c>
      <c r="S197" s="6">
        <f t="shared" si="40"/>
        <v>0.15</v>
      </c>
    </row>
    <row r="198" spans="1:19" x14ac:dyDescent="0.3">
      <c r="A198" s="37" t="s">
        <v>95</v>
      </c>
      <c r="B198" s="6" t="s">
        <v>162</v>
      </c>
      <c r="C198" s="77">
        <v>50000</v>
      </c>
      <c r="D198" s="6">
        <f>(C198/12)*5</f>
        <v>20833.333333333336</v>
      </c>
      <c r="E198" s="66">
        <v>2000</v>
      </c>
      <c r="F198" s="6">
        <f>SUM(E194:E198)</f>
        <v>7807</v>
      </c>
      <c r="G198" s="36" t="str">
        <f t="shared" si="37"/>
        <v>Farol Vermelho</v>
      </c>
      <c r="H198">
        <f t="shared" si="35"/>
        <v>13026.333333333336</v>
      </c>
      <c r="I198" s="6">
        <f t="shared" si="36"/>
        <v>5</v>
      </c>
      <c r="J198" s="76">
        <v>14</v>
      </c>
      <c r="K198" s="66">
        <v>1</v>
      </c>
      <c r="L198" s="6">
        <f>L194+L197</f>
        <v>5.8333333333333339</v>
      </c>
      <c r="M198" s="6">
        <f t="shared" si="41"/>
        <v>6</v>
      </c>
      <c r="N198" s="77">
        <v>100</v>
      </c>
      <c r="O198">
        <f t="shared" si="38"/>
        <v>0.5</v>
      </c>
      <c r="P198" s="77">
        <v>50</v>
      </c>
      <c r="Q198">
        <f t="shared" si="39"/>
        <v>0.3</v>
      </c>
      <c r="R198" s="75">
        <v>15</v>
      </c>
      <c r="S198" s="6">
        <f t="shared" si="40"/>
        <v>0.15</v>
      </c>
    </row>
    <row r="199" spans="1:19" x14ac:dyDescent="0.3">
      <c r="A199" s="37" t="s">
        <v>95</v>
      </c>
      <c r="B199" s="6" t="s">
        <v>163</v>
      </c>
      <c r="C199" s="77">
        <v>50000</v>
      </c>
      <c r="D199" s="6">
        <f>(C199/12)*6</f>
        <v>25000</v>
      </c>
      <c r="E199" s="66">
        <v>0</v>
      </c>
      <c r="F199" s="6">
        <f>SUM(E194:E199)</f>
        <v>7807</v>
      </c>
      <c r="G199" s="36" t="str">
        <f t="shared" si="37"/>
        <v>Farol Vermelho</v>
      </c>
      <c r="H199">
        <f t="shared" si="35"/>
        <v>17193</v>
      </c>
      <c r="I199" s="6">
        <f t="shared" si="36"/>
        <v>6</v>
      </c>
      <c r="J199" s="76">
        <v>14</v>
      </c>
      <c r="K199" s="66"/>
      <c r="L199" s="6">
        <f>$L194+L198</f>
        <v>7.0000000000000009</v>
      </c>
      <c r="M199" s="6">
        <f t="shared" si="41"/>
        <v>6</v>
      </c>
      <c r="N199" s="77">
        <v>100</v>
      </c>
      <c r="O199">
        <f t="shared" si="38"/>
        <v>0.5</v>
      </c>
      <c r="P199" s="77">
        <v>50</v>
      </c>
      <c r="Q199">
        <f t="shared" si="39"/>
        <v>0.3</v>
      </c>
      <c r="R199" s="75">
        <v>15</v>
      </c>
      <c r="S199" s="6">
        <f t="shared" si="40"/>
        <v>0.15</v>
      </c>
    </row>
    <row r="200" spans="1:19" x14ac:dyDescent="0.3">
      <c r="A200" s="37" t="s">
        <v>95</v>
      </c>
      <c r="B200" s="6" t="s">
        <v>164</v>
      </c>
      <c r="C200" s="77">
        <v>50000</v>
      </c>
      <c r="D200" s="6">
        <f>(C200/12)*7</f>
        <v>29166.666666666668</v>
      </c>
      <c r="E200" s="66">
        <v>0</v>
      </c>
      <c r="F200" s="6">
        <f>SUM(E194:E200)</f>
        <v>7807</v>
      </c>
      <c r="G200" s="36" t="str">
        <f t="shared" si="37"/>
        <v>Farol Vermelho</v>
      </c>
      <c r="H200">
        <f t="shared" si="35"/>
        <v>21359.666666666668</v>
      </c>
      <c r="I200" s="6">
        <f t="shared" si="36"/>
        <v>7</v>
      </c>
      <c r="J200" s="76">
        <v>14</v>
      </c>
      <c r="K200" s="66"/>
      <c r="L200" s="6">
        <f>$L194+L199</f>
        <v>8.1666666666666679</v>
      </c>
      <c r="M200" s="6">
        <f t="shared" si="41"/>
        <v>6</v>
      </c>
      <c r="N200" s="77">
        <v>100</v>
      </c>
      <c r="O200">
        <f t="shared" si="38"/>
        <v>0.5</v>
      </c>
      <c r="P200" s="77">
        <v>50</v>
      </c>
      <c r="Q200">
        <f t="shared" si="39"/>
        <v>0.3</v>
      </c>
      <c r="R200" s="75">
        <v>15</v>
      </c>
      <c r="S200" s="6">
        <f t="shared" si="40"/>
        <v>0.15</v>
      </c>
    </row>
    <row r="201" spans="1:19" x14ac:dyDescent="0.3">
      <c r="A201" s="37" t="s">
        <v>95</v>
      </c>
      <c r="B201" s="6" t="s">
        <v>165</v>
      </c>
      <c r="C201" s="77">
        <v>50000</v>
      </c>
      <c r="D201" s="6">
        <f>(C201/12)*8</f>
        <v>33333.333333333336</v>
      </c>
      <c r="E201" s="66">
        <v>0</v>
      </c>
      <c r="F201" s="6">
        <f>SUM(E194:E201)</f>
        <v>7807</v>
      </c>
      <c r="G201" s="36" t="str">
        <f t="shared" si="37"/>
        <v>Farol Vermelho</v>
      </c>
      <c r="H201">
        <f t="shared" si="35"/>
        <v>25526.333333333336</v>
      </c>
      <c r="I201" s="6">
        <f t="shared" si="36"/>
        <v>8</v>
      </c>
      <c r="J201" s="76">
        <v>14</v>
      </c>
      <c r="K201" s="66"/>
      <c r="L201" s="6">
        <f>L194+L200</f>
        <v>9.3333333333333339</v>
      </c>
      <c r="M201" s="6">
        <f t="shared" si="41"/>
        <v>6</v>
      </c>
      <c r="N201" s="77">
        <v>100</v>
      </c>
      <c r="O201">
        <f t="shared" si="38"/>
        <v>0.5</v>
      </c>
      <c r="P201" s="77">
        <v>50</v>
      </c>
      <c r="Q201">
        <f t="shared" si="39"/>
        <v>0.3</v>
      </c>
      <c r="R201" s="75">
        <v>15</v>
      </c>
      <c r="S201" s="6">
        <f t="shared" si="40"/>
        <v>0.15</v>
      </c>
    </row>
    <row r="202" spans="1:19" x14ac:dyDescent="0.3">
      <c r="A202" s="37" t="s">
        <v>95</v>
      </c>
      <c r="B202" s="6" t="s">
        <v>166</v>
      </c>
      <c r="C202" s="77">
        <v>50000</v>
      </c>
      <c r="D202" s="6">
        <f>(C202/12)*9</f>
        <v>37500</v>
      </c>
      <c r="E202" s="66">
        <v>0</v>
      </c>
      <c r="F202" s="6">
        <f>SUM(E194:E202)</f>
        <v>7807</v>
      </c>
      <c r="G202" s="36" t="str">
        <f t="shared" si="37"/>
        <v>Farol Vermelho</v>
      </c>
      <c r="H202">
        <f t="shared" si="35"/>
        <v>29693</v>
      </c>
      <c r="I202" s="6">
        <f t="shared" si="36"/>
        <v>9</v>
      </c>
      <c r="J202" s="76">
        <v>14</v>
      </c>
      <c r="K202" s="66"/>
      <c r="L202" s="6">
        <f>$L194+L201</f>
        <v>10.5</v>
      </c>
      <c r="M202" s="6">
        <f t="shared" si="41"/>
        <v>6</v>
      </c>
      <c r="N202" s="77">
        <v>100</v>
      </c>
      <c r="O202">
        <f t="shared" si="38"/>
        <v>0.5</v>
      </c>
      <c r="P202" s="77">
        <v>50</v>
      </c>
      <c r="Q202">
        <f t="shared" si="39"/>
        <v>0.3</v>
      </c>
      <c r="R202" s="75">
        <v>15</v>
      </c>
      <c r="S202" s="6">
        <f t="shared" si="40"/>
        <v>0.15</v>
      </c>
    </row>
    <row r="203" spans="1:19" x14ac:dyDescent="0.3">
      <c r="A203" s="37" t="s">
        <v>95</v>
      </c>
      <c r="B203" s="6" t="s">
        <v>167</v>
      </c>
      <c r="C203" s="77">
        <v>50000</v>
      </c>
      <c r="D203" s="6">
        <f>(C203/12)*10</f>
        <v>41666.666666666672</v>
      </c>
      <c r="E203" s="66">
        <v>0</v>
      </c>
      <c r="F203" s="6">
        <f>SUM(E194:E203)</f>
        <v>7807</v>
      </c>
      <c r="G203" s="36" t="str">
        <f t="shared" si="37"/>
        <v>Farol Vermelho</v>
      </c>
      <c r="H203">
        <f t="shared" si="35"/>
        <v>33859.666666666672</v>
      </c>
      <c r="I203" s="6">
        <f t="shared" si="36"/>
        <v>10</v>
      </c>
      <c r="J203" s="76">
        <v>14</v>
      </c>
      <c r="K203" s="66"/>
      <c r="L203" s="6">
        <f>$L194+L202</f>
        <v>11.666666666666666</v>
      </c>
      <c r="M203" s="6">
        <f t="shared" si="41"/>
        <v>6</v>
      </c>
      <c r="N203" s="77">
        <v>100</v>
      </c>
      <c r="O203">
        <f t="shared" si="38"/>
        <v>0.5</v>
      </c>
      <c r="P203" s="77">
        <v>50</v>
      </c>
      <c r="Q203">
        <f t="shared" si="39"/>
        <v>0.3</v>
      </c>
      <c r="R203" s="75">
        <v>15</v>
      </c>
      <c r="S203" s="6">
        <f t="shared" si="40"/>
        <v>0.15</v>
      </c>
    </row>
    <row r="204" spans="1:19" x14ac:dyDescent="0.3">
      <c r="A204" s="37" t="s">
        <v>95</v>
      </c>
      <c r="B204" s="6" t="s">
        <v>168</v>
      </c>
      <c r="C204" s="77">
        <v>50000</v>
      </c>
      <c r="D204" s="6">
        <f>(C204/12)*11</f>
        <v>45833.333333333336</v>
      </c>
      <c r="E204" s="66">
        <v>0</v>
      </c>
      <c r="F204" s="6">
        <f>SUM(E194:E204)</f>
        <v>7807</v>
      </c>
      <c r="G204" s="36" t="str">
        <f t="shared" si="37"/>
        <v>Farol Vermelho</v>
      </c>
      <c r="H204">
        <f t="shared" si="35"/>
        <v>38026.333333333336</v>
      </c>
      <c r="I204" s="6">
        <f t="shared" si="36"/>
        <v>11</v>
      </c>
      <c r="J204" s="76">
        <v>14</v>
      </c>
      <c r="K204" s="66"/>
      <c r="L204" s="6">
        <f>L194+L203</f>
        <v>12.833333333333332</v>
      </c>
      <c r="M204" s="6">
        <f t="shared" si="41"/>
        <v>6</v>
      </c>
      <c r="N204" s="77">
        <v>100</v>
      </c>
      <c r="O204">
        <f t="shared" si="38"/>
        <v>0.5</v>
      </c>
      <c r="P204" s="77">
        <v>50</v>
      </c>
      <c r="Q204">
        <f t="shared" si="39"/>
        <v>0.3</v>
      </c>
      <c r="R204" s="75">
        <v>15</v>
      </c>
      <c r="S204" s="6">
        <f t="shared" si="40"/>
        <v>0.15</v>
      </c>
    </row>
    <row r="205" spans="1:19" x14ac:dyDescent="0.3">
      <c r="A205" s="37" t="s">
        <v>95</v>
      </c>
      <c r="B205" s="6" t="s">
        <v>169</v>
      </c>
      <c r="C205" s="77">
        <v>50000</v>
      </c>
      <c r="D205" s="6">
        <f>(C205/12)*12</f>
        <v>50000</v>
      </c>
      <c r="E205" s="66">
        <v>0</v>
      </c>
      <c r="F205" s="6">
        <f>SUM(E194:E205)</f>
        <v>7807</v>
      </c>
      <c r="G205" s="36" t="str">
        <f t="shared" si="37"/>
        <v>Farol Vermelho</v>
      </c>
      <c r="H205">
        <f t="shared" si="35"/>
        <v>42193</v>
      </c>
      <c r="I205" s="6">
        <f t="shared" si="36"/>
        <v>12</v>
      </c>
      <c r="J205" s="76">
        <v>14</v>
      </c>
      <c r="K205" s="66"/>
      <c r="L205" s="6">
        <f>$L194+L204</f>
        <v>13.999999999999998</v>
      </c>
      <c r="M205" s="6">
        <f t="shared" si="41"/>
        <v>6</v>
      </c>
      <c r="N205" s="77">
        <v>100</v>
      </c>
      <c r="O205">
        <f t="shared" si="38"/>
        <v>0.5</v>
      </c>
      <c r="P205" s="77">
        <v>50</v>
      </c>
      <c r="Q205">
        <f t="shared" si="39"/>
        <v>0.3</v>
      </c>
      <c r="R205" s="75">
        <v>15</v>
      </c>
      <c r="S205" s="6">
        <f t="shared" si="40"/>
        <v>0.15</v>
      </c>
    </row>
    <row r="206" spans="1:19" x14ac:dyDescent="0.3">
      <c r="A206" s="37" t="s">
        <v>132</v>
      </c>
      <c r="B206" s="6" t="s">
        <v>158</v>
      </c>
      <c r="C206" s="77">
        <v>120000</v>
      </c>
      <c r="D206" s="6">
        <f>(C206/12)*1</f>
        <v>10000</v>
      </c>
      <c r="E206" s="66">
        <v>11050</v>
      </c>
      <c r="F206" s="6">
        <f>E206</f>
        <v>11050</v>
      </c>
      <c r="G206" s="36" t="str">
        <f t="shared" si="37"/>
        <v>Farol Verde</v>
      </c>
      <c r="H206">
        <f t="shared" si="35"/>
        <v>0</v>
      </c>
      <c r="I206" s="6">
        <f t="shared" si="36"/>
        <v>1</v>
      </c>
      <c r="J206" s="76">
        <v>18</v>
      </c>
      <c r="K206" s="66">
        <v>2</v>
      </c>
      <c r="L206" s="6">
        <f>J206/12</f>
        <v>1.5</v>
      </c>
      <c r="M206" s="6">
        <f>K206</f>
        <v>2</v>
      </c>
      <c r="N206" s="77">
        <v>100</v>
      </c>
      <c r="O206">
        <f t="shared" si="38"/>
        <v>0.5</v>
      </c>
      <c r="P206" s="77">
        <v>50</v>
      </c>
      <c r="Q206">
        <f t="shared" si="39"/>
        <v>0.3</v>
      </c>
      <c r="R206" s="75">
        <v>15</v>
      </c>
      <c r="S206" s="6">
        <f t="shared" si="40"/>
        <v>0.15</v>
      </c>
    </row>
    <row r="207" spans="1:19" x14ac:dyDescent="0.3">
      <c r="A207" s="37" t="s">
        <v>132</v>
      </c>
      <c r="B207" s="6" t="s">
        <v>159</v>
      </c>
      <c r="C207" s="77">
        <v>120000</v>
      </c>
      <c r="D207" s="6">
        <f>(C207/12)*2</f>
        <v>20000</v>
      </c>
      <c r="E207" s="66">
        <v>7500</v>
      </c>
      <c r="F207" s="6">
        <f>SUM(E206:E207)</f>
        <v>18550</v>
      </c>
      <c r="G207" s="36" t="str">
        <f t="shared" si="37"/>
        <v>Farol Amarelo</v>
      </c>
      <c r="H207">
        <f t="shared" si="35"/>
        <v>1450</v>
      </c>
      <c r="I207" s="6">
        <f t="shared" si="36"/>
        <v>2</v>
      </c>
      <c r="J207" s="76">
        <v>18</v>
      </c>
      <c r="K207" s="66">
        <v>2</v>
      </c>
      <c r="L207" s="6">
        <f>L206+L206</f>
        <v>3</v>
      </c>
      <c r="M207" s="6">
        <f>M206+K207</f>
        <v>4</v>
      </c>
      <c r="N207" s="77">
        <v>100</v>
      </c>
      <c r="O207">
        <f t="shared" si="38"/>
        <v>0.5</v>
      </c>
      <c r="P207" s="77">
        <v>50</v>
      </c>
      <c r="Q207">
        <f t="shared" si="39"/>
        <v>0.3</v>
      </c>
      <c r="R207" s="75">
        <v>15</v>
      </c>
      <c r="S207" s="6">
        <f t="shared" si="40"/>
        <v>0.15</v>
      </c>
    </row>
    <row r="208" spans="1:19" x14ac:dyDescent="0.3">
      <c r="A208" s="37" t="s">
        <v>132</v>
      </c>
      <c r="B208" s="6" t="s">
        <v>160</v>
      </c>
      <c r="C208" s="77">
        <v>120000</v>
      </c>
      <c r="D208" s="6">
        <f>(C208/12)*3</f>
        <v>30000</v>
      </c>
      <c r="E208" s="66">
        <v>18100</v>
      </c>
      <c r="F208" s="6">
        <f>SUM(E206:E208)</f>
        <v>36650</v>
      </c>
      <c r="G208" s="36" t="str">
        <f t="shared" si="37"/>
        <v>Farol Verde</v>
      </c>
      <c r="H208">
        <f t="shared" si="35"/>
        <v>0</v>
      </c>
      <c r="I208" s="6">
        <f t="shared" si="36"/>
        <v>3</v>
      </c>
      <c r="J208" s="76">
        <v>18</v>
      </c>
      <c r="K208" s="66">
        <v>3</v>
      </c>
      <c r="L208" s="6">
        <f>$L206+L207</f>
        <v>4.5</v>
      </c>
      <c r="M208" s="6">
        <f t="shared" ref="M208:M217" si="42">M207+K208</f>
        <v>7</v>
      </c>
      <c r="N208" s="77">
        <v>100</v>
      </c>
      <c r="O208">
        <f t="shared" si="38"/>
        <v>0.5</v>
      </c>
      <c r="P208" s="77">
        <v>50</v>
      </c>
      <c r="Q208">
        <f t="shared" si="39"/>
        <v>0.3</v>
      </c>
      <c r="R208" s="75">
        <v>15</v>
      </c>
      <c r="S208" s="6">
        <f t="shared" si="40"/>
        <v>0.15</v>
      </c>
    </row>
    <row r="209" spans="1:19" x14ac:dyDescent="0.3">
      <c r="A209" s="37" t="s">
        <v>132</v>
      </c>
      <c r="B209" s="6" t="s">
        <v>161</v>
      </c>
      <c r="C209" s="77">
        <v>120000</v>
      </c>
      <c r="D209" s="6">
        <f>(C209/12)*4</f>
        <v>40000</v>
      </c>
      <c r="E209" s="66">
        <v>0</v>
      </c>
      <c r="F209" s="6">
        <f>SUM(E206:E209)</f>
        <v>36650</v>
      </c>
      <c r="G209" s="36" t="str">
        <f t="shared" si="37"/>
        <v>Farol Amarelo</v>
      </c>
      <c r="H209">
        <f t="shared" si="35"/>
        <v>3350</v>
      </c>
      <c r="I209" s="6">
        <f t="shared" si="36"/>
        <v>4</v>
      </c>
      <c r="J209" s="76">
        <v>18</v>
      </c>
      <c r="K209" s="66">
        <v>0</v>
      </c>
      <c r="L209" s="6">
        <f>$L206+L208</f>
        <v>6</v>
      </c>
      <c r="M209" s="6">
        <f t="shared" si="42"/>
        <v>7</v>
      </c>
      <c r="N209" s="77">
        <v>100</v>
      </c>
      <c r="O209">
        <f t="shared" si="38"/>
        <v>0.5</v>
      </c>
      <c r="P209" s="77">
        <v>50</v>
      </c>
      <c r="Q209">
        <f t="shared" si="39"/>
        <v>0.3</v>
      </c>
      <c r="R209" s="75">
        <v>15</v>
      </c>
      <c r="S209" s="6">
        <f t="shared" si="40"/>
        <v>0.15</v>
      </c>
    </row>
    <row r="210" spans="1:19" x14ac:dyDescent="0.3">
      <c r="A210" s="37" t="s">
        <v>132</v>
      </c>
      <c r="B210" s="6" t="s">
        <v>162</v>
      </c>
      <c r="C210" s="77">
        <v>120000</v>
      </c>
      <c r="D210" s="6">
        <f>(C210/12)*5</f>
        <v>50000</v>
      </c>
      <c r="E210" s="66">
        <v>14760</v>
      </c>
      <c r="F210" s="6">
        <f>SUM(E206:E210)</f>
        <v>51410</v>
      </c>
      <c r="G210" s="36" t="str">
        <f t="shared" si="37"/>
        <v>Farol Verde</v>
      </c>
      <c r="H210">
        <f t="shared" si="35"/>
        <v>0</v>
      </c>
      <c r="I210" s="6">
        <f t="shared" si="36"/>
        <v>5</v>
      </c>
      <c r="J210" s="76">
        <v>18</v>
      </c>
      <c r="K210" s="66">
        <v>1</v>
      </c>
      <c r="L210" s="6">
        <f>L206+L209</f>
        <v>7.5</v>
      </c>
      <c r="M210" s="6">
        <f t="shared" si="42"/>
        <v>8</v>
      </c>
      <c r="N210" s="77">
        <v>100</v>
      </c>
      <c r="O210">
        <f t="shared" si="38"/>
        <v>0.5</v>
      </c>
      <c r="P210" s="77">
        <v>50</v>
      </c>
      <c r="Q210">
        <f t="shared" si="39"/>
        <v>0.3</v>
      </c>
      <c r="R210" s="75">
        <v>15</v>
      </c>
      <c r="S210" s="6">
        <f t="shared" si="40"/>
        <v>0.15</v>
      </c>
    </row>
    <row r="211" spans="1:19" x14ac:dyDescent="0.3">
      <c r="A211" s="37" t="s">
        <v>132</v>
      </c>
      <c r="B211" s="6" t="s">
        <v>163</v>
      </c>
      <c r="C211" s="77">
        <v>120000</v>
      </c>
      <c r="D211" s="6">
        <f>(C211/12)*6</f>
        <v>60000</v>
      </c>
      <c r="E211" s="66">
        <v>0</v>
      </c>
      <c r="F211" s="6">
        <f>SUM(E206:E211)</f>
        <v>51410</v>
      </c>
      <c r="G211" s="36" t="str">
        <f t="shared" si="37"/>
        <v>Farol Amarelo</v>
      </c>
      <c r="H211">
        <f t="shared" si="35"/>
        <v>8590</v>
      </c>
      <c r="I211" s="6">
        <f t="shared" si="36"/>
        <v>6</v>
      </c>
      <c r="J211" s="76">
        <v>18</v>
      </c>
      <c r="K211" s="66"/>
      <c r="L211" s="6">
        <f>$L206+L210</f>
        <v>9</v>
      </c>
      <c r="M211" s="6">
        <f t="shared" si="42"/>
        <v>8</v>
      </c>
      <c r="N211" s="77">
        <v>100</v>
      </c>
      <c r="O211">
        <f t="shared" si="38"/>
        <v>0.5</v>
      </c>
      <c r="P211" s="77">
        <v>50</v>
      </c>
      <c r="Q211">
        <f t="shared" si="39"/>
        <v>0.3</v>
      </c>
      <c r="R211" s="75">
        <v>15</v>
      </c>
      <c r="S211" s="6">
        <f t="shared" si="40"/>
        <v>0.15</v>
      </c>
    </row>
    <row r="212" spans="1:19" x14ac:dyDescent="0.3">
      <c r="A212" s="37" t="s">
        <v>132</v>
      </c>
      <c r="B212" s="6" t="s">
        <v>164</v>
      </c>
      <c r="C212" s="77">
        <v>120000</v>
      </c>
      <c r="D212" s="6">
        <f>(C212/12)*7</f>
        <v>70000</v>
      </c>
      <c r="E212" s="66">
        <v>0</v>
      </c>
      <c r="F212" s="6">
        <f>SUM(E206:E212)</f>
        <v>51410</v>
      </c>
      <c r="G212" s="36" t="str">
        <f t="shared" si="37"/>
        <v>Farol Vermelho</v>
      </c>
      <c r="H212">
        <f t="shared" si="35"/>
        <v>18590</v>
      </c>
      <c r="I212" s="6">
        <f t="shared" si="36"/>
        <v>7</v>
      </c>
      <c r="J212" s="76">
        <v>18</v>
      </c>
      <c r="K212" s="66"/>
      <c r="L212" s="6">
        <f>$L206+L211</f>
        <v>10.5</v>
      </c>
      <c r="M212" s="6">
        <f t="shared" si="42"/>
        <v>8</v>
      </c>
      <c r="N212" s="77">
        <v>100</v>
      </c>
      <c r="O212">
        <f t="shared" si="38"/>
        <v>0.5</v>
      </c>
      <c r="P212" s="77">
        <v>50</v>
      </c>
      <c r="Q212">
        <f t="shared" si="39"/>
        <v>0.3</v>
      </c>
      <c r="R212" s="75">
        <v>15</v>
      </c>
      <c r="S212" s="6">
        <f t="shared" si="40"/>
        <v>0.15</v>
      </c>
    </row>
    <row r="213" spans="1:19" x14ac:dyDescent="0.3">
      <c r="A213" s="37" t="s">
        <v>132</v>
      </c>
      <c r="B213" s="6" t="s">
        <v>165</v>
      </c>
      <c r="C213" s="77">
        <v>120000</v>
      </c>
      <c r="D213" s="6">
        <f>(C213/12)*8</f>
        <v>80000</v>
      </c>
      <c r="E213" s="66">
        <v>0</v>
      </c>
      <c r="F213" s="6">
        <f>SUM(E206:E213)</f>
        <v>51410</v>
      </c>
      <c r="G213" s="36" t="str">
        <f t="shared" si="37"/>
        <v>Farol Vermelho</v>
      </c>
      <c r="H213">
        <f t="shared" si="35"/>
        <v>28590</v>
      </c>
      <c r="I213" s="6">
        <f t="shared" si="36"/>
        <v>8</v>
      </c>
      <c r="J213" s="76">
        <v>18</v>
      </c>
      <c r="K213" s="66"/>
      <c r="L213" s="6">
        <f>L206+L212</f>
        <v>12</v>
      </c>
      <c r="M213" s="6">
        <f t="shared" si="42"/>
        <v>8</v>
      </c>
      <c r="N213" s="77">
        <v>100</v>
      </c>
      <c r="O213">
        <f t="shared" si="38"/>
        <v>0.5</v>
      </c>
      <c r="P213" s="77">
        <v>50</v>
      </c>
      <c r="Q213">
        <f t="shared" si="39"/>
        <v>0.3</v>
      </c>
      <c r="R213" s="75">
        <v>15</v>
      </c>
      <c r="S213" s="6">
        <f t="shared" si="40"/>
        <v>0.15</v>
      </c>
    </row>
    <row r="214" spans="1:19" x14ac:dyDescent="0.3">
      <c r="A214" s="37" t="s">
        <v>132</v>
      </c>
      <c r="B214" s="6" t="s">
        <v>166</v>
      </c>
      <c r="C214" s="77">
        <v>120000</v>
      </c>
      <c r="D214" s="6">
        <f>(C214/12)*9</f>
        <v>90000</v>
      </c>
      <c r="E214" s="66">
        <v>0</v>
      </c>
      <c r="F214" s="6">
        <f>SUM(E206:E214)</f>
        <v>51410</v>
      </c>
      <c r="G214" s="36" t="str">
        <f t="shared" si="37"/>
        <v>Farol Vermelho</v>
      </c>
      <c r="H214">
        <f t="shared" si="35"/>
        <v>38590</v>
      </c>
      <c r="I214" s="6">
        <f t="shared" si="36"/>
        <v>9</v>
      </c>
      <c r="J214" s="76">
        <v>18</v>
      </c>
      <c r="K214" s="66"/>
      <c r="L214" s="6">
        <f>$L206+L213</f>
        <v>13.5</v>
      </c>
      <c r="M214" s="6">
        <f t="shared" si="42"/>
        <v>8</v>
      </c>
      <c r="N214" s="77">
        <v>100</v>
      </c>
      <c r="O214">
        <f t="shared" si="38"/>
        <v>0.5</v>
      </c>
      <c r="P214" s="77">
        <v>50</v>
      </c>
      <c r="Q214">
        <f t="shared" si="39"/>
        <v>0.3</v>
      </c>
      <c r="R214" s="75">
        <v>15</v>
      </c>
      <c r="S214" s="6">
        <f t="shared" si="40"/>
        <v>0.15</v>
      </c>
    </row>
    <row r="215" spans="1:19" x14ac:dyDescent="0.3">
      <c r="A215" s="37" t="s">
        <v>132</v>
      </c>
      <c r="B215" s="6" t="s">
        <v>167</v>
      </c>
      <c r="C215" s="77">
        <v>120000</v>
      </c>
      <c r="D215" s="6">
        <f>(C215/12)*10</f>
        <v>100000</v>
      </c>
      <c r="E215" s="66">
        <v>0</v>
      </c>
      <c r="F215" s="6">
        <f>SUM(E206:E215)</f>
        <v>51410</v>
      </c>
      <c r="G215" s="36" t="str">
        <f t="shared" si="37"/>
        <v>Farol Vermelho</v>
      </c>
      <c r="H215">
        <f t="shared" si="35"/>
        <v>48590</v>
      </c>
      <c r="I215" s="6">
        <f t="shared" si="36"/>
        <v>10</v>
      </c>
      <c r="J215" s="76">
        <v>18</v>
      </c>
      <c r="K215" s="66"/>
      <c r="L215" s="6">
        <f>$L206+L214</f>
        <v>15</v>
      </c>
      <c r="M215" s="6">
        <f t="shared" si="42"/>
        <v>8</v>
      </c>
      <c r="N215" s="77">
        <v>100</v>
      </c>
      <c r="O215">
        <f t="shared" si="38"/>
        <v>0.5</v>
      </c>
      <c r="P215" s="77">
        <v>50</v>
      </c>
      <c r="Q215">
        <f t="shared" si="39"/>
        <v>0.3</v>
      </c>
      <c r="R215" s="75">
        <v>15</v>
      </c>
      <c r="S215" s="6">
        <f t="shared" si="40"/>
        <v>0.15</v>
      </c>
    </row>
    <row r="216" spans="1:19" x14ac:dyDescent="0.3">
      <c r="A216" s="37" t="s">
        <v>132</v>
      </c>
      <c r="B216" s="6" t="s">
        <v>168</v>
      </c>
      <c r="C216" s="77">
        <v>120000</v>
      </c>
      <c r="D216" s="6">
        <f>(C216/12)*11</f>
        <v>110000</v>
      </c>
      <c r="E216" s="66">
        <v>0</v>
      </c>
      <c r="F216" s="6">
        <f>SUM(E206:E216)</f>
        <v>51410</v>
      </c>
      <c r="G216" s="36" t="str">
        <f t="shared" si="37"/>
        <v>Farol Vermelho</v>
      </c>
      <c r="H216">
        <f t="shared" si="35"/>
        <v>58590</v>
      </c>
      <c r="I216" s="6">
        <f t="shared" si="36"/>
        <v>11</v>
      </c>
      <c r="J216" s="76">
        <v>18</v>
      </c>
      <c r="K216" s="66"/>
      <c r="L216" s="6">
        <f>L206+L215</f>
        <v>16.5</v>
      </c>
      <c r="M216" s="6">
        <f t="shared" si="42"/>
        <v>8</v>
      </c>
      <c r="N216" s="77">
        <v>100</v>
      </c>
      <c r="O216">
        <f t="shared" si="38"/>
        <v>0.5</v>
      </c>
      <c r="P216" s="77">
        <v>50</v>
      </c>
      <c r="Q216">
        <f t="shared" si="39"/>
        <v>0.3</v>
      </c>
      <c r="R216" s="75">
        <v>15</v>
      </c>
      <c r="S216" s="6">
        <f t="shared" si="40"/>
        <v>0.15</v>
      </c>
    </row>
    <row r="217" spans="1:19" x14ac:dyDescent="0.3">
      <c r="A217" s="37" t="s">
        <v>132</v>
      </c>
      <c r="B217" s="6" t="s">
        <v>169</v>
      </c>
      <c r="C217" s="77">
        <v>120000</v>
      </c>
      <c r="D217" s="6">
        <f>(C217/12)*12</f>
        <v>120000</v>
      </c>
      <c r="E217" s="66">
        <v>0</v>
      </c>
      <c r="F217" s="6">
        <f>SUM(E206:E217)</f>
        <v>51410</v>
      </c>
      <c r="G217" s="36" t="str">
        <f t="shared" si="37"/>
        <v>Farol Vermelho</v>
      </c>
      <c r="H217">
        <f t="shared" si="35"/>
        <v>68590</v>
      </c>
      <c r="I217" s="6">
        <f t="shared" si="36"/>
        <v>12</v>
      </c>
      <c r="J217" s="76">
        <v>18</v>
      </c>
      <c r="K217" s="66"/>
      <c r="L217" s="6">
        <f>$L206+L216</f>
        <v>18</v>
      </c>
      <c r="M217" s="6">
        <f t="shared" si="42"/>
        <v>8</v>
      </c>
      <c r="N217" s="77">
        <v>100</v>
      </c>
      <c r="O217">
        <f t="shared" si="38"/>
        <v>0.5</v>
      </c>
      <c r="P217" s="77">
        <v>50</v>
      </c>
      <c r="Q217">
        <f t="shared" si="39"/>
        <v>0.3</v>
      </c>
      <c r="R217" s="75">
        <v>15</v>
      </c>
      <c r="S217" s="6">
        <f t="shared" si="40"/>
        <v>0.15</v>
      </c>
    </row>
    <row r="218" spans="1:19" x14ac:dyDescent="0.3">
      <c r="A218" s="37" t="s">
        <v>74</v>
      </c>
      <c r="B218" s="6" t="s">
        <v>158</v>
      </c>
      <c r="C218" s="77">
        <v>18000</v>
      </c>
      <c r="D218" s="6">
        <f>(C218/12)*1</f>
        <v>1500</v>
      </c>
      <c r="E218" s="66">
        <v>0</v>
      </c>
      <c r="F218" s="6">
        <f>E218</f>
        <v>0</v>
      </c>
      <c r="G218" s="36" t="str">
        <f t="shared" si="37"/>
        <v>Farol Vermelho</v>
      </c>
      <c r="H218">
        <f t="shared" si="35"/>
        <v>1500</v>
      </c>
      <c r="I218" s="6">
        <f t="shared" si="36"/>
        <v>1</v>
      </c>
      <c r="J218" s="76">
        <v>7</v>
      </c>
      <c r="K218" s="66">
        <v>0</v>
      </c>
      <c r="L218" s="6">
        <f>J218/12</f>
        <v>0.58333333333333337</v>
      </c>
      <c r="M218" s="6">
        <f>K218</f>
        <v>0</v>
      </c>
      <c r="N218" s="77">
        <v>100</v>
      </c>
      <c r="O218">
        <f t="shared" si="38"/>
        <v>0.5</v>
      </c>
      <c r="P218" s="77">
        <v>50</v>
      </c>
      <c r="Q218">
        <f t="shared" si="39"/>
        <v>0.3</v>
      </c>
      <c r="R218" s="75">
        <v>15</v>
      </c>
      <c r="S218" s="6">
        <f t="shared" si="40"/>
        <v>0.15</v>
      </c>
    </row>
    <row r="219" spans="1:19" x14ac:dyDescent="0.3">
      <c r="A219" s="37" t="s">
        <v>74</v>
      </c>
      <c r="B219" s="6" t="s">
        <v>159</v>
      </c>
      <c r="C219" s="77">
        <v>18000</v>
      </c>
      <c r="D219" s="6">
        <f>(C219/12)*2</f>
        <v>3000</v>
      </c>
      <c r="E219" s="66">
        <v>0</v>
      </c>
      <c r="F219" s="6">
        <f>SUM(E218:E219)</f>
        <v>0</v>
      </c>
      <c r="G219" s="36" t="str">
        <f t="shared" si="37"/>
        <v>Farol Vermelho</v>
      </c>
      <c r="H219">
        <f t="shared" si="35"/>
        <v>3000</v>
      </c>
      <c r="I219" s="6">
        <f t="shared" si="36"/>
        <v>2</v>
      </c>
      <c r="J219" s="76">
        <v>7</v>
      </c>
      <c r="K219" s="66">
        <v>0</v>
      </c>
      <c r="L219" s="6">
        <f>L218+L218</f>
        <v>1.1666666666666667</v>
      </c>
      <c r="M219" s="6">
        <f>M218+K219</f>
        <v>0</v>
      </c>
      <c r="N219" s="77">
        <v>100</v>
      </c>
      <c r="O219">
        <f t="shared" si="38"/>
        <v>0.5</v>
      </c>
      <c r="P219" s="77">
        <v>50</v>
      </c>
      <c r="Q219">
        <f t="shared" si="39"/>
        <v>0.3</v>
      </c>
      <c r="R219" s="75">
        <v>15</v>
      </c>
      <c r="S219" s="6">
        <f t="shared" si="40"/>
        <v>0.15</v>
      </c>
    </row>
    <row r="220" spans="1:19" x14ac:dyDescent="0.3">
      <c r="A220" s="37" t="s">
        <v>74</v>
      </c>
      <c r="B220" s="6" t="s">
        <v>160</v>
      </c>
      <c r="C220" s="77">
        <v>18000</v>
      </c>
      <c r="D220" s="6">
        <f>(C220/12)*3</f>
        <v>4500</v>
      </c>
      <c r="E220" s="66">
        <v>0</v>
      </c>
      <c r="F220" s="6">
        <f>SUM(E218:E220)</f>
        <v>0</v>
      </c>
      <c r="G220" s="36" t="str">
        <f t="shared" si="37"/>
        <v>Farol Vermelho</v>
      </c>
      <c r="H220">
        <f t="shared" si="35"/>
        <v>4500</v>
      </c>
      <c r="I220" s="6">
        <f t="shared" si="36"/>
        <v>3</v>
      </c>
      <c r="J220" s="76">
        <v>7</v>
      </c>
      <c r="K220" s="66">
        <v>0</v>
      </c>
      <c r="L220" s="6">
        <f>$L218+L219</f>
        <v>1.75</v>
      </c>
      <c r="M220" s="6">
        <f t="shared" ref="M220:M229" si="43">M219+K220</f>
        <v>0</v>
      </c>
      <c r="N220" s="77">
        <v>100</v>
      </c>
      <c r="O220">
        <f t="shared" si="38"/>
        <v>0.5</v>
      </c>
      <c r="P220" s="77">
        <v>50</v>
      </c>
      <c r="Q220">
        <f t="shared" si="39"/>
        <v>0.3</v>
      </c>
      <c r="R220" s="75">
        <v>15</v>
      </c>
      <c r="S220" s="6">
        <f t="shared" si="40"/>
        <v>0.15</v>
      </c>
    </row>
    <row r="221" spans="1:19" x14ac:dyDescent="0.3">
      <c r="A221" s="37" t="s">
        <v>74</v>
      </c>
      <c r="B221" s="6" t="s">
        <v>161</v>
      </c>
      <c r="C221" s="77">
        <v>18000</v>
      </c>
      <c r="D221" s="6">
        <f>(C221/12)*4</f>
        <v>6000</v>
      </c>
      <c r="E221" s="66">
        <v>0</v>
      </c>
      <c r="F221" s="6">
        <f>SUM(E218:E221)</f>
        <v>0</v>
      </c>
      <c r="G221" s="36" t="str">
        <f t="shared" si="37"/>
        <v>Farol Vermelho</v>
      </c>
      <c r="H221">
        <f t="shared" si="35"/>
        <v>6000</v>
      </c>
      <c r="I221" s="6">
        <f t="shared" si="36"/>
        <v>4</v>
      </c>
      <c r="J221" s="76">
        <v>7</v>
      </c>
      <c r="K221" s="66">
        <v>0</v>
      </c>
      <c r="L221" s="6">
        <f>$L218+L220</f>
        <v>2.3333333333333335</v>
      </c>
      <c r="M221" s="6">
        <f t="shared" si="43"/>
        <v>0</v>
      </c>
      <c r="N221" s="77">
        <v>100</v>
      </c>
      <c r="O221">
        <f t="shared" si="38"/>
        <v>0.5</v>
      </c>
      <c r="P221" s="77">
        <v>50</v>
      </c>
      <c r="Q221">
        <f t="shared" si="39"/>
        <v>0.3</v>
      </c>
      <c r="R221" s="75">
        <v>15</v>
      </c>
      <c r="S221" s="6">
        <f t="shared" si="40"/>
        <v>0.15</v>
      </c>
    </row>
    <row r="222" spans="1:19" x14ac:dyDescent="0.3">
      <c r="A222" s="37" t="s">
        <v>74</v>
      </c>
      <c r="B222" s="6" t="s">
        <v>162</v>
      </c>
      <c r="C222" s="77">
        <v>18000</v>
      </c>
      <c r="D222" s="6">
        <f>(C222/12)*5</f>
        <v>7500</v>
      </c>
      <c r="E222" s="66">
        <v>0</v>
      </c>
      <c r="F222" s="6">
        <f>SUM(E218:E222)</f>
        <v>0</v>
      </c>
      <c r="G222" s="36" t="str">
        <f t="shared" si="37"/>
        <v>Farol Vermelho</v>
      </c>
      <c r="H222">
        <f t="shared" si="35"/>
        <v>7500</v>
      </c>
      <c r="I222" s="6">
        <f t="shared" si="36"/>
        <v>5</v>
      </c>
      <c r="J222" s="76">
        <v>7</v>
      </c>
      <c r="K222" s="66"/>
      <c r="L222" s="6">
        <f>L218+L221</f>
        <v>2.916666666666667</v>
      </c>
      <c r="M222" s="6">
        <f t="shared" si="43"/>
        <v>0</v>
      </c>
      <c r="N222" s="77">
        <v>100</v>
      </c>
      <c r="O222">
        <f t="shared" si="38"/>
        <v>0.5</v>
      </c>
      <c r="P222" s="77">
        <v>50</v>
      </c>
      <c r="Q222">
        <f t="shared" si="39"/>
        <v>0.3</v>
      </c>
      <c r="R222" s="75">
        <v>15</v>
      </c>
      <c r="S222" s="6">
        <f t="shared" si="40"/>
        <v>0.15</v>
      </c>
    </row>
    <row r="223" spans="1:19" x14ac:dyDescent="0.3">
      <c r="A223" s="37" t="s">
        <v>74</v>
      </c>
      <c r="B223" s="6" t="s">
        <v>163</v>
      </c>
      <c r="C223" s="77">
        <v>18000</v>
      </c>
      <c r="D223" s="6">
        <f>(C223/12)*6</f>
        <v>9000</v>
      </c>
      <c r="E223" s="66">
        <v>0</v>
      </c>
      <c r="F223" s="6">
        <f>SUM(E218:E223)</f>
        <v>0</v>
      </c>
      <c r="G223" s="36" t="str">
        <f t="shared" si="37"/>
        <v>Farol Vermelho</v>
      </c>
      <c r="H223">
        <f t="shared" si="35"/>
        <v>9000</v>
      </c>
      <c r="I223" s="6">
        <f t="shared" si="36"/>
        <v>6</v>
      </c>
      <c r="J223" s="76">
        <v>7</v>
      </c>
      <c r="K223" s="66"/>
      <c r="L223" s="6">
        <f>$L218+L222</f>
        <v>3.5000000000000004</v>
      </c>
      <c r="M223" s="6">
        <f t="shared" si="43"/>
        <v>0</v>
      </c>
      <c r="N223" s="77">
        <v>100</v>
      </c>
      <c r="O223">
        <f t="shared" si="38"/>
        <v>0.5</v>
      </c>
      <c r="P223" s="77">
        <v>50</v>
      </c>
      <c r="Q223">
        <f t="shared" si="39"/>
        <v>0.3</v>
      </c>
      <c r="R223" s="75">
        <v>15</v>
      </c>
      <c r="S223" s="6">
        <f t="shared" si="40"/>
        <v>0.15</v>
      </c>
    </row>
    <row r="224" spans="1:19" x14ac:dyDescent="0.3">
      <c r="A224" s="37" t="s">
        <v>74</v>
      </c>
      <c r="B224" s="6" t="s">
        <v>164</v>
      </c>
      <c r="C224" s="77">
        <v>18000</v>
      </c>
      <c r="D224" s="6">
        <f>(C224/12)*7</f>
        <v>10500</v>
      </c>
      <c r="E224" s="66">
        <v>0</v>
      </c>
      <c r="F224" s="6">
        <f>SUM(E218:E224)</f>
        <v>0</v>
      </c>
      <c r="G224" s="36" t="str">
        <f t="shared" si="37"/>
        <v>Farol Vermelho</v>
      </c>
      <c r="H224">
        <f t="shared" si="35"/>
        <v>10500</v>
      </c>
      <c r="I224" s="6">
        <f t="shared" si="36"/>
        <v>7</v>
      </c>
      <c r="J224" s="76">
        <v>7</v>
      </c>
      <c r="K224" s="66"/>
      <c r="L224" s="6">
        <f>$L218+L223</f>
        <v>4.0833333333333339</v>
      </c>
      <c r="M224" s="6">
        <f t="shared" si="43"/>
        <v>0</v>
      </c>
      <c r="N224" s="77">
        <v>100</v>
      </c>
      <c r="O224">
        <f t="shared" si="38"/>
        <v>0.5</v>
      </c>
      <c r="P224" s="77">
        <v>50</v>
      </c>
      <c r="Q224">
        <f t="shared" si="39"/>
        <v>0.3</v>
      </c>
      <c r="R224" s="75">
        <v>15</v>
      </c>
      <c r="S224" s="6">
        <f t="shared" si="40"/>
        <v>0.15</v>
      </c>
    </row>
    <row r="225" spans="1:19" x14ac:dyDescent="0.3">
      <c r="A225" s="37" t="s">
        <v>74</v>
      </c>
      <c r="B225" s="6" t="s">
        <v>165</v>
      </c>
      <c r="C225" s="77">
        <v>18000</v>
      </c>
      <c r="D225" s="6">
        <f>(C225/12)*8</f>
        <v>12000</v>
      </c>
      <c r="E225" s="66">
        <v>0</v>
      </c>
      <c r="F225" s="6">
        <f>SUM(E218:E225)</f>
        <v>0</v>
      </c>
      <c r="G225" s="36" t="str">
        <f t="shared" si="37"/>
        <v>Farol Vermelho</v>
      </c>
      <c r="H225">
        <f t="shared" si="35"/>
        <v>12000</v>
      </c>
      <c r="I225" s="6">
        <f t="shared" si="36"/>
        <v>8</v>
      </c>
      <c r="J225" s="76">
        <v>7</v>
      </c>
      <c r="K225" s="66"/>
      <c r="L225" s="6">
        <f>L218+L224</f>
        <v>4.666666666666667</v>
      </c>
      <c r="M225" s="6">
        <f t="shared" si="43"/>
        <v>0</v>
      </c>
      <c r="N225" s="77">
        <v>100</v>
      </c>
      <c r="O225">
        <f t="shared" si="38"/>
        <v>0.5</v>
      </c>
      <c r="P225" s="77">
        <v>50</v>
      </c>
      <c r="Q225">
        <f t="shared" si="39"/>
        <v>0.3</v>
      </c>
      <c r="R225" s="75">
        <v>15</v>
      </c>
      <c r="S225" s="6">
        <f t="shared" si="40"/>
        <v>0.15</v>
      </c>
    </row>
    <row r="226" spans="1:19" x14ac:dyDescent="0.3">
      <c r="A226" s="37" t="s">
        <v>74</v>
      </c>
      <c r="B226" s="6" t="s">
        <v>166</v>
      </c>
      <c r="C226" s="77">
        <v>18000</v>
      </c>
      <c r="D226" s="6">
        <f>(C226/12)*9</f>
        <v>13500</v>
      </c>
      <c r="E226" s="66">
        <v>0</v>
      </c>
      <c r="F226" s="6">
        <f>SUM(E218:E226)</f>
        <v>0</v>
      </c>
      <c r="G226" s="36" t="str">
        <f t="shared" si="37"/>
        <v>Farol Vermelho</v>
      </c>
      <c r="H226">
        <f t="shared" si="35"/>
        <v>13500</v>
      </c>
      <c r="I226" s="6">
        <f t="shared" si="36"/>
        <v>9</v>
      </c>
      <c r="J226" s="76">
        <v>7</v>
      </c>
      <c r="K226" s="66"/>
      <c r="L226" s="6">
        <f>$L218+L225</f>
        <v>5.25</v>
      </c>
      <c r="M226" s="6">
        <f t="shared" si="43"/>
        <v>0</v>
      </c>
      <c r="N226" s="77">
        <v>100</v>
      </c>
      <c r="O226">
        <f t="shared" si="38"/>
        <v>0.5</v>
      </c>
      <c r="P226" s="77">
        <v>50</v>
      </c>
      <c r="Q226">
        <f t="shared" si="39"/>
        <v>0.3</v>
      </c>
      <c r="R226" s="75">
        <v>15</v>
      </c>
      <c r="S226" s="6">
        <f t="shared" si="40"/>
        <v>0.15</v>
      </c>
    </row>
    <row r="227" spans="1:19" x14ac:dyDescent="0.3">
      <c r="A227" s="37" t="s">
        <v>74</v>
      </c>
      <c r="B227" s="6" t="s">
        <v>167</v>
      </c>
      <c r="C227" s="77">
        <v>18000</v>
      </c>
      <c r="D227" s="6">
        <f>(C227/12)*10</f>
        <v>15000</v>
      </c>
      <c r="E227" s="66">
        <v>0</v>
      </c>
      <c r="F227" s="6">
        <f>SUM(E218:E227)</f>
        <v>0</v>
      </c>
      <c r="G227" s="36" t="str">
        <f t="shared" si="37"/>
        <v>Farol Vermelho</v>
      </c>
      <c r="H227">
        <f t="shared" si="35"/>
        <v>15000</v>
      </c>
      <c r="I227" s="6">
        <f t="shared" si="36"/>
        <v>10</v>
      </c>
      <c r="J227" s="76">
        <v>7</v>
      </c>
      <c r="K227" s="66"/>
      <c r="L227" s="6">
        <f>$L218+L226</f>
        <v>5.833333333333333</v>
      </c>
      <c r="M227" s="6">
        <f t="shared" si="43"/>
        <v>0</v>
      </c>
      <c r="N227" s="77">
        <v>100</v>
      </c>
      <c r="O227">
        <f t="shared" si="38"/>
        <v>0.5</v>
      </c>
      <c r="P227" s="77">
        <v>50</v>
      </c>
      <c r="Q227">
        <f t="shared" si="39"/>
        <v>0.3</v>
      </c>
      <c r="R227" s="75">
        <v>15</v>
      </c>
      <c r="S227" s="6">
        <f t="shared" si="40"/>
        <v>0.15</v>
      </c>
    </row>
    <row r="228" spans="1:19" x14ac:dyDescent="0.3">
      <c r="A228" s="37" t="s">
        <v>74</v>
      </c>
      <c r="B228" s="6" t="s">
        <v>168</v>
      </c>
      <c r="C228" s="77">
        <v>18000</v>
      </c>
      <c r="D228" s="6">
        <f>(C228/12)*11</f>
        <v>16500</v>
      </c>
      <c r="E228" s="66">
        <v>0</v>
      </c>
      <c r="F228" s="6">
        <f>SUM(E218:E228)</f>
        <v>0</v>
      </c>
      <c r="G228" s="36" t="str">
        <f t="shared" si="37"/>
        <v>Farol Vermelho</v>
      </c>
      <c r="H228">
        <f t="shared" si="35"/>
        <v>16500</v>
      </c>
      <c r="I228" s="6">
        <f t="shared" si="36"/>
        <v>11</v>
      </c>
      <c r="J228" s="76">
        <v>7</v>
      </c>
      <c r="K228" s="66"/>
      <c r="L228" s="6">
        <f>L218+L227</f>
        <v>6.4166666666666661</v>
      </c>
      <c r="M228" s="6">
        <f t="shared" si="43"/>
        <v>0</v>
      </c>
      <c r="N228" s="77">
        <v>100</v>
      </c>
      <c r="O228">
        <f t="shared" si="38"/>
        <v>0.5</v>
      </c>
      <c r="P228" s="77">
        <v>50</v>
      </c>
      <c r="Q228">
        <f t="shared" si="39"/>
        <v>0.3</v>
      </c>
      <c r="R228" s="75">
        <v>15</v>
      </c>
      <c r="S228" s="6">
        <f t="shared" si="40"/>
        <v>0.15</v>
      </c>
    </row>
    <row r="229" spans="1:19" x14ac:dyDescent="0.3">
      <c r="A229" s="37" t="s">
        <v>74</v>
      </c>
      <c r="B229" s="6" t="s">
        <v>169</v>
      </c>
      <c r="C229" s="77">
        <v>18000</v>
      </c>
      <c r="D229" s="6">
        <f>(C229/12)*12</f>
        <v>18000</v>
      </c>
      <c r="E229" s="66">
        <v>0</v>
      </c>
      <c r="F229" s="6">
        <f>SUM(E218:E229)</f>
        <v>0</v>
      </c>
      <c r="G229" s="36" t="str">
        <f t="shared" si="37"/>
        <v>Farol Vermelho</v>
      </c>
      <c r="H229">
        <f t="shared" si="35"/>
        <v>18000</v>
      </c>
      <c r="I229" s="6">
        <f t="shared" si="36"/>
        <v>12</v>
      </c>
      <c r="J229" s="76">
        <v>7</v>
      </c>
      <c r="K229" s="66"/>
      <c r="L229" s="6">
        <f>$L218+L228</f>
        <v>6.9999999999999991</v>
      </c>
      <c r="M229" s="6">
        <f t="shared" si="43"/>
        <v>0</v>
      </c>
      <c r="N229" s="77">
        <v>100</v>
      </c>
      <c r="O229">
        <f t="shared" si="38"/>
        <v>0.5</v>
      </c>
      <c r="P229" s="77">
        <v>50</v>
      </c>
      <c r="Q229">
        <f t="shared" si="39"/>
        <v>0.3</v>
      </c>
      <c r="R229" s="75">
        <v>15</v>
      </c>
      <c r="S229" s="6">
        <f t="shared" si="40"/>
        <v>0.15</v>
      </c>
    </row>
    <row r="230" spans="1:19" x14ac:dyDescent="0.3">
      <c r="A230" s="37" t="s">
        <v>57</v>
      </c>
      <c r="B230" s="6" t="s">
        <v>158</v>
      </c>
      <c r="C230" s="77">
        <v>47000</v>
      </c>
      <c r="D230" s="6">
        <f>(C230/12)*1</f>
        <v>3916.6666666666665</v>
      </c>
      <c r="E230" s="66">
        <v>0</v>
      </c>
      <c r="F230" s="6">
        <f>E230</f>
        <v>0</v>
      </c>
      <c r="G230" s="36" t="str">
        <f t="shared" si="37"/>
        <v>Farol Vermelho</v>
      </c>
      <c r="H230">
        <f t="shared" si="35"/>
        <v>3916.6666666666665</v>
      </c>
      <c r="I230" s="6">
        <f t="shared" si="36"/>
        <v>1</v>
      </c>
      <c r="J230" s="76">
        <v>8</v>
      </c>
      <c r="K230" s="66">
        <v>0</v>
      </c>
      <c r="L230" s="6">
        <f>J230/12</f>
        <v>0.66666666666666663</v>
      </c>
      <c r="M230" s="6">
        <f>K230</f>
        <v>0</v>
      </c>
      <c r="N230" s="77">
        <v>100</v>
      </c>
      <c r="O230">
        <f t="shared" si="38"/>
        <v>0.5</v>
      </c>
      <c r="P230" s="77">
        <v>50</v>
      </c>
      <c r="Q230">
        <f t="shared" si="39"/>
        <v>0.3</v>
      </c>
      <c r="R230" s="75">
        <v>15</v>
      </c>
      <c r="S230" s="6">
        <f t="shared" si="40"/>
        <v>0.15</v>
      </c>
    </row>
    <row r="231" spans="1:19" x14ac:dyDescent="0.3">
      <c r="A231" s="37" t="s">
        <v>57</v>
      </c>
      <c r="B231" s="6" t="s">
        <v>159</v>
      </c>
      <c r="C231" s="77">
        <v>47000</v>
      </c>
      <c r="D231" s="6">
        <f>(C231/12)*2</f>
        <v>7833.333333333333</v>
      </c>
      <c r="E231" s="66">
        <v>2700</v>
      </c>
      <c r="F231" s="6">
        <f>SUM(E230:E231)</f>
        <v>2700</v>
      </c>
      <c r="G231" s="36" t="str">
        <f t="shared" si="37"/>
        <v>Farol Vermelho</v>
      </c>
      <c r="H231">
        <f t="shared" si="35"/>
        <v>5133.333333333333</v>
      </c>
      <c r="I231" s="6">
        <f t="shared" si="36"/>
        <v>2</v>
      </c>
      <c r="J231" s="76">
        <v>8</v>
      </c>
      <c r="K231" s="66">
        <v>1</v>
      </c>
      <c r="L231" s="6">
        <f>L230+L230</f>
        <v>1.3333333333333333</v>
      </c>
      <c r="M231" s="6">
        <f>M230+K231</f>
        <v>1</v>
      </c>
      <c r="N231" s="77">
        <v>100</v>
      </c>
      <c r="O231">
        <f t="shared" si="38"/>
        <v>0.5</v>
      </c>
      <c r="P231" s="77">
        <v>50</v>
      </c>
      <c r="Q231">
        <f t="shared" si="39"/>
        <v>0.3</v>
      </c>
      <c r="R231" s="75">
        <v>15</v>
      </c>
      <c r="S231" s="6">
        <f t="shared" si="40"/>
        <v>0.15</v>
      </c>
    </row>
    <row r="232" spans="1:19" x14ac:dyDescent="0.3">
      <c r="A232" s="37" t="s">
        <v>57</v>
      </c>
      <c r="B232" s="6" t="s">
        <v>160</v>
      </c>
      <c r="C232" s="77">
        <v>47000</v>
      </c>
      <c r="D232" s="6">
        <f>(C232/12)*3</f>
        <v>11750</v>
      </c>
      <c r="E232" s="66">
        <v>0</v>
      </c>
      <c r="F232" s="6">
        <f>SUM(E230:E232)</f>
        <v>2700</v>
      </c>
      <c r="G232" s="36" t="str">
        <f t="shared" si="37"/>
        <v>Farol Vermelho</v>
      </c>
      <c r="H232">
        <f t="shared" si="35"/>
        <v>9050</v>
      </c>
      <c r="I232" s="6">
        <f t="shared" si="36"/>
        <v>3</v>
      </c>
      <c r="J232" s="76">
        <v>8</v>
      </c>
      <c r="K232" s="66"/>
      <c r="L232" s="6">
        <f>$L230+L231</f>
        <v>2</v>
      </c>
      <c r="M232" s="6">
        <f t="shared" ref="M232:M241" si="44">M231+K232</f>
        <v>1</v>
      </c>
      <c r="N232" s="77">
        <v>100</v>
      </c>
      <c r="O232">
        <f t="shared" si="38"/>
        <v>0.5</v>
      </c>
      <c r="P232" s="77">
        <v>50</v>
      </c>
      <c r="Q232">
        <f t="shared" si="39"/>
        <v>0.3</v>
      </c>
      <c r="R232" s="75">
        <v>15</v>
      </c>
      <c r="S232" s="6">
        <f t="shared" si="40"/>
        <v>0.15</v>
      </c>
    </row>
    <row r="233" spans="1:19" x14ac:dyDescent="0.3">
      <c r="A233" s="37" t="s">
        <v>57</v>
      </c>
      <c r="B233" s="6" t="s">
        <v>161</v>
      </c>
      <c r="C233" s="77">
        <v>47000</v>
      </c>
      <c r="D233" s="6">
        <f>(C233/12)*4</f>
        <v>15666.666666666666</v>
      </c>
      <c r="E233" s="66">
        <v>0</v>
      </c>
      <c r="F233" s="6">
        <f>SUM(E230:E233)</f>
        <v>2700</v>
      </c>
      <c r="G233" s="36" t="str">
        <f t="shared" si="37"/>
        <v>Farol Vermelho</v>
      </c>
      <c r="H233">
        <f t="shared" si="35"/>
        <v>12966.666666666666</v>
      </c>
      <c r="I233" s="6">
        <f t="shared" si="36"/>
        <v>4</v>
      </c>
      <c r="J233" s="76">
        <v>8</v>
      </c>
      <c r="K233" s="66"/>
      <c r="L233" s="6">
        <f>$L230+L232</f>
        <v>2.6666666666666665</v>
      </c>
      <c r="M233" s="6">
        <f t="shared" si="44"/>
        <v>1</v>
      </c>
      <c r="N233" s="77">
        <v>100</v>
      </c>
      <c r="O233">
        <f t="shared" si="38"/>
        <v>0.5</v>
      </c>
      <c r="P233" s="77">
        <v>50</v>
      </c>
      <c r="Q233">
        <f t="shared" si="39"/>
        <v>0.3</v>
      </c>
      <c r="R233" s="75">
        <v>15</v>
      </c>
      <c r="S233" s="6">
        <f t="shared" si="40"/>
        <v>0.15</v>
      </c>
    </row>
    <row r="234" spans="1:19" x14ac:dyDescent="0.3">
      <c r="A234" s="37" t="s">
        <v>57</v>
      </c>
      <c r="B234" s="6" t="s">
        <v>162</v>
      </c>
      <c r="C234" s="77">
        <v>47000</v>
      </c>
      <c r="D234" s="6">
        <f>(C234/12)*5</f>
        <v>19583.333333333332</v>
      </c>
      <c r="E234" s="66">
        <v>0</v>
      </c>
      <c r="F234" s="6">
        <f>SUM(E230:E234)</f>
        <v>2700</v>
      </c>
      <c r="G234" s="36" t="str">
        <f t="shared" si="37"/>
        <v>Farol Vermelho</v>
      </c>
      <c r="H234">
        <f t="shared" si="35"/>
        <v>16883.333333333332</v>
      </c>
      <c r="I234" s="6">
        <f t="shared" si="36"/>
        <v>5</v>
      </c>
      <c r="J234" s="76">
        <v>8</v>
      </c>
      <c r="K234" s="66"/>
      <c r="L234" s="6">
        <f>L230+L233</f>
        <v>3.333333333333333</v>
      </c>
      <c r="M234" s="6">
        <f t="shared" si="44"/>
        <v>1</v>
      </c>
      <c r="N234" s="77">
        <v>100</v>
      </c>
      <c r="O234">
        <f t="shared" si="38"/>
        <v>0.5</v>
      </c>
      <c r="P234" s="77">
        <v>50</v>
      </c>
      <c r="Q234">
        <f t="shared" si="39"/>
        <v>0.3</v>
      </c>
      <c r="R234" s="75">
        <v>15</v>
      </c>
      <c r="S234" s="6">
        <f t="shared" si="40"/>
        <v>0.15</v>
      </c>
    </row>
    <row r="235" spans="1:19" x14ac:dyDescent="0.3">
      <c r="A235" s="37" t="s">
        <v>57</v>
      </c>
      <c r="B235" s="6" t="s">
        <v>163</v>
      </c>
      <c r="C235" s="77">
        <v>47000</v>
      </c>
      <c r="D235" s="6">
        <f>(C235/12)*6</f>
        <v>23500</v>
      </c>
      <c r="E235" s="66">
        <v>0</v>
      </c>
      <c r="F235" s="6">
        <f>SUM(E230:E235)</f>
        <v>2700</v>
      </c>
      <c r="G235" s="36" t="str">
        <f t="shared" si="37"/>
        <v>Farol Vermelho</v>
      </c>
      <c r="H235">
        <f t="shared" si="35"/>
        <v>20800</v>
      </c>
      <c r="I235" s="6">
        <f t="shared" si="36"/>
        <v>6</v>
      </c>
      <c r="J235" s="76">
        <v>8</v>
      </c>
      <c r="K235" s="66"/>
      <c r="L235" s="6">
        <f>$L230+L234</f>
        <v>3.9999999999999996</v>
      </c>
      <c r="M235" s="6">
        <f t="shared" si="44"/>
        <v>1</v>
      </c>
      <c r="N235" s="77">
        <v>100</v>
      </c>
      <c r="O235">
        <f t="shared" si="38"/>
        <v>0.5</v>
      </c>
      <c r="P235" s="77">
        <v>50</v>
      </c>
      <c r="Q235">
        <f t="shared" si="39"/>
        <v>0.3</v>
      </c>
      <c r="R235" s="75">
        <v>15</v>
      </c>
      <c r="S235" s="6">
        <f t="shared" si="40"/>
        <v>0.15</v>
      </c>
    </row>
    <row r="236" spans="1:19" x14ac:dyDescent="0.3">
      <c r="A236" s="37" t="s">
        <v>57</v>
      </c>
      <c r="B236" s="6" t="s">
        <v>164</v>
      </c>
      <c r="C236" s="77">
        <v>47000</v>
      </c>
      <c r="D236" s="6">
        <f>(C236/12)*7</f>
        <v>27416.666666666664</v>
      </c>
      <c r="E236" s="66">
        <v>0</v>
      </c>
      <c r="F236" s="6">
        <f>SUM(E230:E236)</f>
        <v>2700</v>
      </c>
      <c r="G236" s="36" t="str">
        <f t="shared" si="37"/>
        <v>Farol Vermelho</v>
      </c>
      <c r="H236">
        <f t="shared" si="35"/>
        <v>24716.666666666664</v>
      </c>
      <c r="I236" s="6">
        <f t="shared" si="36"/>
        <v>7</v>
      </c>
      <c r="J236" s="76">
        <v>8</v>
      </c>
      <c r="K236" s="66"/>
      <c r="L236" s="6">
        <f>$L230+L235</f>
        <v>4.6666666666666661</v>
      </c>
      <c r="M236" s="6">
        <f t="shared" si="44"/>
        <v>1</v>
      </c>
      <c r="N236" s="77">
        <v>100</v>
      </c>
      <c r="O236">
        <f t="shared" si="38"/>
        <v>0.5</v>
      </c>
      <c r="P236" s="77">
        <v>50</v>
      </c>
      <c r="Q236">
        <f t="shared" si="39"/>
        <v>0.3</v>
      </c>
      <c r="R236" s="75">
        <v>15</v>
      </c>
      <c r="S236" s="6">
        <f t="shared" si="40"/>
        <v>0.15</v>
      </c>
    </row>
    <row r="237" spans="1:19" x14ac:dyDescent="0.3">
      <c r="A237" s="37" t="s">
        <v>57</v>
      </c>
      <c r="B237" s="6" t="s">
        <v>165</v>
      </c>
      <c r="C237" s="77">
        <v>47000</v>
      </c>
      <c r="D237" s="6">
        <f>(C237/12)*8</f>
        <v>31333.333333333332</v>
      </c>
      <c r="E237" s="66">
        <v>0</v>
      </c>
      <c r="F237" s="6">
        <f>SUM(E230:E237)</f>
        <v>2700</v>
      </c>
      <c r="G237" s="36" t="str">
        <f t="shared" si="37"/>
        <v>Farol Vermelho</v>
      </c>
      <c r="H237">
        <f t="shared" si="35"/>
        <v>28633.333333333332</v>
      </c>
      <c r="I237" s="6">
        <f t="shared" si="36"/>
        <v>8</v>
      </c>
      <c r="J237" s="76">
        <v>8</v>
      </c>
      <c r="K237" s="66"/>
      <c r="L237" s="6">
        <f>L230+L236</f>
        <v>5.333333333333333</v>
      </c>
      <c r="M237" s="6">
        <f t="shared" si="44"/>
        <v>1</v>
      </c>
      <c r="N237" s="77">
        <v>100</v>
      </c>
      <c r="O237">
        <f t="shared" si="38"/>
        <v>0.5</v>
      </c>
      <c r="P237" s="77">
        <v>50</v>
      </c>
      <c r="Q237">
        <f t="shared" si="39"/>
        <v>0.3</v>
      </c>
      <c r="R237" s="75">
        <v>15</v>
      </c>
      <c r="S237" s="6">
        <f t="shared" si="40"/>
        <v>0.15</v>
      </c>
    </row>
    <row r="238" spans="1:19" x14ac:dyDescent="0.3">
      <c r="A238" s="37" t="s">
        <v>57</v>
      </c>
      <c r="B238" s="6" t="s">
        <v>166</v>
      </c>
      <c r="C238" s="77">
        <v>47000</v>
      </c>
      <c r="D238" s="6">
        <f>(C238/12)*9</f>
        <v>35250</v>
      </c>
      <c r="E238" s="66">
        <v>0</v>
      </c>
      <c r="F238" s="6">
        <f>SUM(E230:E238)</f>
        <v>2700</v>
      </c>
      <c r="G238" s="36" t="str">
        <f t="shared" si="37"/>
        <v>Farol Vermelho</v>
      </c>
      <c r="H238">
        <f t="shared" si="35"/>
        <v>32550</v>
      </c>
      <c r="I238" s="6">
        <f t="shared" si="36"/>
        <v>9</v>
      </c>
      <c r="J238" s="76">
        <v>8</v>
      </c>
      <c r="K238" s="66"/>
      <c r="L238" s="6">
        <f>$L230+L237</f>
        <v>6</v>
      </c>
      <c r="M238" s="6">
        <f t="shared" si="44"/>
        <v>1</v>
      </c>
      <c r="N238" s="77">
        <v>100</v>
      </c>
      <c r="O238">
        <f t="shared" si="38"/>
        <v>0.5</v>
      </c>
      <c r="P238" s="77">
        <v>50</v>
      </c>
      <c r="Q238">
        <f t="shared" si="39"/>
        <v>0.3</v>
      </c>
      <c r="R238" s="75">
        <v>15</v>
      </c>
      <c r="S238" s="6">
        <f t="shared" si="40"/>
        <v>0.15</v>
      </c>
    </row>
    <row r="239" spans="1:19" x14ac:dyDescent="0.3">
      <c r="A239" s="37" t="s">
        <v>57</v>
      </c>
      <c r="B239" s="6" t="s">
        <v>167</v>
      </c>
      <c r="C239" s="77">
        <v>47000</v>
      </c>
      <c r="D239" s="6">
        <f>(C239/12)*10</f>
        <v>39166.666666666664</v>
      </c>
      <c r="E239" s="66">
        <v>0</v>
      </c>
      <c r="F239" s="6">
        <f>SUM(E230:E239)</f>
        <v>2700</v>
      </c>
      <c r="G239" s="36" t="str">
        <f t="shared" si="37"/>
        <v>Farol Vermelho</v>
      </c>
      <c r="H239">
        <f t="shared" si="35"/>
        <v>36466.666666666664</v>
      </c>
      <c r="I239" s="6">
        <f t="shared" si="36"/>
        <v>10</v>
      </c>
      <c r="J239" s="76">
        <v>8</v>
      </c>
      <c r="K239" s="66"/>
      <c r="L239" s="6">
        <f>$L230+L238</f>
        <v>6.666666666666667</v>
      </c>
      <c r="M239" s="6">
        <f t="shared" si="44"/>
        <v>1</v>
      </c>
      <c r="N239" s="77">
        <v>100</v>
      </c>
      <c r="O239">
        <f t="shared" si="38"/>
        <v>0.5</v>
      </c>
      <c r="P239" s="77">
        <v>50</v>
      </c>
      <c r="Q239">
        <f t="shared" si="39"/>
        <v>0.3</v>
      </c>
      <c r="R239" s="75">
        <v>15</v>
      </c>
      <c r="S239" s="6">
        <f t="shared" si="40"/>
        <v>0.15</v>
      </c>
    </row>
    <row r="240" spans="1:19" x14ac:dyDescent="0.3">
      <c r="A240" s="37" t="s">
        <v>57</v>
      </c>
      <c r="B240" s="6" t="s">
        <v>168</v>
      </c>
      <c r="C240" s="77">
        <v>47000</v>
      </c>
      <c r="D240" s="6">
        <f>(C240/12)*11</f>
        <v>43083.333333333328</v>
      </c>
      <c r="E240" s="66">
        <v>0</v>
      </c>
      <c r="F240" s="6">
        <f>SUM(E230:E240)</f>
        <v>2700</v>
      </c>
      <c r="G240" s="36" t="str">
        <f t="shared" si="37"/>
        <v>Farol Vermelho</v>
      </c>
      <c r="H240">
        <f t="shared" si="35"/>
        <v>40383.333333333328</v>
      </c>
      <c r="I240" s="6">
        <f t="shared" si="36"/>
        <v>11</v>
      </c>
      <c r="J240" s="76">
        <v>8</v>
      </c>
      <c r="K240" s="66"/>
      <c r="L240" s="6">
        <f>L230+L239</f>
        <v>7.3333333333333339</v>
      </c>
      <c r="M240" s="6">
        <f t="shared" si="44"/>
        <v>1</v>
      </c>
      <c r="N240" s="77">
        <v>100</v>
      </c>
      <c r="O240">
        <f t="shared" si="38"/>
        <v>0.5</v>
      </c>
      <c r="P240" s="77">
        <v>50</v>
      </c>
      <c r="Q240">
        <f t="shared" si="39"/>
        <v>0.3</v>
      </c>
      <c r="R240" s="75">
        <v>15</v>
      </c>
      <c r="S240" s="6">
        <f t="shared" si="40"/>
        <v>0.15</v>
      </c>
    </row>
    <row r="241" spans="1:19" x14ac:dyDescent="0.3">
      <c r="A241" s="37" t="s">
        <v>57</v>
      </c>
      <c r="B241" s="6" t="s">
        <v>169</v>
      </c>
      <c r="C241" s="77">
        <v>47000</v>
      </c>
      <c r="D241" s="6">
        <f>(C241/12)*12</f>
        <v>47000</v>
      </c>
      <c r="E241" s="66">
        <v>0</v>
      </c>
      <c r="F241" s="6">
        <f>SUM(E230:E241)</f>
        <v>2700</v>
      </c>
      <c r="G241" s="36" t="str">
        <f t="shared" si="37"/>
        <v>Farol Vermelho</v>
      </c>
      <c r="H241">
        <f t="shared" si="35"/>
        <v>44300</v>
      </c>
      <c r="I241" s="6">
        <f t="shared" si="36"/>
        <v>12</v>
      </c>
      <c r="J241" s="76">
        <v>8</v>
      </c>
      <c r="K241" s="66"/>
      <c r="L241" s="6">
        <f>$L230+L240</f>
        <v>8</v>
      </c>
      <c r="M241" s="6">
        <f t="shared" si="44"/>
        <v>1</v>
      </c>
      <c r="N241" s="77">
        <v>100</v>
      </c>
      <c r="O241">
        <f t="shared" si="38"/>
        <v>0.5</v>
      </c>
      <c r="P241" s="77">
        <v>50</v>
      </c>
      <c r="Q241">
        <f t="shared" si="39"/>
        <v>0.3</v>
      </c>
      <c r="R241" s="75">
        <v>15</v>
      </c>
      <c r="S241" s="6">
        <f t="shared" si="40"/>
        <v>0.15</v>
      </c>
    </row>
    <row r="242" spans="1:19" x14ac:dyDescent="0.3">
      <c r="A242" s="37" t="s">
        <v>94</v>
      </c>
      <c r="B242" s="6" t="s">
        <v>158</v>
      </c>
      <c r="C242" s="77">
        <v>475000</v>
      </c>
      <c r="D242" s="6">
        <f>(C242/12)*1</f>
        <v>39583.333333333336</v>
      </c>
      <c r="E242" s="66">
        <v>13500</v>
      </c>
      <c r="F242" s="6">
        <f>E242</f>
        <v>13500</v>
      </c>
      <c r="G242" s="36" t="str">
        <f t="shared" si="37"/>
        <v>Farol Vermelho</v>
      </c>
      <c r="H242">
        <f t="shared" si="35"/>
        <v>26083.333333333336</v>
      </c>
      <c r="I242" s="6">
        <f t="shared" si="36"/>
        <v>1</v>
      </c>
      <c r="J242" s="76">
        <v>28</v>
      </c>
      <c r="K242" s="66">
        <v>1</v>
      </c>
      <c r="L242" s="6">
        <f>J242/12</f>
        <v>2.3333333333333335</v>
      </c>
      <c r="M242" s="6">
        <f>K242</f>
        <v>1</v>
      </c>
      <c r="N242" s="77">
        <v>100</v>
      </c>
      <c r="O242">
        <f t="shared" si="38"/>
        <v>0.5</v>
      </c>
      <c r="P242" s="77">
        <v>50</v>
      </c>
      <c r="Q242">
        <f t="shared" si="39"/>
        <v>0.3</v>
      </c>
      <c r="R242" s="75">
        <v>15</v>
      </c>
      <c r="S242" s="6">
        <f t="shared" si="40"/>
        <v>0.15</v>
      </c>
    </row>
    <row r="243" spans="1:19" x14ac:dyDescent="0.3">
      <c r="A243" s="37" t="s">
        <v>94</v>
      </c>
      <c r="B243" s="6" t="s">
        <v>159</v>
      </c>
      <c r="C243" s="77">
        <v>475000</v>
      </c>
      <c r="D243" s="6">
        <f>(C243/12)*2</f>
        <v>79166.666666666672</v>
      </c>
      <c r="E243" s="66">
        <v>78932</v>
      </c>
      <c r="F243" s="6">
        <f>SUM(E242:E243)</f>
        <v>92432</v>
      </c>
      <c r="G243" s="36" t="str">
        <f t="shared" si="37"/>
        <v>Farol Verde</v>
      </c>
      <c r="H243">
        <f t="shared" si="35"/>
        <v>0</v>
      </c>
      <c r="I243" s="6">
        <f t="shared" si="36"/>
        <v>2</v>
      </c>
      <c r="J243" s="76">
        <v>28</v>
      </c>
      <c r="K243" s="66">
        <v>3</v>
      </c>
      <c r="L243" s="6">
        <f>L242+L242</f>
        <v>4.666666666666667</v>
      </c>
      <c r="M243" s="6">
        <f>M242+K243</f>
        <v>4</v>
      </c>
      <c r="N243" s="77">
        <v>100</v>
      </c>
      <c r="O243">
        <f t="shared" si="38"/>
        <v>0.5</v>
      </c>
      <c r="P243" s="77">
        <v>50</v>
      </c>
      <c r="Q243">
        <f t="shared" si="39"/>
        <v>0.3</v>
      </c>
      <c r="R243" s="75">
        <v>15</v>
      </c>
      <c r="S243" s="6">
        <f t="shared" si="40"/>
        <v>0.15</v>
      </c>
    </row>
    <row r="244" spans="1:19" x14ac:dyDescent="0.3">
      <c r="A244" s="37" t="s">
        <v>94</v>
      </c>
      <c r="B244" s="6" t="s">
        <v>160</v>
      </c>
      <c r="C244" s="77">
        <v>475000</v>
      </c>
      <c r="D244" s="6">
        <f>(C244/12)*3</f>
        <v>118750</v>
      </c>
      <c r="E244" s="66">
        <v>42100</v>
      </c>
      <c r="F244" s="6">
        <f>SUM(E242:E244)</f>
        <v>134532</v>
      </c>
      <c r="G244" s="36" t="str">
        <f t="shared" si="37"/>
        <v>Farol Verde</v>
      </c>
      <c r="H244">
        <f t="shared" si="35"/>
        <v>0</v>
      </c>
      <c r="I244" s="6">
        <f t="shared" si="36"/>
        <v>3</v>
      </c>
      <c r="J244" s="76">
        <v>28</v>
      </c>
      <c r="K244" s="66">
        <v>3</v>
      </c>
      <c r="L244" s="6">
        <f>$L242+L243</f>
        <v>7</v>
      </c>
      <c r="M244" s="6">
        <f t="shared" ref="M244:M253" si="45">M243+K244</f>
        <v>7</v>
      </c>
      <c r="N244" s="77">
        <v>100</v>
      </c>
      <c r="O244">
        <f t="shared" si="38"/>
        <v>0.5</v>
      </c>
      <c r="P244" s="77">
        <v>50</v>
      </c>
      <c r="Q244">
        <f t="shared" si="39"/>
        <v>0.3</v>
      </c>
      <c r="R244" s="75">
        <v>15</v>
      </c>
      <c r="S244" s="6">
        <f t="shared" si="40"/>
        <v>0.15</v>
      </c>
    </row>
    <row r="245" spans="1:19" x14ac:dyDescent="0.3">
      <c r="A245" s="37" t="s">
        <v>94</v>
      </c>
      <c r="B245" s="6" t="s">
        <v>161</v>
      </c>
      <c r="C245" s="77">
        <v>475000</v>
      </c>
      <c r="D245" s="6">
        <f>(C245/12)*4</f>
        <v>158333.33333333334</v>
      </c>
      <c r="E245" s="66">
        <v>0</v>
      </c>
      <c r="F245" s="6">
        <f>SUM(E242:E245)</f>
        <v>134532</v>
      </c>
      <c r="G245" s="36" t="str">
        <f t="shared" si="37"/>
        <v>Farol Vermelho</v>
      </c>
      <c r="H245">
        <f t="shared" si="35"/>
        <v>23801.333333333343</v>
      </c>
      <c r="I245" s="6">
        <f t="shared" si="36"/>
        <v>4</v>
      </c>
      <c r="J245" s="76">
        <v>28</v>
      </c>
      <c r="K245" s="66"/>
      <c r="L245" s="6">
        <f>$L242+L244</f>
        <v>9.3333333333333339</v>
      </c>
      <c r="M245" s="6">
        <f t="shared" si="45"/>
        <v>7</v>
      </c>
      <c r="N245" s="77">
        <v>100</v>
      </c>
      <c r="O245">
        <f t="shared" si="38"/>
        <v>0.5</v>
      </c>
      <c r="P245" s="77">
        <v>50</v>
      </c>
      <c r="Q245">
        <f t="shared" si="39"/>
        <v>0.3</v>
      </c>
      <c r="R245" s="75">
        <v>15</v>
      </c>
      <c r="S245" s="6">
        <f t="shared" si="40"/>
        <v>0.15</v>
      </c>
    </row>
    <row r="246" spans="1:19" x14ac:dyDescent="0.3">
      <c r="A246" s="37" t="s">
        <v>94</v>
      </c>
      <c r="B246" s="6" t="s">
        <v>162</v>
      </c>
      <c r="C246" s="77">
        <v>475000</v>
      </c>
      <c r="D246" s="6">
        <f>(C246/12)*5</f>
        <v>197916.66666666669</v>
      </c>
      <c r="E246" s="66">
        <v>0</v>
      </c>
      <c r="F246" s="6">
        <f>SUM(E242:E246)</f>
        <v>134532</v>
      </c>
      <c r="G246" s="36" t="str">
        <f t="shared" si="37"/>
        <v>Farol Vermelho</v>
      </c>
      <c r="H246">
        <f t="shared" si="35"/>
        <v>63384.666666666686</v>
      </c>
      <c r="I246" s="6">
        <f t="shared" si="36"/>
        <v>5</v>
      </c>
      <c r="J246" s="76">
        <v>28</v>
      </c>
      <c r="K246" s="66"/>
      <c r="L246" s="6">
        <f>L242+L245</f>
        <v>11.666666666666668</v>
      </c>
      <c r="M246" s="6">
        <f t="shared" si="45"/>
        <v>7</v>
      </c>
      <c r="N246" s="77">
        <v>100</v>
      </c>
      <c r="O246">
        <f t="shared" si="38"/>
        <v>0.5</v>
      </c>
      <c r="P246" s="77">
        <v>50</v>
      </c>
      <c r="Q246">
        <f t="shared" si="39"/>
        <v>0.3</v>
      </c>
      <c r="R246" s="75">
        <v>15</v>
      </c>
      <c r="S246" s="6">
        <f t="shared" si="40"/>
        <v>0.15</v>
      </c>
    </row>
    <row r="247" spans="1:19" x14ac:dyDescent="0.3">
      <c r="A247" s="37" t="s">
        <v>94</v>
      </c>
      <c r="B247" s="6" t="s">
        <v>163</v>
      </c>
      <c r="C247" s="77">
        <v>475000</v>
      </c>
      <c r="D247" s="6">
        <f>(C247/12)*6</f>
        <v>237500</v>
      </c>
      <c r="E247" s="66">
        <v>0</v>
      </c>
      <c r="F247" s="6">
        <f>SUM(E242:E247)</f>
        <v>134532</v>
      </c>
      <c r="G247" s="36" t="str">
        <f t="shared" si="37"/>
        <v>Farol Vermelho</v>
      </c>
      <c r="H247">
        <f t="shared" si="35"/>
        <v>102968</v>
      </c>
      <c r="I247" s="6">
        <f t="shared" si="36"/>
        <v>6</v>
      </c>
      <c r="J247" s="76">
        <v>28</v>
      </c>
      <c r="K247" s="66"/>
      <c r="L247" s="6">
        <f>$L242+L246</f>
        <v>14.000000000000002</v>
      </c>
      <c r="M247" s="6">
        <f t="shared" si="45"/>
        <v>7</v>
      </c>
      <c r="N247" s="77">
        <v>100</v>
      </c>
      <c r="O247">
        <f t="shared" si="38"/>
        <v>0.5</v>
      </c>
      <c r="P247" s="77">
        <v>50</v>
      </c>
      <c r="Q247">
        <f t="shared" si="39"/>
        <v>0.3</v>
      </c>
      <c r="R247" s="75">
        <v>15</v>
      </c>
      <c r="S247" s="6">
        <f t="shared" si="40"/>
        <v>0.15</v>
      </c>
    </row>
    <row r="248" spans="1:19" x14ac:dyDescent="0.3">
      <c r="A248" s="37" t="s">
        <v>94</v>
      </c>
      <c r="B248" s="6" t="s">
        <v>164</v>
      </c>
      <c r="C248" s="77">
        <v>475000</v>
      </c>
      <c r="D248" s="6">
        <f>(C248/12)*7</f>
        <v>277083.33333333337</v>
      </c>
      <c r="E248" s="66">
        <v>0</v>
      </c>
      <c r="F248" s="6">
        <f>SUM(E242:E248)</f>
        <v>134532</v>
      </c>
      <c r="G248" s="36" t="str">
        <f t="shared" si="37"/>
        <v>Farol Vermelho</v>
      </c>
      <c r="H248">
        <f t="shared" si="35"/>
        <v>142551.33333333337</v>
      </c>
      <c r="I248" s="6">
        <f t="shared" si="36"/>
        <v>7</v>
      </c>
      <c r="J248" s="76">
        <v>28</v>
      </c>
      <c r="K248" s="66"/>
      <c r="L248" s="6">
        <f>$L242+L247</f>
        <v>16.333333333333336</v>
      </c>
      <c r="M248" s="6">
        <f t="shared" si="45"/>
        <v>7</v>
      </c>
      <c r="N248" s="77">
        <v>100</v>
      </c>
      <c r="O248">
        <f t="shared" si="38"/>
        <v>0.5</v>
      </c>
      <c r="P248" s="77">
        <v>50</v>
      </c>
      <c r="Q248">
        <f t="shared" si="39"/>
        <v>0.3</v>
      </c>
      <c r="R248" s="75">
        <v>15</v>
      </c>
      <c r="S248" s="6">
        <f t="shared" si="40"/>
        <v>0.15</v>
      </c>
    </row>
    <row r="249" spans="1:19" x14ac:dyDescent="0.3">
      <c r="A249" s="37" t="s">
        <v>94</v>
      </c>
      <c r="B249" s="6" t="s">
        <v>165</v>
      </c>
      <c r="C249" s="77">
        <v>475000</v>
      </c>
      <c r="D249" s="6">
        <f>(C249/12)*8</f>
        <v>316666.66666666669</v>
      </c>
      <c r="E249" s="66">
        <v>0</v>
      </c>
      <c r="F249" s="6">
        <f>SUM(E242:E249)</f>
        <v>134532</v>
      </c>
      <c r="G249" s="36" t="str">
        <f t="shared" si="37"/>
        <v>Farol Vermelho</v>
      </c>
      <c r="H249">
        <f t="shared" si="35"/>
        <v>182134.66666666669</v>
      </c>
      <c r="I249" s="6">
        <f t="shared" si="36"/>
        <v>8</v>
      </c>
      <c r="J249" s="76">
        <v>28</v>
      </c>
      <c r="K249" s="66"/>
      <c r="L249" s="6">
        <f>L242+L248</f>
        <v>18.666666666666668</v>
      </c>
      <c r="M249" s="6">
        <f t="shared" si="45"/>
        <v>7</v>
      </c>
      <c r="N249" s="77">
        <v>100</v>
      </c>
      <c r="O249">
        <f t="shared" si="38"/>
        <v>0.5</v>
      </c>
      <c r="P249" s="77">
        <v>50</v>
      </c>
      <c r="Q249">
        <f t="shared" si="39"/>
        <v>0.3</v>
      </c>
      <c r="R249" s="75">
        <v>15</v>
      </c>
      <c r="S249" s="6">
        <f t="shared" si="40"/>
        <v>0.15</v>
      </c>
    </row>
    <row r="250" spans="1:19" x14ac:dyDescent="0.3">
      <c r="A250" s="37" t="s">
        <v>94</v>
      </c>
      <c r="B250" s="6" t="s">
        <v>166</v>
      </c>
      <c r="C250" s="77">
        <v>475000</v>
      </c>
      <c r="D250" s="6">
        <f>(C250/12)*9</f>
        <v>356250</v>
      </c>
      <c r="E250" s="66">
        <v>0</v>
      </c>
      <c r="F250" s="6">
        <f>SUM(E242:E250)</f>
        <v>134532</v>
      </c>
      <c r="G250" s="36" t="str">
        <f t="shared" si="37"/>
        <v>Farol Vermelho</v>
      </c>
      <c r="H250">
        <f t="shared" si="35"/>
        <v>221718</v>
      </c>
      <c r="I250" s="6">
        <f t="shared" si="36"/>
        <v>9</v>
      </c>
      <c r="J250" s="76">
        <v>28</v>
      </c>
      <c r="K250" s="66"/>
      <c r="L250" s="6">
        <f>$L242+L249</f>
        <v>21</v>
      </c>
      <c r="M250" s="6">
        <f t="shared" si="45"/>
        <v>7</v>
      </c>
      <c r="N250" s="77">
        <v>100</v>
      </c>
      <c r="O250">
        <f t="shared" si="38"/>
        <v>0.5</v>
      </c>
      <c r="P250" s="77">
        <v>50</v>
      </c>
      <c r="Q250">
        <f t="shared" si="39"/>
        <v>0.3</v>
      </c>
      <c r="R250" s="75">
        <v>15</v>
      </c>
      <c r="S250" s="6">
        <f t="shared" si="40"/>
        <v>0.15</v>
      </c>
    </row>
    <row r="251" spans="1:19" x14ac:dyDescent="0.3">
      <c r="A251" s="37" t="s">
        <v>94</v>
      </c>
      <c r="B251" s="6" t="s">
        <v>167</v>
      </c>
      <c r="C251" s="77">
        <v>475000</v>
      </c>
      <c r="D251" s="6">
        <f>(C251/12)*10</f>
        <v>395833.33333333337</v>
      </c>
      <c r="E251" s="66">
        <v>0</v>
      </c>
      <c r="F251" s="6">
        <f>SUM(E242:E251)</f>
        <v>134532</v>
      </c>
      <c r="G251" s="36" t="str">
        <f t="shared" si="37"/>
        <v>Farol Vermelho</v>
      </c>
      <c r="H251">
        <f t="shared" si="35"/>
        <v>261301.33333333337</v>
      </c>
      <c r="I251" s="6">
        <f t="shared" si="36"/>
        <v>10</v>
      </c>
      <c r="J251" s="76">
        <v>28</v>
      </c>
      <c r="K251" s="66"/>
      <c r="L251" s="6">
        <f>$L242+L250</f>
        <v>23.333333333333332</v>
      </c>
      <c r="M251" s="6">
        <f t="shared" si="45"/>
        <v>7</v>
      </c>
      <c r="N251" s="77">
        <v>100</v>
      </c>
      <c r="O251">
        <f t="shared" si="38"/>
        <v>0.5</v>
      </c>
      <c r="P251" s="77">
        <v>50</v>
      </c>
      <c r="Q251">
        <f t="shared" si="39"/>
        <v>0.3</v>
      </c>
      <c r="R251" s="75">
        <v>15</v>
      </c>
      <c r="S251" s="6">
        <f t="shared" si="40"/>
        <v>0.15</v>
      </c>
    </row>
    <row r="252" spans="1:19" x14ac:dyDescent="0.3">
      <c r="A252" s="37" t="s">
        <v>94</v>
      </c>
      <c r="B252" s="6" t="s">
        <v>168</v>
      </c>
      <c r="C252" s="77">
        <v>475000</v>
      </c>
      <c r="D252" s="6">
        <f>(C252/12)*11</f>
        <v>435416.66666666669</v>
      </c>
      <c r="E252" s="66">
        <v>0</v>
      </c>
      <c r="F252" s="6">
        <f>SUM(E242:E252)</f>
        <v>134532</v>
      </c>
      <c r="G252" s="36" t="str">
        <f t="shared" si="37"/>
        <v>Farol Vermelho</v>
      </c>
      <c r="H252">
        <f t="shared" si="35"/>
        <v>300884.66666666669</v>
      </c>
      <c r="I252" s="6">
        <f t="shared" si="36"/>
        <v>11</v>
      </c>
      <c r="J252" s="76">
        <v>28</v>
      </c>
      <c r="K252" s="66"/>
      <c r="L252" s="6">
        <f>L242+L251</f>
        <v>25.666666666666664</v>
      </c>
      <c r="M252" s="6">
        <f t="shared" si="45"/>
        <v>7</v>
      </c>
      <c r="N252" s="77">
        <v>100</v>
      </c>
      <c r="O252">
        <f t="shared" si="38"/>
        <v>0.5</v>
      </c>
      <c r="P252" s="77">
        <v>50</v>
      </c>
      <c r="Q252">
        <f t="shared" si="39"/>
        <v>0.3</v>
      </c>
      <c r="R252" s="75">
        <v>15</v>
      </c>
      <c r="S252" s="6">
        <f t="shared" si="40"/>
        <v>0.15</v>
      </c>
    </row>
    <row r="253" spans="1:19" x14ac:dyDescent="0.3">
      <c r="A253" s="37" t="s">
        <v>94</v>
      </c>
      <c r="B253" s="6" t="s">
        <v>169</v>
      </c>
      <c r="C253" s="77">
        <v>475000</v>
      </c>
      <c r="D253" s="6">
        <f>(C253/12)*12</f>
        <v>475000</v>
      </c>
      <c r="E253" s="66">
        <v>0</v>
      </c>
      <c r="F253" s="6">
        <f>SUM(E242:E253)</f>
        <v>134532</v>
      </c>
      <c r="G253" s="36" t="str">
        <f t="shared" si="37"/>
        <v>Farol Vermelho</v>
      </c>
      <c r="H253">
        <f t="shared" si="35"/>
        <v>340468</v>
      </c>
      <c r="I253" s="6">
        <f t="shared" si="36"/>
        <v>12</v>
      </c>
      <c r="J253" s="76">
        <v>28</v>
      </c>
      <c r="K253" s="66"/>
      <c r="L253" s="6">
        <f>$L242+L252</f>
        <v>27.999999999999996</v>
      </c>
      <c r="M253" s="6">
        <f t="shared" si="45"/>
        <v>7</v>
      </c>
      <c r="N253" s="77">
        <v>100</v>
      </c>
      <c r="O253">
        <f t="shared" si="38"/>
        <v>0.5</v>
      </c>
      <c r="P253" s="77">
        <v>50</v>
      </c>
      <c r="Q253">
        <f t="shared" si="39"/>
        <v>0.3</v>
      </c>
      <c r="R253" s="75">
        <v>15</v>
      </c>
      <c r="S253" s="6">
        <f t="shared" si="40"/>
        <v>0.15</v>
      </c>
    </row>
    <row r="254" spans="1:19" x14ac:dyDescent="0.3">
      <c r="A254" s="37" t="s">
        <v>55</v>
      </c>
      <c r="B254" s="6" t="s">
        <v>158</v>
      </c>
      <c r="C254" s="77">
        <v>75714.75</v>
      </c>
      <c r="D254" s="6">
        <f>(C254/12)*1</f>
        <v>6309.5625</v>
      </c>
      <c r="E254" s="66">
        <v>0</v>
      </c>
      <c r="F254" s="6">
        <f>E254</f>
        <v>0</v>
      </c>
      <c r="G254" s="36" t="str">
        <f t="shared" si="37"/>
        <v>Farol Vermelho</v>
      </c>
      <c r="H254">
        <f t="shared" si="35"/>
        <v>6309.5625</v>
      </c>
      <c r="I254" s="6">
        <f t="shared" si="36"/>
        <v>1</v>
      </c>
      <c r="J254" s="76">
        <v>235</v>
      </c>
      <c r="K254" s="66">
        <v>0</v>
      </c>
      <c r="L254" s="6">
        <f>J254/12</f>
        <v>19.583333333333332</v>
      </c>
      <c r="M254" s="6">
        <f>K254</f>
        <v>0</v>
      </c>
      <c r="N254" s="77">
        <v>100</v>
      </c>
      <c r="O254">
        <f t="shared" si="38"/>
        <v>0.5</v>
      </c>
      <c r="P254" s="77">
        <v>50</v>
      </c>
      <c r="Q254">
        <f t="shared" si="39"/>
        <v>0.3</v>
      </c>
      <c r="R254" s="75">
        <v>15</v>
      </c>
      <c r="S254" s="6">
        <f t="shared" si="40"/>
        <v>0.15</v>
      </c>
    </row>
    <row r="255" spans="1:19" x14ac:dyDescent="0.3">
      <c r="A255" s="37" t="s">
        <v>55</v>
      </c>
      <c r="B255" s="6" t="s">
        <v>159</v>
      </c>
      <c r="C255" s="77">
        <v>75714.75</v>
      </c>
      <c r="D255" s="6">
        <f>(C255/12)*2</f>
        <v>12619.125</v>
      </c>
      <c r="E255" s="66">
        <v>0</v>
      </c>
      <c r="F255" s="6">
        <f>SUM(E254:E255)</f>
        <v>0</v>
      </c>
      <c r="G255" s="36" t="str">
        <f t="shared" si="37"/>
        <v>Farol Vermelho</v>
      </c>
      <c r="H255">
        <f t="shared" si="35"/>
        <v>12619.125</v>
      </c>
      <c r="I255" s="6">
        <f t="shared" si="36"/>
        <v>2</v>
      </c>
      <c r="J255" s="76">
        <v>235</v>
      </c>
      <c r="K255" s="66">
        <v>0</v>
      </c>
      <c r="L255" s="6">
        <f>L254+L254</f>
        <v>39.166666666666664</v>
      </c>
      <c r="M255" s="6">
        <f>M254+K255</f>
        <v>0</v>
      </c>
      <c r="N255" s="77">
        <v>100</v>
      </c>
      <c r="O255">
        <f t="shared" si="38"/>
        <v>0.5</v>
      </c>
      <c r="P255" s="77">
        <v>50</v>
      </c>
      <c r="Q255">
        <f t="shared" si="39"/>
        <v>0.3</v>
      </c>
      <c r="R255" s="75">
        <v>15</v>
      </c>
      <c r="S255" s="6">
        <f t="shared" si="40"/>
        <v>0.15</v>
      </c>
    </row>
    <row r="256" spans="1:19" x14ac:dyDescent="0.3">
      <c r="A256" s="37" t="s">
        <v>55</v>
      </c>
      <c r="B256" s="6" t="s">
        <v>160</v>
      </c>
      <c r="C256" s="77">
        <v>75714.75</v>
      </c>
      <c r="D256" s="6">
        <f>(C256/12)*3</f>
        <v>18928.6875</v>
      </c>
      <c r="E256" s="66">
        <v>80</v>
      </c>
      <c r="F256" s="6">
        <f>SUM(E254:E256)</f>
        <v>80</v>
      </c>
      <c r="G256" s="36" t="str">
        <f t="shared" si="37"/>
        <v>Farol Vermelho</v>
      </c>
      <c r="H256">
        <f t="shared" si="35"/>
        <v>18848.6875</v>
      </c>
      <c r="I256" s="6">
        <f t="shared" si="36"/>
        <v>3</v>
      </c>
      <c r="J256" s="76">
        <v>235</v>
      </c>
      <c r="K256" s="66">
        <v>1</v>
      </c>
      <c r="L256" s="6">
        <f>$L254+L255</f>
        <v>58.75</v>
      </c>
      <c r="M256" s="6">
        <f t="shared" ref="M256:M265" si="46">M255+K256</f>
        <v>1</v>
      </c>
      <c r="N256" s="77">
        <v>100</v>
      </c>
      <c r="O256">
        <f t="shared" si="38"/>
        <v>0.5</v>
      </c>
      <c r="P256" s="77">
        <v>50</v>
      </c>
      <c r="Q256">
        <f t="shared" si="39"/>
        <v>0.3</v>
      </c>
      <c r="R256" s="75">
        <v>15</v>
      </c>
      <c r="S256" s="6">
        <f t="shared" si="40"/>
        <v>0.15</v>
      </c>
    </row>
    <row r="257" spans="1:19" x14ac:dyDescent="0.3">
      <c r="A257" s="37" t="s">
        <v>55</v>
      </c>
      <c r="B257" s="6" t="s">
        <v>161</v>
      </c>
      <c r="C257" s="77">
        <v>75714.75</v>
      </c>
      <c r="D257" s="6">
        <f>(C257/12)*4</f>
        <v>25238.25</v>
      </c>
      <c r="E257" s="66">
        <v>0</v>
      </c>
      <c r="F257" s="6">
        <f>SUM(E254:E257)</f>
        <v>80</v>
      </c>
      <c r="G257" s="36" t="str">
        <f t="shared" si="37"/>
        <v>Farol Vermelho</v>
      </c>
      <c r="H257">
        <f t="shared" si="35"/>
        <v>25158.25</v>
      </c>
      <c r="I257" s="6">
        <f t="shared" si="36"/>
        <v>4</v>
      </c>
      <c r="J257" s="76">
        <v>235</v>
      </c>
      <c r="K257" s="66">
        <v>0</v>
      </c>
      <c r="L257" s="6">
        <f>$L254+L256</f>
        <v>78.333333333333329</v>
      </c>
      <c r="M257" s="6">
        <f t="shared" si="46"/>
        <v>1</v>
      </c>
      <c r="N257" s="77">
        <v>100</v>
      </c>
      <c r="O257">
        <f t="shared" si="38"/>
        <v>0.5</v>
      </c>
      <c r="P257" s="77">
        <v>50</v>
      </c>
      <c r="Q257">
        <f t="shared" si="39"/>
        <v>0.3</v>
      </c>
      <c r="R257" s="75">
        <v>15</v>
      </c>
      <c r="S257" s="6">
        <f t="shared" si="40"/>
        <v>0.15</v>
      </c>
    </row>
    <row r="258" spans="1:19" x14ac:dyDescent="0.3">
      <c r="A258" s="37" t="s">
        <v>55</v>
      </c>
      <c r="B258" s="6" t="s">
        <v>162</v>
      </c>
      <c r="C258" s="77">
        <v>75714.75</v>
      </c>
      <c r="D258" s="6">
        <f>(C258/12)*5</f>
        <v>31547.8125</v>
      </c>
      <c r="E258" s="66">
        <v>0</v>
      </c>
      <c r="F258" s="6">
        <f>SUM(E254:E258)</f>
        <v>80</v>
      </c>
      <c r="G258" s="36" t="str">
        <f t="shared" si="37"/>
        <v>Farol Vermelho</v>
      </c>
      <c r="H258">
        <f t="shared" ref="H258:H321" si="47">IF(D258-F258&lt;0,0,D258-F258)</f>
        <v>31467.8125</v>
      </c>
      <c r="I258" s="6">
        <f t="shared" ref="I258:I321" si="48">_xlfn.IFS(B258="Janeiro",1,B258="Fevereiro",2,B258="Março",3,B258="Abril",4,B258="Maio",5,B258="Junho",6,B258="Julho",7,B258="Agosto",8,B258="Setembro",9,B258="Outubro",10,B258="Novembro",11,B258="Dezembro",12,TRUE,0)</f>
        <v>5</v>
      </c>
      <c r="J258" s="76">
        <v>235</v>
      </c>
      <c r="K258" s="66"/>
      <c r="L258" s="6">
        <f>L254+L257</f>
        <v>97.916666666666657</v>
      </c>
      <c r="M258" s="6">
        <f t="shared" si="46"/>
        <v>1</v>
      </c>
      <c r="N258" s="77">
        <v>100</v>
      </c>
      <c r="O258">
        <f t="shared" si="38"/>
        <v>0.5</v>
      </c>
      <c r="P258" s="77">
        <v>50</v>
      </c>
      <c r="Q258">
        <f t="shared" si="39"/>
        <v>0.3</v>
      </c>
      <c r="R258" s="75">
        <v>15</v>
      </c>
      <c r="S258" s="6">
        <f t="shared" si="40"/>
        <v>0.15</v>
      </c>
    </row>
    <row r="259" spans="1:19" x14ac:dyDescent="0.3">
      <c r="A259" s="37" t="s">
        <v>55</v>
      </c>
      <c r="B259" s="6" t="s">
        <v>163</v>
      </c>
      <c r="C259" s="77">
        <v>75714.75</v>
      </c>
      <c r="D259" s="6">
        <f>(C259/12)*6</f>
        <v>37857.375</v>
      </c>
      <c r="E259" s="66">
        <v>0</v>
      </c>
      <c r="F259" s="6">
        <f>SUM(E254:E259)</f>
        <v>80</v>
      </c>
      <c r="G259" s="36" t="str">
        <f t="shared" ref="G259:G322" si="49">_xlfn.IFS(F259&gt;D259,"Farol Verde",F259&gt;=D259*0.85,"Farol Amarelo",F259&lt;D259*0.85,"Farol Vermelho","Verdadeiro",0)</f>
        <v>Farol Vermelho</v>
      </c>
      <c r="H259">
        <f t="shared" si="47"/>
        <v>37777.375</v>
      </c>
      <c r="I259" s="6">
        <f t="shared" si="48"/>
        <v>6</v>
      </c>
      <c r="J259" s="76">
        <v>235</v>
      </c>
      <c r="K259" s="66"/>
      <c r="L259" s="6">
        <f>$L254+L258</f>
        <v>117.49999999999999</v>
      </c>
      <c r="M259" s="6">
        <f t="shared" si="46"/>
        <v>1</v>
      </c>
      <c r="N259" s="77">
        <v>100</v>
      </c>
      <c r="O259">
        <f t="shared" ref="O259:O322" si="50">P259/N259</f>
        <v>0.5</v>
      </c>
      <c r="P259" s="77">
        <v>50</v>
      </c>
      <c r="Q259">
        <f t="shared" ref="Q259:Q322" si="51">R259/P259</f>
        <v>0.3</v>
      </c>
      <c r="R259" s="75">
        <v>15</v>
      </c>
      <c r="S259" s="6">
        <f t="shared" ref="S259:S322" si="52">R259/N259</f>
        <v>0.15</v>
      </c>
    </row>
    <row r="260" spans="1:19" x14ac:dyDescent="0.3">
      <c r="A260" s="37" t="s">
        <v>55</v>
      </c>
      <c r="B260" s="6" t="s">
        <v>164</v>
      </c>
      <c r="C260" s="77">
        <v>75714.75</v>
      </c>
      <c r="D260" s="6">
        <f>(C260/12)*7</f>
        <v>44166.9375</v>
      </c>
      <c r="E260" s="66">
        <v>0</v>
      </c>
      <c r="F260" s="6">
        <f>SUM(E254:E260)</f>
        <v>80</v>
      </c>
      <c r="G260" s="36" t="str">
        <f t="shared" si="49"/>
        <v>Farol Vermelho</v>
      </c>
      <c r="H260">
        <f t="shared" si="47"/>
        <v>44086.9375</v>
      </c>
      <c r="I260" s="6">
        <f t="shared" si="48"/>
        <v>7</v>
      </c>
      <c r="J260" s="76">
        <v>235</v>
      </c>
      <c r="K260" s="66"/>
      <c r="L260" s="6">
        <f>$L254+L259</f>
        <v>137.08333333333331</v>
      </c>
      <c r="M260" s="6">
        <f t="shared" si="46"/>
        <v>1</v>
      </c>
      <c r="N260" s="77">
        <v>100</v>
      </c>
      <c r="O260">
        <f t="shared" si="50"/>
        <v>0.5</v>
      </c>
      <c r="P260" s="77">
        <v>50</v>
      </c>
      <c r="Q260">
        <f t="shared" si="51"/>
        <v>0.3</v>
      </c>
      <c r="R260" s="75">
        <v>15</v>
      </c>
      <c r="S260" s="6">
        <f t="shared" si="52"/>
        <v>0.15</v>
      </c>
    </row>
    <row r="261" spans="1:19" x14ac:dyDescent="0.3">
      <c r="A261" s="37" t="s">
        <v>55</v>
      </c>
      <c r="B261" s="6" t="s">
        <v>165</v>
      </c>
      <c r="C261" s="77">
        <v>75714.75</v>
      </c>
      <c r="D261" s="6">
        <f>(C261/12)*8</f>
        <v>50476.5</v>
      </c>
      <c r="E261" s="66">
        <v>0</v>
      </c>
      <c r="F261" s="6">
        <f>SUM(E254:E261)</f>
        <v>80</v>
      </c>
      <c r="G261" s="36" t="str">
        <f t="shared" si="49"/>
        <v>Farol Vermelho</v>
      </c>
      <c r="H261">
        <f t="shared" si="47"/>
        <v>50396.5</v>
      </c>
      <c r="I261" s="6">
        <f t="shared" si="48"/>
        <v>8</v>
      </c>
      <c r="J261" s="76">
        <v>235</v>
      </c>
      <c r="K261" s="66"/>
      <c r="L261" s="6">
        <f>L254+L260</f>
        <v>156.66666666666666</v>
      </c>
      <c r="M261" s="6">
        <f t="shared" si="46"/>
        <v>1</v>
      </c>
      <c r="N261" s="77">
        <v>100</v>
      </c>
      <c r="O261">
        <f t="shared" si="50"/>
        <v>0.5</v>
      </c>
      <c r="P261" s="77">
        <v>50</v>
      </c>
      <c r="Q261">
        <f t="shared" si="51"/>
        <v>0.3</v>
      </c>
      <c r="R261" s="75">
        <v>15</v>
      </c>
      <c r="S261" s="6">
        <f t="shared" si="52"/>
        <v>0.15</v>
      </c>
    </row>
    <row r="262" spans="1:19" x14ac:dyDescent="0.3">
      <c r="A262" s="37" t="s">
        <v>55</v>
      </c>
      <c r="B262" s="6" t="s">
        <v>166</v>
      </c>
      <c r="C262" s="77">
        <v>75714.75</v>
      </c>
      <c r="D262" s="6">
        <f>(C262/12)*9</f>
        <v>56786.0625</v>
      </c>
      <c r="E262" s="66">
        <v>0</v>
      </c>
      <c r="F262" s="6">
        <f>SUM(E254:E262)</f>
        <v>80</v>
      </c>
      <c r="G262" s="36" t="str">
        <f t="shared" si="49"/>
        <v>Farol Vermelho</v>
      </c>
      <c r="H262">
        <f t="shared" si="47"/>
        <v>56706.0625</v>
      </c>
      <c r="I262" s="6">
        <f t="shared" si="48"/>
        <v>9</v>
      </c>
      <c r="J262" s="76">
        <v>235</v>
      </c>
      <c r="K262" s="66"/>
      <c r="L262" s="6">
        <f>$L254+L261</f>
        <v>176.25</v>
      </c>
      <c r="M262" s="6">
        <f t="shared" si="46"/>
        <v>1</v>
      </c>
      <c r="N262" s="77">
        <v>100</v>
      </c>
      <c r="O262">
        <f t="shared" si="50"/>
        <v>0.5</v>
      </c>
      <c r="P262" s="77">
        <v>50</v>
      </c>
      <c r="Q262">
        <f t="shared" si="51"/>
        <v>0.3</v>
      </c>
      <c r="R262" s="75">
        <v>15</v>
      </c>
      <c r="S262" s="6">
        <f t="shared" si="52"/>
        <v>0.15</v>
      </c>
    </row>
    <row r="263" spans="1:19" x14ac:dyDescent="0.3">
      <c r="A263" s="37" t="s">
        <v>55</v>
      </c>
      <c r="B263" s="6" t="s">
        <v>167</v>
      </c>
      <c r="C263" s="77">
        <v>75714.75</v>
      </c>
      <c r="D263" s="6">
        <f>(C263/12)*10</f>
        <v>63095.625</v>
      </c>
      <c r="E263" s="66">
        <v>0</v>
      </c>
      <c r="F263" s="6">
        <f>SUM(E254:E263)</f>
        <v>80</v>
      </c>
      <c r="G263" s="36" t="str">
        <f t="shared" si="49"/>
        <v>Farol Vermelho</v>
      </c>
      <c r="H263">
        <f t="shared" si="47"/>
        <v>63015.625</v>
      </c>
      <c r="I263" s="6">
        <f t="shared" si="48"/>
        <v>10</v>
      </c>
      <c r="J263" s="76">
        <v>235</v>
      </c>
      <c r="K263" s="66"/>
      <c r="L263" s="6">
        <f>$L254+L262</f>
        <v>195.83333333333334</v>
      </c>
      <c r="M263" s="6">
        <f t="shared" si="46"/>
        <v>1</v>
      </c>
      <c r="N263" s="77">
        <v>100</v>
      </c>
      <c r="O263">
        <f t="shared" si="50"/>
        <v>0.5</v>
      </c>
      <c r="P263" s="77">
        <v>50</v>
      </c>
      <c r="Q263">
        <f t="shared" si="51"/>
        <v>0.3</v>
      </c>
      <c r="R263" s="75">
        <v>15</v>
      </c>
      <c r="S263" s="6">
        <f t="shared" si="52"/>
        <v>0.15</v>
      </c>
    </row>
    <row r="264" spans="1:19" x14ac:dyDescent="0.3">
      <c r="A264" s="37" t="s">
        <v>55</v>
      </c>
      <c r="B264" s="6" t="s">
        <v>168</v>
      </c>
      <c r="C264" s="77">
        <v>75714.75</v>
      </c>
      <c r="D264" s="6">
        <f>(C264/12)*11</f>
        <v>69405.1875</v>
      </c>
      <c r="E264" s="66">
        <v>0</v>
      </c>
      <c r="F264" s="6">
        <f>SUM(E254:E264)</f>
        <v>80</v>
      </c>
      <c r="G264" s="36" t="str">
        <f t="shared" si="49"/>
        <v>Farol Vermelho</v>
      </c>
      <c r="H264">
        <f t="shared" si="47"/>
        <v>69325.1875</v>
      </c>
      <c r="I264" s="6">
        <f t="shared" si="48"/>
        <v>11</v>
      </c>
      <c r="J264" s="76">
        <v>235</v>
      </c>
      <c r="K264" s="66"/>
      <c r="L264" s="6">
        <f>L254+L263</f>
        <v>215.41666666666669</v>
      </c>
      <c r="M264" s="6">
        <f t="shared" si="46"/>
        <v>1</v>
      </c>
      <c r="N264" s="77">
        <v>100</v>
      </c>
      <c r="O264">
        <f t="shared" si="50"/>
        <v>0.5</v>
      </c>
      <c r="P264" s="77">
        <v>50</v>
      </c>
      <c r="Q264">
        <f t="shared" si="51"/>
        <v>0.3</v>
      </c>
      <c r="R264" s="75">
        <v>15</v>
      </c>
      <c r="S264" s="6">
        <f t="shared" si="52"/>
        <v>0.15</v>
      </c>
    </row>
    <row r="265" spans="1:19" x14ac:dyDescent="0.3">
      <c r="A265" s="37" t="s">
        <v>55</v>
      </c>
      <c r="B265" s="6" t="s">
        <v>169</v>
      </c>
      <c r="C265" s="77">
        <v>75714.75</v>
      </c>
      <c r="D265" s="6">
        <f>(C265/12)*12</f>
        <v>75714.75</v>
      </c>
      <c r="E265" s="66">
        <v>0</v>
      </c>
      <c r="F265" s="6">
        <f>SUM(E254:E265)</f>
        <v>80</v>
      </c>
      <c r="G265" s="36" t="str">
        <f t="shared" si="49"/>
        <v>Farol Vermelho</v>
      </c>
      <c r="H265">
        <f t="shared" si="47"/>
        <v>75634.75</v>
      </c>
      <c r="I265" s="6">
        <f t="shared" si="48"/>
        <v>12</v>
      </c>
      <c r="J265" s="76">
        <v>235</v>
      </c>
      <c r="K265" s="66"/>
      <c r="L265" s="6">
        <f>$L254+L264</f>
        <v>235.00000000000003</v>
      </c>
      <c r="M265" s="6">
        <f t="shared" si="46"/>
        <v>1</v>
      </c>
      <c r="N265" s="77">
        <v>100</v>
      </c>
      <c r="O265">
        <f t="shared" si="50"/>
        <v>0.5</v>
      </c>
      <c r="P265" s="77">
        <v>50</v>
      </c>
      <c r="Q265">
        <f t="shared" si="51"/>
        <v>0.3</v>
      </c>
      <c r="R265" s="75">
        <v>15</v>
      </c>
      <c r="S265" s="6">
        <f t="shared" si="52"/>
        <v>0.15</v>
      </c>
    </row>
    <row r="266" spans="1:19" x14ac:dyDescent="0.3">
      <c r="A266" s="37" t="s">
        <v>154</v>
      </c>
      <c r="B266" s="6" t="s">
        <v>158</v>
      </c>
      <c r="C266" s="77">
        <v>10000</v>
      </c>
      <c r="D266" s="6">
        <f>(C266/12)*1</f>
        <v>833.33333333333337</v>
      </c>
      <c r="E266" s="66">
        <v>0</v>
      </c>
      <c r="F266" s="6">
        <f>E266</f>
        <v>0</v>
      </c>
      <c r="G266" s="36" t="str">
        <f t="shared" si="49"/>
        <v>Farol Vermelho</v>
      </c>
      <c r="H266">
        <f t="shared" si="47"/>
        <v>833.33333333333337</v>
      </c>
      <c r="I266" s="6">
        <f t="shared" si="48"/>
        <v>1</v>
      </c>
      <c r="J266" s="76">
        <v>7</v>
      </c>
      <c r="K266" s="66">
        <v>0</v>
      </c>
      <c r="L266" s="6">
        <f>J266/12</f>
        <v>0.58333333333333337</v>
      </c>
      <c r="M266" s="6">
        <f>K266</f>
        <v>0</v>
      </c>
      <c r="N266" s="77">
        <v>100</v>
      </c>
      <c r="O266">
        <f t="shared" si="50"/>
        <v>0.5</v>
      </c>
      <c r="P266" s="77">
        <v>50</v>
      </c>
      <c r="Q266">
        <f t="shared" si="51"/>
        <v>0.3</v>
      </c>
      <c r="R266" s="75">
        <v>15</v>
      </c>
      <c r="S266" s="6">
        <f t="shared" si="52"/>
        <v>0.15</v>
      </c>
    </row>
    <row r="267" spans="1:19" x14ac:dyDescent="0.3">
      <c r="A267" s="37" t="s">
        <v>154</v>
      </c>
      <c r="B267" s="6" t="s">
        <v>159</v>
      </c>
      <c r="C267" s="77">
        <v>10000</v>
      </c>
      <c r="D267" s="6">
        <f>(C267/12)*2</f>
        <v>1666.6666666666667</v>
      </c>
      <c r="E267" s="66">
        <v>0</v>
      </c>
      <c r="F267" s="6">
        <f>SUM(E266:E267)</f>
        <v>0</v>
      </c>
      <c r="G267" s="36" t="str">
        <f t="shared" si="49"/>
        <v>Farol Vermelho</v>
      </c>
      <c r="H267">
        <f t="shared" si="47"/>
        <v>1666.6666666666667</v>
      </c>
      <c r="I267" s="6">
        <f t="shared" si="48"/>
        <v>2</v>
      </c>
      <c r="J267" s="76">
        <v>7</v>
      </c>
      <c r="K267" s="66">
        <v>0</v>
      </c>
      <c r="L267" s="6">
        <f>L266+L266</f>
        <v>1.1666666666666667</v>
      </c>
      <c r="M267" s="6">
        <f>M266+K267</f>
        <v>0</v>
      </c>
      <c r="N267" s="77">
        <v>100</v>
      </c>
      <c r="O267">
        <f t="shared" si="50"/>
        <v>0.5</v>
      </c>
      <c r="P267" s="77">
        <v>50</v>
      </c>
      <c r="Q267">
        <f t="shared" si="51"/>
        <v>0.3</v>
      </c>
      <c r="R267" s="75">
        <v>15</v>
      </c>
      <c r="S267" s="6">
        <f t="shared" si="52"/>
        <v>0.15</v>
      </c>
    </row>
    <row r="268" spans="1:19" x14ac:dyDescent="0.3">
      <c r="A268" s="37" t="s">
        <v>154</v>
      </c>
      <c r="B268" s="6" t="s">
        <v>160</v>
      </c>
      <c r="C268" s="77">
        <v>10000</v>
      </c>
      <c r="D268" s="6">
        <f>(C268/12)*3</f>
        <v>2500</v>
      </c>
      <c r="E268" s="66">
        <v>0</v>
      </c>
      <c r="F268" s="6">
        <f>SUM(E266:E268)</f>
        <v>0</v>
      </c>
      <c r="G268" s="36" t="str">
        <f t="shared" si="49"/>
        <v>Farol Vermelho</v>
      </c>
      <c r="H268">
        <f t="shared" si="47"/>
        <v>2500</v>
      </c>
      <c r="I268" s="6">
        <f t="shared" si="48"/>
        <v>3</v>
      </c>
      <c r="J268" s="76">
        <v>7</v>
      </c>
      <c r="K268" s="66">
        <v>0</v>
      </c>
      <c r="L268" s="6">
        <f>$L266+L267</f>
        <v>1.75</v>
      </c>
      <c r="M268" s="6">
        <f t="shared" ref="M268:M277" si="53">M267+K268</f>
        <v>0</v>
      </c>
      <c r="N268" s="77">
        <v>100</v>
      </c>
      <c r="O268">
        <f t="shared" si="50"/>
        <v>0.5</v>
      </c>
      <c r="P268" s="77">
        <v>50</v>
      </c>
      <c r="Q268">
        <f t="shared" si="51"/>
        <v>0.3</v>
      </c>
      <c r="R268" s="75">
        <v>15</v>
      </c>
      <c r="S268" s="6">
        <f t="shared" si="52"/>
        <v>0.15</v>
      </c>
    </row>
    <row r="269" spans="1:19" x14ac:dyDescent="0.3">
      <c r="A269" s="37" t="s">
        <v>154</v>
      </c>
      <c r="B269" s="6" t="s">
        <v>161</v>
      </c>
      <c r="C269" s="77">
        <v>10000</v>
      </c>
      <c r="D269" s="6">
        <f>(C269/12)*4</f>
        <v>3333.3333333333335</v>
      </c>
      <c r="E269" s="66">
        <v>0</v>
      </c>
      <c r="F269" s="6">
        <f>SUM(E266:E269)</f>
        <v>0</v>
      </c>
      <c r="G269" s="36" t="str">
        <f t="shared" si="49"/>
        <v>Farol Vermelho</v>
      </c>
      <c r="H269">
        <f t="shared" si="47"/>
        <v>3333.3333333333335</v>
      </c>
      <c r="I269" s="6">
        <f t="shared" si="48"/>
        <v>4</v>
      </c>
      <c r="J269" s="76">
        <v>7</v>
      </c>
      <c r="K269" s="66">
        <v>0</v>
      </c>
      <c r="L269" s="6">
        <f>$L266+L268</f>
        <v>2.3333333333333335</v>
      </c>
      <c r="M269" s="6">
        <f t="shared" si="53"/>
        <v>0</v>
      </c>
      <c r="N269" s="77">
        <v>100</v>
      </c>
      <c r="O269">
        <f t="shared" si="50"/>
        <v>0.5</v>
      </c>
      <c r="P269" s="77">
        <v>50</v>
      </c>
      <c r="Q269">
        <f t="shared" si="51"/>
        <v>0.3</v>
      </c>
      <c r="R269" s="75">
        <v>15</v>
      </c>
      <c r="S269" s="6">
        <f t="shared" si="52"/>
        <v>0.15</v>
      </c>
    </row>
    <row r="270" spans="1:19" x14ac:dyDescent="0.3">
      <c r="A270" s="37" t="s">
        <v>154</v>
      </c>
      <c r="B270" s="6" t="s">
        <v>162</v>
      </c>
      <c r="C270" s="77">
        <v>10000</v>
      </c>
      <c r="D270" s="6">
        <f>(C270/12)*5</f>
        <v>4166.666666666667</v>
      </c>
      <c r="E270" s="66">
        <v>0</v>
      </c>
      <c r="F270" s="6">
        <f>SUM(E266:E270)</f>
        <v>0</v>
      </c>
      <c r="G270" s="36" t="str">
        <f t="shared" si="49"/>
        <v>Farol Vermelho</v>
      </c>
      <c r="H270">
        <f t="shared" si="47"/>
        <v>4166.666666666667</v>
      </c>
      <c r="I270" s="6">
        <f t="shared" si="48"/>
        <v>5</v>
      </c>
      <c r="J270" s="76">
        <v>7</v>
      </c>
      <c r="K270" s="66"/>
      <c r="L270" s="6">
        <f>L266+L269</f>
        <v>2.916666666666667</v>
      </c>
      <c r="M270" s="6">
        <f t="shared" si="53"/>
        <v>0</v>
      </c>
      <c r="N270" s="77">
        <v>100</v>
      </c>
      <c r="O270">
        <f t="shared" si="50"/>
        <v>0.5</v>
      </c>
      <c r="P270" s="77">
        <v>50</v>
      </c>
      <c r="Q270">
        <f t="shared" si="51"/>
        <v>0.3</v>
      </c>
      <c r="R270" s="75">
        <v>15</v>
      </c>
      <c r="S270" s="6">
        <f t="shared" si="52"/>
        <v>0.15</v>
      </c>
    </row>
    <row r="271" spans="1:19" x14ac:dyDescent="0.3">
      <c r="A271" s="37" t="s">
        <v>154</v>
      </c>
      <c r="B271" s="6" t="s">
        <v>163</v>
      </c>
      <c r="C271" s="77">
        <v>10000</v>
      </c>
      <c r="D271" s="6">
        <f>(C271/12)*6</f>
        <v>5000</v>
      </c>
      <c r="E271" s="66">
        <v>0</v>
      </c>
      <c r="F271" s="6">
        <f>SUM(E266:E271)</f>
        <v>0</v>
      </c>
      <c r="G271" s="36" t="str">
        <f t="shared" si="49"/>
        <v>Farol Vermelho</v>
      </c>
      <c r="H271">
        <f t="shared" si="47"/>
        <v>5000</v>
      </c>
      <c r="I271" s="6">
        <f t="shared" si="48"/>
        <v>6</v>
      </c>
      <c r="J271" s="76">
        <v>7</v>
      </c>
      <c r="K271" s="66"/>
      <c r="L271" s="6">
        <f>$L266+L270</f>
        <v>3.5000000000000004</v>
      </c>
      <c r="M271" s="6">
        <f t="shared" si="53"/>
        <v>0</v>
      </c>
      <c r="N271" s="77">
        <v>100</v>
      </c>
      <c r="O271">
        <f t="shared" si="50"/>
        <v>0.5</v>
      </c>
      <c r="P271" s="77">
        <v>50</v>
      </c>
      <c r="Q271">
        <f t="shared" si="51"/>
        <v>0.3</v>
      </c>
      <c r="R271" s="75">
        <v>15</v>
      </c>
      <c r="S271" s="6">
        <f t="shared" si="52"/>
        <v>0.15</v>
      </c>
    </row>
    <row r="272" spans="1:19" x14ac:dyDescent="0.3">
      <c r="A272" s="37" t="s">
        <v>154</v>
      </c>
      <c r="B272" s="6" t="s">
        <v>164</v>
      </c>
      <c r="C272" s="77">
        <v>10000</v>
      </c>
      <c r="D272" s="6">
        <f>(C272/12)*7</f>
        <v>5833.3333333333339</v>
      </c>
      <c r="E272" s="66">
        <v>0</v>
      </c>
      <c r="F272" s="6">
        <f>SUM(E266:E272)</f>
        <v>0</v>
      </c>
      <c r="G272" s="36" t="str">
        <f t="shared" si="49"/>
        <v>Farol Vermelho</v>
      </c>
      <c r="H272">
        <f t="shared" si="47"/>
        <v>5833.3333333333339</v>
      </c>
      <c r="I272" s="6">
        <f t="shared" si="48"/>
        <v>7</v>
      </c>
      <c r="J272" s="76">
        <v>7</v>
      </c>
      <c r="K272" s="66"/>
      <c r="L272" s="6">
        <f>$L266+L271</f>
        <v>4.0833333333333339</v>
      </c>
      <c r="M272" s="6">
        <f t="shared" si="53"/>
        <v>0</v>
      </c>
      <c r="N272" s="77">
        <v>100</v>
      </c>
      <c r="O272">
        <f t="shared" si="50"/>
        <v>0.5</v>
      </c>
      <c r="P272" s="77">
        <v>50</v>
      </c>
      <c r="Q272">
        <f t="shared" si="51"/>
        <v>0.3</v>
      </c>
      <c r="R272" s="75">
        <v>15</v>
      </c>
      <c r="S272" s="6">
        <f t="shared" si="52"/>
        <v>0.15</v>
      </c>
    </row>
    <row r="273" spans="1:19" x14ac:dyDescent="0.3">
      <c r="A273" s="37" t="s">
        <v>154</v>
      </c>
      <c r="B273" s="6" t="s">
        <v>165</v>
      </c>
      <c r="C273" s="77">
        <v>10000</v>
      </c>
      <c r="D273" s="6">
        <f>(C273/12)*8</f>
        <v>6666.666666666667</v>
      </c>
      <c r="E273" s="66">
        <v>0</v>
      </c>
      <c r="F273" s="6">
        <f>SUM(E266:E273)</f>
        <v>0</v>
      </c>
      <c r="G273" s="36" t="str">
        <f t="shared" si="49"/>
        <v>Farol Vermelho</v>
      </c>
      <c r="H273">
        <f t="shared" si="47"/>
        <v>6666.666666666667</v>
      </c>
      <c r="I273" s="6">
        <f t="shared" si="48"/>
        <v>8</v>
      </c>
      <c r="J273" s="76">
        <v>7</v>
      </c>
      <c r="K273" s="66"/>
      <c r="L273" s="6">
        <f>L266+L272</f>
        <v>4.666666666666667</v>
      </c>
      <c r="M273" s="6">
        <f t="shared" si="53"/>
        <v>0</v>
      </c>
      <c r="N273" s="77">
        <v>100</v>
      </c>
      <c r="O273">
        <f t="shared" si="50"/>
        <v>0.5</v>
      </c>
      <c r="P273" s="77">
        <v>50</v>
      </c>
      <c r="Q273">
        <f t="shared" si="51"/>
        <v>0.3</v>
      </c>
      <c r="R273" s="75">
        <v>15</v>
      </c>
      <c r="S273" s="6">
        <f t="shared" si="52"/>
        <v>0.15</v>
      </c>
    </row>
    <row r="274" spans="1:19" x14ac:dyDescent="0.3">
      <c r="A274" s="37" t="s">
        <v>154</v>
      </c>
      <c r="B274" s="6" t="s">
        <v>166</v>
      </c>
      <c r="C274" s="77">
        <v>10000</v>
      </c>
      <c r="D274" s="6">
        <f>(C274/12)*9</f>
        <v>7500</v>
      </c>
      <c r="E274" s="66">
        <v>0</v>
      </c>
      <c r="F274" s="6">
        <f>SUM(E266:E274)</f>
        <v>0</v>
      </c>
      <c r="G274" s="36" t="str">
        <f t="shared" si="49"/>
        <v>Farol Vermelho</v>
      </c>
      <c r="H274">
        <f t="shared" si="47"/>
        <v>7500</v>
      </c>
      <c r="I274" s="6">
        <f t="shared" si="48"/>
        <v>9</v>
      </c>
      <c r="J274" s="76">
        <v>7</v>
      </c>
      <c r="K274" s="66"/>
      <c r="L274" s="6">
        <f>$L266+L273</f>
        <v>5.25</v>
      </c>
      <c r="M274" s="6">
        <f t="shared" si="53"/>
        <v>0</v>
      </c>
      <c r="N274" s="77">
        <v>100</v>
      </c>
      <c r="O274">
        <f t="shared" si="50"/>
        <v>0.5</v>
      </c>
      <c r="P274" s="77">
        <v>50</v>
      </c>
      <c r="Q274">
        <f t="shared" si="51"/>
        <v>0.3</v>
      </c>
      <c r="R274" s="75">
        <v>15</v>
      </c>
      <c r="S274" s="6">
        <f t="shared" si="52"/>
        <v>0.15</v>
      </c>
    </row>
    <row r="275" spans="1:19" x14ac:dyDescent="0.3">
      <c r="A275" s="37" t="s">
        <v>154</v>
      </c>
      <c r="B275" s="6" t="s">
        <v>167</v>
      </c>
      <c r="C275" s="77">
        <v>10000</v>
      </c>
      <c r="D275" s="6">
        <f>(C275/12)*10</f>
        <v>8333.3333333333339</v>
      </c>
      <c r="E275" s="66">
        <v>0</v>
      </c>
      <c r="F275" s="6">
        <f>SUM(E266:E275)</f>
        <v>0</v>
      </c>
      <c r="G275" s="36" t="str">
        <f t="shared" si="49"/>
        <v>Farol Vermelho</v>
      </c>
      <c r="H275">
        <f t="shared" si="47"/>
        <v>8333.3333333333339</v>
      </c>
      <c r="I275" s="6">
        <f t="shared" si="48"/>
        <v>10</v>
      </c>
      <c r="J275" s="76">
        <v>7</v>
      </c>
      <c r="K275" s="66"/>
      <c r="L275" s="6">
        <f>$L266+L274</f>
        <v>5.833333333333333</v>
      </c>
      <c r="M275" s="6">
        <f t="shared" si="53"/>
        <v>0</v>
      </c>
      <c r="N275" s="77">
        <v>100</v>
      </c>
      <c r="O275">
        <f t="shared" si="50"/>
        <v>0.5</v>
      </c>
      <c r="P275" s="77">
        <v>50</v>
      </c>
      <c r="Q275">
        <f t="shared" si="51"/>
        <v>0.3</v>
      </c>
      <c r="R275" s="75">
        <v>15</v>
      </c>
      <c r="S275" s="6">
        <f t="shared" si="52"/>
        <v>0.15</v>
      </c>
    </row>
    <row r="276" spans="1:19" x14ac:dyDescent="0.3">
      <c r="A276" s="37" t="s">
        <v>154</v>
      </c>
      <c r="B276" s="6" t="s">
        <v>168</v>
      </c>
      <c r="C276" s="77">
        <v>10000</v>
      </c>
      <c r="D276" s="6">
        <f>(C276/12)*11</f>
        <v>9166.6666666666679</v>
      </c>
      <c r="E276" s="66">
        <v>0</v>
      </c>
      <c r="F276" s="6">
        <f>SUM(E266:E276)</f>
        <v>0</v>
      </c>
      <c r="G276" s="36" t="str">
        <f t="shared" si="49"/>
        <v>Farol Vermelho</v>
      </c>
      <c r="H276">
        <f t="shared" si="47"/>
        <v>9166.6666666666679</v>
      </c>
      <c r="I276" s="6">
        <f t="shared" si="48"/>
        <v>11</v>
      </c>
      <c r="J276" s="76">
        <v>7</v>
      </c>
      <c r="K276" s="66"/>
      <c r="L276" s="6">
        <f>L266+L275</f>
        <v>6.4166666666666661</v>
      </c>
      <c r="M276" s="6">
        <f t="shared" si="53"/>
        <v>0</v>
      </c>
      <c r="N276" s="77">
        <v>100</v>
      </c>
      <c r="O276">
        <f t="shared" si="50"/>
        <v>0.5</v>
      </c>
      <c r="P276" s="77">
        <v>50</v>
      </c>
      <c r="Q276">
        <f t="shared" si="51"/>
        <v>0.3</v>
      </c>
      <c r="R276" s="75">
        <v>15</v>
      </c>
      <c r="S276" s="6">
        <f t="shared" si="52"/>
        <v>0.15</v>
      </c>
    </row>
    <row r="277" spans="1:19" x14ac:dyDescent="0.3">
      <c r="A277" s="37" t="s">
        <v>154</v>
      </c>
      <c r="B277" s="6" t="s">
        <v>169</v>
      </c>
      <c r="C277" s="77">
        <v>10000</v>
      </c>
      <c r="D277" s="6">
        <f>(C277/12)*12</f>
        <v>10000</v>
      </c>
      <c r="E277" s="66">
        <v>0</v>
      </c>
      <c r="F277" s="6">
        <f>SUM(E266:E277)</f>
        <v>0</v>
      </c>
      <c r="G277" s="36" t="str">
        <f t="shared" si="49"/>
        <v>Farol Vermelho</v>
      </c>
      <c r="H277">
        <f t="shared" si="47"/>
        <v>10000</v>
      </c>
      <c r="I277" s="6">
        <f t="shared" si="48"/>
        <v>12</v>
      </c>
      <c r="J277" s="76">
        <v>7</v>
      </c>
      <c r="K277" s="66"/>
      <c r="L277" s="6">
        <f>$L266+L276</f>
        <v>6.9999999999999991</v>
      </c>
      <c r="M277" s="6">
        <f t="shared" si="53"/>
        <v>0</v>
      </c>
      <c r="N277" s="77">
        <v>100</v>
      </c>
      <c r="O277">
        <f t="shared" si="50"/>
        <v>0.5</v>
      </c>
      <c r="P277" s="77">
        <v>50</v>
      </c>
      <c r="Q277">
        <f t="shared" si="51"/>
        <v>0.3</v>
      </c>
      <c r="R277" s="75">
        <v>15</v>
      </c>
      <c r="S277" s="6">
        <f t="shared" si="52"/>
        <v>0.15</v>
      </c>
    </row>
    <row r="278" spans="1:19" x14ac:dyDescent="0.3">
      <c r="A278" s="37" t="s">
        <v>72</v>
      </c>
      <c r="B278" s="6" t="s">
        <v>158</v>
      </c>
      <c r="C278" s="77">
        <v>10000</v>
      </c>
      <c r="D278" s="6">
        <f>(C278/12)*1</f>
        <v>833.33333333333337</v>
      </c>
      <c r="E278" s="66">
        <v>0</v>
      </c>
      <c r="F278" s="6">
        <f>E278</f>
        <v>0</v>
      </c>
      <c r="G278" s="36" t="str">
        <f t="shared" si="49"/>
        <v>Farol Vermelho</v>
      </c>
      <c r="H278">
        <f t="shared" si="47"/>
        <v>833.33333333333337</v>
      </c>
      <c r="I278" s="6">
        <f t="shared" si="48"/>
        <v>1</v>
      </c>
      <c r="J278" s="76">
        <v>10</v>
      </c>
      <c r="K278" s="66">
        <v>0</v>
      </c>
      <c r="L278" s="6">
        <f>J278/12</f>
        <v>0.83333333333333337</v>
      </c>
      <c r="M278" s="6">
        <f>K278</f>
        <v>0</v>
      </c>
      <c r="N278" s="77">
        <v>100</v>
      </c>
      <c r="O278">
        <f t="shared" si="50"/>
        <v>0.5</v>
      </c>
      <c r="P278" s="77">
        <v>50</v>
      </c>
      <c r="Q278">
        <f t="shared" si="51"/>
        <v>0.3</v>
      </c>
      <c r="R278" s="75">
        <v>15</v>
      </c>
      <c r="S278" s="6">
        <f t="shared" si="52"/>
        <v>0.15</v>
      </c>
    </row>
    <row r="279" spans="1:19" x14ac:dyDescent="0.3">
      <c r="A279" s="37" t="s">
        <v>72</v>
      </c>
      <c r="B279" s="6" t="s">
        <v>159</v>
      </c>
      <c r="C279" s="77">
        <v>10000</v>
      </c>
      <c r="D279" s="6">
        <f>(C279/12)*2</f>
        <v>1666.6666666666667</v>
      </c>
      <c r="E279" s="66">
        <v>0</v>
      </c>
      <c r="F279" s="6">
        <f>SUM(E278:E279)</f>
        <v>0</v>
      </c>
      <c r="G279" s="36" t="str">
        <f t="shared" si="49"/>
        <v>Farol Vermelho</v>
      </c>
      <c r="H279">
        <f t="shared" si="47"/>
        <v>1666.6666666666667</v>
      </c>
      <c r="I279" s="6">
        <f t="shared" si="48"/>
        <v>2</v>
      </c>
      <c r="J279" s="76">
        <v>10</v>
      </c>
      <c r="K279" s="66">
        <v>0</v>
      </c>
      <c r="L279" s="6">
        <f>L278+L278</f>
        <v>1.6666666666666667</v>
      </c>
      <c r="M279" s="6">
        <f>M278+K279</f>
        <v>0</v>
      </c>
      <c r="N279" s="77">
        <v>100</v>
      </c>
      <c r="O279">
        <f t="shared" si="50"/>
        <v>0.5</v>
      </c>
      <c r="P279" s="77">
        <v>50</v>
      </c>
      <c r="Q279">
        <f t="shared" si="51"/>
        <v>0.3</v>
      </c>
      <c r="R279" s="75">
        <v>15</v>
      </c>
      <c r="S279" s="6">
        <f t="shared" si="52"/>
        <v>0.15</v>
      </c>
    </row>
    <row r="280" spans="1:19" x14ac:dyDescent="0.3">
      <c r="A280" s="37" t="s">
        <v>72</v>
      </c>
      <c r="B280" s="6" t="s">
        <v>160</v>
      </c>
      <c r="C280" s="77">
        <v>10000</v>
      </c>
      <c r="D280" s="6">
        <f>(C280/12)*3</f>
        <v>2500</v>
      </c>
      <c r="E280" s="66">
        <v>1855</v>
      </c>
      <c r="F280" s="6">
        <f>SUM(E278:E280)</f>
        <v>1855</v>
      </c>
      <c r="G280" s="36" t="str">
        <f t="shared" si="49"/>
        <v>Farol Vermelho</v>
      </c>
      <c r="H280">
        <f t="shared" si="47"/>
        <v>645</v>
      </c>
      <c r="I280" s="6">
        <f t="shared" si="48"/>
        <v>3</v>
      </c>
      <c r="J280" s="76">
        <v>10</v>
      </c>
      <c r="K280" s="66">
        <v>1</v>
      </c>
      <c r="L280" s="6">
        <f>$L278+L279</f>
        <v>2.5</v>
      </c>
      <c r="M280" s="6">
        <f t="shared" ref="M280:M289" si="54">M279+K280</f>
        <v>1</v>
      </c>
      <c r="N280" s="77">
        <v>100</v>
      </c>
      <c r="O280">
        <f t="shared" si="50"/>
        <v>0.5</v>
      </c>
      <c r="P280" s="77">
        <v>50</v>
      </c>
      <c r="Q280">
        <f t="shared" si="51"/>
        <v>0.3</v>
      </c>
      <c r="R280" s="75">
        <v>15</v>
      </c>
      <c r="S280" s="6">
        <f t="shared" si="52"/>
        <v>0.15</v>
      </c>
    </row>
    <row r="281" spans="1:19" x14ac:dyDescent="0.3">
      <c r="A281" s="37" t="s">
        <v>72</v>
      </c>
      <c r="B281" s="6" t="s">
        <v>161</v>
      </c>
      <c r="C281" s="77">
        <v>10000</v>
      </c>
      <c r="D281" s="6">
        <f>(C281/12)*4</f>
        <v>3333.3333333333335</v>
      </c>
      <c r="E281" s="66">
        <v>2655</v>
      </c>
      <c r="F281" s="6">
        <f>SUM(E278:E281)</f>
        <v>4510</v>
      </c>
      <c r="G281" s="36" t="str">
        <f t="shared" si="49"/>
        <v>Farol Verde</v>
      </c>
      <c r="H281">
        <f t="shared" si="47"/>
        <v>0</v>
      </c>
      <c r="I281" s="6">
        <f t="shared" si="48"/>
        <v>4</v>
      </c>
      <c r="J281" s="76">
        <v>10</v>
      </c>
      <c r="K281" s="66">
        <v>1</v>
      </c>
      <c r="L281" s="6">
        <f>$L278+L280</f>
        <v>3.3333333333333335</v>
      </c>
      <c r="M281" s="6">
        <f t="shared" si="54"/>
        <v>2</v>
      </c>
      <c r="N281" s="77">
        <v>100</v>
      </c>
      <c r="O281">
        <f t="shared" si="50"/>
        <v>0.5</v>
      </c>
      <c r="P281" s="77">
        <v>50</v>
      </c>
      <c r="Q281">
        <f t="shared" si="51"/>
        <v>0.3</v>
      </c>
      <c r="R281" s="75">
        <v>15</v>
      </c>
      <c r="S281" s="6">
        <f t="shared" si="52"/>
        <v>0.15</v>
      </c>
    </row>
    <row r="282" spans="1:19" x14ac:dyDescent="0.3">
      <c r="A282" s="37" t="s">
        <v>72</v>
      </c>
      <c r="B282" s="6" t="s">
        <v>162</v>
      </c>
      <c r="C282" s="77">
        <v>10000</v>
      </c>
      <c r="D282" s="6">
        <f>(C282/12)*5</f>
        <v>4166.666666666667</v>
      </c>
      <c r="E282" s="66">
        <v>0</v>
      </c>
      <c r="F282" s="6">
        <f>SUM(E278:E282)</f>
        <v>4510</v>
      </c>
      <c r="G282" s="36" t="str">
        <f t="shared" si="49"/>
        <v>Farol Verde</v>
      </c>
      <c r="H282">
        <f t="shared" si="47"/>
        <v>0</v>
      </c>
      <c r="I282" s="6">
        <f t="shared" si="48"/>
        <v>5</v>
      </c>
      <c r="J282" s="76">
        <v>10</v>
      </c>
      <c r="K282" s="66"/>
      <c r="L282" s="6">
        <f>L278+L281</f>
        <v>4.166666666666667</v>
      </c>
      <c r="M282" s="6">
        <f t="shared" si="54"/>
        <v>2</v>
      </c>
      <c r="N282" s="77">
        <v>100</v>
      </c>
      <c r="O282">
        <f t="shared" si="50"/>
        <v>0.5</v>
      </c>
      <c r="P282" s="77">
        <v>50</v>
      </c>
      <c r="Q282">
        <f t="shared" si="51"/>
        <v>0.3</v>
      </c>
      <c r="R282" s="75">
        <v>15</v>
      </c>
      <c r="S282" s="6">
        <f t="shared" si="52"/>
        <v>0.15</v>
      </c>
    </row>
    <row r="283" spans="1:19" x14ac:dyDescent="0.3">
      <c r="A283" s="37" t="s">
        <v>72</v>
      </c>
      <c r="B283" s="6" t="s">
        <v>163</v>
      </c>
      <c r="C283" s="77">
        <v>10000</v>
      </c>
      <c r="D283" s="6">
        <f>(C283/12)*6</f>
        <v>5000</v>
      </c>
      <c r="E283" s="66">
        <v>0</v>
      </c>
      <c r="F283" s="6">
        <f>SUM(E278:E283)</f>
        <v>4510</v>
      </c>
      <c r="G283" s="36" t="str">
        <f t="shared" si="49"/>
        <v>Farol Amarelo</v>
      </c>
      <c r="H283">
        <f t="shared" si="47"/>
        <v>490</v>
      </c>
      <c r="I283" s="6">
        <f t="shared" si="48"/>
        <v>6</v>
      </c>
      <c r="J283" s="76">
        <v>10</v>
      </c>
      <c r="K283" s="66"/>
      <c r="L283" s="6">
        <f>$L278+L282</f>
        <v>5</v>
      </c>
      <c r="M283" s="6">
        <f t="shared" si="54"/>
        <v>2</v>
      </c>
      <c r="N283" s="77">
        <v>100</v>
      </c>
      <c r="O283">
        <f t="shared" si="50"/>
        <v>0.5</v>
      </c>
      <c r="P283" s="77">
        <v>50</v>
      </c>
      <c r="Q283">
        <f t="shared" si="51"/>
        <v>0.3</v>
      </c>
      <c r="R283" s="75">
        <v>15</v>
      </c>
      <c r="S283" s="6">
        <f t="shared" si="52"/>
        <v>0.15</v>
      </c>
    </row>
    <row r="284" spans="1:19" x14ac:dyDescent="0.3">
      <c r="A284" s="37" t="s">
        <v>72</v>
      </c>
      <c r="B284" s="6" t="s">
        <v>164</v>
      </c>
      <c r="C284" s="77">
        <v>10000</v>
      </c>
      <c r="D284" s="6">
        <f>(C284/12)*7</f>
        <v>5833.3333333333339</v>
      </c>
      <c r="E284" s="66">
        <v>0</v>
      </c>
      <c r="F284" s="6">
        <f>SUM(E278:E284)</f>
        <v>4510</v>
      </c>
      <c r="G284" s="36" t="str">
        <f t="shared" si="49"/>
        <v>Farol Vermelho</v>
      </c>
      <c r="H284">
        <f t="shared" si="47"/>
        <v>1323.3333333333339</v>
      </c>
      <c r="I284" s="6">
        <f t="shared" si="48"/>
        <v>7</v>
      </c>
      <c r="J284" s="76">
        <v>10</v>
      </c>
      <c r="K284" s="66"/>
      <c r="L284" s="6">
        <f>$L278+L283</f>
        <v>5.833333333333333</v>
      </c>
      <c r="M284" s="6">
        <f t="shared" si="54"/>
        <v>2</v>
      </c>
      <c r="N284" s="77">
        <v>100</v>
      </c>
      <c r="O284">
        <f t="shared" si="50"/>
        <v>0.5</v>
      </c>
      <c r="P284" s="77">
        <v>50</v>
      </c>
      <c r="Q284">
        <f t="shared" si="51"/>
        <v>0.3</v>
      </c>
      <c r="R284" s="75">
        <v>15</v>
      </c>
      <c r="S284" s="6">
        <f t="shared" si="52"/>
        <v>0.15</v>
      </c>
    </row>
    <row r="285" spans="1:19" x14ac:dyDescent="0.3">
      <c r="A285" s="37" t="s">
        <v>72</v>
      </c>
      <c r="B285" s="6" t="s">
        <v>165</v>
      </c>
      <c r="C285" s="77">
        <v>10000</v>
      </c>
      <c r="D285" s="6">
        <f>(C285/12)*8</f>
        <v>6666.666666666667</v>
      </c>
      <c r="E285" s="66">
        <v>0</v>
      </c>
      <c r="F285" s="6">
        <f>SUM(E278:E285)</f>
        <v>4510</v>
      </c>
      <c r="G285" s="36" t="str">
        <f t="shared" si="49"/>
        <v>Farol Vermelho</v>
      </c>
      <c r="H285">
        <f t="shared" si="47"/>
        <v>2156.666666666667</v>
      </c>
      <c r="I285" s="6">
        <f t="shared" si="48"/>
        <v>8</v>
      </c>
      <c r="J285" s="76">
        <v>10</v>
      </c>
      <c r="K285" s="66"/>
      <c r="L285" s="6">
        <f>L278+L284</f>
        <v>6.6666666666666661</v>
      </c>
      <c r="M285" s="6">
        <f t="shared" si="54"/>
        <v>2</v>
      </c>
      <c r="N285" s="77">
        <v>100</v>
      </c>
      <c r="O285">
        <f t="shared" si="50"/>
        <v>0.5</v>
      </c>
      <c r="P285" s="77">
        <v>50</v>
      </c>
      <c r="Q285">
        <f t="shared" si="51"/>
        <v>0.3</v>
      </c>
      <c r="R285" s="75">
        <v>15</v>
      </c>
      <c r="S285" s="6">
        <f t="shared" si="52"/>
        <v>0.15</v>
      </c>
    </row>
    <row r="286" spans="1:19" x14ac:dyDescent="0.3">
      <c r="A286" s="37" t="s">
        <v>72</v>
      </c>
      <c r="B286" s="6" t="s">
        <v>166</v>
      </c>
      <c r="C286" s="77">
        <v>10000</v>
      </c>
      <c r="D286" s="6">
        <f>(C286/12)*9</f>
        <v>7500</v>
      </c>
      <c r="E286" s="66">
        <v>0</v>
      </c>
      <c r="F286" s="6">
        <f>SUM(E278:E286)</f>
        <v>4510</v>
      </c>
      <c r="G286" s="36" t="str">
        <f t="shared" si="49"/>
        <v>Farol Vermelho</v>
      </c>
      <c r="H286">
        <f t="shared" si="47"/>
        <v>2990</v>
      </c>
      <c r="I286" s="6">
        <f t="shared" si="48"/>
        <v>9</v>
      </c>
      <c r="J286" s="76">
        <v>10</v>
      </c>
      <c r="K286" s="66"/>
      <c r="L286" s="6">
        <f>$L278+L285</f>
        <v>7.4999999999999991</v>
      </c>
      <c r="M286" s="6">
        <f t="shared" si="54"/>
        <v>2</v>
      </c>
      <c r="N286" s="77">
        <v>100</v>
      </c>
      <c r="O286">
        <f t="shared" si="50"/>
        <v>0.5</v>
      </c>
      <c r="P286" s="77">
        <v>50</v>
      </c>
      <c r="Q286">
        <f t="shared" si="51"/>
        <v>0.3</v>
      </c>
      <c r="R286" s="75">
        <v>15</v>
      </c>
      <c r="S286" s="6">
        <f t="shared" si="52"/>
        <v>0.15</v>
      </c>
    </row>
    <row r="287" spans="1:19" x14ac:dyDescent="0.3">
      <c r="A287" s="37" t="s">
        <v>72</v>
      </c>
      <c r="B287" s="6" t="s">
        <v>167</v>
      </c>
      <c r="C287" s="77">
        <v>10000</v>
      </c>
      <c r="D287" s="6">
        <f>(C287/12)*10</f>
        <v>8333.3333333333339</v>
      </c>
      <c r="E287" s="66">
        <v>0</v>
      </c>
      <c r="F287" s="6">
        <f>SUM(E278:E287)</f>
        <v>4510</v>
      </c>
      <c r="G287" s="36" t="str">
        <f t="shared" si="49"/>
        <v>Farol Vermelho</v>
      </c>
      <c r="H287">
        <f t="shared" si="47"/>
        <v>3823.3333333333339</v>
      </c>
      <c r="I287" s="6">
        <f t="shared" si="48"/>
        <v>10</v>
      </c>
      <c r="J287" s="76">
        <v>10</v>
      </c>
      <c r="K287" s="66"/>
      <c r="L287" s="6">
        <f>$L278+L286</f>
        <v>8.3333333333333321</v>
      </c>
      <c r="M287" s="6">
        <f t="shared" si="54"/>
        <v>2</v>
      </c>
      <c r="N287" s="77">
        <v>100</v>
      </c>
      <c r="O287">
        <f t="shared" si="50"/>
        <v>0.5</v>
      </c>
      <c r="P287" s="77">
        <v>50</v>
      </c>
      <c r="Q287">
        <f t="shared" si="51"/>
        <v>0.3</v>
      </c>
      <c r="R287" s="75">
        <v>15</v>
      </c>
      <c r="S287" s="6">
        <f t="shared" si="52"/>
        <v>0.15</v>
      </c>
    </row>
    <row r="288" spans="1:19" x14ac:dyDescent="0.3">
      <c r="A288" s="37" t="s">
        <v>72</v>
      </c>
      <c r="B288" s="6" t="s">
        <v>168</v>
      </c>
      <c r="C288" s="77">
        <v>10000</v>
      </c>
      <c r="D288" s="6">
        <f>(C288/12)*11</f>
        <v>9166.6666666666679</v>
      </c>
      <c r="E288" s="66">
        <v>0</v>
      </c>
      <c r="F288" s="6">
        <f>SUM(E278:E288)</f>
        <v>4510</v>
      </c>
      <c r="G288" s="36" t="str">
        <f t="shared" si="49"/>
        <v>Farol Vermelho</v>
      </c>
      <c r="H288">
        <f t="shared" si="47"/>
        <v>4656.6666666666679</v>
      </c>
      <c r="I288" s="6">
        <f t="shared" si="48"/>
        <v>11</v>
      </c>
      <c r="J288" s="76">
        <v>10</v>
      </c>
      <c r="K288" s="66"/>
      <c r="L288" s="6">
        <f>L278+L287</f>
        <v>9.1666666666666661</v>
      </c>
      <c r="M288" s="6">
        <f t="shared" si="54"/>
        <v>2</v>
      </c>
      <c r="N288" s="77">
        <v>100</v>
      </c>
      <c r="O288">
        <f t="shared" si="50"/>
        <v>0.5</v>
      </c>
      <c r="P288" s="77">
        <v>50</v>
      </c>
      <c r="Q288">
        <f t="shared" si="51"/>
        <v>0.3</v>
      </c>
      <c r="R288" s="75">
        <v>15</v>
      </c>
      <c r="S288" s="6">
        <f t="shared" si="52"/>
        <v>0.15</v>
      </c>
    </row>
    <row r="289" spans="1:19" x14ac:dyDescent="0.3">
      <c r="A289" s="37" t="s">
        <v>72</v>
      </c>
      <c r="B289" s="6" t="s">
        <v>169</v>
      </c>
      <c r="C289" s="77">
        <v>10000</v>
      </c>
      <c r="D289" s="6">
        <f>(C289/12)*12</f>
        <v>10000</v>
      </c>
      <c r="E289" s="66">
        <v>0</v>
      </c>
      <c r="F289" s="6">
        <f>SUM(E278:E289)</f>
        <v>4510</v>
      </c>
      <c r="G289" s="36" t="str">
        <f t="shared" si="49"/>
        <v>Farol Vermelho</v>
      </c>
      <c r="H289">
        <f t="shared" si="47"/>
        <v>5490</v>
      </c>
      <c r="I289" s="6">
        <f t="shared" si="48"/>
        <v>12</v>
      </c>
      <c r="J289" s="76">
        <v>10</v>
      </c>
      <c r="K289" s="66"/>
      <c r="L289" s="6">
        <f>$L278+L288</f>
        <v>10</v>
      </c>
      <c r="M289" s="6">
        <f t="shared" si="54"/>
        <v>2</v>
      </c>
      <c r="N289" s="77">
        <v>100</v>
      </c>
      <c r="O289">
        <f t="shared" si="50"/>
        <v>0.5</v>
      </c>
      <c r="P289" s="77">
        <v>50</v>
      </c>
      <c r="Q289">
        <f t="shared" si="51"/>
        <v>0.3</v>
      </c>
      <c r="R289" s="75">
        <v>15</v>
      </c>
      <c r="S289" s="6">
        <f t="shared" si="52"/>
        <v>0.15</v>
      </c>
    </row>
    <row r="290" spans="1:19" x14ac:dyDescent="0.3">
      <c r="A290" s="37" t="s">
        <v>76</v>
      </c>
      <c r="B290" s="6" t="s">
        <v>158</v>
      </c>
      <c r="C290" s="77">
        <v>57666.71</v>
      </c>
      <c r="D290" s="6">
        <f>(C290/12)*1</f>
        <v>4805.5591666666669</v>
      </c>
      <c r="E290" s="66">
        <v>541</v>
      </c>
      <c r="F290" s="6">
        <f>E290</f>
        <v>541</v>
      </c>
      <c r="G290" s="36" t="str">
        <f t="shared" si="49"/>
        <v>Farol Vermelho</v>
      </c>
      <c r="H290">
        <f t="shared" si="47"/>
        <v>4264.5591666666669</v>
      </c>
      <c r="I290" s="6">
        <f t="shared" si="48"/>
        <v>1</v>
      </c>
      <c r="J290" s="75">
        <v>37</v>
      </c>
      <c r="K290" s="66">
        <v>3</v>
      </c>
      <c r="L290" s="6">
        <f>J290/12</f>
        <v>3.0833333333333335</v>
      </c>
      <c r="M290" s="6">
        <f>K290</f>
        <v>3</v>
      </c>
      <c r="N290" s="77">
        <v>100</v>
      </c>
      <c r="O290">
        <f t="shared" si="50"/>
        <v>0.5</v>
      </c>
      <c r="P290" s="77">
        <v>50</v>
      </c>
      <c r="Q290">
        <f t="shared" si="51"/>
        <v>0.3</v>
      </c>
      <c r="R290" s="75">
        <v>15</v>
      </c>
      <c r="S290" s="6">
        <f t="shared" si="52"/>
        <v>0.15</v>
      </c>
    </row>
    <row r="291" spans="1:19" x14ac:dyDescent="0.3">
      <c r="A291" s="37" t="s">
        <v>76</v>
      </c>
      <c r="B291" s="6" t="s">
        <v>159</v>
      </c>
      <c r="C291" s="77">
        <v>57666.71</v>
      </c>
      <c r="D291" s="6">
        <f>(C291/12)*2</f>
        <v>9611.1183333333338</v>
      </c>
      <c r="E291" s="66">
        <v>3499.8</v>
      </c>
      <c r="F291" s="6">
        <f>SUM(E290:E291)</f>
        <v>4040.8</v>
      </c>
      <c r="G291" s="36" t="str">
        <f t="shared" si="49"/>
        <v>Farol Vermelho</v>
      </c>
      <c r="H291">
        <f t="shared" si="47"/>
        <v>5570.3183333333336</v>
      </c>
      <c r="I291" s="6">
        <f t="shared" si="48"/>
        <v>2</v>
      </c>
      <c r="J291" s="75">
        <v>37</v>
      </c>
      <c r="K291" s="66">
        <v>3</v>
      </c>
      <c r="L291" s="6">
        <f>L290+L290</f>
        <v>6.166666666666667</v>
      </c>
      <c r="M291" s="6">
        <f>M290+K291</f>
        <v>6</v>
      </c>
      <c r="N291" s="77">
        <v>100</v>
      </c>
      <c r="O291">
        <f t="shared" si="50"/>
        <v>0.5</v>
      </c>
      <c r="P291" s="77">
        <v>50</v>
      </c>
      <c r="Q291">
        <f t="shared" si="51"/>
        <v>0.3</v>
      </c>
      <c r="R291" s="75">
        <v>15</v>
      </c>
      <c r="S291" s="6">
        <f t="shared" si="52"/>
        <v>0.15</v>
      </c>
    </row>
    <row r="292" spans="1:19" x14ac:dyDescent="0.3">
      <c r="A292" s="37" t="s">
        <v>76</v>
      </c>
      <c r="B292" s="6" t="s">
        <v>160</v>
      </c>
      <c r="C292" s="77">
        <v>57666.71</v>
      </c>
      <c r="D292" s="6">
        <f>(C292/12)*3</f>
        <v>14416.677500000002</v>
      </c>
      <c r="E292" s="66">
        <v>2744</v>
      </c>
      <c r="F292" s="6">
        <f>SUM(E290:E292)</f>
        <v>6784.8</v>
      </c>
      <c r="G292" s="36" t="str">
        <f t="shared" si="49"/>
        <v>Farol Vermelho</v>
      </c>
      <c r="H292">
        <f t="shared" si="47"/>
        <v>7631.8775000000014</v>
      </c>
      <c r="I292" s="6">
        <f t="shared" si="48"/>
        <v>3</v>
      </c>
      <c r="J292" s="76">
        <v>37</v>
      </c>
      <c r="K292" s="66">
        <v>2</v>
      </c>
      <c r="L292" s="6">
        <f>$L290+L291</f>
        <v>9.25</v>
      </c>
      <c r="M292" s="6">
        <f t="shared" ref="M292:M301" si="55">M291+K292</f>
        <v>8</v>
      </c>
      <c r="N292" s="77">
        <v>100</v>
      </c>
      <c r="O292">
        <f t="shared" si="50"/>
        <v>0.5</v>
      </c>
      <c r="P292" s="77">
        <v>50</v>
      </c>
      <c r="Q292">
        <f t="shared" si="51"/>
        <v>0.3</v>
      </c>
      <c r="R292" s="75">
        <v>15</v>
      </c>
      <c r="S292" s="6">
        <f t="shared" si="52"/>
        <v>0.15</v>
      </c>
    </row>
    <row r="293" spans="1:19" x14ac:dyDescent="0.3">
      <c r="A293" s="37" t="s">
        <v>76</v>
      </c>
      <c r="B293" s="6" t="s">
        <v>161</v>
      </c>
      <c r="C293" s="77">
        <v>57666.71</v>
      </c>
      <c r="D293" s="6">
        <f>(C293/12)*4</f>
        <v>19222.236666666668</v>
      </c>
      <c r="E293" s="66">
        <v>4745</v>
      </c>
      <c r="F293" s="6">
        <f>SUM(E290:E293)</f>
        <v>11529.8</v>
      </c>
      <c r="G293" s="36" t="str">
        <f t="shared" si="49"/>
        <v>Farol Vermelho</v>
      </c>
      <c r="H293">
        <f t="shared" si="47"/>
        <v>7692.4366666666683</v>
      </c>
      <c r="I293" s="6">
        <f t="shared" si="48"/>
        <v>4</v>
      </c>
      <c r="J293" s="75">
        <v>37</v>
      </c>
      <c r="K293" s="66">
        <v>5</v>
      </c>
      <c r="L293" s="6">
        <f>$L290+L292</f>
        <v>12.333333333333334</v>
      </c>
      <c r="M293" s="6">
        <f t="shared" si="55"/>
        <v>13</v>
      </c>
      <c r="N293" s="77">
        <v>100</v>
      </c>
      <c r="O293">
        <f t="shared" si="50"/>
        <v>0.5</v>
      </c>
      <c r="P293" s="77">
        <v>50</v>
      </c>
      <c r="Q293">
        <f t="shared" si="51"/>
        <v>0.3</v>
      </c>
      <c r="R293" s="75">
        <v>15</v>
      </c>
      <c r="S293" s="6">
        <f t="shared" si="52"/>
        <v>0.15</v>
      </c>
    </row>
    <row r="294" spans="1:19" x14ac:dyDescent="0.3">
      <c r="A294" s="37" t="s">
        <v>76</v>
      </c>
      <c r="B294" s="6" t="s">
        <v>162</v>
      </c>
      <c r="C294" s="77">
        <v>57666.71</v>
      </c>
      <c r="D294" s="6">
        <f>(C294/12)*5</f>
        <v>24027.795833333334</v>
      </c>
      <c r="E294" s="66">
        <v>4251</v>
      </c>
      <c r="F294" s="6">
        <f>SUM(E290:E294)</f>
        <v>15780.8</v>
      </c>
      <c r="G294" s="36" t="str">
        <f t="shared" si="49"/>
        <v>Farol Vermelho</v>
      </c>
      <c r="H294">
        <f t="shared" si="47"/>
        <v>8246.9958333333343</v>
      </c>
      <c r="I294" s="6">
        <f t="shared" si="48"/>
        <v>5</v>
      </c>
      <c r="J294" s="76">
        <v>37</v>
      </c>
      <c r="K294" s="66">
        <v>4</v>
      </c>
      <c r="L294" s="6">
        <f>L290+L293</f>
        <v>15.416666666666668</v>
      </c>
      <c r="M294" s="6">
        <f t="shared" si="55"/>
        <v>17</v>
      </c>
      <c r="N294" s="77">
        <v>100</v>
      </c>
      <c r="O294">
        <f t="shared" si="50"/>
        <v>0.5</v>
      </c>
      <c r="P294" s="77">
        <v>50</v>
      </c>
      <c r="Q294">
        <f t="shared" si="51"/>
        <v>0.3</v>
      </c>
      <c r="R294" s="75">
        <v>15</v>
      </c>
      <c r="S294" s="6">
        <f t="shared" si="52"/>
        <v>0.15</v>
      </c>
    </row>
    <row r="295" spans="1:19" x14ac:dyDescent="0.3">
      <c r="A295" s="37" t="s">
        <v>76</v>
      </c>
      <c r="B295" s="6" t="s">
        <v>163</v>
      </c>
      <c r="C295" s="77">
        <v>57666.71</v>
      </c>
      <c r="D295" s="6">
        <f>(C295/12)*6</f>
        <v>28833.355000000003</v>
      </c>
      <c r="E295" s="66">
        <v>0</v>
      </c>
      <c r="F295" s="6">
        <f>SUM(E290:E295)</f>
        <v>15780.8</v>
      </c>
      <c r="G295" s="36" t="str">
        <f t="shared" si="49"/>
        <v>Farol Vermelho</v>
      </c>
      <c r="H295">
        <f t="shared" si="47"/>
        <v>13052.555000000004</v>
      </c>
      <c r="I295" s="6">
        <f t="shared" si="48"/>
        <v>6</v>
      </c>
      <c r="J295" s="75">
        <v>37</v>
      </c>
      <c r="K295" s="66"/>
      <c r="L295" s="6">
        <f>$L290+L294</f>
        <v>18.5</v>
      </c>
      <c r="M295" s="6">
        <f t="shared" si="55"/>
        <v>17</v>
      </c>
      <c r="N295" s="77">
        <v>100</v>
      </c>
      <c r="O295">
        <f t="shared" si="50"/>
        <v>0.5</v>
      </c>
      <c r="P295" s="77">
        <v>50</v>
      </c>
      <c r="Q295">
        <f t="shared" si="51"/>
        <v>0.3</v>
      </c>
      <c r="R295" s="75">
        <v>15</v>
      </c>
      <c r="S295" s="6">
        <f t="shared" si="52"/>
        <v>0.15</v>
      </c>
    </row>
    <row r="296" spans="1:19" x14ac:dyDescent="0.3">
      <c r="A296" s="37" t="s">
        <v>76</v>
      </c>
      <c r="B296" s="6" t="s">
        <v>164</v>
      </c>
      <c r="C296" s="77">
        <v>57666.71</v>
      </c>
      <c r="D296" s="6">
        <f>(C296/12)*7</f>
        <v>33638.914166666669</v>
      </c>
      <c r="E296" s="66">
        <v>0</v>
      </c>
      <c r="F296" s="6">
        <f>SUM(E290:E296)</f>
        <v>15780.8</v>
      </c>
      <c r="G296" s="36" t="str">
        <f t="shared" si="49"/>
        <v>Farol Vermelho</v>
      </c>
      <c r="H296">
        <f t="shared" si="47"/>
        <v>17858.11416666667</v>
      </c>
      <c r="I296" s="6">
        <f t="shared" si="48"/>
        <v>7</v>
      </c>
      <c r="J296" s="76">
        <v>37</v>
      </c>
      <c r="K296" s="66"/>
      <c r="L296" s="6">
        <f>$L290+L295</f>
        <v>21.583333333333332</v>
      </c>
      <c r="M296" s="6">
        <f t="shared" si="55"/>
        <v>17</v>
      </c>
      <c r="N296" s="77">
        <v>100</v>
      </c>
      <c r="O296">
        <f t="shared" si="50"/>
        <v>0.5</v>
      </c>
      <c r="P296" s="77">
        <v>50</v>
      </c>
      <c r="Q296">
        <f t="shared" si="51"/>
        <v>0.3</v>
      </c>
      <c r="R296" s="75">
        <v>15</v>
      </c>
      <c r="S296" s="6">
        <f t="shared" si="52"/>
        <v>0.15</v>
      </c>
    </row>
    <row r="297" spans="1:19" x14ac:dyDescent="0.3">
      <c r="A297" s="37" t="s">
        <v>76</v>
      </c>
      <c r="B297" s="6" t="s">
        <v>165</v>
      </c>
      <c r="C297" s="77">
        <v>57666.71</v>
      </c>
      <c r="D297" s="6">
        <f>(C297/12)*8</f>
        <v>38444.473333333335</v>
      </c>
      <c r="E297" s="66">
        <v>0</v>
      </c>
      <c r="F297" s="6">
        <f>SUM(E290:E297)</f>
        <v>15780.8</v>
      </c>
      <c r="G297" s="36" t="str">
        <f t="shared" si="49"/>
        <v>Farol Vermelho</v>
      </c>
      <c r="H297">
        <f t="shared" si="47"/>
        <v>22663.673333333336</v>
      </c>
      <c r="I297" s="6">
        <f t="shared" si="48"/>
        <v>8</v>
      </c>
      <c r="J297" s="75">
        <v>37</v>
      </c>
      <c r="K297" s="66"/>
      <c r="L297" s="6">
        <f>L290+L296</f>
        <v>24.666666666666664</v>
      </c>
      <c r="M297" s="6">
        <f t="shared" si="55"/>
        <v>17</v>
      </c>
      <c r="N297" s="77">
        <v>100</v>
      </c>
      <c r="O297">
        <f t="shared" si="50"/>
        <v>0.5</v>
      </c>
      <c r="P297" s="77">
        <v>50</v>
      </c>
      <c r="Q297">
        <f t="shared" si="51"/>
        <v>0.3</v>
      </c>
      <c r="R297" s="75">
        <v>15</v>
      </c>
      <c r="S297" s="6">
        <f t="shared" si="52"/>
        <v>0.15</v>
      </c>
    </row>
    <row r="298" spans="1:19" x14ac:dyDescent="0.3">
      <c r="A298" s="37" t="s">
        <v>76</v>
      </c>
      <c r="B298" s="6" t="s">
        <v>166</v>
      </c>
      <c r="C298" s="77">
        <v>57666.71</v>
      </c>
      <c r="D298" s="6">
        <f>(C298/12)*9</f>
        <v>43250.032500000001</v>
      </c>
      <c r="E298" s="66">
        <v>0</v>
      </c>
      <c r="F298" s="6">
        <f>SUM(E290:E298)</f>
        <v>15780.8</v>
      </c>
      <c r="G298" s="36" t="str">
        <f t="shared" si="49"/>
        <v>Farol Vermelho</v>
      </c>
      <c r="H298">
        <f t="shared" si="47"/>
        <v>27469.232500000002</v>
      </c>
      <c r="I298" s="6">
        <f t="shared" si="48"/>
        <v>9</v>
      </c>
      <c r="J298" s="76">
        <v>37</v>
      </c>
      <c r="K298" s="66"/>
      <c r="L298" s="6">
        <f>$L290+L297</f>
        <v>27.749999999999996</v>
      </c>
      <c r="M298" s="6">
        <f t="shared" si="55"/>
        <v>17</v>
      </c>
      <c r="N298" s="77">
        <v>100</v>
      </c>
      <c r="O298">
        <f t="shared" si="50"/>
        <v>0.5</v>
      </c>
      <c r="P298" s="77">
        <v>50</v>
      </c>
      <c r="Q298">
        <f t="shared" si="51"/>
        <v>0.3</v>
      </c>
      <c r="R298" s="75">
        <v>15</v>
      </c>
      <c r="S298" s="6">
        <f t="shared" si="52"/>
        <v>0.15</v>
      </c>
    </row>
    <row r="299" spans="1:19" x14ac:dyDescent="0.3">
      <c r="A299" s="37" t="s">
        <v>76</v>
      </c>
      <c r="B299" s="6" t="s">
        <v>167</v>
      </c>
      <c r="C299" s="77">
        <v>57666.71</v>
      </c>
      <c r="D299" s="6">
        <f>(C299/12)*10</f>
        <v>48055.591666666667</v>
      </c>
      <c r="E299" s="66">
        <v>0</v>
      </c>
      <c r="F299" s="6">
        <f>SUM(E290:E299)</f>
        <v>15780.8</v>
      </c>
      <c r="G299" s="36" t="str">
        <f t="shared" si="49"/>
        <v>Farol Vermelho</v>
      </c>
      <c r="H299">
        <f t="shared" si="47"/>
        <v>32274.791666666668</v>
      </c>
      <c r="I299" s="6">
        <f t="shared" si="48"/>
        <v>10</v>
      </c>
      <c r="J299" s="75">
        <v>37</v>
      </c>
      <c r="K299" s="66"/>
      <c r="L299" s="6">
        <f>$L290+L298</f>
        <v>30.833333333333329</v>
      </c>
      <c r="M299" s="6">
        <f t="shared" si="55"/>
        <v>17</v>
      </c>
      <c r="N299" s="77">
        <v>100</v>
      </c>
      <c r="O299">
        <f t="shared" si="50"/>
        <v>0.5</v>
      </c>
      <c r="P299" s="77">
        <v>50</v>
      </c>
      <c r="Q299">
        <f t="shared" si="51"/>
        <v>0.3</v>
      </c>
      <c r="R299" s="75">
        <v>15</v>
      </c>
      <c r="S299" s="6">
        <f t="shared" si="52"/>
        <v>0.15</v>
      </c>
    </row>
    <row r="300" spans="1:19" x14ac:dyDescent="0.3">
      <c r="A300" s="37" t="s">
        <v>76</v>
      </c>
      <c r="B300" s="6" t="s">
        <v>168</v>
      </c>
      <c r="C300" s="77">
        <v>57666.71</v>
      </c>
      <c r="D300" s="6">
        <f>(C300/12)*11</f>
        <v>52861.150833333333</v>
      </c>
      <c r="E300" s="66">
        <v>0</v>
      </c>
      <c r="F300" s="6">
        <f>SUM(E290:E300)</f>
        <v>15780.8</v>
      </c>
      <c r="G300" s="36" t="str">
        <f t="shared" si="49"/>
        <v>Farol Vermelho</v>
      </c>
      <c r="H300">
        <f t="shared" si="47"/>
        <v>37080.35083333333</v>
      </c>
      <c r="I300" s="6">
        <f t="shared" si="48"/>
        <v>11</v>
      </c>
      <c r="J300" s="76">
        <v>37</v>
      </c>
      <c r="K300" s="66"/>
      <c r="L300" s="6">
        <f>L290+L299</f>
        <v>33.916666666666664</v>
      </c>
      <c r="M300" s="6">
        <f t="shared" si="55"/>
        <v>17</v>
      </c>
      <c r="N300" s="77">
        <v>100</v>
      </c>
      <c r="O300">
        <f t="shared" si="50"/>
        <v>0.5</v>
      </c>
      <c r="P300" s="77">
        <v>50</v>
      </c>
      <c r="Q300">
        <f t="shared" si="51"/>
        <v>0.3</v>
      </c>
      <c r="R300" s="75">
        <v>15</v>
      </c>
      <c r="S300" s="6">
        <f t="shared" si="52"/>
        <v>0.15</v>
      </c>
    </row>
    <row r="301" spans="1:19" x14ac:dyDescent="0.3">
      <c r="A301" s="37" t="s">
        <v>76</v>
      </c>
      <c r="B301" s="6" t="s">
        <v>169</v>
      </c>
      <c r="C301" s="77">
        <v>57666.71</v>
      </c>
      <c r="D301" s="6">
        <f>(C301/12)*12</f>
        <v>57666.710000000006</v>
      </c>
      <c r="E301" s="66">
        <v>0</v>
      </c>
      <c r="F301" s="6">
        <f>SUM(E290:E301)</f>
        <v>15780.8</v>
      </c>
      <c r="G301" s="36" t="str">
        <f t="shared" si="49"/>
        <v>Farol Vermelho</v>
      </c>
      <c r="H301">
        <f t="shared" si="47"/>
        <v>41885.910000000003</v>
      </c>
      <c r="I301" s="6">
        <f t="shared" si="48"/>
        <v>12</v>
      </c>
      <c r="J301" s="75">
        <v>37</v>
      </c>
      <c r="K301" s="66"/>
      <c r="L301" s="6">
        <f>$L290+L300</f>
        <v>37</v>
      </c>
      <c r="M301" s="6">
        <f t="shared" si="55"/>
        <v>17</v>
      </c>
      <c r="N301" s="77">
        <v>100</v>
      </c>
      <c r="O301">
        <f t="shared" si="50"/>
        <v>0.5</v>
      </c>
      <c r="P301" s="77">
        <v>50</v>
      </c>
      <c r="Q301">
        <f t="shared" si="51"/>
        <v>0.3</v>
      </c>
      <c r="R301" s="75">
        <v>15</v>
      </c>
      <c r="S301" s="6">
        <f t="shared" si="52"/>
        <v>0.15</v>
      </c>
    </row>
    <row r="302" spans="1:19" x14ac:dyDescent="0.3">
      <c r="A302" s="37" t="s">
        <v>47</v>
      </c>
      <c r="B302" s="6" t="s">
        <v>158</v>
      </c>
      <c r="C302" s="77">
        <v>16000</v>
      </c>
      <c r="D302" s="6">
        <f>(C302/12)*1</f>
        <v>1333.3333333333333</v>
      </c>
      <c r="E302" s="66">
        <v>0</v>
      </c>
      <c r="F302" s="6">
        <f>E302</f>
        <v>0</v>
      </c>
      <c r="G302" s="36" t="str">
        <f t="shared" si="49"/>
        <v>Farol Vermelho</v>
      </c>
      <c r="H302">
        <f t="shared" si="47"/>
        <v>1333.3333333333333</v>
      </c>
      <c r="I302" s="6">
        <f t="shared" si="48"/>
        <v>1</v>
      </c>
      <c r="J302" s="76">
        <v>18</v>
      </c>
      <c r="K302" s="66">
        <v>0</v>
      </c>
      <c r="L302" s="6">
        <f>J302/12</f>
        <v>1.5</v>
      </c>
      <c r="M302" s="6">
        <f>K302</f>
        <v>0</v>
      </c>
      <c r="N302" s="77">
        <v>100</v>
      </c>
      <c r="O302">
        <f t="shared" si="50"/>
        <v>0.5</v>
      </c>
      <c r="P302" s="77">
        <v>50</v>
      </c>
      <c r="Q302">
        <f t="shared" si="51"/>
        <v>0.3</v>
      </c>
      <c r="R302" s="75">
        <v>15</v>
      </c>
      <c r="S302" s="6">
        <f t="shared" si="52"/>
        <v>0.15</v>
      </c>
    </row>
    <row r="303" spans="1:19" x14ac:dyDescent="0.3">
      <c r="A303" s="37" t="s">
        <v>47</v>
      </c>
      <c r="B303" s="6" t="s">
        <v>159</v>
      </c>
      <c r="C303" s="77">
        <v>16000</v>
      </c>
      <c r="D303" s="6">
        <f>(C303/12)*2</f>
        <v>2666.6666666666665</v>
      </c>
      <c r="E303" s="66">
        <v>0</v>
      </c>
      <c r="F303" s="6">
        <f>SUM(E302:E303)</f>
        <v>0</v>
      </c>
      <c r="G303" s="36" t="str">
        <f t="shared" si="49"/>
        <v>Farol Vermelho</v>
      </c>
      <c r="H303">
        <f t="shared" si="47"/>
        <v>2666.6666666666665</v>
      </c>
      <c r="I303" s="6">
        <f t="shared" si="48"/>
        <v>2</v>
      </c>
      <c r="J303" s="76">
        <v>18</v>
      </c>
      <c r="K303" s="66">
        <v>0</v>
      </c>
      <c r="L303" s="6">
        <f>L302+L302</f>
        <v>3</v>
      </c>
      <c r="M303" s="6">
        <f>M302+K303</f>
        <v>0</v>
      </c>
      <c r="N303" s="77">
        <v>100</v>
      </c>
      <c r="O303">
        <f t="shared" si="50"/>
        <v>0.5</v>
      </c>
      <c r="P303" s="77">
        <v>50</v>
      </c>
      <c r="Q303">
        <f t="shared" si="51"/>
        <v>0.3</v>
      </c>
      <c r="R303" s="75">
        <v>15</v>
      </c>
      <c r="S303" s="6">
        <f t="shared" si="52"/>
        <v>0.15</v>
      </c>
    </row>
    <row r="304" spans="1:19" x14ac:dyDescent="0.3">
      <c r="A304" s="37" t="s">
        <v>47</v>
      </c>
      <c r="B304" s="6" t="s">
        <v>160</v>
      </c>
      <c r="C304" s="77">
        <v>16000</v>
      </c>
      <c r="D304" s="6">
        <f>(C304/12)*3</f>
        <v>4000</v>
      </c>
      <c r="E304" s="66">
        <v>0</v>
      </c>
      <c r="F304" s="6">
        <f>SUM(E302:E304)</f>
        <v>0</v>
      </c>
      <c r="G304" s="36" t="str">
        <f t="shared" si="49"/>
        <v>Farol Vermelho</v>
      </c>
      <c r="H304">
        <f t="shared" si="47"/>
        <v>4000</v>
      </c>
      <c r="I304" s="6">
        <f t="shared" si="48"/>
        <v>3</v>
      </c>
      <c r="J304" s="76">
        <v>18</v>
      </c>
      <c r="K304" s="66">
        <v>0</v>
      </c>
      <c r="L304" s="6">
        <f>$L302+L303</f>
        <v>4.5</v>
      </c>
      <c r="M304" s="6">
        <f t="shared" ref="M304:M313" si="56">M303+K304</f>
        <v>0</v>
      </c>
      <c r="N304" s="77">
        <v>100</v>
      </c>
      <c r="O304">
        <f t="shared" si="50"/>
        <v>0.5</v>
      </c>
      <c r="P304" s="77">
        <v>50</v>
      </c>
      <c r="Q304">
        <f t="shared" si="51"/>
        <v>0.3</v>
      </c>
      <c r="R304" s="75">
        <v>15</v>
      </c>
      <c r="S304" s="6">
        <f t="shared" si="52"/>
        <v>0.15</v>
      </c>
    </row>
    <row r="305" spans="1:19" x14ac:dyDescent="0.3">
      <c r="A305" s="37" t="s">
        <v>47</v>
      </c>
      <c r="B305" s="6" t="s">
        <v>161</v>
      </c>
      <c r="C305" s="77">
        <v>16000</v>
      </c>
      <c r="D305" s="6">
        <f>(C305/12)*4</f>
        <v>5333.333333333333</v>
      </c>
      <c r="E305" s="66">
        <v>0</v>
      </c>
      <c r="F305" s="6">
        <f>SUM(E302:E305)</f>
        <v>0</v>
      </c>
      <c r="G305" s="36" t="str">
        <f t="shared" si="49"/>
        <v>Farol Vermelho</v>
      </c>
      <c r="H305">
        <f t="shared" si="47"/>
        <v>5333.333333333333</v>
      </c>
      <c r="I305" s="6">
        <f t="shared" si="48"/>
        <v>4</v>
      </c>
      <c r="J305" s="76">
        <v>18</v>
      </c>
      <c r="K305" s="66">
        <v>0</v>
      </c>
      <c r="L305" s="6">
        <f>$L302+L304</f>
        <v>6</v>
      </c>
      <c r="M305" s="6">
        <f t="shared" si="56"/>
        <v>0</v>
      </c>
      <c r="N305" s="77">
        <v>100</v>
      </c>
      <c r="O305">
        <f t="shared" si="50"/>
        <v>0.5</v>
      </c>
      <c r="P305" s="77">
        <v>50</v>
      </c>
      <c r="Q305">
        <f t="shared" si="51"/>
        <v>0.3</v>
      </c>
      <c r="R305" s="75">
        <v>15</v>
      </c>
      <c r="S305" s="6">
        <f t="shared" si="52"/>
        <v>0.15</v>
      </c>
    </row>
    <row r="306" spans="1:19" x14ac:dyDescent="0.3">
      <c r="A306" s="37" t="s">
        <v>47</v>
      </c>
      <c r="B306" s="6" t="s">
        <v>162</v>
      </c>
      <c r="C306" s="77">
        <v>16000</v>
      </c>
      <c r="D306" s="6">
        <f>(C306/12)*5</f>
        <v>6666.6666666666661</v>
      </c>
      <c r="E306" s="66">
        <v>0</v>
      </c>
      <c r="F306" s="6">
        <f>SUM(E302:E306)</f>
        <v>0</v>
      </c>
      <c r="G306" s="36" t="str">
        <f t="shared" si="49"/>
        <v>Farol Vermelho</v>
      </c>
      <c r="H306">
        <f t="shared" si="47"/>
        <v>6666.6666666666661</v>
      </c>
      <c r="I306" s="6">
        <f t="shared" si="48"/>
        <v>5</v>
      </c>
      <c r="J306" s="76">
        <v>18</v>
      </c>
      <c r="K306" s="66"/>
      <c r="L306" s="6">
        <f>L302+L305</f>
        <v>7.5</v>
      </c>
      <c r="M306" s="6">
        <f t="shared" si="56"/>
        <v>0</v>
      </c>
      <c r="N306" s="77">
        <v>100</v>
      </c>
      <c r="O306">
        <f t="shared" si="50"/>
        <v>0.5</v>
      </c>
      <c r="P306" s="77">
        <v>50</v>
      </c>
      <c r="Q306">
        <f t="shared" si="51"/>
        <v>0.3</v>
      </c>
      <c r="R306" s="75">
        <v>15</v>
      </c>
      <c r="S306" s="6">
        <f t="shared" si="52"/>
        <v>0.15</v>
      </c>
    </row>
    <row r="307" spans="1:19" x14ac:dyDescent="0.3">
      <c r="A307" s="37" t="s">
        <v>47</v>
      </c>
      <c r="B307" s="6" t="s">
        <v>163</v>
      </c>
      <c r="C307" s="77">
        <v>16000</v>
      </c>
      <c r="D307" s="6">
        <f>(C307/12)*6</f>
        <v>8000</v>
      </c>
      <c r="E307" s="66">
        <v>0</v>
      </c>
      <c r="F307" s="6">
        <f>SUM(E302:E307)</f>
        <v>0</v>
      </c>
      <c r="G307" s="36" t="str">
        <f t="shared" si="49"/>
        <v>Farol Vermelho</v>
      </c>
      <c r="H307">
        <f t="shared" si="47"/>
        <v>8000</v>
      </c>
      <c r="I307" s="6">
        <f t="shared" si="48"/>
        <v>6</v>
      </c>
      <c r="J307" s="76">
        <v>18</v>
      </c>
      <c r="K307" s="66"/>
      <c r="L307" s="6">
        <f>$L302+L306</f>
        <v>9</v>
      </c>
      <c r="M307" s="6">
        <f t="shared" si="56"/>
        <v>0</v>
      </c>
      <c r="N307" s="77">
        <v>100</v>
      </c>
      <c r="O307">
        <f t="shared" si="50"/>
        <v>0.5</v>
      </c>
      <c r="P307" s="77">
        <v>50</v>
      </c>
      <c r="Q307">
        <f t="shared" si="51"/>
        <v>0.3</v>
      </c>
      <c r="R307" s="75">
        <v>15</v>
      </c>
      <c r="S307" s="6">
        <f t="shared" si="52"/>
        <v>0.15</v>
      </c>
    </row>
    <row r="308" spans="1:19" x14ac:dyDescent="0.3">
      <c r="A308" s="37" t="s">
        <v>47</v>
      </c>
      <c r="B308" s="6" t="s">
        <v>164</v>
      </c>
      <c r="C308" s="77">
        <v>16000</v>
      </c>
      <c r="D308" s="6">
        <f>(C308/12)*7</f>
        <v>9333.3333333333321</v>
      </c>
      <c r="E308" s="66">
        <v>0</v>
      </c>
      <c r="F308" s="6">
        <f>SUM(E302:E308)</f>
        <v>0</v>
      </c>
      <c r="G308" s="36" t="str">
        <f t="shared" si="49"/>
        <v>Farol Vermelho</v>
      </c>
      <c r="H308">
        <f t="shared" si="47"/>
        <v>9333.3333333333321</v>
      </c>
      <c r="I308" s="6">
        <f t="shared" si="48"/>
        <v>7</v>
      </c>
      <c r="J308" s="76">
        <v>18</v>
      </c>
      <c r="K308" s="66"/>
      <c r="L308" s="6">
        <f>$L302+L307</f>
        <v>10.5</v>
      </c>
      <c r="M308" s="6">
        <f t="shared" si="56"/>
        <v>0</v>
      </c>
      <c r="N308" s="77">
        <v>100</v>
      </c>
      <c r="O308">
        <f t="shared" si="50"/>
        <v>0.5</v>
      </c>
      <c r="P308" s="77">
        <v>50</v>
      </c>
      <c r="Q308">
        <f t="shared" si="51"/>
        <v>0.3</v>
      </c>
      <c r="R308" s="75">
        <v>15</v>
      </c>
      <c r="S308" s="6">
        <f t="shared" si="52"/>
        <v>0.15</v>
      </c>
    </row>
    <row r="309" spans="1:19" x14ac:dyDescent="0.3">
      <c r="A309" s="37" t="s">
        <v>47</v>
      </c>
      <c r="B309" s="6" t="s">
        <v>165</v>
      </c>
      <c r="C309" s="77">
        <v>16000</v>
      </c>
      <c r="D309" s="6">
        <f>(C309/12)*8</f>
        <v>10666.666666666666</v>
      </c>
      <c r="E309" s="66">
        <v>0</v>
      </c>
      <c r="F309" s="6">
        <f>SUM(E302:E309)</f>
        <v>0</v>
      </c>
      <c r="G309" s="36" t="str">
        <f t="shared" si="49"/>
        <v>Farol Vermelho</v>
      </c>
      <c r="H309">
        <f t="shared" si="47"/>
        <v>10666.666666666666</v>
      </c>
      <c r="I309" s="6">
        <f t="shared" si="48"/>
        <v>8</v>
      </c>
      <c r="J309" s="76">
        <v>18</v>
      </c>
      <c r="K309" s="66"/>
      <c r="L309" s="6">
        <f>L302+L308</f>
        <v>12</v>
      </c>
      <c r="M309" s="6">
        <f t="shared" si="56"/>
        <v>0</v>
      </c>
      <c r="N309" s="77">
        <v>100</v>
      </c>
      <c r="O309">
        <f t="shared" si="50"/>
        <v>0.5</v>
      </c>
      <c r="P309" s="77">
        <v>50</v>
      </c>
      <c r="Q309">
        <f t="shared" si="51"/>
        <v>0.3</v>
      </c>
      <c r="R309" s="75">
        <v>15</v>
      </c>
      <c r="S309" s="6">
        <f t="shared" si="52"/>
        <v>0.15</v>
      </c>
    </row>
    <row r="310" spans="1:19" x14ac:dyDescent="0.3">
      <c r="A310" s="37" t="s">
        <v>47</v>
      </c>
      <c r="B310" s="6" t="s">
        <v>166</v>
      </c>
      <c r="C310" s="77">
        <v>16000</v>
      </c>
      <c r="D310" s="6">
        <f>(C310/12)*9</f>
        <v>12000</v>
      </c>
      <c r="E310" s="66">
        <v>0</v>
      </c>
      <c r="F310" s="6">
        <f>SUM(E302:E310)</f>
        <v>0</v>
      </c>
      <c r="G310" s="36" t="str">
        <f t="shared" si="49"/>
        <v>Farol Vermelho</v>
      </c>
      <c r="H310">
        <f t="shared" si="47"/>
        <v>12000</v>
      </c>
      <c r="I310" s="6">
        <f t="shared" si="48"/>
        <v>9</v>
      </c>
      <c r="J310" s="76">
        <v>18</v>
      </c>
      <c r="K310" s="66"/>
      <c r="L310" s="6">
        <f>$L302+L309</f>
        <v>13.5</v>
      </c>
      <c r="M310" s="6">
        <f t="shared" si="56"/>
        <v>0</v>
      </c>
      <c r="N310" s="77">
        <v>100</v>
      </c>
      <c r="O310">
        <f t="shared" si="50"/>
        <v>0.5</v>
      </c>
      <c r="P310" s="77">
        <v>50</v>
      </c>
      <c r="Q310">
        <f t="shared" si="51"/>
        <v>0.3</v>
      </c>
      <c r="R310" s="75">
        <v>15</v>
      </c>
      <c r="S310" s="6">
        <f t="shared" si="52"/>
        <v>0.15</v>
      </c>
    </row>
    <row r="311" spans="1:19" x14ac:dyDescent="0.3">
      <c r="A311" s="37" t="s">
        <v>47</v>
      </c>
      <c r="B311" s="6" t="s">
        <v>167</v>
      </c>
      <c r="C311" s="77">
        <v>16000</v>
      </c>
      <c r="D311" s="6">
        <f>(C311/12)*10</f>
        <v>13333.333333333332</v>
      </c>
      <c r="E311" s="66">
        <v>0</v>
      </c>
      <c r="F311" s="6">
        <f>SUM(E302:E311)</f>
        <v>0</v>
      </c>
      <c r="G311" s="36" t="str">
        <f t="shared" si="49"/>
        <v>Farol Vermelho</v>
      </c>
      <c r="H311">
        <f t="shared" si="47"/>
        <v>13333.333333333332</v>
      </c>
      <c r="I311" s="6">
        <f t="shared" si="48"/>
        <v>10</v>
      </c>
      <c r="J311" s="76">
        <v>18</v>
      </c>
      <c r="K311" s="66"/>
      <c r="L311" s="6">
        <f>$L302+L310</f>
        <v>15</v>
      </c>
      <c r="M311" s="6">
        <f t="shared" si="56"/>
        <v>0</v>
      </c>
      <c r="N311" s="77">
        <v>100</v>
      </c>
      <c r="O311">
        <f t="shared" si="50"/>
        <v>0.5</v>
      </c>
      <c r="P311" s="77">
        <v>50</v>
      </c>
      <c r="Q311">
        <f t="shared" si="51"/>
        <v>0.3</v>
      </c>
      <c r="R311" s="75">
        <v>15</v>
      </c>
      <c r="S311" s="6">
        <f t="shared" si="52"/>
        <v>0.15</v>
      </c>
    </row>
    <row r="312" spans="1:19" x14ac:dyDescent="0.3">
      <c r="A312" s="37" t="s">
        <v>47</v>
      </c>
      <c r="B312" s="6" t="s">
        <v>168</v>
      </c>
      <c r="C312" s="77">
        <v>16000</v>
      </c>
      <c r="D312" s="6">
        <f>(C312/12)*11</f>
        <v>14666.666666666666</v>
      </c>
      <c r="E312" s="66">
        <v>0</v>
      </c>
      <c r="F312" s="6">
        <f>SUM(E302:E312)</f>
        <v>0</v>
      </c>
      <c r="G312" s="36" t="str">
        <f t="shared" si="49"/>
        <v>Farol Vermelho</v>
      </c>
      <c r="H312">
        <f t="shared" si="47"/>
        <v>14666.666666666666</v>
      </c>
      <c r="I312" s="6">
        <f t="shared" si="48"/>
        <v>11</v>
      </c>
      <c r="J312" s="76">
        <v>18</v>
      </c>
      <c r="K312" s="66"/>
      <c r="L312" s="6">
        <f>L302+L311</f>
        <v>16.5</v>
      </c>
      <c r="M312" s="6">
        <f t="shared" si="56"/>
        <v>0</v>
      </c>
      <c r="N312" s="77">
        <v>100</v>
      </c>
      <c r="O312">
        <f t="shared" si="50"/>
        <v>0.5</v>
      </c>
      <c r="P312" s="77">
        <v>50</v>
      </c>
      <c r="Q312">
        <f t="shared" si="51"/>
        <v>0.3</v>
      </c>
      <c r="R312" s="75">
        <v>15</v>
      </c>
      <c r="S312" s="6">
        <f t="shared" si="52"/>
        <v>0.15</v>
      </c>
    </row>
    <row r="313" spans="1:19" x14ac:dyDescent="0.3">
      <c r="A313" s="37" t="s">
        <v>47</v>
      </c>
      <c r="B313" s="6" t="s">
        <v>169</v>
      </c>
      <c r="C313" s="77">
        <v>16000</v>
      </c>
      <c r="D313" s="6">
        <f>(C313/12)*12</f>
        <v>16000</v>
      </c>
      <c r="E313" s="66">
        <v>0</v>
      </c>
      <c r="F313" s="6">
        <f>SUM(E302:E313)</f>
        <v>0</v>
      </c>
      <c r="G313" s="36" t="str">
        <f t="shared" si="49"/>
        <v>Farol Vermelho</v>
      </c>
      <c r="H313">
        <f t="shared" si="47"/>
        <v>16000</v>
      </c>
      <c r="I313" s="6">
        <f t="shared" si="48"/>
        <v>12</v>
      </c>
      <c r="J313" s="76">
        <v>18</v>
      </c>
      <c r="K313" s="66"/>
      <c r="L313" s="6">
        <f>$L302+L312</f>
        <v>18</v>
      </c>
      <c r="M313" s="6">
        <f t="shared" si="56"/>
        <v>0</v>
      </c>
      <c r="N313" s="77">
        <v>100</v>
      </c>
      <c r="O313">
        <f t="shared" si="50"/>
        <v>0.5</v>
      </c>
      <c r="P313" s="77">
        <v>50</v>
      </c>
      <c r="Q313">
        <f t="shared" si="51"/>
        <v>0.3</v>
      </c>
      <c r="R313" s="75">
        <v>15</v>
      </c>
      <c r="S313" s="6">
        <f t="shared" si="52"/>
        <v>0.15</v>
      </c>
    </row>
    <row r="314" spans="1:19" x14ac:dyDescent="0.3">
      <c r="A314" s="37" t="s">
        <v>37</v>
      </c>
      <c r="B314" s="6" t="s">
        <v>158</v>
      </c>
      <c r="C314" s="77">
        <v>36000</v>
      </c>
      <c r="D314" s="6">
        <f>(C314/12)*1</f>
        <v>3000</v>
      </c>
      <c r="E314" s="66">
        <v>0</v>
      </c>
      <c r="F314" s="6">
        <f>E314</f>
        <v>0</v>
      </c>
      <c r="G314" s="36" t="str">
        <f t="shared" si="49"/>
        <v>Farol Vermelho</v>
      </c>
      <c r="H314">
        <f t="shared" si="47"/>
        <v>3000</v>
      </c>
      <c r="I314" s="6">
        <f t="shared" si="48"/>
        <v>1</v>
      </c>
      <c r="J314" s="76">
        <v>6</v>
      </c>
      <c r="K314" s="66">
        <v>0</v>
      </c>
      <c r="L314" s="6">
        <f>J314/12</f>
        <v>0.5</v>
      </c>
      <c r="M314" s="6">
        <f>K314</f>
        <v>0</v>
      </c>
      <c r="N314" s="77">
        <v>100</v>
      </c>
      <c r="O314">
        <f t="shared" si="50"/>
        <v>0.5</v>
      </c>
      <c r="P314" s="77">
        <v>50</v>
      </c>
      <c r="Q314">
        <f t="shared" si="51"/>
        <v>0.3</v>
      </c>
      <c r="R314" s="75">
        <v>15</v>
      </c>
      <c r="S314" s="6">
        <f t="shared" si="52"/>
        <v>0.15</v>
      </c>
    </row>
    <row r="315" spans="1:19" x14ac:dyDescent="0.3">
      <c r="A315" s="37" t="s">
        <v>37</v>
      </c>
      <c r="B315" s="6" t="s">
        <v>159</v>
      </c>
      <c r="C315" s="77">
        <v>36000</v>
      </c>
      <c r="D315" s="6">
        <f>(C315/12)*2</f>
        <v>6000</v>
      </c>
      <c r="E315" s="66">
        <v>0</v>
      </c>
      <c r="F315" s="6">
        <f>SUM(E314:E315)</f>
        <v>0</v>
      </c>
      <c r="G315" s="36" t="str">
        <f t="shared" si="49"/>
        <v>Farol Vermelho</v>
      </c>
      <c r="H315">
        <f t="shared" si="47"/>
        <v>6000</v>
      </c>
      <c r="I315" s="6">
        <f t="shared" si="48"/>
        <v>2</v>
      </c>
      <c r="J315" s="76">
        <v>6</v>
      </c>
      <c r="K315" s="66">
        <v>0</v>
      </c>
      <c r="L315" s="6">
        <f>L314+L314</f>
        <v>1</v>
      </c>
      <c r="M315" s="6">
        <f>M314+K315</f>
        <v>0</v>
      </c>
      <c r="N315" s="77">
        <v>100</v>
      </c>
      <c r="O315">
        <f t="shared" si="50"/>
        <v>0.5</v>
      </c>
      <c r="P315" s="77">
        <v>50</v>
      </c>
      <c r="Q315">
        <f t="shared" si="51"/>
        <v>0.3</v>
      </c>
      <c r="R315" s="75">
        <v>15</v>
      </c>
      <c r="S315" s="6">
        <f t="shared" si="52"/>
        <v>0.15</v>
      </c>
    </row>
    <row r="316" spans="1:19" x14ac:dyDescent="0.3">
      <c r="A316" s="37" t="s">
        <v>37</v>
      </c>
      <c r="B316" s="6" t="s">
        <v>160</v>
      </c>
      <c r="C316" s="77">
        <v>36000</v>
      </c>
      <c r="D316" s="6">
        <f>(C316/12)*3</f>
        <v>9000</v>
      </c>
      <c r="E316" s="66">
        <v>0</v>
      </c>
      <c r="F316" s="6">
        <f>SUM(E314:E316)</f>
        <v>0</v>
      </c>
      <c r="G316" s="36" t="str">
        <f t="shared" si="49"/>
        <v>Farol Vermelho</v>
      </c>
      <c r="H316">
        <f t="shared" si="47"/>
        <v>9000</v>
      </c>
      <c r="I316" s="6">
        <f t="shared" si="48"/>
        <v>3</v>
      </c>
      <c r="J316" s="76">
        <v>6</v>
      </c>
      <c r="K316" s="66">
        <v>0</v>
      </c>
      <c r="L316" s="6">
        <f>$L314+L315</f>
        <v>1.5</v>
      </c>
      <c r="M316" s="6">
        <f t="shared" ref="M316:M325" si="57">M315+K316</f>
        <v>0</v>
      </c>
      <c r="N316" s="77">
        <v>100</v>
      </c>
      <c r="O316">
        <f t="shared" si="50"/>
        <v>0.5</v>
      </c>
      <c r="P316" s="77">
        <v>50</v>
      </c>
      <c r="Q316">
        <f t="shared" si="51"/>
        <v>0.3</v>
      </c>
      <c r="R316" s="75">
        <v>15</v>
      </c>
      <c r="S316" s="6">
        <f t="shared" si="52"/>
        <v>0.15</v>
      </c>
    </row>
    <row r="317" spans="1:19" x14ac:dyDescent="0.3">
      <c r="A317" s="37" t="s">
        <v>37</v>
      </c>
      <c r="B317" s="6" t="s">
        <v>161</v>
      </c>
      <c r="C317" s="77">
        <v>36000</v>
      </c>
      <c r="D317" s="6">
        <f>(C317/12)*4</f>
        <v>12000</v>
      </c>
      <c r="E317" s="66">
        <v>0</v>
      </c>
      <c r="F317" s="6">
        <f>SUM(E314:E317)</f>
        <v>0</v>
      </c>
      <c r="G317" s="36" t="str">
        <f t="shared" si="49"/>
        <v>Farol Vermelho</v>
      </c>
      <c r="H317">
        <f t="shared" si="47"/>
        <v>12000</v>
      </c>
      <c r="I317" s="6">
        <f t="shared" si="48"/>
        <v>4</v>
      </c>
      <c r="J317" s="76">
        <v>6</v>
      </c>
      <c r="K317" s="66">
        <v>0</v>
      </c>
      <c r="L317" s="6">
        <f>$L314+L316</f>
        <v>2</v>
      </c>
      <c r="M317" s="6">
        <f t="shared" si="57"/>
        <v>0</v>
      </c>
      <c r="N317" s="77">
        <v>100</v>
      </c>
      <c r="O317">
        <f t="shared" si="50"/>
        <v>0.5</v>
      </c>
      <c r="P317" s="77">
        <v>50</v>
      </c>
      <c r="Q317">
        <f t="shared" si="51"/>
        <v>0.3</v>
      </c>
      <c r="R317" s="75">
        <v>15</v>
      </c>
      <c r="S317" s="6">
        <f t="shared" si="52"/>
        <v>0.15</v>
      </c>
    </row>
    <row r="318" spans="1:19" x14ac:dyDescent="0.3">
      <c r="A318" s="37" t="s">
        <v>37</v>
      </c>
      <c r="B318" s="6" t="s">
        <v>162</v>
      </c>
      <c r="C318" s="77">
        <v>36000</v>
      </c>
      <c r="D318" s="6">
        <f>(C318/12)*5</f>
        <v>15000</v>
      </c>
      <c r="E318" s="66">
        <v>0</v>
      </c>
      <c r="F318" s="6">
        <f>SUM(E314:E318)</f>
        <v>0</v>
      </c>
      <c r="G318" s="36" t="str">
        <f t="shared" si="49"/>
        <v>Farol Vermelho</v>
      </c>
      <c r="H318">
        <f t="shared" si="47"/>
        <v>15000</v>
      </c>
      <c r="I318" s="6">
        <f t="shared" si="48"/>
        <v>5</v>
      </c>
      <c r="J318" s="76">
        <v>6</v>
      </c>
      <c r="K318" s="66"/>
      <c r="L318" s="6">
        <f>L314+L317</f>
        <v>2.5</v>
      </c>
      <c r="M318" s="6">
        <f t="shared" si="57"/>
        <v>0</v>
      </c>
      <c r="N318" s="77">
        <v>100</v>
      </c>
      <c r="O318">
        <f t="shared" si="50"/>
        <v>0.5</v>
      </c>
      <c r="P318" s="77">
        <v>50</v>
      </c>
      <c r="Q318">
        <f t="shared" si="51"/>
        <v>0.3</v>
      </c>
      <c r="R318" s="75">
        <v>15</v>
      </c>
      <c r="S318" s="6">
        <f t="shared" si="52"/>
        <v>0.15</v>
      </c>
    </row>
    <row r="319" spans="1:19" x14ac:dyDescent="0.3">
      <c r="A319" s="37" t="s">
        <v>37</v>
      </c>
      <c r="B319" s="6" t="s">
        <v>163</v>
      </c>
      <c r="C319" s="77">
        <v>36000</v>
      </c>
      <c r="D319" s="6">
        <f>(C319/12)*6</f>
        <v>18000</v>
      </c>
      <c r="E319" s="66">
        <v>0</v>
      </c>
      <c r="F319" s="6">
        <f>SUM(E314:E319)</f>
        <v>0</v>
      </c>
      <c r="G319" s="36" t="str">
        <f t="shared" si="49"/>
        <v>Farol Vermelho</v>
      </c>
      <c r="H319">
        <f t="shared" si="47"/>
        <v>18000</v>
      </c>
      <c r="I319" s="6">
        <f t="shared" si="48"/>
        <v>6</v>
      </c>
      <c r="J319" s="76">
        <v>6</v>
      </c>
      <c r="K319" s="66"/>
      <c r="L319" s="6">
        <f>$L314+L318</f>
        <v>3</v>
      </c>
      <c r="M319" s="6">
        <f t="shared" si="57"/>
        <v>0</v>
      </c>
      <c r="N319" s="77">
        <v>100</v>
      </c>
      <c r="O319">
        <f t="shared" si="50"/>
        <v>0.5</v>
      </c>
      <c r="P319" s="77">
        <v>50</v>
      </c>
      <c r="Q319">
        <f t="shared" si="51"/>
        <v>0.3</v>
      </c>
      <c r="R319" s="75">
        <v>15</v>
      </c>
      <c r="S319" s="6">
        <f t="shared" si="52"/>
        <v>0.15</v>
      </c>
    </row>
    <row r="320" spans="1:19" x14ac:dyDescent="0.3">
      <c r="A320" s="37" t="s">
        <v>37</v>
      </c>
      <c r="B320" s="6" t="s">
        <v>164</v>
      </c>
      <c r="C320" s="77">
        <v>36000</v>
      </c>
      <c r="D320" s="6">
        <f>(C320/12)*7</f>
        <v>21000</v>
      </c>
      <c r="E320" s="66">
        <v>0</v>
      </c>
      <c r="F320" s="6">
        <f>SUM(E314:E320)</f>
        <v>0</v>
      </c>
      <c r="G320" s="36" t="str">
        <f t="shared" si="49"/>
        <v>Farol Vermelho</v>
      </c>
      <c r="H320">
        <f t="shared" si="47"/>
        <v>21000</v>
      </c>
      <c r="I320" s="6">
        <f t="shared" si="48"/>
        <v>7</v>
      </c>
      <c r="J320" s="76">
        <v>6</v>
      </c>
      <c r="K320" s="66"/>
      <c r="L320" s="6">
        <f>$L314+L319</f>
        <v>3.5</v>
      </c>
      <c r="M320" s="6">
        <f t="shared" si="57"/>
        <v>0</v>
      </c>
      <c r="N320" s="77">
        <v>100</v>
      </c>
      <c r="O320">
        <f t="shared" si="50"/>
        <v>0.5</v>
      </c>
      <c r="P320" s="77">
        <v>50</v>
      </c>
      <c r="Q320">
        <f t="shared" si="51"/>
        <v>0.3</v>
      </c>
      <c r="R320" s="75">
        <v>15</v>
      </c>
      <c r="S320" s="6">
        <f t="shared" si="52"/>
        <v>0.15</v>
      </c>
    </row>
    <row r="321" spans="1:19" x14ac:dyDescent="0.3">
      <c r="A321" s="37" t="s">
        <v>37</v>
      </c>
      <c r="B321" s="6" t="s">
        <v>165</v>
      </c>
      <c r="C321" s="77">
        <v>36000</v>
      </c>
      <c r="D321" s="6">
        <f>(C321/12)*8</f>
        <v>24000</v>
      </c>
      <c r="E321" s="66">
        <v>0</v>
      </c>
      <c r="F321" s="6">
        <f>SUM(E314:E321)</f>
        <v>0</v>
      </c>
      <c r="G321" s="36" t="str">
        <f t="shared" si="49"/>
        <v>Farol Vermelho</v>
      </c>
      <c r="H321">
        <f t="shared" si="47"/>
        <v>24000</v>
      </c>
      <c r="I321" s="6">
        <f t="shared" si="48"/>
        <v>8</v>
      </c>
      <c r="J321" s="76">
        <v>6</v>
      </c>
      <c r="K321" s="66"/>
      <c r="L321" s="6">
        <f>L314+L320</f>
        <v>4</v>
      </c>
      <c r="M321" s="6">
        <f t="shared" si="57"/>
        <v>0</v>
      </c>
      <c r="N321" s="77">
        <v>100</v>
      </c>
      <c r="O321">
        <f t="shared" si="50"/>
        <v>0.5</v>
      </c>
      <c r="P321" s="77">
        <v>50</v>
      </c>
      <c r="Q321">
        <f t="shared" si="51"/>
        <v>0.3</v>
      </c>
      <c r="R321" s="75">
        <v>15</v>
      </c>
      <c r="S321" s="6">
        <f t="shared" si="52"/>
        <v>0.15</v>
      </c>
    </row>
    <row r="322" spans="1:19" x14ac:dyDescent="0.3">
      <c r="A322" s="37" t="s">
        <v>37</v>
      </c>
      <c r="B322" s="6" t="s">
        <v>166</v>
      </c>
      <c r="C322" s="77">
        <v>36000</v>
      </c>
      <c r="D322" s="6">
        <f>(C322/12)*9</f>
        <v>27000</v>
      </c>
      <c r="E322" s="66">
        <v>0</v>
      </c>
      <c r="F322" s="6">
        <f>SUM(E314:E322)</f>
        <v>0</v>
      </c>
      <c r="G322" s="36" t="str">
        <f t="shared" si="49"/>
        <v>Farol Vermelho</v>
      </c>
      <c r="H322">
        <f t="shared" ref="H322:H385" si="58">IF(D322-F322&lt;0,0,D322-F322)</f>
        <v>27000</v>
      </c>
      <c r="I322" s="6">
        <f t="shared" ref="I322:I385" si="59">_xlfn.IFS(B322="Janeiro",1,B322="Fevereiro",2,B322="Março",3,B322="Abril",4,B322="Maio",5,B322="Junho",6,B322="Julho",7,B322="Agosto",8,B322="Setembro",9,B322="Outubro",10,B322="Novembro",11,B322="Dezembro",12,TRUE,0)</f>
        <v>9</v>
      </c>
      <c r="J322" s="76">
        <v>6</v>
      </c>
      <c r="K322" s="66"/>
      <c r="L322" s="6">
        <f>$L314+L321</f>
        <v>4.5</v>
      </c>
      <c r="M322" s="6">
        <f t="shared" si="57"/>
        <v>0</v>
      </c>
      <c r="N322" s="77">
        <v>100</v>
      </c>
      <c r="O322">
        <f t="shared" si="50"/>
        <v>0.5</v>
      </c>
      <c r="P322" s="77">
        <v>50</v>
      </c>
      <c r="Q322">
        <f t="shared" si="51"/>
        <v>0.3</v>
      </c>
      <c r="R322" s="75">
        <v>15</v>
      </c>
      <c r="S322" s="6">
        <f t="shared" si="52"/>
        <v>0.15</v>
      </c>
    </row>
    <row r="323" spans="1:19" x14ac:dyDescent="0.3">
      <c r="A323" s="37" t="s">
        <v>37</v>
      </c>
      <c r="B323" s="6" t="s">
        <v>167</v>
      </c>
      <c r="C323" s="77">
        <v>36000</v>
      </c>
      <c r="D323" s="6">
        <f>(C323/12)*10</f>
        <v>30000</v>
      </c>
      <c r="E323" s="66">
        <v>0</v>
      </c>
      <c r="F323" s="6">
        <f>SUM(E314:E323)</f>
        <v>0</v>
      </c>
      <c r="G323" s="36" t="str">
        <f t="shared" ref="G323:G386" si="60">_xlfn.IFS(F323&gt;D323,"Farol Verde",F323&gt;=D323*0.85,"Farol Amarelo",F323&lt;D323*0.85,"Farol Vermelho","Verdadeiro",0)</f>
        <v>Farol Vermelho</v>
      </c>
      <c r="H323">
        <f t="shared" si="58"/>
        <v>30000</v>
      </c>
      <c r="I323" s="6">
        <f t="shared" si="59"/>
        <v>10</v>
      </c>
      <c r="J323" s="76">
        <v>6</v>
      </c>
      <c r="K323" s="66"/>
      <c r="L323" s="6">
        <f>$L314+L322</f>
        <v>5</v>
      </c>
      <c r="M323" s="6">
        <f t="shared" si="57"/>
        <v>0</v>
      </c>
      <c r="N323" s="77">
        <v>100</v>
      </c>
      <c r="O323">
        <f t="shared" ref="O323:O386" si="61">P323/N323</f>
        <v>0.5</v>
      </c>
      <c r="P323" s="77">
        <v>50</v>
      </c>
      <c r="Q323">
        <f t="shared" ref="Q323:Q386" si="62">R323/P323</f>
        <v>0.3</v>
      </c>
      <c r="R323" s="75">
        <v>15</v>
      </c>
      <c r="S323" s="6">
        <f t="shared" ref="S323:S386" si="63">R323/N323</f>
        <v>0.15</v>
      </c>
    </row>
    <row r="324" spans="1:19" x14ac:dyDescent="0.3">
      <c r="A324" s="37" t="s">
        <v>37</v>
      </c>
      <c r="B324" s="6" t="s">
        <v>168</v>
      </c>
      <c r="C324" s="77">
        <v>36000</v>
      </c>
      <c r="D324" s="6">
        <f>(C324/12)*11</f>
        <v>33000</v>
      </c>
      <c r="E324" s="66">
        <v>0</v>
      </c>
      <c r="F324" s="6">
        <f>SUM(E314:E324)</f>
        <v>0</v>
      </c>
      <c r="G324" s="36" t="str">
        <f t="shared" si="60"/>
        <v>Farol Vermelho</v>
      </c>
      <c r="H324">
        <f t="shared" si="58"/>
        <v>33000</v>
      </c>
      <c r="I324" s="6">
        <f t="shared" si="59"/>
        <v>11</v>
      </c>
      <c r="J324" s="76">
        <v>6</v>
      </c>
      <c r="K324" s="66"/>
      <c r="L324" s="6">
        <f>L314+L323</f>
        <v>5.5</v>
      </c>
      <c r="M324" s="6">
        <f t="shared" si="57"/>
        <v>0</v>
      </c>
      <c r="N324" s="77">
        <v>100</v>
      </c>
      <c r="O324">
        <f t="shared" si="61"/>
        <v>0.5</v>
      </c>
      <c r="P324" s="77">
        <v>50</v>
      </c>
      <c r="Q324">
        <f t="shared" si="62"/>
        <v>0.3</v>
      </c>
      <c r="R324" s="75">
        <v>15</v>
      </c>
      <c r="S324" s="6">
        <f t="shared" si="63"/>
        <v>0.15</v>
      </c>
    </row>
    <row r="325" spans="1:19" x14ac:dyDescent="0.3">
      <c r="A325" s="37" t="s">
        <v>37</v>
      </c>
      <c r="B325" s="6" t="s">
        <v>169</v>
      </c>
      <c r="C325" s="77">
        <v>36000</v>
      </c>
      <c r="D325" s="6">
        <f>(C325/12)*12</f>
        <v>36000</v>
      </c>
      <c r="E325" s="66">
        <v>0</v>
      </c>
      <c r="F325" s="6">
        <f>SUM(E314:E325)</f>
        <v>0</v>
      </c>
      <c r="G325" s="36" t="str">
        <f t="shared" si="60"/>
        <v>Farol Vermelho</v>
      </c>
      <c r="H325">
        <f t="shared" si="58"/>
        <v>36000</v>
      </c>
      <c r="I325" s="6">
        <f t="shared" si="59"/>
        <v>12</v>
      </c>
      <c r="J325" s="76">
        <v>6</v>
      </c>
      <c r="K325" s="66"/>
      <c r="L325" s="6">
        <f>$L314+L324</f>
        <v>6</v>
      </c>
      <c r="M325" s="6">
        <f t="shared" si="57"/>
        <v>0</v>
      </c>
      <c r="N325" s="77">
        <v>100</v>
      </c>
      <c r="O325">
        <f t="shared" si="61"/>
        <v>0.5</v>
      </c>
      <c r="P325" s="77">
        <v>50</v>
      </c>
      <c r="Q325">
        <f t="shared" si="62"/>
        <v>0.3</v>
      </c>
      <c r="R325" s="75">
        <v>15</v>
      </c>
      <c r="S325" s="6">
        <f t="shared" si="63"/>
        <v>0.15</v>
      </c>
    </row>
    <row r="326" spans="1:19" x14ac:dyDescent="0.3">
      <c r="A326" s="37" t="s">
        <v>86</v>
      </c>
      <c r="B326" s="6" t="s">
        <v>158</v>
      </c>
      <c r="C326" s="77">
        <v>35000</v>
      </c>
      <c r="D326" s="6">
        <f>(C326/12)*1</f>
        <v>2916.6666666666665</v>
      </c>
      <c r="E326" s="66">
        <v>0</v>
      </c>
      <c r="F326" s="6">
        <f>E326</f>
        <v>0</v>
      </c>
      <c r="G326" s="36" t="str">
        <f t="shared" si="60"/>
        <v>Farol Vermelho</v>
      </c>
      <c r="H326">
        <f t="shared" si="58"/>
        <v>2916.6666666666665</v>
      </c>
      <c r="I326" s="6">
        <f t="shared" si="59"/>
        <v>1</v>
      </c>
      <c r="J326" s="76">
        <v>16</v>
      </c>
      <c r="K326" s="66">
        <v>0</v>
      </c>
      <c r="L326" s="6">
        <f>J326/12</f>
        <v>1.3333333333333333</v>
      </c>
      <c r="M326" s="6">
        <f>K326</f>
        <v>0</v>
      </c>
      <c r="N326" s="77">
        <v>100</v>
      </c>
      <c r="O326">
        <f t="shared" si="61"/>
        <v>0.5</v>
      </c>
      <c r="P326" s="77">
        <v>50</v>
      </c>
      <c r="Q326">
        <f t="shared" si="62"/>
        <v>0.3</v>
      </c>
      <c r="R326" s="75">
        <v>15</v>
      </c>
      <c r="S326" s="6">
        <f t="shared" si="63"/>
        <v>0.15</v>
      </c>
    </row>
    <row r="327" spans="1:19" x14ac:dyDescent="0.3">
      <c r="A327" s="37" t="s">
        <v>86</v>
      </c>
      <c r="B327" s="6" t="s">
        <v>159</v>
      </c>
      <c r="C327" s="77">
        <v>35000</v>
      </c>
      <c r="D327" s="6">
        <f>(C327/12)*2</f>
        <v>5833.333333333333</v>
      </c>
      <c r="E327" s="66">
        <v>0</v>
      </c>
      <c r="F327" s="6">
        <f>SUM(E326:E327)</f>
        <v>0</v>
      </c>
      <c r="G327" s="36" t="str">
        <f t="shared" si="60"/>
        <v>Farol Vermelho</v>
      </c>
      <c r="H327">
        <f t="shared" si="58"/>
        <v>5833.333333333333</v>
      </c>
      <c r="I327" s="6">
        <f t="shared" si="59"/>
        <v>2</v>
      </c>
      <c r="J327" s="76">
        <v>16</v>
      </c>
      <c r="K327" s="66">
        <v>0</v>
      </c>
      <c r="L327" s="6">
        <f>L326+L326</f>
        <v>2.6666666666666665</v>
      </c>
      <c r="M327" s="6">
        <f>M326+K327</f>
        <v>0</v>
      </c>
      <c r="N327" s="77">
        <v>100</v>
      </c>
      <c r="O327">
        <f t="shared" si="61"/>
        <v>0.5</v>
      </c>
      <c r="P327" s="77">
        <v>50</v>
      </c>
      <c r="Q327">
        <f t="shared" si="62"/>
        <v>0.3</v>
      </c>
      <c r="R327" s="75">
        <v>15</v>
      </c>
      <c r="S327" s="6">
        <f t="shared" si="63"/>
        <v>0.15</v>
      </c>
    </row>
    <row r="328" spans="1:19" x14ac:dyDescent="0.3">
      <c r="A328" s="37" t="s">
        <v>86</v>
      </c>
      <c r="B328" s="6" t="s">
        <v>160</v>
      </c>
      <c r="C328" s="77">
        <v>35000</v>
      </c>
      <c r="D328" s="6">
        <f>(C328/12)*3</f>
        <v>8750</v>
      </c>
      <c r="E328" s="66">
        <v>1800</v>
      </c>
      <c r="F328" s="6">
        <f>SUM(E326:E328)</f>
        <v>1800</v>
      </c>
      <c r="G328" s="36" t="str">
        <f t="shared" si="60"/>
        <v>Farol Vermelho</v>
      </c>
      <c r="H328">
        <f t="shared" si="58"/>
        <v>6950</v>
      </c>
      <c r="I328" s="6">
        <f t="shared" si="59"/>
        <v>3</v>
      </c>
      <c r="J328" s="76">
        <v>16</v>
      </c>
      <c r="K328" s="66">
        <v>3</v>
      </c>
      <c r="L328" s="6">
        <f>$L326+L327</f>
        <v>4</v>
      </c>
      <c r="M328" s="6">
        <f t="shared" ref="M328:M337" si="64">M327+K328</f>
        <v>3</v>
      </c>
      <c r="N328" s="77">
        <v>100</v>
      </c>
      <c r="O328">
        <f t="shared" si="61"/>
        <v>0.5</v>
      </c>
      <c r="P328" s="77">
        <v>50</v>
      </c>
      <c r="Q328">
        <f t="shared" si="62"/>
        <v>0.3</v>
      </c>
      <c r="R328" s="75">
        <v>15</v>
      </c>
      <c r="S328" s="6">
        <f t="shared" si="63"/>
        <v>0.15</v>
      </c>
    </row>
    <row r="329" spans="1:19" x14ac:dyDescent="0.3">
      <c r="A329" s="37" t="s">
        <v>86</v>
      </c>
      <c r="B329" s="6" t="s">
        <v>161</v>
      </c>
      <c r="C329" s="77">
        <v>35000</v>
      </c>
      <c r="D329" s="6">
        <f>(C329/12)*4</f>
        <v>11666.666666666666</v>
      </c>
      <c r="E329" s="66">
        <v>0</v>
      </c>
      <c r="F329" s="6">
        <f>SUM(E326:E329)</f>
        <v>1800</v>
      </c>
      <c r="G329" s="36" t="str">
        <f t="shared" si="60"/>
        <v>Farol Vermelho</v>
      </c>
      <c r="H329">
        <f t="shared" si="58"/>
        <v>9866.6666666666661</v>
      </c>
      <c r="I329" s="6">
        <f t="shared" si="59"/>
        <v>4</v>
      </c>
      <c r="J329" s="76">
        <v>16</v>
      </c>
      <c r="K329" s="66"/>
      <c r="L329" s="6">
        <f>$L326+L328</f>
        <v>5.333333333333333</v>
      </c>
      <c r="M329" s="6">
        <f t="shared" si="64"/>
        <v>3</v>
      </c>
      <c r="N329" s="77">
        <v>100</v>
      </c>
      <c r="O329">
        <f t="shared" si="61"/>
        <v>0.5</v>
      </c>
      <c r="P329" s="77">
        <v>50</v>
      </c>
      <c r="Q329">
        <f t="shared" si="62"/>
        <v>0.3</v>
      </c>
      <c r="R329" s="75">
        <v>15</v>
      </c>
      <c r="S329" s="6">
        <f t="shared" si="63"/>
        <v>0.15</v>
      </c>
    </row>
    <row r="330" spans="1:19" x14ac:dyDescent="0.3">
      <c r="A330" s="37" t="s">
        <v>86</v>
      </c>
      <c r="B330" s="6" t="s">
        <v>162</v>
      </c>
      <c r="C330" s="77">
        <v>35000</v>
      </c>
      <c r="D330" s="6">
        <f>(C330/12)*5</f>
        <v>14583.333333333332</v>
      </c>
      <c r="E330" s="66">
        <v>0</v>
      </c>
      <c r="F330" s="6">
        <f>SUM(E326:E330)</f>
        <v>1800</v>
      </c>
      <c r="G330" s="36" t="str">
        <f t="shared" si="60"/>
        <v>Farol Vermelho</v>
      </c>
      <c r="H330">
        <f t="shared" si="58"/>
        <v>12783.333333333332</v>
      </c>
      <c r="I330" s="6">
        <f t="shared" si="59"/>
        <v>5</v>
      </c>
      <c r="J330" s="76">
        <v>16</v>
      </c>
      <c r="K330" s="66"/>
      <c r="L330" s="6">
        <f>L326+L329</f>
        <v>6.6666666666666661</v>
      </c>
      <c r="M330" s="6">
        <f t="shared" si="64"/>
        <v>3</v>
      </c>
      <c r="N330" s="77">
        <v>100</v>
      </c>
      <c r="O330">
        <f t="shared" si="61"/>
        <v>0.5</v>
      </c>
      <c r="P330" s="77">
        <v>50</v>
      </c>
      <c r="Q330">
        <f t="shared" si="62"/>
        <v>0.3</v>
      </c>
      <c r="R330" s="75">
        <v>15</v>
      </c>
      <c r="S330" s="6">
        <f t="shared" si="63"/>
        <v>0.15</v>
      </c>
    </row>
    <row r="331" spans="1:19" x14ac:dyDescent="0.3">
      <c r="A331" s="37" t="s">
        <v>86</v>
      </c>
      <c r="B331" s="6" t="s">
        <v>163</v>
      </c>
      <c r="C331" s="77">
        <v>35000</v>
      </c>
      <c r="D331" s="6">
        <f>(C331/12)*6</f>
        <v>17500</v>
      </c>
      <c r="E331" s="66">
        <v>0</v>
      </c>
      <c r="F331" s="6">
        <f>SUM(E326:E331)</f>
        <v>1800</v>
      </c>
      <c r="G331" s="36" t="str">
        <f t="shared" si="60"/>
        <v>Farol Vermelho</v>
      </c>
      <c r="H331">
        <f t="shared" si="58"/>
        <v>15700</v>
      </c>
      <c r="I331" s="6">
        <f t="shared" si="59"/>
        <v>6</v>
      </c>
      <c r="J331" s="76">
        <v>16</v>
      </c>
      <c r="K331" s="66"/>
      <c r="L331" s="6">
        <f>$L326+L330</f>
        <v>7.9999999999999991</v>
      </c>
      <c r="M331" s="6">
        <f t="shared" si="64"/>
        <v>3</v>
      </c>
      <c r="N331" s="77">
        <v>100</v>
      </c>
      <c r="O331">
        <f t="shared" si="61"/>
        <v>0.5</v>
      </c>
      <c r="P331" s="77">
        <v>50</v>
      </c>
      <c r="Q331">
        <f t="shared" si="62"/>
        <v>0.3</v>
      </c>
      <c r="R331" s="75">
        <v>15</v>
      </c>
      <c r="S331" s="6">
        <f t="shared" si="63"/>
        <v>0.15</v>
      </c>
    </row>
    <row r="332" spans="1:19" x14ac:dyDescent="0.3">
      <c r="A332" s="37" t="s">
        <v>86</v>
      </c>
      <c r="B332" s="6" t="s">
        <v>164</v>
      </c>
      <c r="C332" s="77">
        <v>35000</v>
      </c>
      <c r="D332" s="6">
        <f>(C332/12)*7</f>
        <v>20416.666666666664</v>
      </c>
      <c r="E332" s="66">
        <v>0</v>
      </c>
      <c r="F332" s="6">
        <f>SUM(E326:E332)</f>
        <v>1800</v>
      </c>
      <c r="G332" s="36" t="str">
        <f t="shared" si="60"/>
        <v>Farol Vermelho</v>
      </c>
      <c r="H332">
        <f t="shared" si="58"/>
        <v>18616.666666666664</v>
      </c>
      <c r="I332" s="6">
        <f t="shared" si="59"/>
        <v>7</v>
      </c>
      <c r="J332" s="76">
        <v>16</v>
      </c>
      <c r="K332" s="66"/>
      <c r="L332" s="6">
        <f>$L326+L331</f>
        <v>9.3333333333333321</v>
      </c>
      <c r="M332" s="6">
        <f t="shared" si="64"/>
        <v>3</v>
      </c>
      <c r="N332" s="77">
        <v>100</v>
      </c>
      <c r="O332">
        <f t="shared" si="61"/>
        <v>0.5</v>
      </c>
      <c r="P332" s="77">
        <v>50</v>
      </c>
      <c r="Q332">
        <f t="shared" si="62"/>
        <v>0.3</v>
      </c>
      <c r="R332" s="75">
        <v>15</v>
      </c>
      <c r="S332" s="6">
        <f t="shared" si="63"/>
        <v>0.15</v>
      </c>
    </row>
    <row r="333" spans="1:19" x14ac:dyDescent="0.3">
      <c r="A333" s="37" t="s">
        <v>86</v>
      </c>
      <c r="B333" s="6" t="s">
        <v>165</v>
      </c>
      <c r="C333" s="77">
        <v>35000</v>
      </c>
      <c r="D333" s="6">
        <f>(C333/12)*8</f>
        <v>23333.333333333332</v>
      </c>
      <c r="E333" s="66">
        <v>0</v>
      </c>
      <c r="F333" s="6">
        <f>SUM(E326:E333)</f>
        <v>1800</v>
      </c>
      <c r="G333" s="36" t="str">
        <f t="shared" si="60"/>
        <v>Farol Vermelho</v>
      </c>
      <c r="H333">
        <f t="shared" si="58"/>
        <v>21533.333333333332</v>
      </c>
      <c r="I333" s="6">
        <f t="shared" si="59"/>
        <v>8</v>
      </c>
      <c r="J333" s="76">
        <v>16</v>
      </c>
      <c r="K333" s="66"/>
      <c r="L333" s="6">
        <f>L326+L332</f>
        <v>10.666666666666666</v>
      </c>
      <c r="M333" s="6">
        <f t="shared" si="64"/>
        <v>3</v>
      </c>
      <c r="N333" s="77">
        <v>100</v>
      </c>
      <c r="O333">
        <f t="shared" si="61"/>
        <v>0.5</v>
      </c>
      <c r="P333" s="77">
        <v>50</v>
      </c>
      <c r="Q333">
        <f t="shared" si="62"/>
        <v>0.3</v>
      </c>
      <c r="R333" s="75">
        <v>15</v>
      </c>
      <c r="S333" s="6">
        <f t="shared" si="63"/>
        <v>0.15</v>
      </c>
    </row>
    <row r="334" spans="1:19" x14ac:dyDescent="0.3">
      <c r="A334" s="37" t="s">
        <v>86</v>
      </c>
      <c r="B334" s="6" t="s">
        <v>166</v>
      </c>
      <c r="C334" s="77">
        <v>35000</v>
      </c>
      <c r="D334" s="6">
        <f>(C334/12)*9</f>
        <v>26250</v>
      </c>
      <c r="E334" s="66">
        <v>0</v>
      </c>
      <c r="F334" s="6">
        <f>SUM(E326:E334)</f>
        <v>1800</v>
      </c>
      <c r="G334" s="36" t="str">
        <f t="shared" si="60"/>
        <v>Farol Vermelho</v>
      </c>
      <c r="H334">
        <f t="shared" si="58"/>
        <v>24450</v>
      </c>
      <c r="I334" s="6">
        <f t="shared" si="59"/>
        <v>9</v>
      </c>
      <c r="J334" s="76">
        <v>16</v>
      </c>
      <c r="K334" s="66"/>
      <c r="L334" s="6">
        <f>$L326+L333</f>
        <v>12</v>
      </c>
      <c r="M334" s="6">
        <f t="shared" si="64"/>
        <v>3</v>
      </c>
      <c r="N334" s="77">
        <v>100</v>
      </c>
      <c r="O334">
        <f t="shared" si="61"/>
        <v>0.5</v>
      </c>
      <c r="P334" s="77">
        <v>50</v>
      </c>
      <c r="Q334">
        <f t="shared" si="62"/>
        <v>0.3</v>
      </c>
      <c r="R334" s="75">
        <v>15</v>
      </c>
      <c r="S334" s="6">
        <f t="shared" si="63"/>
        <v>0.15</v>
      </c>
    </row>
    <row r="335" spans="1:19" x14ac:dyDescent="0.3">
      <c r="A335" s="37" t="s">
        <v>86</v>
      </c>
      <c r="B335" s="6" t="s">
        <v>167</v>
      </c>
      <c r="C335" s="77">
        <v>35000</v>
      </c>
      <c r="D335" s="6">
        <f>(C335/12)*10</f>
        <v>29166.666666666664</v>
      </c>
      <c r="E335" s="66">
        <v>0</v>
      </c>
      <c r="F335" s="6">
        <f>SUM(E326:E335)</f>
        <v>1800</v>
      </c>
      <c r="G335" s="36" t="str">
        <f t="shared" si="60"/>
        <v>Farol Vermelho</v>
      </c>
      <c r="H335">
        <f t="shared" si="58"/>
        <v>27366.666666666664</v>
      </c>
      <c r="I335" s="6">
        <f t="shared" si="59"/>
        <v>10</v>
      </c>
      <c r="J335" s="76">
        <v>16</v>
      </c>
      <c r="K335" s="66"/>
      <c r="L335" s="6">
        <f>$L326+L334</f>
        <v>13.333333333333334</v>
      </c>
      <c r="M335" s="6">
        <f t="shared" si="64"/>
        <v>3</v>
      </c>
      <c r="N335" s="77">
        <v>100</v>
      </c>
      <c r="O335">
        <f t="shared" si="61"/>
        <v>0.5</v>
      </c>
      <c r="P335" s="77">
        <v>50</v>
      </c>
      <c r="Q335">
        <f t="shared" si="62"/>
        <v>0.3</v>
      </c>
      <c r="R335" s="75">
        <v>15</v>
      </c>
      <c r="S335" s="6">
        <f t="shared" si="63"/>
        <v>0.15</v>
      </c>
    </row>
    <row r="336" spans="1:19" x14ac:dyDescent="0.3">
      <c r="A336" s="37" t="s">
        <v>86</v>
      </c>
      <c r="B336" s="6" t="s">
        <v>168</v>
      </c>
      <c r="C336" s="77">
        <v>35000</v>
      </c>
      <c r="D336" s="6">
        <f>(C336/12)*11</f>
        <v>32083.333333333332</v>
      </c>
      <c r="E336" s="66">
        <v>0</v>
      </c>
      <c r="F336" s="6">
        <f>SUM(E326:E336)</f>
        <v>1800</v>
      </c>
      <c r="G336" s="36" t="str">
        <f t="shared" si="60"/>
        <v>Farol Vermelho</v>
      </c>
      <c r="H336">
        <f t="shared" si="58"/>
        <v>30283.333333333332</v>
      </c>
      <c r="I336" s="6">
        <f t="shared" si="59"/>
        <v>11</v>
      </c>
      <c r="J336" s="76">
        <v>16</v>
      </c>
      <c r="K336" s="66"/>
      <c r="L336" s="6">
        <f>L326+L335</f>
        <v>14.666666666666668</v>
      </c>
      <c r="M336" s="6">
        <f t="shared" si="64"/>
        <v>3</v>
      </c>
      <c r="N336" s="77">
        <v>100</v>
      </c>
      <c r="O336">
        <f t="shared" si="61"/>
        <v>0.5</v>
      </c>
      <c r="P336" s="77">
        <v>50</v>
      </c>
      <c r="Q336">
        <f t="shared" si="62"/>
        <v>0.3</v>
      </c>
      <c r="R336" s="75">
        <v>15</v>
      </c>
      <c r="S336" s="6">
        <f t="shared" si="63"/>
        <v>0.15</v>
      </c>
    </row>
    <row r="337" spans="1:19" x14ac:dyDescent="0.3">
      <c r="A337" s="37" t="s">
        <v>86</v>
      </c>
      <c r="B337" s="6" t="s">
        <v>169</v>
      </c>
      <c r="C337" s="77">
        <v>35000</v>
      </c>
      <c r="D337" s="6">
        <f>(C337/12)*12</f>
        <v>35000</v>
      </c>
      <c r="E337" s="66">
        <v>0</v>
      </c>
      <c r="F337" s="6">
        <f>SUM(E326:E337)</f>
        <v>1800</v>
      </c>
      <c r="G337" s="36" t="str">
        <f t="shared" si="60"/>
        <v>Farol Vermelho</v>
      </c>
      <c r="H337">
        <f t="shared" si="58"/>
        <v>33200</v>
      </c>
      <c r="I337" s="6">
        <f t="shared" si="59"/>
        <v>12</v>
      </c>
      <c r="J337" s="76">
        <v>16</v>
      </c>
      <c r="K337" s="66"/>
      <c r="L337" s="6">
        <f>$L326+L336</f>
        <v>16</v>
      </c>
      <c r="M337" s="6">
        <f t="shared" si="64"/>
        <v>3</v>
      </c>
      <c r="N337" s="77">
        <v>100</v>
      </c>
      <c r="O337">
        <f t="shared" si="61"/>
        <v>0.5</v>
      </c>
      <c r="P337" s="77">
        <v>50</v>
      </c>
      <c r="Q337">
        <f t="shared" si="62"/>
        <v>0.3</v>
      </c>
      <c r="R337" s="75">
        <v>15</v>
      </c>
      <c r="S337" s="6">
        <f t="shared" si="63"/>
        <v>0.15</v>
      </c>
    </row>
    <row r="338" spans="1:19" x14ac:dyDescent="0.3">
      <c r="A338" s="37" t="s">
        <v>65</v>
      </c>
      <c r="B338" s="6" t="s">
        <v>158</v>
      </c>
      <c r="C338" s="77">
        <v>60920.959999999999</v>
      </c>
      <c r="D338" s="6">
        <f>(C338/12)*1</f>
        <v>5076.7466666666669</v>
      </c>
      <c r="E338" s="66">
        <v>0</v>
      </c>
      <c r="F338" s="6">
        <f>E338</f>
        <v>0</v>
      </c>
      <c r="G338" s="36" t="str">
        <f t="shared" si="60"/>
        <v>Farol Vermelho</v>
      </c>
      <c r="H338">
        <f t="shared" si="58"/>
        <v>5076.7466666666669</v>
      </c>
      <c r="I338" s="6">
        <f t="shared" si="59"/>
        <v>1</v>
      </c>
      <c r="J338" s="76">
        <v>13</v>
      </c>
      <c r="K338" s="66">
        <v>0</v>
      </c>
      <c r="L338" s="6">
        <f>J338/12</f>
        <v>1.0833333333333333</v>
      </c>
      <c r="M338" s="6">
        <f>K338</f>
        <v>0</v>
      </c>
      <c r="N338" s="77">
        <v>100</v>
      </c>
      <c r="O338">
        <f t="shared" si="61"/>
        <v>0.5</v>
      </c>
      <c r="P338" s="77">
        <v>50</v>
      </c>
      <c r="Q338">
        <f t="shared" si="62"/>
        <v>0.3</v>
      </c>
      <c r="R338" s="75">
        <v>15</v>
      </c>
      <c r="S338" s="6">
        <f t="shared" si="63"/>
        <v>0.15</v>
      </c>
    </row>
    <row r="339" spans="1:19" x14ac:dyDescent="0.3">
      <c r="A339" s="37" t="s">
        <v>65</v>
      </c>
      <c r="B339" s="6" t="s">
        <v>159</v>
      </c>
      <c r="C339" s="77">
        <v>60920.959999999999</v>
      </c>
      <c r="D339" s="6">
        <f>(C339/12)*2</f>
        <v>10153.493333333334</v>
      </c>
      <c r="E339" s="66">
        <v>0</v>
      </c>
      <c r="F339" s="6">
        <f>SUM(E338:E339)</f>
        <v>0</v>
      </c>
      <c r="G339" s="36" t="str">
        <f t="shared" si="60"/>
        <v>Farol Vermelho</v>
      </c>
      <c r="H339">
        <f t="shared" si="58"/>
        <v>10153.493333333334</v>
      </c>
      <c r="I339" s="6">
        <f t="shared" si="59"/>
        <v>2</v>
      </c>
      <c r="J339" s="76">
        <v>13</v>
      </c>
      <c r="K339" s="66">
        <v>0</v>
      </c>
      <c r="L339" s="6">
        <f>L338+L338</f>
        <v>2.1666666666666665</v>
      </c>
      <c r="M339" s="6">
        <f>M338+K339</f>
        <v>0</v>
      </c>
      <c r="N339" s="77">
        <v>100</v>
      </c>
      <c r="O339">
        <f t="shared" si="61"/>
        <v>0.5</v>
      </c>
      <c r="P339" s="77">
        <v>50</v>
      </c>
      <c r="Q339">
        <f t="shared" si="62"/>
        <v>0.3</v>
      </c>
      <c r="R339" s="75">
        <v>15</v>
      </c>
      <c r="S339" s="6">
        <f t="shared" si="63"/>
        <v>0.15</v>
      </c>
    </row>
    <row r="340" spans="1:19" x14ac:dyDescent="0.3">
      <c r="A340" s="37" t="s">
        <v>65</v>
      </c>
      <c r="B340" s="6" t="s">
        <v>160</v>
      </c>
      <c r="C340" s="77">
        <v>60920.959999999999</v>
      </c>
      <c r="D340" s="6">
        <f>(C340/12)*3</f>
        <v>15230.240000000002</v>
      </c>
      <c r="E340" s="66">
        <v>0</v>
      </c>
      <c r="F340" s="6">
        <f>SUM(E338:E340)</f>
        <v>0</v>
      </c>
      <c r="G340" s="36" t="str">
        <f t="shared" si="60"/>
        <v>Farol Vermelho</v>
      </c>
      <c r="H340">
        <f t="shared" si="58"/>
        <v>15230.240000000002</v>
      </c>
      <c r="I340" s="6">
        <f t="shared" si="59"/>
        <v>3</v>
      </c>
      <c r="J340" s="76">
        <v>13</v>
      </c>
      <c r="K340" s="66">
        <v>0</v>
      </c>
      <c r="L340" s="6">
        <f>$L338+L339</f>
        <v>3.25</v>
      </c>
      <c r="M340" s="6">
        <f t="shared" ref="M340:M349" si="65">M339+K340</f>
        <v>0</v>
      </c>
      <c r="N340" s="77">
        <v>100</v>
      </c>
      <c r="O340">
        <f t="shared" si="61"/>
        <v>0.5</v>
      </c>
      <c r="P340" s="77">
        <v>50</v>
      </c>
      <c r="Q340">
        <f t="shared" si="62"/>
        <v>0.3</v>
      </c>
      <c r="R340" s="75">
        <v>15</v>
      </c>
      <c r="S340" s="6">
        <f t="shared" si="63"/>
        <v>0.15</v>
      </c>
    </row>
    <row r="341" spans="1:19" x14ac:dyDescent="0.3">
      <c r="A341" s="37" t="s">
        <v>65</v>
      </c>
      <c r="B341" s="6" t="s">
        <v>161</v>
      </c>
      <c r="C341" s="77">
        <v>60920.959999999999</v>
      </c>
      <c r="D341" s="6">
        <f>(C341/12)*4</f>
        <v>20306.986666666668</v>
      </c>
      <c r="E341" s="66">
        <v>0</v>
      </c>
      <c r="F341" s="6">
        <f>SUM(E338:E341)</f>
        <v>0</v>
      </c>
      <c r="G341" s="36" t="str">
        <f t="shared" si="60"/>
        <v>Farol Vermelho</v>
      </c>
      <c r="H341">
        <f t="shared" si="58"/>
        <v>20306.986666666668</v>
      </c>
      <c r="I341" s="6">
        <f t="shared" si="59"/>
        <v>4</v>
      </c>
      <c r="J341" s="76">
        <v>13</v>
      </c>
      <c r="K341" s="66">
        <v>0</v>
      </c>
      <c r="L341" s="6">
        <f>$L338+L340</f>
        <v>4.333333333333333</v>
      </c>
      <c r="M341" s="6">
        <f t="shared" si="65"/>
        <v>0</v>
      </c>
      <c r="N341" s="77">
        <v>100</v>
      </c>
      <c r="O341">
        <f t="shared" si="61"/>
        <v>0.5</v>
      </c>
      <c r="P341" s="77">
        <v>50</v>
      </c>
      <c r="Q341">
        <f t="shared" si="62"/>
        <v>0.3</v>
      </c>
      <c r="R341" s="75">
        <v>15</v>
      </c>
      <c r="S341" s="6">
        <f t="shared" si="63"/>
        <v>0.15</v>
      </c>
    </row>
    <row r="342" spans="1:19" x14ac:dyDescent="0.3">
      <c r="A342" s="37" t="s">
        <v>65</v>
      </c>
      <c r="B342" s="6" t="s">
        <v>162</v>
      </c>
      <c r="C342" s="77">
        <v>60920.959999999999</v>
      </c>
      <c r="D342" s="6">
        <f>(C342/12)*5</f>
        <v>25383.733333333334</v>
      </c>
      <c r="E342" s="66">
        <v>0</v>
      </c>
      <c r="F342" s="6">
        <f>SUM(E338:E342)</f>
        <v>0</v>
      </c>
      <c r="G342" s="36" t="str">
        <f t="shared" si="60"/>
        <v>Farol Vermelho</v>
      </c>
      <c r="H342">
        <f t="shared" si="58"/>
        <v>25383.733333333334</v>
      </c>
      <c r="I342" s="6">
        <f t="shared" si="59"/>
        <v>5</v>
      </c>
      <c r="J342" s="76">
        <v>13</v>
      </c>
      <c r="K342" s="66"/>
      <c r="L342" s="6">
        <f>L338+L341</f>
        <v>5.4166666666666661</v>
      </c>
      <c r="M342" s="6">
        <f t="shared" si="65"/>
        <v>0</v>
      </c>
      <c r="N342" s="77">
        <v>100</v>
      </c>
      <c r="O342">
        <f t="shared" si="61"/>
        <v>0.5</v>
      </c>
      <c r="P342" s="77">
        <v>50</v>
      </c>
      <c r="Q342">
        <f t="shared" si="62"/>
        <v>0.3</v>
      </c>
      <c r="R342" s="75">
        <v>15</v>
      </c>
      <c r="S342" s="6">
        <f t="shared" si="63"/>
        <v>0.15</v>
      </c>
    </row>
    <row r="343" spans="1:19" x14ac:dyDescent="0.3">
      <c r="A343" s="37" t="s">
        <v>65</v>
      </c>
      <c r="B343" s="6" t="s">
        <v>163</v>
      </c>
      <c r="C343" s="77">
        <v>60920.959999999999</v>
      </c>
      <c r="D343" s="6">
        <f>(C343/12)*6</f>
        <v>30460.480000000003</v>
      </c>
      <c r="E343" s="66">
        <v>0</v>
      </c>
      <c r="F343" s="6">
        <f>SUM(E338:E343)</f>
        <v>0</v>
      </c>
      <c r="G343" s="36" t="str">
        <f t="shared" si="60"/>
        <v>Farol Vermelho</v>
      </c>
      <c r="H343">
        <f t="shared" si="58"/>
        <v>30460.480000000003</v>
      </c>
      <c r="I343" s="6">
        <f t="shared" si="59"/>
        <v>6</v>
      </c>
      <c r="J343" s="76">
        <v>13</v>
      </c>
      <c r="K343" s="66"/>
      <c r="L343" s="6">
        <f>$L338+L342</f>
        <v>6.4999999999999991</v>
      </c>
      <c r="M343" s="6">
        <f t="shared" si="65"/>
        <v>0</v>
      </c>
      <c r="N343" s="77">
        <v>100</v>
      </c>
      <c r="O343">
        <f t="shared" si="61"/>
        <v>0.5</v>
      </c>
      <c r="P343" s="77">
        <v>50</v>
      </c>
      <c r="Q343">
        <f t="shared" si="62"/>
        <v>0.3</v>
      </c>
      <c r="R343" s="75">
        <v>15</v>
      </c>
      <c r="S343" s="6">
        <f t="shared" si="63"/>
        <v>0.15</v>
      </c>
    </row>
    <row r="344" spans="1:19" x14ac:dyDescent="0.3">
      <c r="A344" s="37" t="s">
        <v>65</v>
      </c>
      <c r="B344" s="6" t="s">
        <v>164</v>
      </c>
      <c r="C344" s="77">
        <v>60920.959999999999</v>
      </c>
      <c r="D344" s="6">
        <f>(C344/12)*7</f>
        <v>35537.226666666669</v>
      </c>
      <c r="E344" s="66">
        <v>0</v>
      </c>
      <c r="F344" s="6">
        <f>SUM(E338:E344)</f>
        <v>0</v>
      </c>
      <c r="G344" s="36" t="str">
        <f t="shared" si="60"/>
        <v>Farol Vermelho</v>
      </c>
      <c r="H344">
        <f t="shared" si="58"/>
        <v>35537.226666666669</v>
      </c>
      <c r="I344" s="6">
        <f t="shared" si="59"/>
        <v>7</v>
      </c>
      <c r="J344" s="76">
        <v>13</v>
      </c>
      <c r="K344" s="66"/>
      <c r="L344" s="6">
        <f>$L338+L343</f>
        <v>7.5833333333333321</v>
      </c>
      <c r="M344" s="6">
        <f t="shared" si="65"/>
        <v>0</v>
      </c>
      <c r="N344" s="77">
        <v>100</v>
      </c>
      <c r="O344">
        <f t="shared" si="61"/>
        <v>0.5</v>
      </c>
      <c r="P344" s="77">
        <v>50</v>
      </c>
      <c r="Q344">
        <f t="shared" si="62"/>
        <v>0.3</v>
      </c>
      <c r="R344" s="75">
        <v>15</v>
      </c>
      <c r="S344" s="6">
        <f t="shared" si="63"/>
        <v>0.15</v>
      </c>
    </row>
    <row r="345" spans="1:19" x14ac:dyDescent="0.3">
      <c r="A345" s="37" t="s">
        <v>65</v>
      </c>
      <c r="B345" s="6" t="s">
        <v>165</v>
      </c>
      <c r="C345" s="77">
        <v>60920.959999999999</v>
      </c>
      <c r="D345" s="6">
        <f>(C345/12)*8</f>
        <v>40613.973333333335</v>
      </c>
      <c r="E345" s="66">
        <v>0</v>
      </c>
      <c r="F345" s="6">
        <f>SUM(E338:E345)</f>
        <v>0</v>
      </c>
      <c r="G345" s="36" t="str">
        <f t="shared" si="60"/>
        <v>Farol Vermelho</v>
      </c>
      <c r="H345">
        <f t="shared" si="58"/>
        <v>40613.973333333335</v>
      </c>
      <c r="I345" s="6">
        <f t="shared" si="59"/>
        <v>8</v>
      </c>
      <c r="J345" s="76">
        <v>13</v>
      </c>
      <c r="K345" s="66"/>
      <c r="L345" s="6">
        <f>L338+L344</f>
        <v>8.6666666666666661</v>
      </c>
      <c r="M345" s="6">
        <f t="shared" si="65"/>
        <v>0</v>
      </c>
      <c r="N345" s="77">
        <v>100</v>
      </c>
      <c r="O345">
        <f t="shared" si="61"/>
        <v>0.5</v>
      </c>
      <c r="P345" s="77">
        <v>50</v>
      </c>
      <c r="Q345">
        <f t="shared" si="62"/>
        <v>0.3</v>
      </c>
      <c r="R345" s="75">
        <v>15</v>
      </c>
      <c r="S345" s="6">
        <f t="shared" si="63"/>
        <v>0.15</v>
      </c>
    </row>
    <row r="346" spans="1:19" x14ac:dyDescent="0.3">
      <c r="A346" s="37" t="s">
        <v>65</v>
      </c>
      <c r="B346" s="6" t="s">
        <v>166</v>
      </c>
      <c r="C346" s="77">
        <v>60920.959999999999</v>
      </c>
      <c r="D346" s="6">
        <f>(C346/12)*9</f>
        <v>45690.720000000001</v>
      </c>
      <c r="E346" s="66">
        <v>0</v>
      </c>
      <c r="F346" s="6">
        <f>SUM(E338:E346)</f>
        <v>0</v>
      </c>
      <c r="G346" s="36" t="str">
        <f t="shared" si="60"/>
        <v>Farol Vermelho</v>
      </c>
      <c r="H346">
        <f t="shared" si="58"/>
        <v>45690.720000000001</v>
      </c>
      <c r="I346" s="6">
        <f t="shared" si="59"/>
        <v>9</v>
      </c>
      <c r="J346" s="76">
        <v>13</v>
      </c>
      <c r="K346" s="66"/>
      <c r="L346" s="6">
        <f>$L338+L345</f>
        <v>9.75</v>
      </c>
      <c r="M346" s="6">
        <f t="shared" si="65"/>
        <v>0</v>
      </c>
      <c r="N346" s="77">
        <v>100</v>
      </c>
      <c r="O346">
        <f t="shared" si="61"/>
        <v>0.5</v>
      </c>
      <c r="P346" s="77">
        <v>50</v>
      </c>
      <c r="Q346">
        <f t="shared" si="62"/>
        <v>0.3</v>
      </c>
      <c r="R346" s="75">
        <v>15</v>
      </c>
      <c r="S346" s="6">
        <f t="shared" si="63"/>
        <v>0.15</v>
      </c>
    </row>
    <row r="347" spans="1:19" x14ac:dyDescent="0.3">
      <c r="A347" s="37" t="s">
        <v>65</v>
      </c>
      <c r="B347" s="6" t="s">
        <v>167</v>
      </c>
      <c r="C347" s="77">
        <v>60920.959999999999</v>
      </c>
      <c r="D347" s="6">
        <f>(C347/12)*10</f>
        <v>50767.466666666667</v>
      </c>
      <c r="E347" s="66">
        <v>0</v>
      </c>
      <c r="F347" s="6">
        <f>SUM(E338:E347)</f>
        <v>0</v>
      </c>
      <c r="G347" s="36" t="str">
        <f t="shared" si="60"/>
        <v>Farol Vermelho</v>
      </c>
      <c r="H347">
        <f t="shared" si="58"/>
        <v>50767.466666666667</v>
      </c>
      <c r="I347" s="6">
        <f t="shared" si="59"/>
        <v>10</v>
      </c>
      <c r="J347" s="76">
        <v>13</v>
      </c>
      <c r="K347" s="66"/>
      <c r="L347" s="6">
        <f>$L338+L346</f>
        <v>10.833333333333334</v>
      </c>
      <c r="M347" s="6">
        <f t="shared" si="65"/>
        <v>0</v>
      </c>
      <c r="N347" s="77">
        <v>100</v>
      </c>
      <c r="O347">
        <f t="shared" si="61"/>
        <v>0.5</v>
      </c>
      <c r="P347" s="77">
        <v>50</v>
      </c>
      <c r="Q347">
        <f t="shared" si="62"/>
        <v>0.3</v>
      </c>
      <c r="R347" s="75">
        <v>15</v>
      </c>
      <c r="S347" s="6">
        <f t="shared" si="63"/>
        <v>0.15</v>
      </c>
    </row>
    <row r="348" spans="1:19" x14ac:dyDescent="0.3">
      <c r="A348" s="37" t="s">
        <v>65</v>
      </c>
      <c r="B348" s="6" t="s">
        <v>168</v>
      </c>
      <c r="C348" s="77">
        <v>60920.959999999999</v>
      </c>
      <c r="D348" s="6">
        <f>(C348/12)*11</f>
        <v>55844.213333333333</v>
      </c>
      <c r="E348" s="66">
        <v>0</v>
      </c>
      <c r="F348" s="6">
        <f>SUM(E338:E348)</f>
        <v>0</v>
      </c>
      <c r="G348" s="36" t="str">
        <f t="shared" si="60"/>
        <v>Farol Vermelho</v>
      </c>
      <c r="H348">
        <f t="shared" si="58"/>
        <v>55844.213333333333</v>
      </c>
      <c r="I348" s="6">
        <f t="shared" si="59"/>
        <v>11</v>
      </c>
      <c r="J348" s="76">
        <v>13</v>
      </c>
      <c r="K348" s="66"/>
      <c r="L348" s="6">
        <f>L338+L347</f>
        <v>11.916666666666668</v>
      </c>
      <c r="M348" s="6">
        <f t="shared" si="65"/>
        <v>0</v>
      </c>
      <c r="N348" s="77">
        <v>100</v>
      </c>
      <c r="O348">
        <f t="shared" si="61"/>
        <v>0.5</v>
      </c>
      <c r="P348" s="77">
        <v>50</v>
      </c>
      <c r="Q348">
        <f t="shared" si="62"/>
        <v>0.3</v>
      </c>
      <c r="R348" s="75">
        <v>15</v>
      </c>
      <c r="S348" s="6">
        <f t="shared" si="63"/>
        <v>0.15</v>
      </c>
    </row>
    <row r="349" spans="1:19" x14ac:dyDescent="0.3">
      <c r="A349" s="37" t="s">
        <v>65</v>
      </c>
      <c r="B349" s="6" t="s">
        <v>169</v>
      </c>
      <c r="C349" s="77">
        <v>60920.959999999999</v>
      </c>
      <c r="D349" s="6">
        <f>(C349/12)*12</f>
        <v>60920.960000000006</v>
      </c>
      <c r="E349" s="66">
        <v>0</v>
      </c>
      <c r="F349" s="6">
        <f>SUM(E338:E349)</f>
        <v>0</v>
      </c>
      <c r="G349" s="36" t="str">
        <f t="shared" si="60"/>
        <v>Farol Vermelho</v>
      </c>
      <c r="H349">
        <f t="shared" si="58"/>
        <v>60920.960000000006</v>
      </c>
      <c r="I349" s="6">
        <f t="shared" si="59"/>
        <v>12</v>
      </c>
      <c r="J349" s="76">
        <v>13</v>
      </c>
      <c r="K349" s="66"/>
      <c r="L349" s="6">
        <f>$L338+L348</f>
        <v>13.000000000000002</v>
      </c>
      <c r="M349" s="6">
        <f t="shared" si="65"/>
        <v>0</v>
      </c>
      <c r="N349" s="77">
        <v>100</v>
      </c>
      <c r="O349">
        <f t="shared" si="61"/>
        <v>0.5</v>
      </c>
      <c r="P349" s="77">
        <v>50</v>
      </c>
      <c r="Q349">
        <f t="shared" si="62"/>
        <v>0.3</v>
      </c>
      <c r="R349" s="75">
        <v>15</v>
      </c>
      <c r="S349" s="6">
        <f t="shared" si="63"/>
        <v>0.15</v>
      </c>
    </row>
    <row r="350" spans="1:19" x14ac:dyDescent="0.3">
      <c r="A350" s="37" t="s">
        <v>142</v>
      </c>
      <c r="B350" s="6" t="s">
        <v>158</v>
      </c>
      <c r="C350" s="77">
        <v>7000</v>
      </c>
      <c r="D350" s="6">
        <f>(C350/12)*1</f>
        <v>583.33333333333337</v>
      </c>
      <c r="E350" s="66">
        <v>0</v>
      </c>
      <c r="F350" s="6">
        <f>E350</f>
        <v>0</v>
      </c>
      <c r="G350" s="36" t="str">
        <f t="shared" si="60"/>
        <v>Farol Vermelho</v>
      </c>
      <c r="H350">
        <f t="shared" si="58"/>
        <v>583.33333333333337</v>
      </c>
      <c r="I350" s="6">
        <f t="shared" si="59"/>
        <v>1</v>
      </c>
      <c r="J350" s="76">
        <v>7</v>
      </c>
      <c r="K350" s="66">
        <v>0</v>
      </c>
      <c r="L350" s="6">
        <f>J350/12</f>
        <v>0.58333333333333337</v>
      </c>
      <c r="M350" s="6">
        <f>K350</f>
        <v>0</v>
      </c>
      <c r="N350" s="77">
        <v>100</v>
      </c>
      <c r="O350">
        <f t="shared" si="61"/>
        <v>0.5</v>
      </c>
      <c r="P350" s="77">
        <v>50</v>
      </c>
      <c r="Q350">
        <f t="shared" si="62"/>
        <v>0.3</v>
      </c>
      <c r="R350" s="75">
        <v>15</v>
      </c>
      <c r="S350" s="6">
        <f t="shared" si="63"/>
        <v>0.15</v>
      </c>
    </row>
    <row r="351" spans="1:19" x14ac:dyDescent="0.3">
      <c r="A351" s="37" t="s">
        <v>142</v>
      </c>
      <c r="B351" s="6" t="s">
        <v>159</v>
      </c>
      <c r="C351" s="77">
        <v>7000</v>
      </c>
      <c r="D351" s="6">
        <f>(C351/12)*2</f>
        <v>1166.6666666666667</v>
      </c>
      <c r="E351" s="66">
        <v>0</v>
      </c>
      <c r="F351" s="6">
        <f>SUM(E350:E351)</f>
        <v>0</v>
      </c>
      <c r="G351" s="36" t="str">
        <f t="shared" si="60"/>
        <v>Farol Vermelho</v>
      </c>
      <c r="H351">
        <f t="shared" si="58"/>
        <v>1166.6666666666667</v>
      </c>
      <c r="I351" s="6">
        <f t="shared" si="59"/>
        <v>2</v>
      </c>
      <c r="J351" s="76">
        <v>7</v>
      </c>
      <c r="K351" s="66">
        <v>0</v>
      </c>
      <c r="L351" s="6">
        <f>L350+L350</f>
        <v>1.1666666666666667</v>
      </c>
      <c r="M351" s="6">
        <f>M350+K351</f>
        <v>0</v>
      </c>
      <c r="N351" s="77">
        <v>100</v>
      </c>
      <c r="O351">
        <f t="shared" si="61"/>
        <v>0.5</v>
      </c>
      <c r="P351" s="77">
        <v>50</v>
      </c>
      <c r="Q351">
        <f t="shared" si="62"/>
        <v>0.3</v>
      </c>
      <c r="R351" s="75">
        <v>15</v>
      </c>
      <c r="S351" s="6">
        <f t="shared" si="63"/>
        <v>0.15</v>
      </c>
    </row>
    <row r="352" spans="1:19" x14ac:dyDescent="0.3">
      <c r="A352" s="37" t="s">
        <v>142</v>
      </c>
      <c r="B352" s="6" t="s">
        <v>160</v>
      </c>
      <c r="C352" s="77">
        <v>7000</v>
      </c>
      <c r="D352" s="6">
        <f>(C352/12)*3</f>
        <v>1750</v>
      </c>
      <c r="E352" s="66">
        <v>0</v>
      </c>
      <c r="F352" s="6">
        <f>SUM(E350:E352)</f>
        <v>0</v>
      </c>
      <c r="G352" s="36" t="str">
        <f t="shared" si="60"/>
        <v>Farol Vermelho</v>
      </c>
      <c r="H352">
        <f t="shared" si="58"/>
        <v>1750</v>
      </c>
      <c r="I352" s="6">
        <f t="shared" si="59"/>
        <v>3</v>
      </c>
      <c r="J352" s="76">
        <v>7</v>
      </c>
      <c r="K352" s="66">
        <v>0</v>
      </c>
      <c r="L352" s="6">
        <f>$L350+L351</f>
        <v>1.75</v>
      </c>
      <c r="M352" s="6">
        <f t="shared" ref="M352:M361" si="66">M351+K352</f>
        <v>0</v>
      </c>
      <c r="N352" s="77">
        <v>100</v>
      </c>
      <c r="O352">
        <f t="shared" si="61"/>
        <v>0.5</v>
      </c>
      <c r="P352" s="77">
        <v>50</v>
      </c>
      <c r="Q352">
        <f t="shared" si="62"/>
        <v>0.3</v>
      </c>
      <c r="R352" s="75">
        <v>15</v>
      </c>
      <c r="S352" s="6">
        <f t="shared" si="63"/>
        <v>0.15</v>
      </c>
    </row>
    <row r="353" spans="1:19" x14ac:dyDescent="0.3">
      <c r="A353" s="37" t="s">
        <v>142</v>
      </c>
      <c r="B353" s="6" t="s">
        <v>161</v>
      </c>
      <c r="C353" s="77">
        <v>7000</v>
      </c>
      <c r="D353" s="6">
        <f>(C353/12)*4</f>
        <v>2333.3333333333335</v>
      </c>
      <c r="E353" s="66">
        <v>0</v>
      </c>
      <c r="F353" s="6">
        <f>SUM(E350:E353)</f>
        <v>0</v>
      </c>
      <c r="G353" s="36" t="str">
        <f t="shared" si="60"/>
        <v>Farol Vermelho</v>
      </c>
      <c r="H353">
        <f t="shared" si="58"/>
        <v>2333.3333333333335</v>
      </c>
      <c r="I353" s="6">
        <f t="shared" si="59"/>
        <v>4</v>
      </c>
      <c r="J353" s="76">
        <v>7</v>
      </c>
      <c r="K353" s="66">
        <v>0</v>
      </c>
      <c r="L353" s="6">
        <f>$L350+L352</f>
        <v>2.3333333333333335</v>
      </c>
      <c r="M353" s="6">
        <f t="shared" si="66"/>
        <v>0</v>
      </c>
      <c r="N353" s="77">
        <v>100</v>
      </c>
      <c r="O353">
        <f t="shared" si="61"/>
        <v>0.5</v>
      </c>
      <c r="P353" s="77">
        <v>50</v>
      </c>
      <c r="Q353">
        <f t="shared" si="62"/>
        <v>0.3</v>
      </c>
      <c r="R353" s="75">
        <v>15</v>
      </c>
      <c r="S353" s="6">
        <f t="shared" si="63"/>
        <v>0.15</v>
      </c>
    </row>
    <row r="354" spans="1:19" x14ac:dyDescent="0.3">
      <c r="A354" s="37" t="s">
        <v>142</v>
      </c>
      <c r="B354" s="6" t="s">
        <v>162</v>
      </c>
      <c r="C354" s="77">
        <v>7000</v>
      </c>
      <c r="D354" s="6">
        <f>(C354/12)*5</f>
        <v>2916.666666666667</v>
      </c>
      <c r="E354" s="66">
        <v>1400</v>
      </c>
      <c r="F354" s="6">
        <f>SUM(E350:E354)</f>
        <v>1400</v>
      </c>
      <c r="G354" s="36" t="str">
        <f t="shared" si="60"/>
        <v>Farol Vermelho</v>
      </c>
      <c r="H354">
        <f t="shared" si="58"/>
        <v>1516.666666666667</v>
      </c>
      <c r="I354" s="6">
        <f t="shared" si="59"/>
        <v>5</v>
      </c>
      <c r="J354" s="76">
        <v>7</v>
      </c>
      <c r="K354" s="66">
        <v>1</v>
      </c>
      <c r="L354" s="6">
        <f>L350+L353</f>
        <v>2.916666666666667</v>
      </c>
      <c r="M354" s="6">
        <f t="shared" si="66"/>
        <v>1</v>
      </c>
      <c r="N354" s="77">
        <v>100</v>
      </c>
      <c r="O354">
        <f t="shared" si="61"/>
        <v>0.5</v>
      </c>
      <c r="P354" s="77">
        <v>50</v>
      </c>
      <c r="Q354">
        <f t="shared" si="62"/>
        <v>0.3</v>
      </c>
      <c r="R354" s="75">
        <v>15</v>
      </c>
      <c r="S354" s="6">
        <f t="shared" si="63"/>
        <v>0.15</v>
      </c>
    </row>
    <row r="355" spans="1:19" x14ac:dyDescent="0.3">
      <c r="A355" s="37" t="s">
        <v>142</v>
      </c>
      <c r="B355" s="6" t="s">
        <v>163</v>
      </c>
      <c r="C355" s="77">
        <v>7000</v>
      </c>
      <c r="D355" s="6">
        <f>(C355/12)*6</f>
        <v>3500</v>
      </c>
      <c r="E355" s="66">
        <v>0</v>
      </c>
      <c r="F355" s="6">
        <f>SUM(E350:E355)</f>
        <v>1400</v>
      </c>
      <c r="G355" s="36" t="str">
        <f t="shared" si="60"/>
        <v>Farol Vermelho</v>
      </c>
      <c r="H355">
        <f t="shared" si="58"/>
        <v>2100</v>
      </c>
      <c r="I355" s="6">
        <f t="shared" si="59"/>
        <v>6</v>
      </c>
      <c r="J355" s="76">
        <v>7</v>
      </c>
      <c r="K355" s="66"/>
      <c r="L355" s="6">
        <f>$L350+L354</f>
        <v>3.5000000000000004</v>
      </c>
      <c r="M355" s="6">
        <f t="shared" si="66"/>
        <v>1</v>
      </c>
      <c r="N355" s="77">
        <v>100</v>
      </c>
      <c r="O355">
        <f t="shared" si="61"/>
        <v>0.5</v>
      </c>
      <c r="P355" s="77">
        <v>50</v>
      </c>
      <c r="Q355">
        <f t="shared" si="62"/>
        <v>0.3</v>
      </c>
      <c r="R355" s="75">
        <v>15</v>
      </c>
      <c r="S355" s="6">
        <f t="shared" si="63"/>
        <v>0.15</v>
      </c>
    </row>
    <row r="356" spans="1:19" x14ac:dyDescent="0.3">
      <c r="A356" s="37" t="s">
        <v>142</v>
      </c>
      <c r="B356" s="6" t="s">
        <v>164</v>
      </c>
      <c r="C356" s="77">
        <v>7000</v>
      </c>
      <c r="D356" s="6">
        <f>(C356/12)*7</f>
        <v>4083.3333333333335</v>
      </c>
      <c r="E356" s="66">
        <v>0</v>
      </c>
      <c r="F356" s="6">
        <f>SUM(E350:E356)</f>
        <v>1400</v>
      </c>
      <c r="G356" s="36" t="str">
        <f t="shared" si="60"/>
        <v>Farol Vermelho</v>
      </c>
      <c r="H356">
        <f t="shared" si="58"/>
        <v>2683.3333333333335</v>
      </c>
      <c r="I356" s="6">
        <f t="shared" si="59"/>
        <v>7</v>
      </c>
      <c r="J356" s="76">
        <v>7</v>
      </c>
      <c r="K356" s="66"/>
      <c r="L356" s="6">
        <f>$L350+L355</f>
        <v>4.0833333333333339</v>
      </c>
      <c r="M356" s="6">
        <f t="shared" si="66"/>
        <v>1</v>
      </c>
      <c r="N356" s="77">
        <v>100</v>
      </c>
      <c r="O356">
        <f t="shared" si="61"/>
        <v>0.5</v>
      </c>
      <c r="P356" s="77">
        <v>50</v>
      </c>
      <c r="Q356">
        <f t="shared" si="62"/>
        <v>0.3</v>
      </c>
      <c r="R356" s="75">
        <v>15</v>
      </c>
      <c r="S356" s="6">
        <f t="shared" si="63"/>
        <v>0.15</v>
      </c>
    </row>
    <row r="357" spans="1:19" x14ac:dyDescent="0.3">
      <c r="A357" s="37" t="s">
        <v>142</v>
      </c>
      <c r="B357" s="6" t="s">
        <v>165</v>
      </c>
      <c r="C357" s="77">
        <v>7000</v>
      </c>
      <c r="D357" s="6">
        <f>(C357/12)*8</f>
        <v>4666.666666666667</v>
      </c>
      <c r="E357" s="66">
        <v>0</v>
      </c>
      <c r="F357" s="6">
        <f>SUM(E350:E357)</f>
        <v>1400</v>
      </c>
      <c r="G357" s="36" t="str">
        <f t="shared" si="60"/>
        <v>Farol Vermelho</v>
      </c>
      <c r="H357">
        <f t="shared" si="58"/>
        <v>3266.666666666667</v>
      </c>
      <c r="I357" s="6">
        <f t="shared" si="59"/>
        <v>8</v>
      </c>
      <c r="J357" s="76">
        <v>7</v>
      </c>
      <c r="K357" s="66"/>
      <c r="L357" s="6">
        <f>L350+L356</f>
        <v>4.666666666666667</v>
      </c>
      <c r="M357" s="6">
        <f t="shared" si="66"/>
        <v>1</v>
      </c>
      <c r="N357" s="77">
        <v>100</v>
      </c>
      <c r="O357">
        <f t="shared" si="61"/>
        <v>0.5</v>
      </c>
      <c r="P357" s="77">
        <v>50</v>
      </c>
      <c r="Q357">
        <f t="shared" si="62"/>
        <v>0.3</v>
      </c>
      <c r="R357" s="75">
        <v>15</v>
      </c>
      <c r="S357" s="6">
        <f t="shared" si="63"/>
        <v>0.15</v>
      </c>
    </row>
    <row r="358" spans="1:19" x14ac:dyDescent="0.3">
      <c r="A358" s="37" t="s">
        <v>142</v>
      </c>
      <c r="B358" s="6" t="s">
        <v>166</v>
      </c>
      <c r="C358" s="77">
        <v>7000</v>
      </c>
      <c r="D358" s="6">
        <f>(C358/12)*9</f>
        <v>5250</v>
      </c>
      <c r="E358" s="66">
        <v>0</v>
      </c>
      <c r="F358" s="6">
        <f>SUM(E350:E358)</f>
        <v>1400</v>
      </c>
      <c r="G358" s="36" t="str">
        <f t="shared" si="60"/>
        <v>Farol Vermelho</v>
      </c>
      <c r="H358">
        <f t="shared" si="58"/>
        <v>3850</v>
      </c>
      <c r="I358" s="6">
        <f t="shared" si="59"/>
        <v>9</v>
      </c>
      <c r="J358" s="76">
        <v>7</v>
      </c>
      <c r="K358" s="66"/>
      <c r="L358" s="6">
        <f>$L350+L357</f>
        <v>5.25</v>
      </c>
      <c r="M358" s="6">
        <f t="shared" si="66"/>
        <v>1</v>
      </c>
      <c r="N358" s="77">
        <v>100</v>
      </c>
      <c r="O358">
        <f t="shared" si="61"/>
        <v>0.5</v>
      </c>
      <c r="P358" s="77">
        <v>50</v>
      </c>
      <c r="Q358">
        <f t="shared" si="62"/>
        <v>0.3</v>
      </c>
      <c r="R358" s="75">
        <v>15</v>
      </c>
      <c r="S358" s="6">
        <f t="shared" si="63"/>
        <v>0.15</v>
      </c>
    </row>
    <row r="359" spans="1:19" x14ac:dyDescent="0.3">
      <c r="A359" s="37" t="s">
        <v>142</v>
      </c>
      <c r="B359" s="6" t="s">
        <v>167</v>
      </c>
      <c r="C359" s="77">
        <v>7000</v>
      </c>
      <c r="D359" s="6">
        <f>(C359/12)*10</f>
        <v>5833.3333333333339</v>
      </c>
      <c r="E359" s="66">
        <v>0</v>
      </c>
      <c r="F359" s="6">
        <f>SUM(E350:E359)</f>
        <v>1400</v>
      </c>
      <c r="G359" s="36" t="str">
        <f t="shared" si="60"/>
        <v>Farol Vermelho</v>
      </c>
      <c r="H359">
        <f t="shared" si="58"/>
        <v>4433.3333333333339</v>
      </c>
      <c r="I359" s="6">
        <f t="shared" si="59"/>
        <v>10</v>
      </c>
      <c r="J359" s="76">
        <v>7</v>
      </c>
      <c r="K359" s="66"/>
      <c r="L359" s="6">
        <f>$L350+L358</f>
        <v>5.833333333333333</v>
      </c>
      <c r="M359" s="6">
        <f t="shared" si="66"/>
        <v>1</v>
      </c>
      <c r="N359" s="77">
        <v>100</v>
      </c>
      <c r="O359">
        <f t="shared" si="61"/>
        <v>0.5</v>
      </c>
      <c r="P359" s="77">
        <v>50</v>
      </c>
      <c r="Q359">
        <f t="shared" si="62"/>
        <v>0.3</v>
      </c>
      <c r="R359" s="75">
        <v>15</v>
      </c>
      <c r="S359" s="6">
        <f t="shared" si="63"/>
        <v>0.15</v>
      </c>
    </row>
    <row r="360" spans="1:19" x14ac:dyDescent="0.3">
      <c r="A360" s="37" t="s">
        <v>142</v>
      </c>
      <c r="B360" s="6" t="s">
        <v>168</v>
      </c>
      <c r="C360" s="77">
        <v>7000</v>
      </c>
      <c r="D360" s="6">
        <f>(C360/12)*11</f>
        <v>6416.666666666667</v>
      </c>
      <c r="E360" s="66">
        <v>0</v>
      </c>
      <c r="F360" s="6">
        <f>SUM(E350:E360)</f>
        <v>1400</v>
      </c>
      <c r="G360" s="36" t="str">
        <f t="shared" si="60"/>
        <v>Farol Vermelho</v>
      </c>
      <c r="H360">
        <f t="shared" si="58"/>
        <v>5016.666666666667</v>
      </c>
      <c r="I360" s="6">
        <f t="shared" si="59"/>
        <v>11</v>
      </c>
      <c r="J360" s="76">
        <v>7</v>
      </c>
      <c r="K360" s="66"/>
      <c r="L360" s="6">
        <f>L350+L359</f>
        <v>6.4166666666666661</v>
      </c>
      <c r="M360" s="6">
        <f t="shared" si="66"/>
        <v>1</v>
      </c>
      <c r="N360" s="77">
        <v>100</v>
      </c>
      <c r="O360">
        <f t="shared" si="61"/>
        <v>0.5</v>
      </c>
      <c r="P360" s="77">
        <v>50</v>
      </c>
      <c r="Q360">
        <f t="shared" si="62"/>
        <v>0.3</v>
      </c>
      <c r="R360" s="75">
        <v>15</v>
      </c>
      <c r="S360" s="6">
        <f t="shared" si="63"/>
        <v>0.15</v>
      </c>
    </row>
    <row r="361" spans="1:19" x14ac:dyDescent="0.3">
      <c r="A361" s="37" t="s">
        <v>142</v>
      </c>
      <c r="B361" s="6" t="s">
        <v>169</v>
      </c>
      <c r="C361" s="77">
        <v>7000</v>
      </c>
      <c r="D361" s="6">
        <f>(C361/12)*12</f>
        <v>7000</v>
      </c>
      <c r="E361" s="66">
        <v>0</v>
      </c>
      <c r="F361" s="6">
        <f>SUM(E350:E361)</f>
        <v>1400</v>
      </c>
      <c r="G361" s="36" t="str">
        <f t="shared" si="60"/>
        <v>Farol Vermelho</v>
      </c>
      <c r="H361">
        <f t="shared" si="58"/>
        <v>5600</v>
      </c>
      <c r="I361" s="6">
        <f t="shared" si="59"/>
        <v>12</v>
      </c>
      <c r="J361" s="76">
        <v>7</v>
      </c>
      <c r="K361" s="66"/>
      <c r="L361" s="6">
        <f>$L350+L360</f>
        <v>6.9999999999999991</v>
      </c>
      <c r="M361" s="6">
        <f t="shared" si="66"/>
        <v>1</v>
      </c>
      <c r="N361" s="77">
        <v>100</v>
      </c>
      <c r="O361">
        <f t="shared" si="61"/>
        <v>0.5</v>
      </c>
      <c r="P361" s="77">
        <v>50</v>
      </c>
      <c r="Q361">
        <f t="shared" si="62"/>
        <v>0.3</v>
      </c>
      <c r="R361" s="75">
        <v>15</v>
      </c>
      <c r="S361" s="6">
        <f t="shared" si="63"/>
        <v>0.15</v>
      </c>
    </row>
    <row r="362" spans="1:19" x14ac:dyDescent="0.3">
      <c r="A362" s="37" t="s">
        <v>107</v>
      </c>
      <c r="B362" s="6" t="s">
        <v>158</v>
      </c>
      <c r="C362" s="77">
        <v>170000</v>
      </c>
      <c r="D362" s="6">
        <f>(C362/12)*1</f>
        <v>14166.666666666666</v>
      </c>
      <c r="E362" s="66">
        <v>0</v>
      </c>
      <c r="F362" s="6">
        <f>E362</f>
        <v>0</v>
      </c>
      <c r="G362" s="36" t="str">
        <f t="shared" si="60"/>
        <v>Farol Vermelho</v>
      </c>
      <c r="H362">
        <f t="shared" si="58"/>
        <v>14166.666666666666</v>
      </c>
      <c r="I362" s="6">
        <f t="shared" si="59"/>
        <v>1</v>
      </c>
      <c r="J362" s="76">
        <v>60</v>
      </c>
      <c r="K362" s="66">
        <v>0</v>
      </c>
      <c r="L362" s="6">
        <f>J362/12</f>
        <v>5</v>
      </c>
      <c r="M362" s="6">
        <f>K362</f>
        <v>0</v>
      </c>
      <c r="N362" s="77">
        <v>100</v>
      </c>
      <c r="O362">
        <f t="shared" si="61"/>
        <v>0.5</v>
      </c>
      <c r="P362" s="77">
        <v>50</v>
      </c>
      <c r="Q362">
        <f t="shared" si="62"/>
        <v>0.3</v>
      </c>
      <c r="R362" s="75">
        <v>15</v>
      </c>
      <c r="S362" s="6">
        <f t="shared" si="63"/>
        <v>0.15</v>
      </c>
    </row>
    <row r="363" spans="1:19" x14ac:dyDescent="0.3">
      <c r="A363" s="37" t="s">
        <v>107</v>
      </c>
      <c r="B363" s="6" t="s">
        <v>159</v>
      </c>
      <c r="C363" s="77">
        <v>170000</v>
      </c>
      <c r="D363" s="6">
        <f>(C363/12)*2</f>
        <v>28333.333333333332</v>
      </c>
      <c r="E363" s="66">
        <v>3900</v>
      </c>
      <c r="F363" s="6">
        <f>SUM(E362:E363)</f>
        <v>3900</v>
      </c>
      <c r="G363" s="36" t="str">
        <f t="shared" si="60"/>
        <v>Farol Vermelho</v>
      </c>
      <c r="H363">
        <f t="shared" si="58"/>
        <v>24433.333333333332</v>
      </c>
      <c r="I363" s="6">
        <f t="shared" si="59"/>
        <v>2</v>
      </c>
      <c r="J363" s="76">
        <v>60</v>
      </c>
      <c r="K363" s="66">
        <v>2</v>
      </c>
      <c r="L363" s="6">
        <f>L362+L362</f>
        <v>10</v>
      </c>
      <c r="M363" s="6">
        <f>M362+K363</f>
        <v>2</v>
      </c>
      <c r="N363" s="77">
        <v>100</v>
      </c>
      <c r="O363">
        <f t="shared" si="61"/>
        <v>0.5</v>
      </c>
      <c r="P363" s="77">
        <v>50</v>
      </c>
      <c r="Q363">
        <f t="shared" si="62"/>
        <v>0.3</v>
      </c>
      <c r="R363" s="75">
        <v>15</v>
      </c>
      <c r="S363" s="6">
        <f t="shared" si="63"/>
        <v>0.15</v>
      </c>
    </row>
    <row r="364" spans="1:19" x14ac:dyDescent="0.3">
      <c r="A364" s="37" t="s">
        <v>107</v>
      </c>
      <c r="B364" s="6" t="s">
        <v>160</v>
      </c>
      <c r="C364" s="77">
        <v>170000</v>
      </c>
      <c r="D364" s="6">
        <f>(C364/12)*3</f>
        <v>42500</v>
      </c>
      <c r="E364" s="66">
        <v>8000</v>
      </c>
      <c r="F364" s="6">
        <f>SUM(E362:E364)</f>
        <v>11900</v>
      </c>
      <c r="G364" s="36" t="str">
        <f t="shared" si="60"/>
        <v>Farol Vermelho</v>
      </c>
      <c r="H364">
        <f t="shared" si="58"/>
        <v>30600</v>
      </c>
      <c r="I364" s="6">
        <f t="shared" si="59"/>
        <v>3</v>
      </c>
      <c r="J364" s="76">
        <v>60</v>
      </c>
      <c r="K364" s="66">
        <v>3</v>
      </c>
      <c r="L364" s="6">
        <f>$L362+L363</f>
        <v>15</v>
      </c>
      <c r="M364" s="6">
        <f t="shared" ref="M364:M373" si="67">M363+K364</f>
        <v>5</v>
      </c>
      <c r="N364" s="77">
        <v>100</v>
      </c>
      <c r="O364">
        <f t="shared" si="61"/>
        <v>0.5</v>
      </c>
      <c r="P364" s="77">
        <v>50</v>
      </c>
      <c r="Q364">
        <f t="shared" si="62"/>
        <v>0.3</v>
      </c>
      <c r="R364" s="75">
        <v>15</v>
      </c>
      <c r="S364" s="6">
        <f t="shared" si="63"/>
        <v>0.15</v>
      </c>
    </row>
    <row r="365" spans="1:19" x14ac:dyDescent="0.3">
      <c r="A365" s="37" t="s">
        <v>107</v>
      </c>
      <c r="B365" s="6" t="s">
        <v>161</v>
      </c>
      <c r="C365" s="77">
        <v>170000</v>
      </c>
      <c r="D365" s="6">
        <f>(C365/12)*4</f>
        <v>56666.666666666664</v>
      </c>
      <c r="E365" s="66">
        <v>0</v>
      </c>
      <c r="F365" s="6">
        <f>SUM(E362:E365)</f>
        <v>11900</v>
      </c>
      <c r="G365" s="36" t="str">
        <f t="shared" si="60"/>
        <v>Farol Vermelho</v>
      </c>
      <c r="H365">
        <f t="shared" si="58"/>
        <v>44766.666666666664</v>
      </c>
      <c r="I365" s="6">
        <f t="shared" si="59"/>
        <v>4</v>
      </c>
      <c r="J365" s="76">
        <v>60</v>
      </c>
      <c r="K365" s="66"/>
      <c r="L365" s="6">
        <f>$L362+L364</f>
        <v>20</v>
      </c>
      <c r="M365" s="6">
        <f t="shared" si="67"/>
        <v>5</v>
      </c>
      <c r="N365" s="77">
        <v>100</v>
      </c>
      <c r="O365">
        <f t="shared" si="61"/>
        <v>0.5</v>
      </c>
      <c r="P365" s="77">
        <v>50</v>
      </c>
      <c r="Q365">
        <f t="shared" si="62"/>
        <v>0.3</v>
      </c>
      <c r="R365" s="75">
        <v>15</v>
      </c>
      <c r="S365" s="6">
        <f t="shared" si="63"/>
        <v>0.15</v>
      </c>
    </row>
    <row r="366" spans="1:19" x14ac:dyDescent="0.3">
      <c r="A366" s="37" t="s">
        <v>107</v>
      </c>
      <c r="B366" s="6" t="s">
        <v>162</v>
      </c>
      <c r="C366" s="77">
        <v>170000</v>
      </c>
      <c r="D366" s="6">
        <f>(C366/12)*5</f>
        <v>70833.333333333328</v>
      </c>
      <c r="E366" s="66">
        <v>0</v>
      </c>
      <c r="F366" s="6">
        <f>SUM(E362:E366)</f>
        <v>11900</v>
      </c>
      <c r="G366" s="36" t="str">
        <f t="shared" si="60"/>
        <v>Farol Vermelho</v>
      </c>
      <c r="H366">
        <f t="shared" si="58"/>
        <v>58933.333333333328</v>
      </c>
      <c r="I366" s="6">
        <f t="shared" si="59"/>
        <v>5</v>
      </c>
      <c r="J366" s="76">
        <v>60</v>
      </c>
      <c r="K366" s="66"/>
      <c r="L366" s="6">
        <f>L362+L365</f>
        <v>25</v>
      </c>
      <c r="M366" s="6">
        <f t="shared" si="67"/>
        <v>5</v>
      </c>
      <c r="N366" s="77">
        <v>100</v>
      </c>
      <c r="O366">
        <f t="shared" si="61"/>
        <v>0.5</v>
      </c>
      <c r="P366" s="77">
        <v>50</v>
      </c>
      <c r="Q366">
        <f t="shared" si="62"/>
        <v>0.3</v>
      </c>
      <c r="R366" s="75">
        <v>15</v>
      </c>
      <c r="S366" s="6">
        <f t="shared" si="63"/>
        <v>0.15</v>
      </c>
    </row>
    <row r="367" spans="1:19" x14ac:dyDescent="0.3">
      <c r="A367" s="37" t="s">
        <v>107</v>
      </c>
      <c r="B367" s="6" t="s">
        <v>163</v>
      </c>
      <c r="C367" s="77">
        <v>170000</v>
      </c>
      <c r="D367" s="6">
        <f>(C367/12)*6</f>
        <v>85000</v>
      </c>
      <c r="E367" s="66">
        <v>0</v>
      </c>
      <c r="F367" s="6">
        <f>SUM(E362:E367)</f>
        <v>11900</v>
      </c>
      <c r="G367" s="36" t="str">
        <f t="shared" si="60"/>
        <v>Farol Vermelho</v>
      </c>
      <c r="H367">
        <f t="shared" si="58"/>
        <v>73100</v>
      </c>
      <c r="I367" s="6">
        <f t="shared" si="59"/>
        <v>6</v>
      </c>
      <c r="J367" s="76">
        <v>60</v>
      </c>
      <c r="K367" s="66"/>
      <c r="L367" s="6">
        <f>$L362+L366</f>
        <v>30</v>
      </c>
      <c r="M367" s="6">
        <f t="shared" si="67"/>
        <v>5</v>
      </c>
      <c r="N367" s="77">
        <v>100</v>
      </c>
      <c r="O367">
        <f t="shared" si="61"/>
        <v>0.5</v>
      </c>
      <c r="P367" s="77">
        <v>50</v>
      </c>
      <c r="Q367">
        <f t="shared" si="62"/>
        <v>0.3</v>
      </c>
      <c r="R367" s="75">
        <v>15</v>
      </c>
      <c r="S367" s="6">
        <f t="shared" si="63"/>
        <v>0.15</v>
      </c>
    </row>
    <row r="368" spans="1:19" x14ac:dyDescent="0.3">
      <c r="A368" s="37" t="s">
        <v>107</v>
      </c>
      <c r="B368" s="6" t="s">
        <v>164</v>
      </c>
      <c r="C368" s="77">
        <v>170000</v>
      </c>
      <c r="D368" s="6">
        <f>(C368/12)*7</f>
        <v>99166.666666666657</v>
      </c>
      <c r="E368" s="66">
        <v>0</v>
      </c>
      <c r="F368" s="6">
        <f>SUM(E362:E368)</f>
        <v>11900</v>
      </c>
      <c r="G368" s="36" t="str">
        <f t="shared" si="60"/>
        <v>Farol Vermelho</v>
      </c>
      <c r="H368">
        <f t="shared" si="58"/>
        <v>87266.666666666657</v>
      </c>
      <c r="I368" s="6">
        <f t="shared" si="59"/>
        <v>7</v>
      </c>
      <c r="J368" s="76">
        <v>60</v>
      </c>
      <c r="K368" s="66"/>
      <c r="L368" s="6">
        <f>$L362+L367</f>
        <v>35</v>
      </c>
      <c r="M368" s="6">
        <f t="shared" si="67"/>
        <v>5</v>
      </c>
      <c r="N368" s="77">
        <v>100</v>
      </c>
      <c r="O368">
        <f t="shared" si="61"/>
        <v>0.5</v>
      </c>
      <c r="P368" s="77">
        <v>50</v>
      </c>
      <c r="Q368">
        <f t="shared" si="62"/>
        <v>0.3</v>
      </c>
      <c r="R368" s="75">
        <v>15</v>
      </c>
      <c r="S368" s="6">
        <f t="shared" si="63"/>
        <v>0.15</v>
      </c>
    </row>
    <row r="369" spans="1:19" x14ac:dyDescent="0.3">
      <c r="A369" s="37" t="s">
        <v>107</v>
      </c>
      <c r="B369" s="6" t="s">
        <v>165</v>
      </c>
      <c r="C369" s="77">
        <v>170000</v>
      </c>
      <c r="D369" s="6">
        <f>(C369/12)*8</f>
        <v>113333.33333333333</v>
      </c>
      <c r="E369" s="66">
        <v>0</v>
      </c>
      <c r="F369" s="6">
        <f>SUM(E362:E369)</f>
        <v>11900</v>
      </c>
      <c r="G369" s="36" t="str">
        <f t="shared" si="60"/>
        <v>Farol Vermelho</v>
      </c>
      <c r="H369">
        <f t="shared" si="58"/>
        <v>101433.33333333333</v>
      </c>
      <c r="I369" s="6">
        <f t="shared" si="59"/>
        <v>8</v>
      </c>
      <c r="J369" s="76">
        <v>60</v>
      </c>
      <c r="K369" s="66"/>
      <c r="L369" s="6">
        <f>L362+L368</f>
        <v>40</v>
      </c>
      <c r="M369" s="6">
        <f t="shared" si="67"/>
        <v>5</v>
      </c>
      <c r="N369" s="77">
        <v>100</v>
      </c>
      <c r="O369">
        <f t="shared" si="61"/>
        <v>0.5</v>
      </c>
      <c r="P369" s="77">
        <v>50</v>
      </c>
      <c r="Q369">
        <f t="shared" si="62"/>
        <v>0.3</v>
      </c>
      <c r="R369" s="75">
        <v>15</v>
      </c>
      <c r="S369" s="6">
        <f t="shared" si="63"/>
        <v>0.15</v>
      </c>
    </row>
    <row r="370" spans="1:19" x14ac:dyDescent="0.3">
      <c r="A370" s="37" t="s">
        <v>107</v>
      </c>
      <c r="B370" s="6" t="s">
        <v>166</v>
      </c>
      <c r="C370" s="77">
        <v>170000</v>
      </c>
      <c r="D370" s="6">
        <f>(C370/12)*9</f>
        <v>127500</v>
      </c>
      <c r="E370" s="66">
        <v>0</v>
      </c>
      <c r="F370" s="6">
        <f>SUM(E362:E370)</f>
        <v>11900</v>
      </c>
      <c r="G370" s="36" t="str">
        <f t="shared" si="60"/>
        <v>Farol Vermelho</v>
      </c>
      <c r="H370">
        <f t="shared" si="58"/>
        <v>115600</v>
      </c>
      <c r="I370" s="6">
        <f t="shared" si="59"/>
        <v>9</v>
      </c>
      <c r="J370" s="76">
        <v>60</v>
      </c>
      <c r="K370" s="66"/>
      <c r="L370" s="6">
        <f>$L362+L369</f>
        <v>45</v>
      </c>
      <c r="M370" s="6">
        <f t="shared" si="67"/>
        <v>5</v>
      </c>
      <c r="N370" s="77">
        <v>100</v>
      </c>
      <c r="O370">
        <f t="shared" si="61"/>
        <v>0.5</v>
      </c>
      <c r="P370" s="77">
        <v>50</v>
      </c>
      <c r="Q370">
        <f t="shared" si="62"/>
        <v>0.3</v>
      </c>
      <c r="R370" s="75">
        <v>15</v>
      </c>
      <c r="S370" s="6">
        <f t="shared" si="63"/>
        <v>0.15</v>
      </c>
    </row>
    <row r="371" spans="1:19" x14ac:dyDescent="0.3">
      <c r="A371" s="37" t="s">
        <v>107</v>
      </c>
      <c r="B371" s="6" t="s">
        <v>167</v>
      </c>
      <c r="C371" s="77">
        <v>170000</v>
      </c>
      <c r="D371" s="6">
        <f>(C371/12)*10</f>
        <v>141666.66666666666</v>
      </c>
      <c r="E371" s="66">
        <v>0</v>
      </c>
      <c r="F371" s="6">
        <f>SUM(E362:E371)</f>
        <v>11900</v>
      </c>
      <c r="G371" s="36" t="str">
        <f t="shared" si="60"/>
        <v>Farol Vermelho</v>
      </c>
      <c r="H371">
        <f t="shared" si="58"/>
        <v>129766.66666666666</v>
      </c>
      <c r="I371" s="6">
        <f t="shared" si="59"/>
        <v>10</v>
      </c>
      <c r="J371" s="76">
        <v>60</v>
      </c>
      <c r="K371" s="66"/>
      <c r="L371" s="6">
        <f>$L362+L370</f>
        <v>50</v>
      </c>
      <c r="M371" s="6">
        <f t="shared" si="67"/>
        <v>5</v>
      </c>
      <c r="N371" s="77">
        <v>100</v>
      </c>
      <c r="O371">
        <f t="shared" si="61"/>
        <v>0.5</v>
      </c>
      <c r="P371" s="77">
        <v>50</v>
      </c>
      <c r="Q371">
        <f t="shared" si="62"/>
        <v>0.3</v>
      </c>
      <c r="R371" s="75">
        <v>15</v>
      </c>
      <c r="S371" s="6">
        <f t="shared" si="63"/>
        <v>0.15</v>
      </c>
    </row>
    <row r="372" spans="1:19" x14ac:dyDescent="0.3">
      <c r="A372" s="37" t="s">
        <v>107</v>
      </c>
      <c r="B372" s="6" t="s">
        <v>168</v>
      </c>
      <c r="C372" s="77">
        <v>170000</v>
      </c>
      <c r="D372" s="6">
        <f>(C372/12)*11</f>
        <v>155833.33333333331</v>
      </c>
      <c r="E372" s="66">
        <v>0</v>
      </c>
      <c r="F372" s="6">
        <f>SUM(E362:E372)</f>
        <v>11900</v>
      </c>
      <c r="G372" s="36" t="str">
        <f t="shared" si="60"/>
        <v>Farol Vermelho</v>
      </c>
      <c r="H372">
        <f t="shared" si="58"/>
        <v>143933.33333333331</v>
      </c>
      <c r="I372" s="6">
        <f t="shared" si="59"/>
        <v>11</v>
      </c>
      <c r="J372" s="76">
        <v>60</v>
      </c>
      <c r="K372" s="66"/>
      <c r="L372" s="6">
        <f>L362+L371</f>
        <v>55</v>
      </c>
      <c r="M372" s="6">
        <f t="shared" si="67"/>
        <v>5</v>
      </c>
      <c r="N372" s="77">
        <v>100</v>
      </c>
      <c r="O372">
        <f t="shared" si="61"/>
        <v>0.5</v>
      </c>
      <c r="P372" s="77">
        <v>50</v>
      </c>
      <c r="Q372">
        <f t="shared" si="62"/>
        <v>0.3</v>
      </c>
      <c r="R372" s="75">
        <v>15</v>
      </c>
      <c r="S372" s="6">
        <f t="shared" si="63"/>
        <v>0.15</v>
      </c>
    </row>
    <row r="373" spans="1:19" x14ac:dyDescent="0.3">
      <c r="A373" s="37" t="s">
        <v>107</v>
      </c>
      <c r="B373" s="6" t="s">
        <v>169</v>
      </c>
      <c r="C373" s="77">
        <v>170000</v>
      </c>
      <c r="D373" s="6">
        <f>(C373/12)*12</f>
        <v>170000</v>
      </c>
      <c r="E373" s="66">
        <v>0</v>
      </c>
      <c r="F373" s="6">
        <f>SUM(E362:E373)</f>
        <v>11900</v>
      </c>
      <c r="G373" s="36" t="str">
        <f t="shared" si="60"/>
        <v>Farol Vermelho</v>
      </c>
      <c r="H373">
        <f t="shared" si="58"/>
        <v>158100</v>
      </c>
      <c r="I373" s="6">
        <f t="shared" si="59"/>
        <v>12</v>
      </c>
      <c r="J373" s="76">
        <v>60</v>
      </c>
      <c r="K373" s="66"/>
      <c r="L373" s="6">
        <f>$L362+L372</f>
        <v>60</v>
      </c>
      <c r="M373" s="6">
        <f t="shared" si="67"/>
        <v>5</v>
      </c>
      <c r="N373" s="77">
        <v>100</v>
      </c>
      <c r="O373">
        <f t="shared" si="61"/>
        <v>0.5</v>
      </c>
      <c r="P373" s="77">
        <v>50</v>
      </c>
      <c r="Q373">
        <f t="shared" si="62"/>
        <v>0.3</v>
      </c>
      <c r="R373" s="75">
        <v>15</v>
      </c>
      <c r="S373" s="6">
        <f t="shared" si="63"/>
        <v>0.15</v>
      </c>
    </row>
    <row r="374" spans="1:19" x14ac:dyDescent="0.3">
      <c r="A374" s="37" t="s">
        <v>89</v>
      </c>
      <c r="B374" s="6" t="s">
        <v>158</v>
      </c>
      <c r="C374" s="77">
        <v>13418.75</v>
      </c>
      <c r="D374" s="6">
        <f>(C374/12)*1</f>
        <v>1118.2291666666667</v>
      </c>
      <c r="E374" s="66">
        <v>0</v>
      </c>
      <c r="F374" s="6">
        <f>E374</f>
        <v>0</v>
      </c>
      <c r="G374" s="36" t="str">
        <f t="shared" si="60"/>
        <v>Farol Vermelho</v>
      </c>
      <c r="H374">
        <f t="shared" si="58"/>
        <v>1118.2291666666667</v>
      </c>
      <c r="I374" s="6">
        <f t="shared" si="59"/>
        <v>1</v>
      </c>
      <c r="J374" s="76">
        <v>25</v>
      </c>
      <c r="K374" s="66">
        <v>0</v>
      </c>
      <c r="L374" s="6">
        <f>J374/12</f>
        <v>2.0833333333333335</v>
      </c>
      <c r="M374" s="6">
        <f>K374</f>
        <v>0</v>
      </c>
      <c r="N374" s="77">
        <v>100</v>
      </c>
      <c r="O374">
        <f t="shared" si="61"/>
        <v>0.5</v>
      </c>
      <c r="P374" s="77">
        <v>50</v>
      </c>
      <c r="Q374">
        <f t="shared" si="62"/>
        <v>0.3</v>
      </c>
      <c r="R374" s="75">
        <v>15</v>
      </c>
      <c r="S374" s="6">
        <f t="shared" si="63"/>
        <v>0.15</v>
      </c>
    </row>
    <row r="375" spans="1:19" x14ac:dyDescent="0.3">
      <c r="A375" s="37" t="s">
        <v>89</v>
      </c>
      <c r="B375" s="6" t="s">
        <v>159</v>
      </c>
      <c r="C375" s="77">
        <v>13418.75</v>
      </c>
      <c r="D375" s="6">
        <f>(C375/12)*2</f>
        <v>2236.4583333333335</v>
      </c>
      <c r="E375" s="66">
        <v>0</v>
      </c>
      <c r="F375" s="6">
        <f>SUM(E374:E375)</f>
        <v>0</v>
      </c>
      <c r="G375" s="36" t="str">
        <f t="shared" si="60"/>
        <v>Farol Vermelho</v>
      </c>
      <c r="H375">
        <f t="shared" si="58"/>
        <v>2236.4583333333335</v>
      </c>
      <c r="I375" s="6">
        <f t="shared" si="59"/>
        <v>2</v>
      </c>
      <c r="J375" s="76">
        <v>25</v>
      </c>
      <c r="K375" s="66">
        <v>0</v>
      </c>
      <c r="L375" s="6">
        <f>L374+L374</f>
        <v>4.166666666666667</v>
      </c>
      <c r="M375" s="6">
        <f>M374+K375</f>
        <v>0</v>
      </c>
      <c r="N375" s="77">
        <v>100</v>
      </c>
      <c r="O375">
        <f t="shared" si="61"/>
        <v>0.5</v>
      </c>
      <c r="P375" s="77">
        <v>50</v>
      </c>
      <c r="Q375">
        <f t="shared" si="62"/>
        <v>0.3</v>
      </c>
      <c r="R375" s="75">
        <v>15</v>
      </c>
      <c r="S375" s="6">
        <f t="shared" si="63"/>
        <v>0.15</v>
      </c>
    </row>
    <row r="376" spans="1:19" x14ac:dyDescent="0.3">
      <c r="A376" s="37" t="s">
        <v>89</v>
      </c>
      <c r="B376" s="6" t="s">
        <v>160</v>
      </c>
      <c r="C376" s="77">
        <v>13418.75</v>
      </c>
      <c r="D376" s="6">
        <f>(C376/12)*3</f>
        <v>3354.6875</v>
      </c>
      <c r="E376" s="66">
        <v>0</v>
      </c>
      <c r="F376" s="6">
        <f>SUM(E374:E376)</f>
        <v>0</v>
      </c>
      <c r="G376" s="36" t="str">
        <f t="shared" si="60"/>
        <v>Farol Vermelho</v>
      </c>
      <c r="H376">
        <f t="shared" si="58"/>
        <v>3354.6875</v>
      </c>
      <c r="I376" s="6">
        <f t="shared" si="59"/>
        <v>3</v>
      </c>
      <c r="J376" s="76">
        <v>25</v>
      </c>
      <c r="K376" s="66">
        <v>0</v>
      </c>
      <c r="L376" s="6">
        <f>$L374+L375</f>
        <v>6.25</v>
      </c>
      <c r="M376" s="6">
        <f t="shared" ref="M376:M385" si="68">M375+K376</f>
        <v>0</v>
      </c>
      <c r="N376" s="77">
        <v>100</v>
      </c>
      <c r="O376">
        <f t="shared" si="61"/>
        <v>0.5</v>
      </c>
      <c r="P376" s="77">
        <v>50</v>
      </c>
      <c r="Q376">
        <f t="shared" si="62"/>
        <v>0.3</v>
      </c>
      <c r="R376" s="75">
        <v>15</v>
      </c>
      <c r="S376" s="6">
        <f t="shared" si="63"/>
        <v>0.15</v>
      </c>
    </row>
    <row r="377" spans="1:19" x14ac:dyDescent="0.3">
      <c r="A377" s="37" t="s">
        <v>89</v>
      </c>
      <c r="B377" s="6" t="s">
        <v>161</v>
      </c>
      <c r="C377" s="77">
        <v>13418.75</v>
      </c>
      <c r="D377" s="6">
        <f>(C377/12)*4</f>
        <v>4472.916666666667</v>
      </c>
      <c r="E377" s="66">
        <v>0</v>
      </c>
      <c r="F377" s="6">
        <f>SUM(E374:E377)</f>
        <v>0</v>
      </c>
      <c r="G377" s="36" t="str">
        <f t="shared" si="60"/>
        <v>Farol Vermelho</v>
      </c>
      <c r="H377">
        <f t="shared" si="58"/>
        <v>4472.916666666667</v>
      </c>
      <c r="I377" s="6">
        <f t="shared" si="59"/>
        <v>4</v>
      </c>
      <c r="J377" s="76">
        <v>25</v>
      </c>
      <c r="K377" s="66">
        <v>0</v>
      </c>
      <c r="L377" s="6">
        <f>$L374+L376</f>
        <v>8.3333333333333339</v>
      </c>
      <c r="M377" s="6">
        <f t="shared" si="68"/>
        <v>0</v>
      </c>
      <c r="N377" s="77">
        <v>100</v>
      </c>
      <c r="O377">
        <f t="shared" si="61"/>
        <v>0.5</v>
      </c>
      <c r="P377" s="77">
        <v>50</v>
      </c>
      <c r="Q377">
        <f t="shared" si="62"/>
        <v>0.3</v>
      </c>
      <c r="R377" s="75">
        <v>15</v>
      </c>
      <c r="S377" s="6">
        <f t="shared" si="63"/>
        <v>0.15</v>
      </c>
    </row>
    <row r="378" spans="1:19" x14ac:dyDescent="0.3">
      <c r="A378" s="37" t="s">
        <v>89</v>
      </c>
      <c r="B378" s="6" t="s">
        <v>162</v>
      </c>
      <c r="C378" s="77">
        <v>13418.75</v>
      </c>
      <c r="D378" s="6">
        <f>(C378/12)*5</f>
        <v>5591.1458333333339</v>
      </c>
      <c r="E378" s="66">
        <v>0</v>
      </c>
      <c r="F378" s="6">
        <f>SUM(E374:E378)</f>
        <v>0</v>
      </c>
      <c r="G378" s="36" t="str">
        <f t="shared" si="60"/>
        <v>Farol Vermelho</v>
      </c>
      <c r="H378">
        <f t="shared" si="58"/>
        <v>5591.1458333333339</v>
      </c>
      <c r="I378" s="6">
        <f t="shared" si="59"/>
        <v>5</v>
      </c>
      <c r="J378" s="76">
        <v>25</v>
      </c>
      <c r="K378" s="66"/>
      <c r="L378" s="6">
        <f>L374+L377</f>
        <v>10.416666666666668</v>
      </c>
      <c r="M378" s="6">
        <f t="shared" si="68"/>
        <v>0</v>
      </c>
      <c r="N378" s="77">
        <v>100</v>
      </c>
      <c r="O378">
        <f t="shared" si="61"/>
        <v>0.5</v>
      </c>
      <c r="P378" s="77">
        <v>50</v>
      </c>
      <c r="Q378">
        <f t="shared" si="62"/>
        <v>0.3</v>
      </c>
      <c r="R378" s="75">
        <v>15</v>
      </c>
      <c r="S378" s="6">
        <f t="shared" si="63"/>
        <v>0.15</v>
      </c>
    </row>
    <row r="379" spans="1:19" x14ac:dyDescent="0.3">
      <c r="A379" s="37" t="s">
        <v>89</v>
      </c>
      <c r="B379" s="6" t="s">
        <v>163</v>
      </c>
      <c r="C379" s="77">
        <v>13418.75</v>
      </c>
      <c r="D379" s="6">
        <f>(C379/12)*6</f>
        <v>6709.375</v>
      </c>
      <c r="E379" s="66">
        <v>0</v>
      </c>
      <c r="F379" s="6">
        <f>SUM(E374:E379)</f>
        <v>0</v>
      </c>
      <c r="G379" s="36" t="str">
        <f t="shared" si="60"/>
        <v>Farol Vermelho</v>
      </c>
      <c r="H379">
        <f t="shared" si="58"/>
        <v>6709.375</v>
      </c>
      <c r="I379" s="6">
        <f t="shared" si="59"/>
        <v>6</v>
      </c>
      <c r="J379" s="76">
        <v>25</v>
      </c>
      <c r="K379" s="66"/>
      <c r="L379" s="6">
        <f>$L374+L378</f>
        <v>12.500000000000002</v>
      </c>
      <c r="M379" s="6">
        <f t="shared" si="68"/>
        <v>0</v>
      </c>
      <c r="N379" s="77">
        <v>100</v>
      </c>
      <c r="O379">
        <f t="shared" si="61"/>
        <v>0.5</v>
      </c>
      <c r="P379" s="77">
        <v>50</v>
      </c>
      <c r="Q379">
        <f t="shared" si="62"/>
        <v>0.3</v>
      </c>
      <c r="R379" s="75">
        <v>15</v>
      </c>
      <c r="S379" s="6">
        <f t="shared" si="63"/>
        <v>0.15</v>
      </c>
    </row>
    <row r="380" spans="1:19" x14ac:dyDescent="0.3">
      <c r="A380" s="37" t="s">
        <v>89</v>
      </c>
      <c r="B380" s="6" t="s">
        <v>164</v>
      </c>
      <c r="C380" s="77">
        <v>13418.75</v>
      </c>
      <c r="D380" s="6">
        <f>(C380/12)*7</f>
        <v>7827.604166666667</v>
      </c>
      <c r="E380" s="66">
        <v>0</v>
      </c>
      <c r="F380" s="6">
        <f>SUM(E374:E380)</f>
        <v>0</v>
      </c>
      <c r="G380" s="36" t="str">
        <f t="shared" si="60"/>
        <v>Farol Vermelho</v>
      </c>
      <c r="H380">
        <f t="shared" si="58"/>
        <v>7827.604166666667</v>
      </c>
      <c r="I380" s="6">
        <f t="shared" si="59"/>
        <v>7</v>
      </c>
      <c r="J380" s="76">
        <v>25</v>
      </c>
      <c r="K380" s="66"/>
      <c r="L380" s="6">
        <f>$L374+L379</f>
        <v>14.583333333333336</v>
      </c>
      <c r="M380" s="6">
        <f t="shared" si="68"/>
        <v>0</v>
      </c>
      <c r="N380" s="77">
        <v>100</v>
      </c>
      <c r="O380">
        <f t="shared" si="61"/>
        <v>0.5</v>
      </c>
      <c r="P380" s="77">
        <v>50</v>
      </c>
      <c r="Q380">
        <f t="shared" si="62"/>
        <v>0.3</v>
      </c>
      <c r="R380" s="75">
        <v>15</v>
      </c>
      <c r="S380" s="6">
        <f t="shared" si="63"/>
        <v>0.15</v>
      </c>
    </row>
    <row r="381" spans="1:19" x14ac:dyDescent="0.3">
      <c r="A381" s="37" t="s">
        <v>89</v>
      </c>
      <c r="B381" s="6" t="s">
        <v>165</v>
      </c>
      <c r="C381" s="77">
        <v>13418.75</v>
      </c>
      <c r="D381" s="6">
        <f>(C381/12)*8</f>
        <v>8945.8333333333339</v>
      </c>
      <c r="E381" s="66">
        <v>0</v>
      </c>
      <c r="F381" s="6">
        <f>SUM(E374:E381)</f>
        <v>0</v>
      </c>
      <c r="G381" s="36" t="str">
        <f t="shared" si="60"/>
        <v>Farol Vermelho</v>
      </c>
      <c r="H381">
        <f t="shared" si="58"/>
        <v>8945.8333333333339</v>
      </c>
      <c r="I381" s="6">
        <f t="shared" si="59"/>
        <v>8</v>
      </c>
      <c r="J381" s="76">
        <v>25</v>
      </c>
      <c r="K381" s="66"/>
      <c r="L381" s="6">
        <f>L374+L380</f>
        <v>16.666666666666668</v>
      </c>
      <c r="M381" s="6">
        <f t="shared" si="68"/>
        <v>0</v>
      </c>
      <c r="N381" s="77">
        <v>100</v>
      </c>
      <c r="O381">
        <f t="shared" si="61"/>
        <v>0.5</v>
      </c>
      <c r="P381" s="77">
        <v>50</v>
      </c>
      <c r="Q381">
        <f t="shared" si="62"/>
        <v>0.3</v>
      </c>
      <c r="R381" s="75">
        <v>15</v>
      </c>
      <c r="S381" s="6">
        <f t="shared" si="63"/>
        <v>0.15</v>
      </c>
    </row>
    <row r="382" spans="1:19" x14ac:dyDescent="0.3">
      <c r="A382" s="37" t="s">
        <v>89</v>
      </c>
      <c r="B382" s="6" t="s">
        <v>166</v>
      </c>
      <c r="C382" s="77">
        <v>13418.75</v>
      </c>
      <c r="D382" s="6">
        <f>(C382/12)*9</f>
        <v>10064.0625</v>
      </c>
      <c r="E382" s="66">
        <v>0</v>
      </c>
      <c r="F382" s="6">
        <f>SUM(E374:E382)</f>
        <v>0</v>
      </c>
      <c r="G382" s="36" t="str">
        <f t="shared" si="60"/>
        <v>Farol Vermelho</v>
      </c>
      <c r="H382">
        <f t="shared" si="58"/>
        <v>10064.0625</v>
      </c>
      <c r="I382" s="6">
        <f t="shared" si="59"/>
        <v>9</v>
      </c>
      <c r="J382" s="76">
        <v>25</v>
      </c>
      <c r="K382" s="66"/>
      <c r="L382" s="6">
        <f>$L374+L381</f>
        <v>18.75</v>
      </c>
      <c r="M382" s="6">
        <f t="shared" si="68"/>
        <v>0</v>
      </c>
      <c r="N382" s="77">
        <v>100</v>
      </c>
      <c r="O382">
        <f t="shared" si="61"/>
        <v>0.5</v>
      </c>
      <c r="P382" s="77">
        <v>50</v>
      </c>
      <c r="Q382">
        <f t="shared" si="62"/>
        <v>0.3</v>
      </c>
      <c r="R382" s="75">
        <v>15</v>
      </c>
      <c r="S382" s="6">
        <f t="shared" si="63"/>
        <v>0.15</v>
      </c>
    </row>
    <row r="383" spans="1:19" x14ac:dyDescent="0.3">
      <c r="A383" s="37" t="s">
        <v>89</v>
      </c>
      <c r="B383" s="6" t="s">
        <v>167</v>
      </c>
      <c r="C383" s="77">
        <v>13418.75</v>
      </c>
      <c r="D383" s="6">
        <f>(C383/12)*10</f>
        <v>11182.291666666668</v>
      </c>
      <c r="E383" s="66">
        <v>0</v>
      </c>
      <c r="F383" s="6">
        <f>SUM(E374:E383)</f>
        <v>0</v>
      </c>
      <c r="G383" s="36" t="str">
        <f t="shared" si="60"/>
        <v>Farol Vermelho</v>
      </c>
      <c r="H383">
        <f t="shared" si="58"/>
        <v>11182.291666666668</v>
      </c>
      <c r="I383" s="6">
        <f t="shared" si="59"/>
        <v>10</v>
      </c>
      <c r="J383" s="76">
        <v>25</v>
      </c>
      <c r="K383" s="66"/>
      <c r="L383" s="6">
        <f>$L374+L382</f>
        <v>20.833333333333332</v>
      </c>
      <c r="M383" s="6">
        <f t="shared" si="68"/>
        <v>0</v>
      </c>
      <c r="N383" s="77">
        <v>100</v>
      </c>
      <c r="O383">
        <f t="shared" si="61"/>
        <v>0.5</v>
      </c>
      <c r="P383" s="77">
        <v>50</v>
      </c>
      <c r="Q383">
        <f t="shared" si="62"/>
        <v>0.3</v>
      </c>
      <c r="R383" s="75">
        <v>15</v>
      </c>
      <c r="S383" s="6">
        <f t="shared" si="63"/>
        <v>0.15</v>
      </c>
    </row>
    <row r="384" spans="1:19" x14ac:dyDescent="0.3">
      <c r="A384" s="37" t="s">
        <v>89</v>
      </c>
      <c r="B384" s="6" t="s">
        <v>168</v>
      </c>
      <c r="C384" s="77">
        <v>13418.75</v>
      </c>
      <c r="D384" s="6">
        <f>(C384/12)*11</f>
        <v>12300.520833333334</v>
      </c>
      <c r="E384" s="66">
        <v>0</v>
      </c>
      <c r="F384" s="6">
        <f>SUM(E374:E384)</f>
        <v>0</v>
      </c>
      <c r="G384" s="36" t="str">
        <f t="shared" si="60"/>
        <v>Farol Vermelho</v>
      </c>
      <c r="H384">
        <f t="shared" si="58"/>
        <v>12300.520833333334</v>
      </c>
      <c r="I384" s="6">
        <f t="shared" si="59"/>
        <v>11</v>
      </c>
      <c r="J384" s="76">
        <v>25</v>
      </c>
      <c r="K384" s="66"/>
      <c r="L384" s="6">
        <f>L374+L383</f>
        <v>22.916666666666664</v>
      </c>
      <c r="M384" s="6">
        <f t="shared" si="68"/>
        <v>0</v>
      </c>
      <c r="N384" s="77">
        <v>100</v>
      </c>
      <c r="O384">
        <f t="shared" si="61"/>
        <v>0.5</v>
      </c>
      <c r="P384" s="77">
        <v>50</v>
      </c>
      <c r="Q384">
        <f t="shared" si="62"/>
        <v>0.3</v>
      </c>
      <c r="R384" s="75">
        <v>15</v>
      </c>
      <c r="S384" s="6">
        <f t="shared" si="63"/>
        <v>0.15</v>
      </c>
    </row>
    <row r="385" spans="1:19" x14ac:dyDescent="0.3">
      <c r="A385" s="37" t="s">
        <v>89</v>
      </c>
      <c r="B385" s="6" t="s">
        <v>169</v>
      </c>
      <c r="C385" s="77">
        <v>13418.75</v>
      </c>
      <c r="D385" s="6">
        <f>(C385/12)*12</f>
        <v>13418.75</v>
      </c>
      <c r="E385" s="66">
        <v>0</v>
      </c>
      <c r="F385" s="6">
        <f>SUM(E374:E385)</f>
        <v>0</v>
      </c>
      <c r="G385" s="36" t="str">
        <f t="shared" si="60"/>
        <v>Farol Vermelho</v>
      </c>
      <c r="H385">
        <f t="shared" si="58"/>
        <v>13418.75</v>
      </c>
      <c r="I385" s="6">
        <f t="shared" si="59"/>
        <v>12</v>
      </c>
      <c r="J385" s="76">
        <v>25</v>
      </c>
      <c r="K385" s="66"/>
      <c r="L385" s="6">
        <f>$L374+L384</f>
        <v>24.999999999999996</v>
      </c>
      <c r="M385" s="6">
        <f t="shared" si="68"/>
        <v>0</v>
      </c>
      <c r="N385" s="77">
        <v>100</v>
      </c>
      <c r="O385">
        <f t="shared" si="61"/>
        <v>0.5</v>
      </c>
      <c r="P385" s="77">
        <v>50</v>
      </c>
      <c r="Q385">
        <f t="shared" si="62"/>
        <v>0.3</v>
      </c>
      <c r="R385" s="75">
        <v>15</v>
      </c>
      <c r="S385" s="6">
        <f t="shared" si="63"/>
        <v>0.15</v>
      </c>
    </row>
    <row r="386" spans="1:19" x14ac:dyDescent="0.3">
      <c r="A386" s="37" t="s">
        <v>127</v>
      </c>
      <c r="B386" s="6" t="s">
        <v>158</v>
      </c>
      <c r="C386" s="77">
        <v>208910</v>
      </c>
      <c r="D386" s="6">
        <f>(C386/12)*1</f>
        <v>17409.166666666668</v>
      </c>
      <c r="E386" s="66">
        <v>9000</v>
      </c>
      <c r="F386" s="6">
        <f>E386</f>
        <v>9000</v>
      </c>
      <c r="G386" s="36" t="str">
        <f t="shared" si="60"/>
        <v>Farol Vermelho</v>
      </c>
      <c r="H386">
        <f t="shared" ref="H386:H449" si="69">IF(D386-F386&lt;0,0,D386-F386)</f>
        <v>8409.1666666666679</v>
      </c>
      <c r="I386" s="6">
        <f t="shared" ref="I386:I449" si="70">_xlfn.IFS(B386="Janeiro",1,B386="Fevereiro",2,B386="Março",3,B386="Abril",4,B386="Maio",5,B386="Junho",6,B386="Julho",7,B386="Agosto",8,B386="Setembro",9,B386="Outubro",10,B386="Novembro",11,B386="Dezembro",12,TRUE,0)</f>
        <v>1</v>
      </c>
      <c r="J386" s="76">
        <v>12</v>
      </c>
      <c r="K386" s="66">
        <v>1</v>
      </c>
      <c r="L386" s="6">
        <f>J386/12</f>
        <v>1</v>
      </c>
      <c r="M386" s="6">
        <f>K386</f>
        <v>1</v>
      </c>
      <c r="N386" s="77">
        <v>100</v>
      </c>
      <c r="O386">
        <f t="shared" si="61"/>
        <v>0.5</v>
      </c>
      <c r="P386" s="77">
        <v>50</v>
      </c>
      <c r="Q386">
        <f t="shared" si="62"/>
        <v>0.3</v>
      </c>
      <c r="R386" s="75">
        <v>15</v>
      </c>
      <c r="S386" s="6">
        <f t="shared" si="63"/>
        <v>0.15</v>
      </c>
    </row>
    <row r="387" spans="1:19" x14ac:dyDescent="0.3">
      <c r="A387" s="37" t="s">
        <v>127</v>
      </c>
      <c r="B387" s="6" t="s">
        <v>159</v>
      </c>
      <c r="C387" s="77">
        <v>208910</v>
      </c>
      <c r="D387" s="6">
        <f>(C387/12)*2</f>
        <v>34818.333333333336</v>
      </c>
      <c r="E387" s="66">
        <v>4600</v>
      </c>
      <c r="F387" s="6">
        <f>SUM(E386:E387)</f>
        <v>13600</v>
      </c>
      <c r="G387" s="36" t="str">
        <f t="shared" ref="G387:G450" si="71">_xlfn.IFS(F387&gt;D387,"Farol Verde",F387&gt;=D387*0.85,"Farol Amarelo",F387&lt;D387*0.85,"Farol Vermelho","Verdadeiro",0)</f>
        <v>Farol Vermelho</v>
      </c>
      <c r="H387">
        <f t="shared" si="69"/>
        <v>21218.333333333336</v>
      </c>
      <c r="I387" s="6">
        <f t="shared" si="70"/>
        <v>2</v>
      </c>
      <c r="J387" s="76">
        <v>12</v>
      </c>
      <c r="K387" s="66">
        <v>1</v>
      </c>
      <c r="L387" s="6">
        <f>L386+L386</f>
        <v>2</v>
      </c>
      <c r="M387" s="6">
        <f>M386+K387</f>
        <v>2</v>
      </c>
      <c r="N387" s="77">
        <v>100</v>
      </c>
      <c r="O387">
        <f t="shared" ref="O387:O450" si="72">P387/N387</f>
        <v>0.5</v>
      </c>
      <c r="P387" s="77">
        <v>50</v>
      </c>
      <c r="Q387">
        <f t="shared" ref="Q387:Q450" si="73">R387/P387</f>
        <v>0.3</v>
      </c>
      <c r="R387" s="75">
        <v>15</v>
      </c>
      <c r="S387" s="6">
        <f t="shared" ref="S387:S450" si="74">R387/N387</f>
        <v>0.15</v>
      </c>
    </row>
    <row r="388" spans="1:19" x14ac:dyDescent="0.3">
      <c r="A388" s="37" t="s">
        <v>127</v>
      </c>
      <c r="B388" s="6" t="s">
        <v>160</v>
      </c>
      <c r="C388" s="77">
        <v>208910</v>
      </c>
      <c r="D388" s="6">
        <f>(C388/12)*3</f>
        <v>52227.5</v>
      </c>
      <c r="E388" s="66">
        <v>19880</v>
      </c>
      <c r="F388" s="6">
        <f>SUM(E386:E388)</f>
        <v>33480</v>
      </c>
      <c r="G388" s="36" t="str">
        <f t="shared" si="71"/>
        <v>Farol Vermelho</v>
      </c>
      <c r="H388">
        <f t="shared" si="69"/>
        <v>18747.5</v>
      </c>
      <c r="I388" s="6">
        <f t="shared" si="70"/>
        <v>3</v>
      </c>
      <c r="J388" s="76">
        <v>12</v>
      </c>
      <c r="K388" s="66">
        <v>1</v>
      </c>
      <c r="L388" s="6">
        <f>$L386+L387</f>
        <v>3</v>
      </c>
      <c r="M388" s="6">
        <f t="shared" ref="M388:M397" si="75">M387+K388</f>
        <v>3</v>
      </c>
      <c r="N388" s="77">
        <v>100</v>
      </c>
      <c r="O388">
        <f t="shared" si="72"/>
        <v>0.5</v>
      </c>
      <c r="P388" s="77">
        <v>50</v>
      </c>
      <c r="Q388">
        <f t="shared" si="73"/>
        <v>0.3</v>
      </c>
      <c r="R388" s="75">
        <v>15</v>
      </c>
      <c r="S388" s="6">
        <f t="shared" si="74"/>
        <v>0.15</v>
      </c>
    </row>
    <row r="389" spans="1:19" x14ac:dyDescent="0.3">
      <c r="A389" s="37" t="s">
        <v>127</v>
      </c>
      <c r="B389" s="6" t="s">
        <v>161</v>
      </c>
      <c r="C389" s="77">
        <v>208910</v>
      </c>
      <c r="D389" s="6">
        <f>(C389/12)*4</f>
        <v>69636.666666666672</v>
      </c>
      <c r="E389" s="66">
        <v>12880</v>
      </c>
      <c r="F389" s="6">
        <f>SUM(E386:E389)</f>
        <v>46360</v>
      </c>
      <c r="G389" s="36" t="str">
        <f t="shared" si="71"/>
        <v>Farol Vermelho</v>
      </c>
      <c r="H389">
        <f t="shared" si="69"/>
        <v>23276.666666666672</v>
      </c>
      <c r="I389" s="6">
        <f t="shared" si="70"/>
        <v>4</v>
      </c>
      <c r="J389" s="76">
        <v>12</v>
      </c>
      <c r="K389" s="66">
        <v>1</v>
      </c>
      <c r="L389" s="6">
        <f>$L386+L388</f>
        <v>4</v>
      </c>
      <c r="M389" s="6">
        <f t="shared" si="75"/>
        <v>4</v>
      </c>
      <c r="N389" s="77">
        <v>100</v>
      </c>
      <c r="O389">
        <f t="shared" si="72"/>
        <v>0.5</v>
      </c>
      <c r="P389" s="77">
        <v>50</v>
      </c>
      <c r="Q389">
        <f t="shared" si="73"/>
        <v>0.3</v>
      </c>
      <c r="R389" s="75">
        <v>15</v>
      </c>
      <c r="S389" s="6">
        <f t="shared" si="74"/>
        <v>0.15</v>
      </c>
    </row>
    <row r="390" spans="1:19" x14ac:dyDescent="0.3">
      <c r="A390" s="37" t="s">
        <v>127</v>
      </c>
      <c r="B390" s="6" t="s">
        <v>162</v>
      </c>
      <c r="C390" s="77">
        <v>208910</v>
      </c>
      <c r="D390" s="6">
        <f>(C390/12)*5</f>
        <v>87045.833333333343</v>
      </c>
      <c r="E390" s="66">
        <v>0</v>
      </c>
      <c r="F390" s="6">
        <f>SUM(E386:E390)</f>
        <v>46360</v>
      </c>
      <c r="G390" s="36" t="str">
        <f t="shared" si="71"/>
        <v>Farol Vermelho</v>
      </c>
      <c r="H390">
        <f t="shared" si="69"/>
        <v>40685.833333333343</v>
      </c>
      <c r="I390" s="6">
        <f t="shared" si="70"/>
        <v>5</v>
      </c>
      <c r="J390" s="76">
        <v>12</v>
      </c>
      <c r="K390" s="66"/>
      <c r="L390" s="6">
        <f>L386+L389</f>
        <v>5</v>
      </c>
      <c r="M390" s="6">
        <f t="shared" si="75"/>
        <v>4</v>
      </c>
      <c r="N390" s="77">
        <v>100</v>
      </c>
      <c r="O390">
        <f t="shared" si="72"/>
        <v>0.5</v>
      </c>
      <c r="P390" s="77">
        <v>50</v>
      </c>
      <c r="Q390">
        <f t="shared" si="73"/>
        <v>0.3</v>
      </c>
      <c r="R390" s="75">
        <v>15</v>
      </c>
      <c r="S390" s="6">
        <f t="shared" si="74"/>
        <v>0.15</v>
      </c>
    </row>
    <row r="391" spans="1:19" x14ac:dyDescent="0.3">
      <c r="A391" s="37" t="s">
        <v>127</v>
      </c>
      <c r="B391" s="6" t="s">
        <v>163</v>
      </c>
      <c r="C391" s="77">
        <v>208910</v>
      </c>
      <c r="D391" s="6">
        <f>(C391/12)*6</f>
        <v>104455</v>
      </c>
      <c r="E391" s="66">
        <v>0</v>
      </c>
      <c r="F391" s="6">
        <f>SUM(E386:E391)</f>
        <v>46360</v>
      </c>
      <c r="G391" s="36" t="str">
        <f t="shared" si="71"/>
        <v>Farol Vermelho</v>
      </c>
      <c r="H391">
        <f t="shared" si="69"/>
        <v>58095</v>
      </c>
      <c r="I391" s="6">
        <f t="shared" si="70"/>
        <v>6</v>
      </c>
      <c r="J391" s="76">
        <v>12</v>
      </c>
      <c r="K391" s="66"/>
      <c r="L391" s="6">
        <f>$L386+L390</f>
        <v>6</v>
      </c>
      <c r="M391" s="6">
        <f t="shared" si="75"/>
        <v>4</v>
      </c>
      <c r="N391" s="77">
        <v>100</v>
      </c>
      <c r="O391">
        <f t="shared" si="72"/>
        <v>0.5</v>
      </c>
      <c r="P391" s="77">
        <v>50</v>
      </c>
      <c r="Q391">
        <f t="shared" si="73"/>
        <v>0.3</v>
      </c>
      <c r="R391" s="75">
        <v>15</v>
      </c>
      <c r="S391" s="6">
        <f t="shared" si="74"/>
        <v>0.15</v>
      </c>
    </row>
    <row r="392" spans="1:19" x14ac:dyDescent="0.3">
      <c r="A392" s="37" t="s">
        <v>127</v>
      </c>
      <c r="B392" s="6" t="s">
        <v>164</v>
      </c>
      <c r="C392" s="77">
        <v>208910</v>
      </c>
      <c r="D392" s="6">
        <f>(C392/12)*7</f>
        <v>121864.16666666667</v>
      </c>
      <c r="E392" s="66">
        <v>0</v>
      </c>
      <c r="F392" s="6">
        <f>SUM(E386:E392)</f>
        <v>46360</v>
      </c>
      <c r="G392" s="36" t="str">
        <f t="shared" si="71"/>
        <v>Farol Vermelho</v>
      </c>
      <c r="H392">
        <f t="shared" si="69"/>
        <v>75504.166666666672</v>
      </c>
      <c r="I392" s="6">
        <f t="shared" si="70"/>
        <v>7</v>
      </c>
      <c r="J392" s="76">
        <v>12</v>
      </c>
      <c r="K392" s="66"/>
      <c r="L392" s="6">
        <f>$L386+L391</f>
        <v>7</v>
      </c>
      <c r="M392" s="6">
        <f t="shared" si="75"/>
        <v>4</v>
      </c>
      <c r="N392" s="77">
        <v>100</v>
      </c>
      <c r="O392">
        <f t="shared" si="72"/>
        <v>0.5</v>
      </c>
      <c r="P392" s="77">
        <v>50</v>
      </c>
      <c r="Q392">
        <f t="shared" si="73"/>
        <v>0.3</v>
      </c>
      <c r="R392" s="75">
        <v>15</v>
      </c>
      <c r="S392" s="6">
        <f t="shared" si="74"/>
        <v>0.15</v>
      </c>
    </row>
    <row r="393" spans="1:19" x14ac:dyDescent="0.3">
      <c r="A393" s="37" t="s">
        <v>127</v>
      </c>
      <c r="B393" s="6" t="s">
        <v>165</v>
      </c>
      <c r="C393" s="77">
        <v>208910</v>
      </c>
      <c r="D393" s="6">
        <f>(C393/12)*8</f>
        <v>139273.33333333334</v>
      </c>
      <c r="E393" s="66">
        <v>0</v>
      </c>
      <c r="F393" s="6">
        <f>SUM(E386:E393)</f>
        <v>46360</v>
      </c>
      <c r="G393" s="36" t="str">
        <f t="shared" si="71"/>
        <v>Farol Vermelho</v>
      </c>
      <c r="H393">
        <f t="shared" si="69"/>
        <v>92913.333333333343</v>
      </c>
      <c r="I393" s="6">
        <f t="shared" si="70"/>
        <v>8</v>
      </c>
      <c r="J393" s="76">
        <v>12</v>
      </c>
      <c r="K393" s="66"/>
      <c r="L393" s="6">
        <f>L386+L392</f>
        <v>8</v>
      </c>
      <c r="M393" s="6">
        <f t="shared" si="75"/>
        <v>4</v>
      </c>
      <c r="N393" s="77">
        <v>100</v>
      </c>
      <c r="O393">
        <f t="shared" si="72"/>
        <v>0.5</v>
      </c>
      <c r="P393" s="77">
        <v>50</v>
      </c>
      <c r="Q393">
        <f t="shared" si="73"/>
        <v>0.3</v>
      </c>
      <c r="R393" s="75">
        <v>15</v>
      </c>
      <c r="S393" s="6">
        <f t="shared" si="74"/>
        <v>0.15</v>
      </c>
    </row>
    <row r="394" spans="1:19" x14ac:dyDescent="0.3">
      <c r="A394" s="37" t="s">
        <v>127</v>
      </c>
      <c r="B394" s="6" t="s">
        <v>166</v>
      </c>
      <c r="C394" s="77">
        <v>208910</v>
      </c>
      <c r="D394" s="6">
        <f>(C394/12)*9</f>
        <v>156682.5</v>
      </c>
      <c r="E394" s="66">
        <v>0</v>
      </c>
      <c r="F394" s="6">
        <f>SUM(E386:E394)</f>
        <v>46360</v>
      </c>
      <c r="G394" s="36" t="str">
        <f t="shared" si="71"/>
        <v>Farol Vermelho</v>
      </c>
      <c r="H394">
        <f t="shared" si="69"/>
        <v>110322.5</v>
      </c>
      <c r="I394" s="6">
        <f t="shared" si="70"/>
        <v>9</v>
      </c>
      <c r="J394" s="76">
        <v>12</v>
      </c>
      <c r="K394" s="66"/>
      <c r="L394" s="6">
        <f>$L386+L393</f>
        <v>9</v>
      </c>
      <c r="M394" s="6">
        <f t="shared" si="75"/>
        <v>4</v>
      </c>
      <c r="N394" s="77">
        <v>100</v>
      </c>
      <c r="O394">
        <f t="shared" si="72"/>
        <v>0.5</v>
      </c>
      <c r="P394" s="77">
        <v>50</v>
      </c>
      <c r="Q394">
        <f t="shared" si="73"/>
        <v>0.3</v>
      </c>
      <c r="R394" s="75">
        <v>15</v>
      </c>
      <c r="S394" s="6">
        <f t="shared" si="74"/>
        <v>0.15</v>
      </c>
    </row>
    <row r="395" spans="1:19" x14ac:dyDescent="0.3">
      <c r="A395" s="37" t="s">
        <v>127</v>
      </c>
      <c r="B395" s="6" t="s">
        <v>167</v>
      </c>
      <c r="C395" s="77">
        <v>208910</v>
      </c>
      <c r="D395" s="6">
        <f>(C395/12)*10</f>
        <v>174091.66666666669</v>
      </c>
      <c r="E395" s="66">
        <v>0</v>
      </c>
      <c r="F395" s="6">
        <f>SUM(E386:E395)</f>
        <v>46360</v>
      </c>
      <c r="G395" s="36" t="str">
        <f t="shared" si="71"/>
        <v>Farol Vermelho</v>
      </c>
      <c r="H395">
        <f t="shared" si="69"/>
        <v>127731.66666666669</v>
      </c>
      <c r="I395" s="6">
        <f t="shared" si="70"/>
        <v>10</v>
      </c>
      <c r="J395" s="76">
        <v>12</v>
      </c>
      <c r="K395" s="66"/>
      <c r="L395" s="6">
        <f>$L386+L394</f>
        <v>10</v>
      </c>
      <c r="M395" s="6">
        <f t="shared" si="75"/>
        <v>4</v>
      </c>
      <c r="N395" s="77">
        <v>100</v>
      </c>
      <c r="O395">
        <f t="shared" si="72"/>
        <v>0.5</v>
      </c>
      <c r="P395" s="77">
        <v>50</v>
      </c>
      <c r="Q395">
        <f t="shared" si="73"/>
        <v>0.3</v>
      </c>
      <c r="R395" s="75">
        <v>15</v>
      </c>
      <c r="S395" s="6">
        <f t="shared" si="74"/>
        <v>0.15</v>
      </c>
    </row>
    <row r="396" spans="1:19" x14ac:dyDescent="0.3">
      <c r="A396" s="37" t="s">
        <v>127</v>
      </c>
      <c r="B396" s="6" t="s">
        <v>168</v>
      </c>
      <c r="C396" s="77">
        <v>208910</v>
      </c>
      <c r="D396" s="6">
        <f>(C396/12)*11</f>
        <v>191500.83333333334</v>
      </c>
      <c r="E396" s="66">
        <v>0</v>
      </c>
      <c r="F396" s="6">
        <f>SUM(E386:E396)</f>
        <v>46360</v>
      </c>
      <c r="G396" s="36" t="str">
        <f t="shared" si="71"/>
        <v>Farol Vermelho</v>
      </c>
      <c r="H396">
        <f t="shared" si="69"/>
        <v>145140.83333333334</v>
      </c>
      <c r="I396" s="6">
        <f t="shared" si="70"/>
        <v>11</v>
      </c>
      <c r="J396" s="76">
        <v>12</v>
      </c>
      <c r="K396" s="66"/>
      <c r="L396" s="6">
        <f>L386+L395</f>
        <v>11</v>
      </c>
      <c r="M396" s="6">
        <f t="shared" si="75"/>
        <v>4</v>
      </c>
      <c r="N396" s="77">
        <v>100</v>
      </c>
      <c r="O396">
        <f t="shared" si="72"/>
        <v>0.5</v>
      </c>
      <c r="P396" s="77">
        <v>50</v>
      </c>
      <c r="Q396">
        <f t="shared" si="73"/>
        <v>0.3</v>
      </c>
      <c r="R396" s="75">
        <v>15</v>
      </c>
      <c r="S396" s="6">
        <f t="shared" si="74"/>
        <v>0.15</v>
      </c>
    </row>
    <row r="397" spans="1:19" x14ac:dyDescent="0.3">
      <c r="A397" s="37" t="s">
        <v>127</v>
      </c>
      <c r="B397" s="6" t="s">
        <v>169</v>
      </c>
      <c r="C397" s="77">
        <v>208910</v>
      </c>
      <c r="D397" s="6">
        <f>(C397/12)*12</f>
        <v>208910</v>
      </c>
      <c r="E397" s="66">
        <v>0</v>
      </c>
      <c r="F397" s="6">
        <f>SUM(E386:E397)</f>
        <v>46360</v>
      </c>
      <c r="G397" s="36" t="str">
        <f t="shared" si="71"/>
        <v>Farol Vermelho</v>
      </c>
      <c r="H397">
        <f t="shared" si="69"/>
        <v>162550</v>
      </c>
      <c r="I397" s="6">
        <f t="shared" si="70"/>
        <v>12</v>
      </c>
      <c r="J397" s="76">
        <v>12</v>
      </c>
      <c r="K397" s="66"/>
      <c r="L397" s="6">
        <f>$L386+L396</f>
        <v>12</v>
      </c>
      <c r="M397" s="6">
        <f t="shared" si="75"/>
        <v>4</v>
      </c>
      <c r="N397" s="77">
        <v>100</v>
      </c>
      <c r="O397">
        <f t="shared" si="72"/>
        <v>0.5</v>
      </c>
      <c r="P397" s="77">
        <v>50</v>
      </c>
      <c r="Q397">
        <f t="shared" si="73"/>
        <v>0.3</v>
      </c>
      <c r="R397" s="75">
        <v>15</v>
      </c>
      <c r="S397" s="6">
        <f t="shared" si="74"/>
        <v>0.15</v>
      </c>
    </row>
    <row r="398" spans="1:19" x14ac:dyDescent="0.3">
      <c r="A398" s="37" t="s">
        <v>122</v>
      </c>
      <c r="B398" s="6" t="s">
        <v>158</v>
      </c>
      <c r="C398" s="77">
        <v>35349.75</v>
      </c>
      <c r="D398" s="6">
        <f>(C398/12)*1</f>
        <v>2945.8125</v>
      </c>
      <c r="E398" s="66">
        <v>10</v>
      </c>
      <c r="F398" s="6">
        <f>E398</f>
        <v>10</v>
      </c>
      <c r="G398" s="36" t="str">
        <f t="shared" si="71"/>
        <v>Farol Vermelho</v>
      </c>
      <c r="H398">
        <f t="shared" si="69"/>
        <v>2935.8125</v>
      </c>
      <c r="I398" s="6">
        <f t="shared" si="70"/>
        <v>1</v>
      </c>
      <c r="J398" s="76">
        <v>14</v>
      </c>
      <c r="K398" s="66">
        <v>1</v>
      </c>
      <c r="L398" s="6">
        <f>J398/12</f>
        <v>1.1666666666666667</v>
      </c>
      <c r="M398" s="6">
        <f>K398</f>
        <v>1</v>
      </c>
      <c r="N398" s="77">
        <v>100</v>
      </c>
      <c r="O398">
        <f t="shared" si="72"/>
        <v>0.5</v>
      </c>
      <c r="P398" s="77">
        <v>50</v>
      </c>
      <c r="Q398">
        <f t="shared" si="73"/>
        <v>0.3</v>
      </c>
      <c r="R398" s="75">
        <v>15</v>
      </c>
      <c r="S398" s="6">
        <f t="shared" si="74"/>
        <v>0.15</v>
      </c>
    </row>
    <row r="399" spans="1:19" x14ac:dyDescent="0.3">
      <c r="A399" s="37" t="s">
        <v>122</v>
      </c>
      <c r="B399" s="6" t="s">
        <v>159</v>
      </c>
      <c r="C399" s="77">
        <v>35349.75</v>
      </c>
      <c r="D399" s="6">
        <f>(C399/12)*2</f>
        <v>5891.625</v>
      </c>
      <c r="E399" s="66">
        <v>0</v>
      </c>
      <c r="F399" s="6">
        <f>SUM(E398:E399)</f>
        <v>10</v>
      </c>
      <c r="G399" s="36" t="str">
        <f t="shared" si="71"/>
        <v>Farol Vermelho</v>
      </c>
      <c r="H399">
        <f t="shared" si="69"/>
        <v>5881.625</v>
      </c>
      <c r="I399" s="6">
        <f t="shared" si="70"/>
        <v>2</v>
      </c>
      <c r="J399" s="75">
        <v>14</v>
      </c>
      <c r="K399" s="66">
        <v>0</v>
      </c>
      <c r="L399" s="6">
        <f>L398+L398</f>
        <v>2.3333333333333335</v>
      </c>
      <c r="M399" s="6">
        <f>M398+K399</f>
        <v>1</v>
      </c>
      <c r="N399" s="77">
        <v>100</v>
      </c>
      <c r="O399">
        <f t="shared" si="72"/>
        <v>0.5</v>
      </c>
      <c r="P399" s="77">
        <v>50</v>
      </c>
      <c r="Q399">
        <f t="shared" si="73"/>
        <v>0.3</v>
      </c>
      <c r="R399" s="75">
        <v>15</v>
      </c>
      <c r="S399" s="6">
        <f t="shared" si="74"/>
        <v>0.15</v>
      </c>
    </row>
    <row r="400" spans="1:19" x14ac:dyDescent="0.3">
      <c r="A400" s="37" t="s">
        <v>122</v>
      </c>
      <c r="B400" s="6" t="s">
        <v>160</v>
      </c>
      <c r="C400" s="77">
        <v>35349.75</v>
      </c>
      <c r="D400" s="6">
        <f>(C400/12)*3</f>
        <v>8837.4375</v>
      </c>
      <c r="E400" s="66">
        <v>0</v>
      </c>
      <c r="F400" s="6">
        <f>SUM(E398:E400)</f>
        <v>10</v>
      </c>
      <c r="G400" s="36" t="str">
        <f t="shared" si="71"/>
        <v>Farol Vermelho</v>
      </c>
      <c r="H400">
        <f t="shared" si="69"/>
        <v>8827.4375</v>
      </c>
      <c r="I400" s="6">
        <f t="shared" si="70"/>
        <v>3</v>
      </c>
      <c r="J400" s="76">
        <v>14</v>
      </c>
      <c r="K400" s="66">
        <v>0</v>
      </c>
      <c r="L400" s="6">
        <f>$L398+L399</f>
        <v>3.5</v>
      </c>
      <c r="M400" s="6">
        <f t="shared" ref="M400:M409" si="76">M399+K400</f>
        <v>1</v>
      </c>
      <c r="N400" s="77">
        <v>100</v>
      </c>
      <c r="O400">
        <f t="shared" si="72"/>
        <v>0.5</v>
      </c>
      <c r="P400" s="77">
        <v>50</v>
      </c>
      <c r="Q400">
        <f t="shared" si="73"/>
        <v>0.3</v>
      </c>
      <c r="R400" s="75">
        <v>15</v>
      </c>
      <c r="S400" s="6">
        <f t="shared" si="74"/>
        <v>0.15</v>
      </c>
    </row>
    <row r="401" spans="1:19" x14ac:dyDescent="0.3">
      <c r="A401" s="37" t="s">
        <v>122</v>
      </c>
      <c r="B401" s="6" t="s">
        <v>161</v>
      </c>
      <c r="C401" s="77">
        <v>35349.75</v>
      </c>
      <c r="D401" s="6">
        <f>(C401/12)*4</f>
        <v>11783.25</v>
      </c>
      <c r="E401" s="66">
        <v>0</v>
      </c>
      <c r="F401" s="6">
        <f>SUM(E398:E401)</f>
        <v>10</v>
      </c>
      <c r="G401" s="36" t="str">
        <f t="shared" si="71"/>
        <v>Farol Vermelho</v>
      </c>
      <c r="H401">
        <f t="shared" si="69"/>
        <v>11773.25</v>
      </c>
      <c r="I401" s="6">
        <f t="shared" si="70"/>
        <v>4</v>
      </c>
      <c r="J401" s="75">
        <v>14</v>
      </c>
      <c r="K401" s="66">
        <v>0</v>
      </c>
      <c r="L401" s="6">
        <f>$L398+L400</f>
        <v>4.666666666666667</v>
      </c>
      <c r="M401" s="6">
        <f t="shared" si="76"/>
        <v>1</v>
      </c>
      <c r="N401" s="77">
        <v>100</v>
      </c>
      <c r="O401">
        <f t="shared" si="72"/>
        <v>0.5</v>
      </c>
      <c r="P401" s="77">
        <v>50</v>
      </c>
      <c r="Q401">
        <f t="shared" si="73"/>
        <v>0.3</v>
      </c>
      <c r="R401" s="75">
        <v>15</v>
      </c>
      <c r="S401" s="6">
        <f t="shared" si="74"/>
        <v>0.15</v>
      </c>
    </row>
    <row r="402" spans="1:19" x14ac:dyDescent="0.3">
      <c r="A402" s="37" t="s">
        <v>122</v>
      </c>
      <c r="B402" s="6" t="s">
        <v>162</v>
      </c>
      <c r="C402" s="77">
        <v>35349.75</v>
      </c>
      <c r="D402" s="6">
        <f>(C402/12)*5</f>
        <v>14729.0625</v>
      </c>
      <c r="E402" s="66">
        <v>144</v>
      </c>
      <c r="F402" s="6">
        <f>SUM(E398:E402)</f>
        <v>154</v>
      </c>
      <c r="G402" s="36" t="str">
        <f t="shared" si="71"/>
        <v>Farol Vermelho</v>
      </c>
      <c r="H402">
        <f t="shared" si="69"/>
        <v>14575.0625</v>
      </c>
      <c r="I402" s="6">
        <f t="shared" si="70"/>
        <v>5</v>
      </c>
      <c r="J402" s="76">
        <v>14</v>
      </c>
      <c r="K402" s="66">
        <v>1</v>
      </c>
      <c r="L402" s="6">
        <f>L398+L401</f>
        <v>5.8333333333333339</v>
      </c>
      <c r="M402" s="6">
        <f t="shared" si="76"/>
        <v>2</v>
      </c>
      <c r="N402" s="77">
        <v>100</v>
      </c>
      <c r="O402">
        <f t="shared" si="72"/>
        <v>0.5</v>
      </c>
      <c r="P402" s="77">
        <v>50</v>
      </c>
      <c r="Q402">
        <f t="shared" si="73"/>
        <v>0.3</v>
      </c>
      <c r="R402" s="75">
        <v>15</v>
      </c>
      <c r="S402" s="6">
        <f t="shared" si="74"/>
        <v>0.15</v>
      </c>
    </row>
    <row r="403" spans="1:19" x14ac:dyDescent="0.3">
      <c r="A403" s="37" t="s">
        <v>122</v>
      </c>
      <c r="B403" s="6" t="s">
        <v>163</v>
      </c>
      <c r="C403" s="77">
        <v>35349.75</v>
      </c>
      <c r="D403" s="6">
        <f>(C403/12)*6</f>
        <v>17674.875</v>
      </c>
      <c r="E403" s="66">
        <v>0</v>
      </c>
      <c r="F403" s="6">
        <f>SUM(E398:E403)</f>
        <v>154</v>
      </c>
      <c r="G403" s="36" t="str">
        <f t="shared" si="71"/>
        <v>Farol Vermelho</v>
      </c>
      <c r="H403">
        <f t="shared" si="69"/>
        <v>17520.875</v>
      </c>
      <c r="I403" s="6">
        <f t="shared" si="70"/>
        <v>6</v>
      </c>
      <c r="J403" s="75">
        <v>14</v>
      </c>
      <c r="K403" s="66"/>
      <c r="L403" s="6">
        <f>$L398+L402</f>
        <v>7.0000000000000009</v>
      </c>
      <c r="M403" s="6">
        <f t="shared" si="76"/>
        <v>2</v>
      </c>
      <c r="N403" s="77">
        <v>100</v>
      </c>
      <c r="O403">
        <f t="shared" si="72"/>
        <v>0.5</v>
      </c>
      <c r="P403" s="77">
        <v>50</v>
      </c>
      <c r="Q403">
        <f t="shared" si="73"/>
        <v>0.3</v>
      </c>
      <c r="R403" s="75">
        <v>15</v>
      </c>
      <c r="S403" s="6">
        <f t="shared" si="74"/>
        <v>0.15</v>
      </c>
    </row>
    <row r="404" spans="1:19" x14ac:dyDescent="0.3">
      <c r="A404" s="37" t="s">
        <v>122</v>
      </c>
      <c r="B404" s="6" t="s">
        <v>164</v>
      </c>
      <c r="C404" s="77">
        <v>35349.75</v>
      </c>
      <c r="D404" s="6">
        <f>(C404/12)*7</f>
        <v>20620.6875</v>
      </c>
      <c r="E404" s="66">
        <v>0</v>
      </c>
      <c r="F404" s="6">
        <f>SUM(E398:E404)</f>
        <v>154</v>
      </c>
      <c r="G404" s="36" t="str">
        <f t="shared" si="71"/>
        <v>Farol Vermelho</v>
      </c>
      <c r="H404">
        <f t="shared" si="69"/>
        <v>20466.6875</v>
      </c>
      <c r="I404" s="6">
        <f t="shared" si="70"/>
        <v>7</v>
      </c>
      <c r="J404" s="76">
        <v>14</v>
      </c>
      <c r="K404" s="66"/>
      <c r="L404" s="6">
        <f>$L398+L403</f>
        <v>8.1666666666666679</v>
      </c>
      <c r="M404" s="6">
        <f t="shared" si="76"/>
        <v>2</v>
      </c>
      <c r="N404" s="77">
        <v>100</v>
      </c>
      <c r="O404">
        <f t="shared" si="72"/>
        <v>0.5</v>
      </c>
      <c r="P404" s="77">
        <v>50</v>
      </c>
      <c r="Q404">
        <f t="shared" si="73"/>
        <v>0.3</v>
      </c>
      <c r="R404" s="75">
        <v>15</v>
      </c>
      <c r="S404" s="6">
        <f t="shared" si="74"/>
        <v>0.15</v>
      </c>
    </row>
    <row r="405" spans="1:19" x14ac:dyDescent="0.3">
      <c r="A405" s="37" t="s">
        <v>122</v>
      </c>
      <c r="B405" s="6" t="s">
        <v>165</v>
      </c>
      <c r="C405" s="77">
        <v>35349.75</v>
      </c>
      <c r="D405" s="6">
        <f>(C405/12)*8</f>
        <v>23566.5</v>
      </c>
      <c r="E405" s="66">
        <v>0</v>
      </c>
      <c r="F405" s="6">
        <f>SUM(E398:E405)</f>
        <v>154</v>
      </c>
      <c r="G405" s="36" t="str">
        <f t="shared" si="71"/>
        <v>Farol Vermelho</v>
      </c>
      <c r="H405">
        <f t="shared" si="69"/>
        <v>23412.5</v>
      </c>
      <c r="I405" s="6">
        <f t="shared" si="70"/>
        <v>8</v>
      </c>
      <c r="J405" s="75">
        <v>14</v>
      </c>
      <c r="K405" s="66"/>
      <c r="L405" s="6">
        <f>L398+L404</f>
        <v>9.3333333333333339</v>
      </c>
      <c r="M405" s="6">
        <f t="shared" si="76"/>
        <v>2</v>
      </c>
      <c r="N405" s="77">
        <v>100</v>
      </c>
      <c r="O405">
        <f t="shared" si="72"/>
        <v>0.5</v>
      </c>
      <c r="P405" s="77">
        <v>50</v>
      </c>
      <c r="Q405">
        <f t="shared" si="73"/>
        <v>0.3</v>
      </c>
      <c r="R405" s="75">
        <v>15</v>
      </c>
      <c r="S405" s="6">
        <f t="shared" si="74"/>
        <v>0.15</v>
      </c>
    </row>
    <row r="406" spans="1:19" x14ac:dyDescent="0.3">
      <c r="A406" s="37" t="s">
        <v>122</v>
      </c>
      <c r="B406" s="6" t="s">
        <v>166</v>
      </c>
      <c r="C406" s="77">
        <v>35349.75</v>
      </c>
      <c r="D406" s="6">
        <f>(C406/12)*9</f>
        <v>26512.3125</v>
      </c>
      <c r="E406" s="66">
        <v>0</v>
      </c>
      <c r="F406" s="6">
        <f>SUM(E398:E406)</f>
        <v>154</v>
      </c>
      <c r="G406" s="36" t="str">
        <f t="shared" si="71"/>
        <v>Farol Vermelho</v>
      </c>
      <c r="H406">
        <f t="shared" si="69"/>
        <v>26358.3125</v>
      </c>
      <c r="I406" s="6">
        <f t="shared" si="70"/>
        <v>9</v>
      </c>
      <c r="J406" s="76">
        <v>14</v>
      </c>
      <c r="K406" s="66"/>
      <c r="L406" s="6">
        <f>$L398+L405</f>
        <v>10.5</v>
      </c>
      <c r="M406" s="6">
        <f t="shared" si="76"/>
        <v>2</v>
      </c>
      <c r="N406" s="77">
        <v>100</v>
      </c>
      <c r="O406">
        <f t="shared" si="72"/>
        <v>0.5</v>
      </c>
      <c r="P406" s="77">
        <v>50</v>
      </c>
      <c r="Q406">
        <f t="shared" si="73"/>
        <v>0.3</v>
      </c>
      <c r="R406" s="75">
        <v>15</v>
      </c>
      <c r="S406" s="6">
        <f t="shared" si="74"/>
        <v>0.15</v>
      </c>
    </row>
    <row r="407" spans="1:19" x14ac:dyDescent="0.3">
      <c r="A407" s="37" t="s">
        <v>122</v>
      </c>
      <c r="B407" s="6" t="s">
        <v>167</v>
      </c>
      <c r="C407" s="77">
        <v>35349.75</v>
      </c>
      <c r="D407" s="6">
        <f>(C407/12)*10</f>
        <v>29458.125</v>
      </c>
      <c r="E407" s="66">
        <v>0</v>
      </c>
      <c r="F407" s="6">
        <f>SUM(E398:E407)</f>
        <v>154</v>
      </c>
      <c r="G407" s="36" t="str">
        <f t="shared" si="71"/>
        <v>Farol Vermelho</v>
      </c>
      <c r="H407">
        <f t="shared" si="69"/>
        <v>29304.125</v>
      </c>
      <c r="I407" s="6">
        <f t="shared" si="70"/>
        <v>10</v>
      </c>
      <c r="J407" s="75">
        <v>14</v>
      </c>
      <c r="K407" s="66"/>
      <c r="L407" s="6">
        <f>$L398+L406</f>
        <v>11.666666666666666</v>
      </c>
      <c r="M407" s="6">
        <f t="shared" si="76"/>
        <v>2</v>
      </c>
      <c r="N407" s="77">
        <v>100</v>
      </c>
      <c r="O407">
        <f t="shared" si="72"/>
        <v>0.5</v>
      </c>
      <c r="P407" s="77">
        <v>50</v>
      </c>
      <c r="Q407">
        <f t="shared" si="73"/>
        <v>0.3</v>
      </c>
      <c r="R407" s="75">
        <v>15</v>
      </c>
      <c r="S407" s="6">
        <f t="shared" si="74"/>
        <v>0.15</v>
      </c>
    </row>
    <row r="408" spans="1:19" x14ac:dyDescent="0.3">
      <c r="A408" s="37" t="s">
        <v>122</v>
      </c>
      <c r="B408" s="6" t="s">
        <v>168</v>
      </c>
      <c r="C408" s="77">
        <v>35349.75</v>
      </c>
      <c r="D408" s="6">
        <f>(C408/12)*11</f>
        <v>32403.9375</v>
      </c>
      <c r="E408" s="66">
        <v>0</v>
      </c>
      <c r="F408" s="6">
        <f>SUM(E398:E408)</f>
        <v>154</v>
      </c>
      <c r="G408" s="36" t="str">
        <f t="shared" si="71"/>
        <v>Farol Vermelho</v>
      </c>
      <c r="H408">
        <f t="shared" si="69"/>
        <v>32249.9375</v>
      </c>
      <c r="I408" s="6">
        <f t="shared" si="70"/>
        <v>11</v>
      </c>
      <c r="J408" s="76">
        <v>14</v>
      </c>
      <c r="K408" s="66"/>
      <c r="L408" s="6">
        <f>L398+L407</f>
        <v>12.833333333333332</v>
      </c>
      <c r="M408" s="6">
        <f t="shared" si="76"/>
        <v>2</v>
      </c>
      <c r="N408" s="77">
        <v>100</v>
      </c>
      <c r="O408">
        <f t="shared" si="72"/>
        <v>0.5</v>
      </c>
      <c r="P408" s="77">
        <v>50</v>
      </c>
      <c r="Q408">
        <f t="shared" si="73"/>
        <v>0.3</v>
      </c>
      <c r="R408" s="75">
        <v>15</v>
      </c>
      <c r="S408" s="6">
        <f t="shared" si="74"/>
        <v>0.15</v>
      </c>
    </row>
    <row r="409" spans="1:19" x14ac:dyDescent="0.3">
      <c r="A409" s="37" t="s">
        <v>122</v>
      </c>
      <c r="B409" s="6" t="s">
        <v>169</v>
      </c>
      <c r="C409" s="77">
        <v>35349.75</v>
      </c>
      <c r="D409" s="6">
        <f>(C409/12)*12</f>
        <v>35349.75</v>
      </c>
      <c r="E409" s="66">
        <v>0</v>
      </c>
      <c r="F409" s="6">
        <f>SUM(E398:E409)</f>
        <v>154</v>
      </c>
      <c r="G409" s="36" t="str">
        <f t="shared" si="71"/>
        <v>Farol Vermelho</v>
      </c>
      <c r="H409">
        <f t="shared" si="69"/>
        <v>35195.75</v>
      </c>
      <c r="I409" s="6">
        <f t="shared" si="70"/>
        <v>12</v>
      </c>
      <c r="J409" s="75">
        <v>14</v>
      </c>
      <c r="K409" s="66"/>
      <c r="L409" s="6">
        <f>$L398+L408</f>
        <v>13.999999999999998</v>
      </c>
      <c r="M409" s="6">
        <f t="shared" si="76"/>
        <v>2</v>
      </c>
      <c r="N409" s="77">
        <v>100</v>
      </c>
      <c r="O409">
        <f t="shared" si="72"/>
        <v>0.5</v>
      </c>
      <c r="P409" s="77">
        <v>50</v>
      </c>
      <c r="Q409">
        <f t="shared" si="73"/>
        <v>0.3</v>
      </c>
      <c r="R409" s="75">
        <v>15</v>
      </c>
      <c r="S409" s="6">
        <f t="shared" si="74"/>
        <v>0.15</v>
      </c>
    </row>
    <row r="410" spans="1:19" x14ac:dyDescent="0.3">
      <c r="A410" s="37" t="s">
        <v>90</v>
      </c>
      <c r="B410" s="6" t="s">
        <v>158</v>
      </c>
      <c r="C410" s="77">
        <v>1000</v>
      </c>
      <c r="D410" s="6">
        <f>(C410/12)*1</f>
        <v>83.333333333333329</v>
      </c>
      <c r="E410" s="66">
        <v>0</v>
      </c>
      <c r="F410" s="6">
        <f>E410</f>
        <v>0</v>
      </c>
      <c r="G410" s="36" t="str">
        <f t="shared" si="71"/>
        <v>Farol Vermelho</v>
      </c>
      <c r="H410">
        <f t="shared" si="69"/>
        <v>83.333333333333329</v>
      </c>
      <c r="I410" s="6">
        <f t="shared" si="70"/>
        <v>1</v>
      </c>
      <c r="J410" s="76">
        <v>10</v>
      </c>
      <c r="K410" s="66">
        <v>0</v>
      </c>
      <c r="L410" s="6">
        <f>J410/12</f>
        <v>0.83333333333333337</v>
      </c>
      <c r="M410" s="6">
        <f>K410</f>
        <v>0</v>
      </c>
      <c r="N410" s="77">
        <v>100</v>
      </c>
      <c r="O410">
        <f t="shared" si="72"/>
        <v>0.5</v>
      </c>
      <c r="P410" s="77">
        <v>50</v>
      </c>
      <c r="Q410">
        <f t="shared" si="73"/>
        <v>0.3</v>
      </c>
      <c r="R410" s="75">
        <v>15</v>
      </c>
      <c r="S410" s="6">
        <f t="shared" si="74"/>
        <v>0.15</v>
      </c>
    </row>
    <row r="411" spans="1:19" x14ac:dyDescent="0.3">
      <c r="A411" s="37" t="s">
        <v>90</v>
      </c>
      <c r="B411" s="6" t="s">
        <v>159</v>
      </c>
      <c r="C411" s="77">
        <v>1000</v>
      </c>
      <c r="D411" s="6">
        <f>(C411/12)*2</f>
        <v>166.66666666666666</v>
      </c>
      <c r="E411" s="66">
        <v>0</v>
      </c>
      <c r="F411" s="6">
        <f>SUM(E410:E411)</f>
        <v>0</v>
      </c>
      <c r="G411" s="36" t="str">
        <f t="shared" si="71"/>
        <v>Farol Vermelho</v>
      </c>
      <c r="H411">
        <f t="shared" si="69"/>
        <v>166.66666666666666</v>
      </c>
      <c r="I411" s="6">
        <f t="shared" si="70"/>
        <v>2</v>
      </c>
      <c r="J411" s="76">
        <v>10</v>
      </c>
      <c r="K411" s="66">
        <v>0</v>
      </c>
      <c r="L411" s="6">
        <f>L410+L410</f>
        <v>1.6666666666666667</v>
      </c>
      <c r="M411" s="6">
        <f>M410+K411</f>
        <v>0</v>
      </c>
      <c r="N411" s="77">
        <v>100</v>
      </c>
      <c r="O411">
        <f t="shared" si="72"/>
        <v>0.5</v>
      </c>
      <c r="P411" s="77">
        <v>50</v>
      </c>
      <c r="Q411">
        <f t="shared" si="73"/>
        <v>0.3</v>
      </c>
      <c r="R411" s="75">
        <v>15</v>
      </c>
      <c r="S411" s="6">
        <f t="shared" si="74"/>
        <v>0.15</v>
      </c>
    </row>
    <row r="412" spans="1:19" x14ac:dyDescent="0.3">
      <c r="A412" s="37" t="s">
        <v>90</v>
      </c>
      <c r="B412" s="6" t="s">
        <v>160</v>
      </c>
      <c r="C412" s="77">
        <v>1000</v>
      </c>
      <c r="D412" s="6">
        <f>(C412/12)*3</f>
        <v>250</v>
      </c>
      <c r="E412" s="66">
        <v>0</v>
      </c>
      <c r="F412" s="6">
        <f>SUM(E410:E412)</f>
        <v>0</v>
      </c>
      <c r="G412" s="36" t="str">
        <f t="shared" si="71"/>
        <v>Farol Vermelho</v>
      </c>
      <c r="H412">
        <f t="shared" si="69"/>
        <v>250</v>
      </c>
      <c r="I412" s="6">
        <f t="shared" si="70"/>
        <v>3</v>
      </c>
      <c r="J412" s="76">
        <v>10</v>
      </c>
      <c r="K412" s="66">
        <v>0</v>
      </c>
      <c r="L412" s="6">
        <f>$L410+L411</f>
        <v>2.5</v>
      </c>
      <c r="M412" s="6">
        <f t="shared" ref="M412:M421" si="77">M411+K412</f>
        <v>0</v>
      </c>
      <c r="N412" s="77">
        <v>100</v>
      </c>
      <c r="O412">
        <f t="shared" si="72"/>
        <v>0.5</v>
      </c>
      <c r="P412" s="77">
        <v>50</v>
      </c>
      <c r="Q412">
        <f t="shared" si="73"/>
        <v>0.3</v>
      </c>
      <c r="R412" s="75">
        <v>15</v>
      </c>
      <c r="S412" s="6">
        <f t="shared" si="74"/>
        <v>0.15</v>
      </c>
    </row>
    <row r="413" spans="1:19" x14ac:dyDescent="0.3">
      <c r="A413" s="37" t="s">
        <v>90</v>
      </c>
      <c r="B413" s="6" t="s">
        <v>161</v>
      </c>
      <c r="C413" s="77">
        <v>1000</v>
      </c>
      <c r="D413" s="6">
        <f>(C413/12)*4</f>
        <v>333.33333333333331</v>
      </c>
      <c r="E413" s="66">
        <v>0</v>
      </c>
      <c r="F413" s="6">
        <f>SUM(E410:E413)</f>
        <v>0</v>
      </c>
      <c r="G413" s="36" t="str">
        <f t="shared" si="71"/>
        <v>Farol Vermelho</v>
      </c>
      <c r="H413">
        <f t="shared" si="69"/>
        <v>333.33333333333331</v>
      </c>
      <c r="I413" s="6">
        <f t="shared" si="70"/>
        <v>4</v>
      </c>
      <c r="J413" s="76">
        <v>10</v>
      </c>
      <c r="K413" s="66">
        <v>0</v>
      </c>
      <c r="L413" s="6">
        <f>$L410+L412</f>
        <v>3.3333333333333335</v>
      </c>
      <c r="M413" s="6">
        <f t="shared" si="77"/>
        <v>0</v>
      </c>
      <c r="N413" s="77">
        <v>100</v>
      </c>
      <c r="O413">
        <f t="shared" si="72"/>
        <v>0.5</v>
      </c>
      <c r="P413" s="77">
        <v>50</v>
      </c>
      <c r="Q413">
        <f t="shared" si="73"/>
        <v>0.3</v>
      </c>
      <c r="R413" s="75">
        <v>15</v>
      </c>
      <c r="S413" s="6">
        <f t="shared" si="74"/>
        <v>0.15</v>
      </c>
    </row>
    <row r="414" spans="1:19" x14ac:dyDescent="0.3">
      <c r="A414" s="37" t="s">
        <v>90</v>
      </c>
      <c r="B414" s="6" t="s">
        <v>162</v>
      </c>
      <c r="C414" s="77">
        <v>1000</v>
      </c>
      <c r="D414" s="6">
        <f>(C414/12)*5</f>
        <v>416.66666666666663</v>
      </c>
      <c r="E414" s="66">
        <v>0</v>
      </c>
      <c r="F414" s="6">
        <f>SUM(E410:E414)</f>
        <v>0</v>
      </c>
      <c r="G414" s="36" t="str">
        <f t="shared" si="71"/>
        <v>Farol Vermelho</v>
      </c>
      <c r="H414">
        <f t="shared" si="69"/>
        <v>416.66666666666663</v>
      </c>
      <c r="I414" s="6">
        <f t="shared" si="70"/>
        <v>5</v>
      </c>
      <c r="J414" s="76">
        <v>10</v>
      </c>
      <c r="K414" s="66"/>
      <c r="L414" s="6">
        <f>L410+L413</f>
        <v>4.166666666666667</v>
      </c>
      <c r="M414" s="6">
        <f t="shared" si="77"/>
        <v>0</v>
      </c>
      <c r="N414" s="77">
        <v>100</v>
      </c>
      <c r="O414">
        <f t="shared" si="72"/>
        <v>0.5</v>
      </c>
      <c r="P414" s="77">
        <v>50</v>
      </c>
      <c r="Q414">
        <f t="shared" si="73"/>
        <v>0.3</v>
      </c>
      <c r="R414" s="75">
        <v>15</v>
      </c>
      <c r="S414" s="6">
        <f t="shared" si="74"/>
        <v>0.15</v>
      </c>
    </row>
    <row r="415" spans="1:19" x14ac:dyDescent="0.3">
      <c r="A415" s="37" t="s">
        <v>90</v>
      </c>
      <c r="B415" s="6" t="s">
        <v>163</v>
      </c>
      <c r="C415" s="77">
        <v>1000</v>
      </c>
      <c r="D415" s="6">
        <f>(C415/12)*6</f>
        <v>500</v>
      </c>
      <c r="E415" s="66">
        <v>0</v>
      </c>
      <c r="F415" s="6">
        <f>SUM(E410:E415)</f>
        <v>0</v>
      </c>
      <c r="G415" s="36" t="str">
        <f t="shared" si="71"/>
        <v>Farol Vermelho</v>
      </c>
      <c r="H415">
        <f t="shared" si="69"/>
        <v>500</v>
      </c>
      <c r="I415" s="6">
        <f t="shared" si="70"/>
        <v>6</v>
      </c>
      <c r="J415" s="76">
        <v>10</v>
      </c>
      <c r="K415" s="66"/>
      <c r="L415" s="6">
        <f>$L410+L414</f>
        <v>5</v>
      </c>
      <c r="M415" s="6">
        <f t="shared" si="77"/>
        <v>0</v>
      </c>
      <c r="N415" s="77">
        <v>100</v>
      </c>
      <c r="O415">
        <f t="shared" si="72"/>
        <v>0.5</v>
      </c>
      <c r="P415" s="77">
        <v>50</v>
      </c>
      <c r="Q415">
        <f t="shared" si="73"/>
        <v>0.3</v>
      </c>
      <c r="R415" s="75">
        <v>15</v>
      </c>
      <c r="S415" s="6">
        <f t="shared" si="74"/>
        <v>0.15</v>
      </c>
    </row>
    <row r="416" spans="1:19" x14ac:dyDescent="0.3">
      <c r="A416" s="37" t="s">
        <v>90</v>
      </c>
      <c r="B416" s="6" t="s">
        <v>164</v>
      </c>
      <c r="C416" s="77">
        <v>1000</v>
      </c>
      <c r="D416" s="6">
        <f>(C416/12)*7</f>
        <v>583.33333333333326</v>
      </c>
      <c r="E416" s="66">
        <v>0</v>
      </c>
      <c r="F416" s="6">
        <f>SUM(E410:E416)</f>
        <v>0</v>
      </c>
      <c r="G416" s="36" t="str">
        <f t="shared" si="71"/>
        <v>Farol Vermelho</v>
      </c>
      <c r="H416">
        <f t="shared" si="69"/>
        <v>583.33333333333326</v>
      </c>
      <c r="I416" s="6">
        <f t="shared" si="70"/>
        <v>7</v>
      </c>
      <c r="J416" s="76">
        <v>10</v>
      </c>
      <c r="K416" s="66"/>
      <c r="L416" s="6">
        <f>$L410+L415</f>
        <v>5.833333333333333</v>
      </c>
      <c r="M416" s="6">
        <f t="shared" si="77"/>
        <v>0</v>
      </c>
      <c r="N416" s="77">
        <v>100</v>
      </c>
      <c r="O416">
        <f t="shared" si="72"/>
        <v>0.5</v>
      </c>
      <c r="P416" s="77">
        <v>50</v>
      </c>
      <c r="Q416">
        <f t="shared" si="73"/>
        <v>0.3</v>
      </c>
      <c r="R416" s="75">
        <v>15</v>
      </c>
      <c r="S416" s="6">
        <f t="shared" si="74"/>
        <v>0.15</v>
      </c>
    </row>
    <row r="417" spans="1:19" x14ac:dyDescent="0.3">
      <c r="A417" s="37" t="s">
        <v>90</v>
      </c>
      <c r="B417" s="6" t="s">
        <v>165</v>
      </c>
      <c r="C417" s="77">
        <v>1000</v>
      </c>
      <c r="D417" s="6">
        <f>(C417/12)*8</f>
        <v>666.66666666666663</v>
      </c>
      <c r="E417" s="66">
        <v>0</v>
      </c>
      <c r="F417" s="6">
        <f>SUM(E410:E417)</f>
        <v>0</v>
      </c>
      <c r="G417" s="36" t="str">
        <f t="shared" si="71"/>
        <v>Farol Vermelho</v>
      </c>
      <c r="H417">
        <f t="shared" si="69"/>
        <v>666.66666666666663</v>
      </c>
      <c r="I417" s="6">
        <f t="shared" si="70"/>
        <v>8</v>
      </c>
      <c r="J417" s="76">
        <v>10</v>
      </c>
      <c r="K417" s="66"/>
      <c r="L417" s="6">
        <f>L410+L416</f>
        <v>6.6666666666666661</v>
      </c>
      <c r="M417" s="6">
        <f t="shared" si="77"/>
        <v>0</v>
      </c>
      <c r="N417" s="77">
        <v>100</v>
      </c>
      <c r="O417">
        <f t="shared" si="72"/>
        <v>0.5</v>
      </c>
      <c r="P417" s="77">
        <v>50</v>
      </c>
      <c r="Q417">
        <f t="shared" si="73"/>
        <v>0.3</v>
      </c>
      <c r="R417" s="75">
        <v>15</v>
      </c>
      <c r="S417" s="6">
        <f t="shared" si="74"/>
        <v>0.15</v>
      </c>
    </row>
    <row r="418" spans="1:19" x14ac:dyDescent="0.3">
      <c r="A418" s="37" t="s">
        <v>90</v>
      </c>
      <c r="B418" s="6" t="s">
        <v>166</v>
      </c>
      <c r="C418" s="77">
        <v>1000</v>
      </c>
      <c r="D418" s="6">
        <f>(C418/12)*9</f>
        <v>750</v>
      </c>
      <c r="E418" s="66">
        <v>0</v>
      </c>
      <c r="F418" s="6">
        <f>SUM(E410:E418)</f>
        <v>0</v>
      </c>
      <c r="G418" s="36" t="str">
        <f t="shared" si="71"/>
        <v>Farol Vermelho</v>
      </c>
      <c r="H418">
        <f t="shared" si="69"/>
        <v>750</v>
      </c>
      <c r="I418" s="6">
        <f t="shared" si="70"/>
        <v>9</v>
      </c>
      <c r="J418" s="76">
        <v>10</v>
      </c>
      <c r="K418" s="66"/>
      <c r="L418" s="6">
        <f>$L410+L417</f>
        <v>7.4999999999999991</v>
      </c>
      <c r="M418" s="6">
        <f t="shared" si="77"/>
        <v>0</v>
      </c>
      <c r="N418" s="77">
        <v>100</v>
      </c>
      <c r="O418">
        <f t="shared" si="72"/>
        <v>0.5</v>
      </c>
      <c r="P418" s="77">
        <v>50</v>
      </c>
      <c r="Q418">
        <f t="shared" si="73"/>
        <v>0.3</v>
      </c>
      <c r="R418" s="75">
        <v>15</v>
      </c>
      <c r="S418" s="6">
        <f t="shared" si="74"/>
        <v>0.15</v>
      </c>
    </row>
    <row r="419" spans="1:19" x14ac:dyDescent="0.3">
      <c r="A419" s="37" t="s">
        <v>90</v>
      </c>
      <c r="B419" s="6" t="s">
        <v>167</v>
      </c>
      <c r="C419" s="77">
        <v>1000</v>
      </c>
      <c r="D419" s="6">
        <f>(C419/12)*10</f>
        <v>833.33333333333326</v>
      </c>
      <c r="E419" s="66">
        <v>0</v>
      </c>
      <c r="F419" s="6">
        <f>SUM(E410:E419)</f>
        <v>0</v>
      </c>
      <c r="G419" s="36" t="str">
        <f t="shared" si="71"/>
        <v>Farol Vermelho</v>
      </c>
      <c r="H419">
        <f t="shared" si="69"/>
        <v>833.33333333333326</v>
      </c>
      <c r="I419" s="6">
        <f t="shared" si="70"/>
        <v>10</v>
      </c>
      <c r="J419" s="76">
        <v>10</v>
      </c>
      <c r="K419" s="66"/>
      <c r="L419" s="6">
        <f>$L410+L418</f>
        <v>8.3333333333333321</v>
      </c>
      <c r="M419" s="6">
        <f t="shared" si="77"/>
        <v>0</v>
      </c>
      <c r="N419" s="77">
        <v>100</v>
      </c>
      <c r="O419">
        <f t="shared" si="72"/>
        <v>0.5</v>
      </c>
      <c r="P419" s="77">
        <v>50</v>
      </c>
      <c r="Q419">
        <f t="shared" si="73"/>
        <v>0.3</v>
      </c>
      <c r="R419" s="75">
        <v>15</v>
      </c>
      <c r="S419" s="6">
        <f t="shared" si="74"/>
        <v>0.15</v>
      </c>
    </row>
    <row r="420" spans="1:19" x14ac:dyDescent="0.3">
      <c r="A420" s="37" t="s">
        <v>90</v>
      </c>
      <c r="B420" s="6" t="s">
        <v>168</v>
      </c>
      <c r="C420" s="77">
        <v>1000</v>
      </c>
      <c r="D420" s="6">
        <f>(C420/12)*11</f>
        <v>916.66666666666663</v>
      </c>
      <c r="E420" s="66">
        <v>0</v>
      </c>
      <c r="F420" s="6">
        <f>SUM(E410:E420)</f>
        <v>0</v>
      </c>
      <c r="G420" s="36" t="str">
        <f t="shared" si="71"/>
        <v>Farol Vermelho</v>
      </c>
      <c r="H420">
        <f t="shared" si="69"/>
        <v>916.66666666666663</v>
      </c>
      <c r="I420" s="6">
        <f t="shared" si="70"/>
        <v>11</v>
      </c>
      <c r="J420" s="76">
        <v>10</v>
      </c>
      <c r="K420" s="66"/>
      <c r="L420" s="6">
        <f>L410+L419</f>
        <v>9.1666666666666661</v>
      </c>
      <c r="M420" s="6">
        <f t="shared" si="77"/>
        <v>0</v>
      </c>
      <c r="N420" s="77">
        <v>100</v>
      </c>
      <c r="O420">
        <f t="shared" si="72"/>
        <v>0.5</v>
      </c>
      <c r="P420" s="77">
        <v>50</v>
      </c>
      <c r="Q420">
        <f t="shared" si="73"/>
        <v>0.3</v>
      </c>
      <c r="R420" s="75">
        <v>15</v>
      </c>
      <c r="S420" s="6">
        <f t="shared" si="74"/>
        <v>0.15</v>
      </c>
    </row>
    <row r="421" spans="1:19" x14ac:dyDescent="0.3">
      <c r="A421" s="37" t="s">
        <v>90</v>
      </c>
      <c r="B421" s="6" t="s">
        <v>169</v>
      </c>
      <c r="C421" s="77">
        <v>1000</v>
      </c>
      <c r="D421" s="6">
        <f>(C421/12)*12</f>
        <v>1000</v>
      </c>
      <c r="E421" s="66">
        <v>0</v>
      </c>
      <c r="F421" s="6">
        <f>SUM(E410:E421)</f>
        <v>0</v>
      </c>
      <c r="G421" s="36" t="str">
        <f t="shared" si="71"/>
        <v>Farol Vermelho</v>
      </c>
      <c r="H421">
        <f t="shared" si="69"/>
        <v>1000</v>
      </c>
      <c r="I421" s="6">
        <f t="shared" si="70"/>
        <v>12</v>
      </c>
      <c r="J421" s="76">
        <v>10</v>
      </c>
      <c r="K421" s="66"/>
      <c r="L421" s="6">
        <f>$L410+L420</f>
        <v>10</v>
      </c>
      <c r="M421" s="6">
        <f t="shared" si="77"/>
        <v>0</v>
      </c>
      <c r="N421" s="77">
        <v>100</v>
      </c>
      <c r="O421">
        <f t="shared" si="72"/>
        <v>0.5</v>
      </c>
      <c r="P421" s="77">
        <v>50</v>
      </c>
      <c r="Q421">
        <f t="shared" si="73"/>
        <v>0.3</v>
      </c>
      <c r="R421" s="75">
        <v>15</v>
      </c>
      <c r="S421" s="6">
        <f t="shared" si="74"/>
        <v>0.15</v>
      </c>
    </row>
    <row r="422" spans="1:19" x14ac:dyDescent="0.3">
      <c r="A422" s="37" t="s">
        <v>106</v>
      </c>
      <c r="B422" s="6" t="s">
        <v>158</v>
      </c>
      <c r="C422" s="77">
        <v>13875</v>
      </c>
      <c r="D422" s="6">
        <f>(C422/12)*1</f>
        <v>1156.25</v>
      </c>
      <c r="E422" s="66">
        <v>0</v>
      </c>
      <c r="F422" s="6">
        <f>E422</f>
        <v>0</v>
      </c>
      <c r="G422" s="36" t="str">
        <f t="shared" si="71"/>
        <v>Farol Vermelho</v>
      </c>
      <c r="H422">
        <f t="shared" si="69"/>
        <v>1156.25</v>
      </c>
      <c r="I422" s="6">
        <f t="shared" si="70"/>
        <v>1</v>
      </c>
      <c r="J422" s="76">
        <v>20</v>
      </c>
      <c r="K422" s="66">
        <v>0</v>
      </c>
      <c r="L422" s="6">
        <f>J422/12</f>
        <v>1.6666666666666667</v>
      </c>
      <c r="M422" s="6">
        <f>K422</f>
        <v>0</v>
      </c>
      <c r="N422" s="77">
        <v>100</v>
      </c>
      <c r="O422">
        <f t="shared" si="72"/>
        <v>0.5</v>
      </c>
      <c r="P422" s="77">
        <v>50</v>
      </c>
      <c r="Q422">
        <f t="shared" si="73"/>
        <v>0.3</v>
      </c>
      <c r="R422" s="75">
        <v>15</v>
      </c>
      <c r="S422" s="6">
        <f t="shared" si="74"/>
        <v>0.15</v>
      </c>
    </row>
    <row r="423" spans="1:19" x14ac:dyDescent="0.3">
      <c r="A423" s="37" t="s">
        <v>106</v>
      </c>
      <c r="B423" s="6" t="s">
        <v>159</v>
      </c>
      <c r="C423" s="77">
        <v>13875</v>
      </c>
      <c r="D423" s="6">
        <f>(C423/12)*2</f>
        <v>2312.5</v>
      </c>
      <c r="E423" s="66">
        <v>0</v>
      </c>
      <c r="F423" s="6">
        <f>SUM(E422:E423)</f>
        <v>0</v>
      </c>
      <c r="G423" s="36" t="str">
        <f t="shared" si="71"/>
        <v>Farol Vermelho</v>
      </c>
      <c r="H423">
        <f t="shared" si="69"/>
        <v>2312.5</v>
      </c>
      <c r="I423" s="6">
        <f t="shared" si="70"/>
        <v>2</v>
      </c>
      <c r="J423" s="76">
        <v>20</v>
      </c>
      <c r="K423" s="66">
        <v>0</v>
      </c>
      <c r="L423" s="6">
        <f>L422+L422</f>
        <v>3.3333333333333335</v>
      </c>
      <c r="M423" s="6">
        <f>M422+K423</f>
        <v>0</v>
      </c>
      <c r="N423" s="77">
        <v>100</v>
      </c>
      <c r="O423">
        <f t="shared" si="72"/>
        <v>0.5</v>
      </c>
      <c r="P423" s="77">
        <v>50</v>
      </c>
      <c r="Q423">
        <f t="shared" si="73"/>
        <v>0.3</v>
      </c>
      <c r="R423" s="75">
        <v>15</v>
      </c>
      <c r="S423" s="6">
        <f t="shared" si="74"/>
        <v>0.15</v>
      </c>
    </row>
    <row r="424" spans="1:19" x14ac:dyDescent="0.3">
      <c r="A424" s="37" t="s">
        <v>106</v>
      </c>
      <c r="B424" s="6" t="s">
        <v>160</v>
      </c>
      <c r="C424" s="77">
        <v>13875</v>
      </c>
      <c r="D424" s="6">
        <f>(C424/12)*3</f>
        <v>3468.75</v>
      </c>
      <c r="E424" s="66">
        <v>0</v>
      </c>
      <c r="F424" s="6">
        <f>SUM(E422:E424)</f>
        <v>0</v>
      </c>
      <c r="G424" s="36" t="str">
        <f t="shared" si="71"/>
        <v>Farol Vermelho</v>
      </c>
      <c r="H424">
        <f t="shared" si="69"/>
        <v>3468.75</v>
      </c>
      <c r="I424" s="6">
        <f t="shared" si="70"/>
        <v>3</v>
      </c>
      <c r="J424" s="76">
        <v>20</v>
      </c>
      <c r="K424" s="66">
        <v>0</v>
      </c>
      <c r="L424" s="6">
        <f>$L422+L423</f>
        <v>5</v>
      </c>
      <c r="M424" s="6">
        <f t="shared" ref="M424:M433" si="78">M423+K424</f>
        <v>0</v>
      </c>
      <c r="N424" s="77">
        <v>100</v>
      </c>
      <c r="O424">
        <f t="shared" si="72"/>
        <v>0.5</v>
      </c>
      <c r="P424" s="77">
        <v>50</v>
      </c>
      <c r="Q424">
        <f t="shared" si="73"/>
        <v>0.3</v>
      </c>
      <c r="R424" s="75">
        <v>15</v>
      </c>
      <c r="S424" s="6">
        <f t="shared" si="74"/>
        <v>0.15</v>
      </c>
    </row>
    <row r="425" spans="1:19" x14ac:dyDescent="0.3">
      <c r="A425" s="37" t="s">
        <v>106</v>
      </c>
      <c r="B425" s="6" t="s">
        <v>161</v>
      </c>
      <c r="C425" s="77">
        <v>13875</v>
      </c>
      <c r="D425" s="6">
        <f>(C425/12)*4</f>
        <v>4625</v>
      </c>
      <c r="E425" s="66">
        <v>0</v>
      </c>
      <c r="F425" s="6">
        <f>SUM(E422:E425)</f>
        <v>0</v>
      </c>
      <c r="G425" s="36" t="str">
        <f t="shared" si="71"/>
        <v>Farol Vermelho</v>
      </c>
      <c r="H425">
        <f t="shared" si="69"/>
        <v>4625</v>
      </c>
      <c r="I425" s="6">
        <f t="shared" si="70"/>
        <v>4</v>
      </c>
      <c r="J425" s="76">
        <v>20</v>
      </c>
      <c r="K425" s="66">
        <v>0</v>
      </c>
      <c r="L425" s="6">
        <f>$L422+L424</f>
        <v>6.666666666666667</v>
      </c>
      <c r="M425" s="6">
        <f t="shared" si="78"/>
        <v>0</v>
      </c>
      <c r="N425" s="77">
        <v>100</v>
      </c>
      <c r="O425">
        <f t="shared" si="72"/>
        <v>0.5</v>
      </c>
      <c r="P425" s="77">
        <v>50</v>
      </c>
      <c r="Q425">
        <f t="shared" si="73"/>
        <v>0.3</v>
      </c>
      <c r="R425" s="75">
        <v>15</v>
      </c>
      <c r="S425" s="6">
        <f t="shared" si="74"/>
        <v>0.15</v>
      </c>
    </row>
    <row r="426" spans="1:19" x14ac:dyDescent="0.3">
      <c r="A426" s="37" t="s">
        <v>106</v>
      </c>
      <c r="B426" s="6" t="s">
        <v>162</v>
      </c>
      <c r="C426" s="77">
        <v>13875</v>
      </c>
      <c r="D426" s="6">
        <f>(C426/12)*5</f>
        <v>5781.25</v>
      </c>
      <c r="E426" s="66">
        <v>0</v>
      </c>
      <c r="F426" s="6">
        <f>SUM(E422:E426)</f>
        <v>0</v>
      </c>
      <c r="G426" s="36" t="str">
        <f t="shared" si="71"/>
        <v>Farol Vermelho</v>
      </c>
      <c r="H426">
        <f t="shared" si="69"/>
        <v>5781.25</v>
      </c>
      <c r="I426" s="6">
        <f t="shared" si="70"/>
        <v>5</v>
      </c>
      <c r="J426" s="76">
        <v>20</v>
      </c>
      <c r="K426" s="66"/>
      <c r="L426" s="6">
        <f>L422+L425</f>
        <v>8.3333333333333339</v>
      </c>
      <c r="M426" s="6">
        <f t="shared" si="78"/>
        <v>0</v>
      </c>
      <c r="N426" s="77">
        <v>100</v>
      </c>
      <c r="O426">
        <f t="shared" si="72"/>
        <v>0.5</v>
      </c>
      <c r="P426" s="77">
        <v>50</v>
      </c>
      <c r="Q426">
        <f t="shared" si="73"/>
        <v>0.3</v>
      </c>
      <c r="R426" s="75">
        <v>15</v>
      </c>
      <c r="S426" s="6">
        <f t="shared" si="74"/>
        <v>0.15</v>
      </c>
    </row>
    <row r="427" spans="1:19" x14ac:dyDescent="0.3">
      <c r="A427" s="37" t="s">
        <v>106</v>
      </c>
      <c r="B427" s="6" t="s">
        <v>163</v>
      </c>
      <c r="C427" s="77">
        <v>13875</v>
      </c>
      <c r="D427" s="6">
        <f>(C427/12)*6</f>
        <v>6937.5</v>
      </c>
      <c r="E427" s="66">
        <v>0</v>
      </c>
      <c r="F427" s="6">
        <f>SUM(E422:E427)</f>
        <v>0</v>
      </c>
      <c r="G427" s="36" t="str">
        <f t="shared" si="71"/>
        <v>Farol Vermelho</v>
      </c>
      <c r="H427">
        <f t="shared" si="69"/>
        <v>6937.5</v>
      </c>
      <c r="I427" s="6">
        <f t="shared" si="70"/>
        <v>6</v>
      </c>
      <c r="J427" s="76">
        <v>20</v>
      </c>
      <c r="K427" s="66"/>
      <c r="L427" s="6">
        <f>$L422+L426</f>
        <v>10</v>
      </c>
      <c r="M427" s="6">
        <f t="shared" si="78"/>
        <v>0</v>
      </c>
      <c r="N427" s="77">
        <v>100</v>
      </c>
      <c r="O427">
        <f t="shared" si="72"/>
        <v>0.5</v>
      </c>
      <c r="P427" s="77">
        <v>50</v>
      </c>
      <c r="Q427">
        <f t="shared" si="73"/>
        <v>0.3</v>
      </c>
      <c r="R427" s="75">
        <v>15</v>
      </c>
      <c r="S427" s="6">
        <f t="shared" si="74"/>
        <v>0.15</v>
      </c>
    </row>
    <row r="428" spans="1:19" x14ac:dyDescent="0.3">
      <c r="A428" s="37" t="s">
        <v>106</v>
      </c>
      <c r="B428" s="6" t="s">
        <v>164</v>
      </c>
      <c r="C428" s="77">
        <v>13875</v>
      </c>
      <c r="D428" s="6">
        <f>(C428/12)*7</f>
        <v>8093.75</v>
      </c>
      <c r="E428" s="66">
        <v>0</v>
      </c>
      <c r="F428" s="6">
        <f>SUM(E422:E428)</f>
        <v>0</v>
      </c>
      <c r="G428" s="36" t="str">
        <f t="shared" si="71"/>
        <v>Farol Vermelho</v>
      </c>
      <c r="H428">
        <f t="shared" si="69"/>
        <v>8093.75</v>
      </c>
      <c r="I428" s="6">
        <f t="shared" si="70"/>
        <v>7</v>
      </c>
      <c r="J428" s="76">
        <v>20</v>
      </c>
      <c r="K428" s="66"/>
      <c r="L428" s="6">
        <f>$L422+L427</f>
        <v>11.666666666666666</v>
      </c>
      <c r="M428" s="6">
        <f t="shared" si="78"/>
        <v>0</v>
      </c>
      <c r="N428" s="77">
        <v>100</v>
      </c>
      <c r="O428">
        <f t="shared" si="72"/>
        <v>0.5</v>
      </c>
      <c r="P428" s="77">
        <v>50</v>
      </c>
      <c r="Q428">
        <f t="shared" si="73"/>
        <v>0.3</v>
      </c>
      <c r="R428" s="75">
        <v>15</v>
      </c>
      <c r="S428" s="6">
        <f t="shared" si="74"/>
        <v>0.15</v>
      </c>
    </row>
    <row r="429" spans="1:19" x14ac:dyDescent="0.3">
      <c r="A429" s="37" t="s">
        <v>106</v>
      </c>
      <c r="B429" s="6" t="s">
        <v>165</v>
      </c>
      <c r="C429" s="77">
        <v>13875</v>
      </c>
      <c r="D429" s="6">
        <f>(C429/12)*8</f>
        <v>9250</v>
      </c>
      <c r="E429" s="66">
        <v>0</v>
      </c>
      <c r="F429" s="6">
        <f>SUM(E422:E429)</f>
        <v>0</v>
      </c>
      <c r="G429" s="36" t="str">
        <f t="shared" si="71"/>
        <v>Farol Vermelho</v>
      </c>
      <c r="H429">
        <f t="shared" si="69"/>
        <v>9250</v>
      </c>
      <c r="I429" s="6">
        <f t="shared" si="70"/>
        <v>8</v>
      </c>
      <c r="J429" s="76">
        <v>20</v>
      </c>
      <c r="K429" s="66"/>
      <c r="L429" s="6">
        <f>L422+L428</f>
        <v>13.333333333333332</v>
      </c>
      <c r="M429" s="6">
        <f t="shared" si="78"/>
        <v>0</v>
      </c>
      <c r="N429" s="77">
        <v>100</v>
      </c>
      <c r="O429">
        <f t="shared" si="72"/>
        <v>0.5</v>
      </c>
      <c r="P429" s="77">
        <v>50</v>
      </c>
      <c r="Q429">
        <f t="shared" si="73"/>
        <v>0.3</v>
      </c>
      <c r="R429" s="75">
        <v>15</v>
      </c>
      <c r="S429" s="6">
        <f t="shared" si="74"/>
        <v>0.15</v>
      </c>
    </row>
    <row r="430" spans="1:19" x14ac:dyDescent="0.3">
      <c r="A430" s="37" t="s">
        <v>106</v>
      </c>
      <c r="B430" s="6" t="s">
        <v>166</v>
      </c>
      <c r="C430" s="77">
        <v>13875</v>
      </c>
      <c r="D430" s="6">
        <f>(C430/12)*9</f>
        <v>10406.25</v>
      </c>
      <c r="E430" s="66">
        <v>0</v>
      </c>
      <c r="F430" s="6">
        <f>SUM(E422:E430)</f>
        <v>0</v>
      </c>
      <c r="G430" s="36" t="str">
        <f t="shared" si="71"/>
        <v>Farol Vermelho</v>
      </c>
      <c r="H430">
        <f t="shared" si="69"/>
        <v>10406.25</v>
      </c>
      <c r="I430" s="6">
        <f t="shared" si="70"/>
        <v>9</v>
      </c>
      <c r="J430" s="76">
        <v>20</v>
      </c>
      <c r="K430" s="66"/>
      <c r="L430" s="6">
        <f>$L422+L429</f>
        <v>14.999999999999998</v>
      </c>
      <c r="M430" s="6">
        <f t="shared" si="78"/>
        <v>0</v>
      </c>
      <c r="N430" s="77">
        <v>100</v>
      </c>
      <c r="O430">
        <f t="shared" si="72"/>
        <v>0.5</v>
      </c>
      <c r="P430" s="77">
        <v>50</v>
      </c>
      <c r="Q430">
        <f t="shared" si="73"/>
        <v>0.3</v>
      </c>
      <c r="R430" s="75">
        <v>15</v>
      </c>
      <c r="S430" s="6">
        <f t="shared" si="74"/>
        <v>0.15</v>
      </c>
    </row>
    <row r="431" spans="1:19" x14ac:dyDescent="0.3">
      <c r="A431" s="37" t="s">
        <v>106</v>
      </c>
      <c r="B431" s="6" t="s">
        <v>167</v>
      </c>
      <c r="C431" s="77">
        <v>13875</v>
      </c>
      <c r="D431" s="6">
        <f>(C431/12)*10</f>
        <v>11562.5</v>
      </c>
      <c r="E431" s="66">
        <v>0</v>
      </c>
      <c r="F431" s="6">
        <f>SUM(E422:E431)</f>
        <v>0</v>
      </c>
      <c r="G431" s="36" t="str">
        <f t="shared" si="71"/>
        <v>Farol Vermelho</v>
      </c>
      <c r="H431">
        <f t="shared" si="69"/>
        <v>11562.5</v>
      </c>
      <c r="I431" s="6">
        <f t="shared" si="70"/>
        <v>10</v>
      </c>
      <c r="J431" s="76">
        <v>20</v>
      </c>
      <c r="K431" s="66"/>
      <c r="L431" s="6">
        <f>$L422+L430</f>
        <v>16.666666666666664</v>
      </c>
      <c r="M431" s="6">
        <f t="shared" si="78"/>
        <v>0</v>
      </c>
      <c r="N431" s="77">
        <v>100</v>
      </c>
      <c r="O431">
        <f t="shared" si="72"/>
        <v>0.5</v>
      </c>
      <c r="P431" s="77">
        <v>50</v>
      </c>
      <c r="Q431">
        <f t="shared" si="73"/>
        <v>0.3</v>
      </c>
      <c r="R431" s="75">
        <v>15</v>
      </c>
      <c r="S431" s="6">
        <f t="shared" si="74"/>
        <v>0.15</v>
      </c>
    </row>
    <row r="432" spans="1:19" x14ac:dyDescent="0.3">
      <c r="A432" s="37" t="s">
        <v>106</v>
      </c>
      <c r="B432" s="6" t="s">
        <v>168</v>
      </c>
      <c r="C432" s="77">
        <v>13875</v>
      </c>
      <c r="D432" s="6">
        <f>(C432/12)*11</f>
        <v>12718.75</v>
      </c>
      <c r="E432" s="66">
        <v>0</v>
      </c>
      <c r="F432" s="6">
        <f>SUM(E422:E432)</f>
        <v>0</v>
      </c>
      <c r="G432" s="36" t="str">
        <f t="shared" si="71"/>
        <v>Farol Vermelho</v>
      </c>
      <c r="H432">
        <f t="shared" si="69"/>
        <v>12718.75</v>
      </c>
      <c r="I432" s="6">
        <f t="shared" si="70"/>
        <v>11</v>
      </c>
      <c r="J432" s="76">
        <v>20</v>
      </c>
      <c r="K432" s="66"/>
      <c r="L432" s="6">
        <f>L422+L431</f>
        <v>18.333333333333332</v>
      </c>
      <c r="M432" s="6">
        <f t="shared" si="78"/>
        <v>0</v>
      </c>
      <c r="N432" s="77">
        <v>100</v>
      </c>
      <c r="O432">
        <f t="shared" si="72"/>
        <v>0.5</v>
      </c>
      <c r="P432" s="77">
        <v>50</v>
      </c>
      <c r="Q432">
        <f t="shared" si="73"/>
        <v>0.3</v>
      </c>
      <c r="R432" s="75">
        <v>15</v>
      </c>
      <c r="S432" s="6">
        <f t="shared" si="74"/>
        <v>0.15</v>
      </c>
    </row>
    <row r="433" spans="1:19" x14ac:dyDescent="0.3">
      <c r="A433" s="37" t="s">
        <v>106</v>
      </c>
      <c r="B433" s="6" t="s">
        <v>169</v>
      </c>
      <c r="C433" s="77">
        <v>13875</v>
      </c>
      <c r="D433" s="6">
        <f>(C433/12)*12</f>
        <v>13875</v>
      </c>
      <c r="E433" s="66">
        <v>0</v>
      </c>
      <c r="F433" s="6">
        <f>SUM(E422:E433)</f>
        <v>0</v>
      </c>
      <c r="G433" s="36" t="str">
        <f t="shared" si="71"/>
        <v>Farol Vermelho</v>
      </c>
      <c r="H433">
        <f t="shared" si="69"/>
        <v>13875</v>
      </c>
      <c r="I433" s="6">
        <f t="shared" si="70"/>
        <v>12</v>
      </c>
      <c r="J433" s="76">
        <v>20</v>
      </c>
      <c r="K433" s="66"/>
      <c r="L433" s="6">
        <f>$L422+L432</f>
        <v>20</v>
      </c>
      <c r="M433" s="6">
        <f t="shared" si="78"/>
        <v>0</v>
      </c>
      <c r="N433" s="77">
        <v>100</v>
      </c>
      <c r="O433">
        <f t="shared" si="72"/>
        <v>0.5</v>
      </c>
      <c r="P433" s="77">
        <v>50</v>
      </c>
      <c r="Q433">
        <f t="shared" si="73"/>
        <v>0.3</v>
      </c>
      <c r="R433" s="75">
        <v>15</v>
      </c>
      <c r="S433" s="6">
        <f t="shared" si="74"/>
        <v>0.15</v>
      </c>
    </row>
    <row r="434" spans="1:19" x14ac:dyDescent="0.3">
      <c r="A434" s="37" t="s">
        <v>110</v>
      </c>
      <c r="B434" s="6" t="s">
        <v>158</v>
      </c>
      <c r="C434" s="77">
        <v>212571.3</v>
      </c>
      <c r="D434" s="6">
        <f>(C434/12)*1</f>
        <v>17714.274999999998</v>
      </c>
      <c r="E434" s="66">
        <v>10515</v>
      </c>
      <c r="F434" s="6">
        <f>E434</f>
        <v>10515</v>
      </c>
      <c r="G434" s="36" t="str">
        <f t="shared" si="71"/>
        <v>Farol Vermelho</v>
      </c>
      <c r="H434">
        <f t="shared" si="69"/>
        <v>7199.2749999999978</v>
      </c>
      <c r="I434" s="6">
        <f t="shared" si="70"/>
        <v>1</v>
      </c>
      <c r="J434" s="76">
        <v>40</v>
      </c>
      <c r="K434" s="66">
        <v>3</v>
      </c>
      <c r="L434" s="6">
        <f>J434/12</f>
        <v>3.3333333333333335</v>
      </c>
      <c r="M434" s="6">
        <f>K434</f>
        <v>3</v>
      </c>
      <c r="N434" s="77">
        <v>100</v>
      </c>
      <c r="O434">
        <f t="shared" si="72"/>
        <v>0.5</v>
      </c>
      <c r="P434" s="77">
        <v>50</v>
      </c>
      <c r="Q434">
        <f t="shared" si="73"/>
        <v>0.3</v>
      </c>
      <c r="R434" s="75">
        <v>15</v>
      </c>
      <c r="S434" s="6">
        <f t="shared" si="74"/>
        <v>0.15</v>
      </c>
    </row>
    <row r="435" spans="1:19" x14ac:dyDescent="0.3">
      <c r="A435" s="37" t="s">
        <v>110</v>
      </c>
      <c r="B435" s="6" t="s">
        <v>159</v>
      </c>
      <c r="C435" s="77">
        <v>212571.3</v>
      </c>
      <c r="D435" s="6">
        <f>(C435/12)*2</f>
        <v>35428.549999999996</v>
      </c>
      <c r="E435" s="66">
        <v>0</v>
      </c>
      <c r="F435" s="6">
        <f>SUM(E434:E435)</f>
        <v>10515</v>
      </c>
      <c r="G435" s="36" t="str">
        <f t="shared" si="71"/>
        <v>Farol Vermelho</v>
      </c>
      <c r="H435">
        <f t="shared" si="69"/>
        <v>24913.549999999996</v>
      </c>
      <c r="I435" s="6">
        <f t="shared" si="70"/>
        <v>2</v>
      </c>
      <c r="J435" s="76">
        <v>40</v>
      </c>
      <c r="K435" s="66">
        <v>0</v>
      </c>
      <c r="L435" s="6">
        <f>L434+L434</f>
        <v>6.666666666666667</v>
      </c>
      <c r="M435" s="6">
        <f>M434+K435</f>
        <v>3</v>
      </c>
      <c r="N435" s="77">
        <v>100</v>
      </c>
      <c r="O435">
        <f t="shared" si="72"/>
        <v>0.5</v>
      </c>
      <c r="P435" s="77">
        <v>50</v>
      </c>
      <c r="Q435">
        <f t="shared" si="73"/>
        <v>0.3</v>
      </c>
      <c r="R435" s="75">
        <v>15</v>
      </c>
      <c r="S435" s="6">
        <f t="shared" si="74"/>
        <v>0.15</v>
      </c>
    </row>
    <row r="436" spans="1:19" x14ac:dyDescent="0.3">
      <c r="A436" s="37" t="s">
        <v>110</v>
      </c>
      <c r="B436" s="6" t="s">
        <v>160</v>
      </c>
      <c r="C436" s="77">
        <v>212571.3</v>
      </c>
      <c r="D436" s="6">
        <f>(C436/12)*3</f>
        <v>53142.824999999997</v>
      </c>
      <c r="E436" s="66">
        <v>5810</v>
      </c>
      <c r="F436" s="6">
        <f>SUM(E434:E436)</f>
        <v>16325</v>
      </c>
      <c r="G436" s="36" t="str">
        <f t="shared" si="71"/>
        <v>Farol Vermelho</v>
      </c>
      <c r="H436">
        <f t="shared" si="69"/>
        <v>36817.824999999997</v>
      </c>
      <c r="I436" s="6">
        <f t="shared" si="70"/>
        <v>3</v>
      </c>
      <c r="J436" s="76">
        <v>40</v>
      </c>
      <c r="K436" s="66">
        <v>1</v>
      </c>
      <c r="L436" s="6">
        <f>$L434+L435</f>
        <v>10</v>
      </c>
      <c r="M436" s="6">
        <f t="shared" ref="M436:M445" si="79">M435+K436</f>
        <v>4</v>
      </c>
      <c r="N436" s="77">
        <v>100</v>
      </c>
      <c r="O436">
        <f t="shared" si="72"/>
        <v>0.5</v>
      </c>
      <c r="P436" s="77">
        <v>50</v>
      </c>
      <c r="Q436">
        <f t="shared" si="73"/>
        <v>0.3</v>
      </c>
      <c r="R436" s="75">
        <v>15</v>
      </c>
      <c r="S436" s="6">
        <f t="shared" si="74"/>
        <v>0.15</v>
      </c>
    </row>
    <row r="437" spans="1:19" x14ac:dyDescent="0.3">
      <c r="A437" s="37" t="s">
        <v>110</v>
      </c>
      <c r="B437" s="6" t="s">
        <v>161</v>
      </c>
      <c r="C437" s="77">
        <v>212571.3</v>
      </c>
      <c r="D437" s="6">
        <f>(C437/12)*4</f>
        <v>70857.099999999991</v>
      </c>
      <c r="E437" s="66">
        <v>5400</v>
      </c>
      <c r="F437" s="6">
        <f>SUM(E434:E437)</f>
        <v>21725</v>
      </c>
      <c r="G437" s="36" t="str">
        <f t="shared" si="71"/>
        <v>Farol Vermelho</v>
      </c>
      <c r="H437">
        <f t="shared" si="69"/>
        <v>49132.099999999991</v>
      </c>
      <c r="I437" s="6">
        <f t="shared" si="70"/>
        <v>4</v>
      </c>
      <c r="J437" s="76">
        <v>40</v>
      </c>
      <c r="K437" s="66">
        <v>1</v>
      </c>
      <c r="L437" s="6">
        <f>$L434+L436</f>
        <v>13.333333333333334</v>
      </c>
      <c r="M437" s="6">
        <f t="shared" si="79"/>
        <v>5</v>
      </c>
      <c r="N437" s="77">
        <v>100</v>
      </c>
      <c r="O437">
        <f t="shared" si="72"/>
        <v>0.5</v>
      </c>
      <c r="P437" s="77">
        <v>50</v>
      </c>
      <c r="Q437">
        <f t="shared" si="73"/>
        <v>0.3</v>
      </c>
      <c r="R437" s="75">
        <v>15</v>
      </c>
      <c r="S437" s="6">
        <f t="shared" si="74"/>
        <v>0.15</v>
      </c>
    </row>
    <row r="438" spans="1:19" x14ac:dyDescent="0.3">
      <c r="A438" s="37" t="s">
        <v>110</v>
      </c>
      <c r="B438" s="6" t="s">
        <v>162</v>
      </c>
      <c r="C438" s="77">
        <v>212571.3</v>
      </c>
      <c r="D438" s="6">
        <f>(C438/12)*5</f>
        <v>88571.374999999985</v>
      </c>
      <c r="E438" s="66">
        <v>0</v>
      </c>
      <c r="F438" s="6">
        <f>SUM(E434:E438)</f>
        <v>21725</v>
      </c>
      <c r="G438" s="36" t="str">
        <f t="shared" si="71"/>
        <v>Farol Vermelho</v>
      </c>
      <c r="H438">
        <f t="shared" si="69"/>
        <v>66846.374999999985</v>
      </c>
      <c r="I438" s="6">
        <f t="shared" si="70"/>
        <v>5</v>
      </c>
      <c r="J438" s="76">
        <v>40</v>
      </c>
      <c r="K438" s="66"/>
      <c r="L438" s="6">
        <f>L434+L437</f>
        <v>16.666666666666668</v>
      </c>
      <c r="M438" s="6">
        <f t="shared" si="79"/>
        <v>5</v>
      </c>
      <c r="N438" s="77">
        <v>100</v>
      </c>
      <c r="O438">
        <f t="shared" si="72"/>
        <v>0.5</v>
      </c>
      <c r="P438" s="77">
        <v>50</v>
      </c>
      <c r="Q438">
        <f t="shared" si="73"/>
        <v>0.3</v>
      </c>
      <c r="R438" s="75">
        <v>15</v>
      </c>
      <c r="S438" s="6">
        <f t="shared" si="74"/>
        <v>0.15</v>
      </c>
    </row>
    <row r="439" spans="1:19" x14ac:dyDescent="0.3">
      <c r="A439" s="37" t="s">
        <v>110</v>
      </c>
      <c r="B439" s="6" t="s">
        <v>163</v>
      </c>
      <c r="C439" s="77">
        <v>212571.3</v>
      </c>
      <c r="D439" s="6">
        <f>(C439/12)*6</f>
        <v>106285.65</v>
      </c>
      <c r="E439" s="66">
        <v>0</v>
      </c>
      <c r="F439" s="6">
        <f>SUM(E434:E439)</f>
        <v>21725</v>
      </c>
      <c r="G439" s="36" t="str">
        <f t="shared" si="71"/>
        <v>Farol Vermelho</v>
      </c>
      <c r="H439">
        <f t="shared" si="69"/>
        <v>84560.65</v>
      </c>
      <c r="I439" s="6">
        <f t="shared" si="70"/>
        <v>6</v>
      </c>
      <c r="J439" s="76">
        <v>40</v>
      </c>
      <c r="K439" s="66"/>
      <c r="L439" s="6">
        <f>$L434+L438</f>
        <v>20</v>
      </c>
      <c r="M439" s="6">
        <f t="shared" si="79"/>
        <v>5</v>
      </c>
      <c r="N439" s="77">
        <v>100</v>
      </c>
      <c r="O439">
        <f t="shared" si="72"/>
        <v>0.5</v>
      </c>
      <c r="P439" s="77">
        <v>50</v>
      </c>
      <c r="Q439">
        <f t="shared" si="73"/>
        <v>0.3</v>
      </c>
      <c r="R439" s="75">
        <v>15</v>
      </c>
      <c r="S439" s="6">
        <f t="shared" si="74"/>
        <v>0.15</v>
      </c>
    </row>
    <row r="440" spans="1:19" x14ac:dyDescent="0.3">
      <c r="A440" s="37" t="s">
        <v>110</v>
      </c>
      <c r="B440" s="6" t="s">
        <v>164</v>
      </c>
      <c r="C440" s="77">
        <v>212571.3</v>
      </c>
      <c r="D440" s="6">
        <f>(C440/12)*7</f>
        <v>123999.92499999999</v>
      </c>
      <c r="E440" s="66">
        <v>0</v>
      </c>
      <c r="F440" s="6">
        <f>SUM(E434:E440)</f>
        <v>21725</v>
      </c>
      <c r="G440" s="36" t="str">
        <f t="shared" si="71"/>
        <v>Farol Vermelho</v>
      </c>
      <c r="H440">
        <f t="shared" si="69"/>
        <v>102274.92499999999</v>
      </c>
      <c r="I440" s="6">
        <f t="shared" si="70"/>
        <v>7</v>
      </c>
      <c r="J440" s="76">
        <v>40</v>
      </c>
      <c r="K440" s="66"/>
      <c r="L440" s="6">
        <f>$L434+L439</f>
        <v>23.333333333333332</v>
      </c>
      <c r="M440" s="6">
        <f t="shared" si="79"/>
        <v>5</v>
      </c>
      <c r="N440" s="77">
        <v>100</v>
      </c>
      <c r="O440">
        <f t="shared" si="72"/>
        <v>0.5</v>
      </c>
      <c r="P440" s="77">
        <v>50</v>
      </c>
      <c r="Q440">
        <f t="shared" si="73"/>
        <v>0.3</v>
      </c>
      <c r="R440" s="75">
        <v>15</v>
      </c>
      <c r="S440" s="6">
        <f t="shared" si="74"/>
        <v>0.15</v>
      </c>
    </row>
    <row r="441" spans="1:19" x14ac:dyDescent="0.3">
      <c r="A441" s="37" t="s">
        <v>110</v>
      </c>
      <c r="B441" s="6" t="s">
        <v>165</v>
      </c>
      <c r="C441" s="77">
        <v>212571.3</v>
      </c>
      <c r="D441" s="6">
        <f>(C441/12)*8</f>
        <v>141714.19999999998</v>
      </c>
      <c r="E441" s="66">
        <v>0</v>
      </c>
      <c r="F441" s="6">
        <f>SUM(E434:E441)</f>
        <v>21725</v>
      </c>
      <c r="G441" s="36" t="str">
        <f t="shared" si="71"/>
        <v>Farol Vermelho</v>
      </c>
      <c r="H441">
        <f t="shared" si="69"/>
        <v>119989.19999999998</v>
      </c>
      <c r="I441" s="6">
        <f t="shared" si="70"/>
        <v>8</v>
      </c>
      <c r="J441" s="76">
        <v>40</v>
      </c>
      <c r="K441" s="66"/>
      <c r="L441" s="6">
        <f>L434+L440</f>
        <v>26.666666666666664</v>
      </c>
      <c r="M441" s="6">
        <f t="shared" si="79"/>
        <v>5</v>
      </c>
      <c r="N441" s="77">
        <v>100</v>
      </c>
      <c r="O441">
        <f t="shared" si="72"/>
        <v>0.5</v>
      </c>
      <c r="P441" s="77">
        <v>50</v>
      </c>
      <c r="Q441">
        <f t="shared" si="73"/>
        <v>0.3</v>
      </c>
      <c r="R441" s="75">
        <v>15</v>
      </c>
      <c r="S441" s="6">
        <f t="shared" si="74"/>
        <v>0.15</v>
      </c>
    </row>
    <row r="442" spans="1:19" x14ac:dyDescent="0.3">
      <c r="A442" s="37" t="s">
        <v>110</v>
      </c>
      <c r="B442" s="6" t="s">
        <v>166</v>
      </c>
      <c r="C442" s="77">
        <v>212571.3</v>
      </c>
      <c r="D442" s="6">
        <f>(C442/12)*9</f>
        <v>159428.47499999998</v>
      </c>
      <c r="E442" s="66">
        <v>0</v>
      </c>
      <c r="F442" s="6">
        <f>SUM(E434:E442)</f>
        <v>21725</v>
      </c>
      <c r="G442" s="36" t="str">
        <f t="shared" si="71"/>
        <v>Farol Vermelho</v>
      </c>
      <c r="H442">
        <f t="shared" si="69"/>
        <v>137703.47499999998</v>
      </c>
      <c r="I442" s="6">
        <f t="shared" si="70"/>
        <v>9</v>
      </c>
      <c r="J442" s="76">
        <v>40</v>
      </c>
      <c r="K442" s="66"/>
      <c r="L442" s="6">
        <f>$L434+L441</f>
        <v>29.999999999999996</v>
      </c>
      <c r="M442" s="6">
        <f t="shared" si="79"/>
        <v>5</v>
      </c>
      <c r="N442" s="77">
        <v>100</v>
      </c>
      <c r="O442">
        <f t="shared" si="72"/>
        <v>0.5</v>
      </c>
      <c r="P442" s="77">
        <v>50</v>
      </c>
      <c r="Q442">
        <f t="shared" si="73"/>
        <v>0.3</v>
      </c>
      <c r="R442" s="75">
        <v>15</v>
      </c>
      <c r="S442" s="6">
        <f t="shared" si="74"/>
        <v>0.15</v>
      </c>
    </row>
    <row r="443" spans="1:19" x14ac:dyDescent="0.3">
      <c r="A443" s="37" t="s">
        <v>110</v>
      </c>
      <c r="B443" s="6" t="s">
        <v>167</v>
      </c>
      <c r="C443" s="77">
        <v>212571.3</v>
      </c>
      <c r="D443" s="6">
        <f>(C443/12)*10</f>
        <v>177142.74999999997</v>
      </c>
      <c r="E443" s="66">
        <v>0</v>
      </c>
      <c r="F443" s="6">
        <f>SUM(E434:E443)</f>
        <v>21725</v>
      </c>
      <c r="G443" s="36" t="str">
        <f t="shared" si="71"/>
        <v>Farol Vermelho</v>
      </c>
      <c r="H443">
        <f t="shared" si="69"/>
        <v>155417.74999999997</v>
      </c>
      <c r="I443" s="6">
        <f t="shared" si="70"/>
        <v>10</v>
      </c>
      <c r="J443" s="76">
        <v>40</v>
      </c>
      <c r="K443" s="66"/>
      <c r="L443" s="6">
        <f>$L434+L442</f>
        <v>33.333333333333329</v>
      </c>
      <c r="M443" s="6">
        <f t="shared" si="79"/>
        <v>5</v>
      </c>
      <c r="N443" s="77">
        <v>100</v>
      </c>
      <c r="O443">
        <f t="shared" si="72"/>
        <v>0.5</v>
      </c>
      <c r="P443" s="77">
        <v>50</v>
      </c>
      <c r="Q443">
        <f t="shared" si="73"/>
        <v>0.3</v>
      </c>
      <c r="R443" s="75">
        <v>15</v>
      </c>
      <c r="S443" s="6">
        <f t="shared" si="74"/>
        <v>0.15</v>
      </c>
    </row>
    <row r="444" spans="1:19" x14ac:dyDescent="0.3">
      <c r="A444" s="37" t="s">
        <v>110</v>
      </c>
      <c r="B444" s="6" t="s">
        <v>168</v>
      </c>
      <c r="C444" s="77">
        <v>212571.3</v>
      </c>
      <c r="D444" s="6">
        <f>(C444/12)*11</f>
        <v>194857.02499999997</v>
      </c>
      <c r="E444" s="66">
        <v>0</v>
      </c>
      <c r="F444" s="6">
        <f>SUM(E434:E444)</f>
        <v>21725</v>
      </c>
      <c r="G444" s="36" t="str">
        <f t="shared" si="71"/>
        <v>Farol Vermelho</v>
      </c>
      <c r="H444">
        <f t="shared" si="69"/>
        <v>173132.02499999997</v>
      </c>
      <c r="I444" s="6">
        <f t="shared" si="70"/>
        <v>11</v>
      </c>
      <c r="J444" s="76">
        <v>40</v>
      </c>
      <c r="K444" s="66"/>
      <c r="L444" s="6">
        <f>L434+L443</f>
        <v>36.666666666666664</v>
      </c>
      <c r="M444" s="6">
        <f t="shared" si="79"/>
        <v>5</v>
      </c>
      <c r="N444" s="77">
        <v>100</v>
      </c>
      <c r="O444">
        <f t="shared" si="72"/>
        <v>0.5</v>
      </c>
      <c r="P444" s="77">
        <v>50</v>
      </c>
      <c r="Q444">
        <f t="shared" si="73"/>
        <v>0.3</v>
      </c>
      <c r="R444" s="75">
        <v>15</v>
      </c>
      <c r="S444" s="6">
        <f t="shared" si="74"/>
        <v>0.15</v>
      </c>
    </row>
    <row r="445" spans="1:19" x14ac:dyDescent="0.3">
      <c r="A445" s="37" t="s">
        <v>110</v>
      </c>
      <c r="B445" s="6" t="s">
        <v>169</v>
      </c>
      <c r="C445" s="77">
        <v>212571.3</v>
      </c>
      <c r="D445" s="6">
        <f>(C445/12)*12</f>
        <v>212571.3</v>
      </c>
      <c r="E445" s="66">
        <v>0</v>
      </c>
      <c r="F445" s="6">
        <f>SUM(E434:E445)</f>
        <v>21725</v>
      </c>
      <c r="G445" s="36" t="str">
        <f t="shared" si="71"/>
        <v>Farol Vermelho</v>
      </c>
      <c r="H445">
        <f t="shared" si="69"/>
        <v>190846.3</v>
      </c>
      <c r="I445" s="6">
        <f t="shared" si="70"/>
        <v>12</v>
      </c>
      <c r="J445" s="76">
        <v>40</v>
      </c>
      <c r="K445" s="66"/>
      <c r="L445" s="6">
        <f>$L434+L444</f>
        <v>40</v>
      </c>
      <c r="M445" s="6">
        <f t="shared" si="79"/>
        <v>5</v>
      </c>
      <c r="N445" s="77">
        <v>100</v>
      </c>
      <c r="O445">
        <f t="shared" si="72"/>
        <v>0.5</v>
      </c>
      <c r="P445" s="77">
        <v>50</v>
      </c>
      <c r="Q445">
        <f t="shared" si="73"/>
        <v>0.3</v>
      </c>
      <c r="R445" s="75">
        <v>15</v>
      </c>
      <c r="S445" s="6">
        <f t="shared" si="74"/>
        <v>0.15</v>
      </c>
    </row>
    <row r="446" spans="1:19" x14ac:dyDescent="0.3">
      <c r="A446" s="37" t="s">
        <v>32</v>
      </c>
      <c r="B446" s="6" t="s">
        <v>158</v>
      </c>
      <c r="C446" s="77">
        <v>10805</v>
      </c>
      <c r="D446" s="6">
        <f>(C446/12)*1</f>
        <v>900.41666666666663</v>
      </c>
      <c r="E446" s="66">
        <v>0</v>
      </c>
      <c r="F446" s="6">
        <f>E446</f>
        <v>0</v>
      </c>
      <c r="G446" s="36" t="str">
        <f t="shared" si="71"/>
        <v>Farol Vermelho</v>
      </c>
      <c r="H446">
        <f t="shared" si="69"/>
        <v>900.41666666666663</v>
      </c>
      <c r="I446" s="6">
        <f t="shared" si="70"/>
        <v>1</v>
      </c>
      <c r="J446" s="76">
        <v>8</v>
      </c>
      <c r="K446" s="66">
        <v>0</v>
      </c>
      <c r="L446" s="6">
        <f>J446/12</f>
        <v>0.66666666666666663</v>
      </c>
      <c r="M446" s="6">
        <f>K446</f>
        <v>0</v>
      </c>
      <c r="N446" s="77">
        <v>100</v>
      </c>
      <c r="O446">
        <f t="shared" si="72"/>
        <v>0.5</v>
      </c>
      <c r="P446" s="77">
        <v>50</v>
      </c>
      <c r="Q446">
        <f t="shared" si="73"/>
        <v>0.3</v>
      </c>
      <c r="R446" s="75">
        <v>15</v>
      </c>
      <c r="S446" s="6">
        <f t="shared" si="74"/>
        <v>0.15</v>
      </c>
    </row>
    <row r="447" spans="1:19" x14ac:dyDescent="0.3">
      <c r="A447" s="37" t="s">
        <v>32</v>
      </c>
      <c r="B447" s="6" t="s">
        <v>159</v>
      </c>
      <c r="C447" s="77">
        <v>10805</v>
      </c>
      <c r="D447" s="6">
        <f>(C447/12)*2</f>
        <v>1800.8333333333333</v>
      </c>
      <c r="E447" s="66">
        <v>0</v>
      </c>
      <c r="F447" s="6">
        <f>SUM(E446:E447)</f>
        <v>0</v>
      </c>
      <c r="G447" s="36" t="str">
        <f t="shared" si="71"/>
        <v>Farol Vermelho</v>
      </c>
      <c r="H447">
        <f t="shared" si="69"/>
        <v>1800.8333333333333</v>
      </c>
      <c r="I447" s="6">
        <f t="shared" si="70"/>
        <v>2</v>
      </c>
      <c r="J447" s="76">
        <v>8</v>
      </c>
      <c r="K447" s="66">
        <v>0</v>
      </c>
      <c r="L447" s="6">
        <f>L446+L446</f>
        <v>1.3333333333333333</v>
      </c>
      <c r="M447" s="6">
        <f>M446+K447</f>
        <v>0</v>
      </c>
      <c r="N447" s="77">
        <v>100</v>
      </c>
      <c r="O447">
        <f t="shared" si="72"/>
        <v>0.5</v>
      </c>
      <c r="P447" s="77">
        <v>50</v>
      </c>
      <c r="Q447">
        <f t="shared" si="73"/>
        <v>0.3</v>
      </c>
      <c r="R447" s="75">
        <v>15</v>
      </c>
      <c r="S447" s="6">
        <f t="shared" si="74"/>
        <v>0.15</v>
      </c>
    </row>
    <row r="448" spans="1:19" x14ac:dyDescent="0.3">
      <c r="A448" s="37" t="s">
        <v>32</v>
      </c>
      <c r="B448" s="6" t="s">
        <v>160</v>
      </c>
      <c r="C448" s="77">
        <v>10805</v>
      </c>
      <c r="D448" s="6">
        <f>(C448/12)*3</f>
        <v>2701.25</v>
      </c>
      <c r="E448" s="66">
        <v>0</v>
      </c>
      <c r="F448" s="6">
        <f>SUM(E446:E448)</f>
        <v>0</v>
      </c>
      <c r="G448" s="36" t="str">
        <f t="shared" si="71"/>
        <v>Farol Vermelho</v>
      </c>
      <c r="H448">
        <f t="shared" si="69"/>
        <v>2701.25</v>
      </c>
      <c r="I448" s="6">
        <f t="shared" si="70"/>
        <v>3</v>
      </c>
      <c r="J448" s="76">
        <v>8</v>
      </c>
      <c r="K448" s="66">
        <v>0</v>
      </c>
      <c r="L448" s="6">
        <f>$L446+L447</f>
        <v>2</v>
      </c>
      <c r="M448" s="6">
        <f t="shared" ref="M448:M457" si="80">M447+K448</f>
        <v>0</v>
      </c>
      <c r="N448" s="77">
        <v>100</v>
      </c>
      <c r="O448">
        <f t="shared" si="72"/>
        <v>0.5</v>
      </c>
      <c r="P448" s="77">
        <v>50</v>
      </c>
      <c r="Q448">
        <f t="shared" si="73"/>
        <v>0.3</v>
      </c>
      <c r="R448" s="75">
        <v>15</v>
      </c>
      <c r="S448" s="6">
        <f t="shared" si="74"/>
        <v>0.15</v>
      </c>
    </row>
    <row r="449" spans="1:19" x14ac:dyDescent="0.3">
      <c r="A449" s="37" t="s">
        <v>32</v>
      </c>
      <c r="B449" s="6" t="s">
        <v>161</v>
      </c>
      <c r="C449" s="77">
        <v>10805</v>
      </c>
      <c r="D449" s="6">
        <f>(C449/12)*4</f>
        <v>3601.6666666666665</v>
      </c>
      <c r="E449" s="66">
        <v>0</v>
      </c>
      <c r="F449" s="6">
        <f>SUM(E446:E449)</f>
        <v>0</v>
      </c>
      <c r="G449" s="36" t="str">
        <f t="shared" si="71"/>
        <v>Farol Vermelho</v>
      </c>
      <c r="H449">
        <f t="shared" si="69"/>
        <v>3601.6666666666665</v>
      </c>
      <c r="I449" s="6">
        <f t="shared" si="70"/>
        <v>4</v>
      </c>
      <c r="J449" s="76">
        <v>8</v>
      </c>
      <c r="K449" s="66">
        <v>0</v>
      </c>
      <c r="L449" s="6">
        <f>$L446+L448</f>
        <v>2.6666666666666665</v>
      </c>
      <c r="M449" s="6">
        <f t="shared" si="80"/>
        <v>0</v>
      </c>
      <c r="N449" s="77">
        <v>100</v>
      </c>
      <c r="O449">
        <f t="shared" si="72"/>
        <v>0.5</v>
      </c>
      <c r="P449" s="77">
        <v>50</v>
      </c>
      <c r="Q449">
        <f t="shared" si="73"/>
        <v>0.3</v>
      </c>
      <c r="R449" s="75">
        <v>15</v>
      </c>
      <c r="S449" s="6">
        <f t="shared" si="74"/>
        <v>0.15</v>
      </c>
    </row>
    <row r="450" spans="1:19" x14ac:dyDescent="0.3">
      <c r="A450" s="37" t="s">
        <v>32</v>
      </c>
      <c r="B450" s="6" t="s">
        <v>162</v>
      </c>
      <c r="C450" s="77">
        <v>10805</v>
      </c>
      <c r="D450" s="6">
        <f>(C450/12)*5</f>
        <v>4502.083333333333</v>
      </c>
      <c r="E450" s="66">
        <v>0</v>
      </c>
      <c r="F450" s="6">
        <f>SUM(E446:E450)</f>
        <v>0</v>
      </c>
      <c r="G450" s="36" t="str">
        <f t="shared" si="71"/>
        <v>Farol Vermelho</v>
      </c>
      <c r="H450">
        <f t="shared" ref="H450:H513" si="81">IF(D450-F450&lt;0,0,D450-F450)</f>
        <v>4502.083333333333</v>
      </c>
      <c r="I450" s="6">
        <f t="shared" ref="I450:I513" si="82">_xlfn.IFS(B450="Janeiro",1,B450="Fevereiro",2,B450="Março",3,B450="Abril",4,B450="Maio",5,B450="Junho",6,B450="Julho",7,B450="Agosto",8,B450="Setembro",9,B450="Outubro",10,B450="Novembro",11,B450="Dezembro",12,TRUE,0)</f>
        <v>5</v>
      </c>
      <c r="J450" s="76">
        <v>8</v>
      </c>
      <c r="K450" s="66"/>
      <c r="L450" s="6">
        <f>L446+L449</f>
        <v>3.333333333333333</v>
      </c>
      <c r="M450" s="6">
        <f t="shared" si="80"/>
        <v>0</v>
      </c>
      <c r="N450" s="77">
        <v>100</v>
      </c>
      <c r="O450">
        <f t="shared" si="72"/>
        <v>0.5</v>
      </c>
      <c r="P450" s="77">
        <v>50</v>
      </c>
      <c r="Q450">
        <f t="shared" si="73"/>
        <v>0.3</v>
      </c>
      <c r="R450" s="75">
        <v>15</v>
      </c>
      <c r="S450" s="6">
        <f t="shared" si="74"/>
        <v>0.15</v>
      </c>
    </row>
    <row r="451" spans="1:19" x14ac:dyDescent="0.3">
      <c r="A451" s="37" t="s">
        <v>32</v>
      </c>
      <c r="B451" s="6" t="s">
        <v>163</v>
      </c>
      <c r="C451" s="77">
        <v>10805</v>
      </c>
      <c r="D451" s="6">
        <f>(C451/12)*6</f>
        <v>5402.5</v>
      </c>
      <c r="E451" s="66">
        <v>0</v>
      </c>
      <c r="F451" s="6">
        <f>SUM(E446:E451)</f>
        <v>0</v>
      </c>
      <c r="G451" s="36" t="str">
        <f t="shared" ref="G451:G514" si="83">_xlfn.IFS(F451&gt;D451,"Farol Verde",F451&gt;=D451*0.85,"Farol Amarelo",F451&lt;D451*0.85,"Farol Vermelho","Verdadeiro",0)</f>
        <v>Farol Vermelho</v>
      </c>
      <c r="H451">
        <f t="shared" si="81"/>
        <v>5402.5</v>
      </c>
      <c r="I451" s="6">
        <f t="shared" si="82"/>
        <v>6</v>
      </c>
      <c r="J451" s="76">
        <v>8</v>
      </c>
      <c r="K451" s="66"/>
      <c r="L451" s="6">
        <f>$L446+L450</f>
        <v>3.9999999999999996</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3">
      <c r="A452" s="37" t="s">
        <v>32</v>
      </c>
      <c r="B452" s="6" t="s">
        <v>164</v>
      </c>
      <c r="C452" s="77">
        <v>10805</v>
      </c>
      <c r="D452" s="6">
        <f>(C452/12)*7</f>
        <v>6302.9166666666661</v>
      </c>
      <c r="E452" s="66">
        <v>0</v>
      </c>
      <c r="F452" s="6">
        <f>SUM(E446:E452)</f>
        <v>0</v>
      </c>
      <c r="G452" s="36" t="str">
        <f t="shared" si="83"/>
        <v>Farol Vermelho</v>
      </c>
      <c r="H452">
        <f t="shared" si="81"/>
        <v>6302.9166666666661</v>
      </c>
      <c r="I452" s="6">
        <f t="shared" si="82"/>
        <v>7</v>
      </c>
      <c r="J452" s="76">
        <v>8</v>
      </c>
      <c r="K452" s="66"/>
      <c r="L452" s="6">
        <f>$L446+L451</f>
        <v>4.6666666666666661</v>
      </c>
      <c r="M452" s="6">
        <f t="shared" si="80"/>
        <v>0</v>
      </c>
      <c r="N452" s="77">
        <v>100</v>
      </c>
      <c r="O452">
        <f t="shared" si="84"/>
        <v>0.5</v>
      </c>
      <c r="P452" s="77">
        <v>50</v>
      </c>
      <c r="Q452">
        <f t="shared" si="85"/>
        <v>0.3</v>
      </c>
      <c r="R452" s="75">
        <v>15</v>
      </c>
      <c r="S452" s="6">
        <f t="shared" si="86"/>
        <v>0.15</v>
      </c>
    </row>
    <row r="453" spans="1:19" x14ac:dyDescent="0.3">
      <c r="A453" s="37" t="s">
        <v>32</v>
      </c>
      <c r="B453" s="6" t="s">
        <v>165</v>
      </c>
      <c r="C453" s="77">
        <v>10805</v>
      </c>
      <c r="D453" s="6">
        <f>(C453/12)*8</f>
        <v>7203.333333333333</v>
      </c>
      <c r="E453" s="66">
        <v>0</v>
      </c>
      <c r="F453" s="6">
        <f>SUM(E446:E453)</f>
        <v>0</v>
      </c>
      <c r="G453" s="36" t="str">
        <f t="shared" si="83"/>
        <v>Farol Vermelho</v>
      </c>
      <c r="H453">
        <f t="shared" si="81"/>
        <v>7203.333333333333</v>
      </c>
      <c r="I453" s="6">
        <f t="shared" si="82"/>
        <v>8</v>
      </c>
      <c r="J453" s="76">
        <v>8</v>
      </c>
      <c r="K453" s="66"/>
      <c r="L453" s="6">
        <f>L446+L452</f>
        <v>5.333333333333333</v>
      </c>
      <c r="M453" s="6">
        <f t="shared" si="80"/>
        <v>0</v>
      </c>
      <c r="N453" s="77">
        <v>100</v>
      </c>
      <c r="O453">
        <f t="shared" si="84"/>
        <v>0.5</v>
      </c>
      <c r="P453" s="77">
        <v>50</v>
      </c>
      <c r="Q453">
        <f t="shared" si="85"/>
        <v>0.3</v>
      </c>
      <c r="R453" s="75">
        <v>15</v>
      </c>
      <c r="S453" s="6">
        <f t="shared" si="86"/>
        <v>0.15</v>
      </c>
    </row>
    <row r="454" spans="1:19" x14ac:dyDescent="0.3">
      <c r="A454" s="37" t="s">
        <v>32</v>
      </c>
      <c r="B454" s="6" t="s">
        <v>166</v>
      </c>
      <c r="C454" s="77">
        <v>10805</v>
      </c>
      <c r="D454" s="6">
        <f>(C454/12)*9</f>
        <v>8103.75</v>
      </c>
      <c r="E454" s="66">
        <v>0</v>
      </c>
      <c r="F454" s="6">
        <f>SUM(E446:E454)</f>
        <v>0</v>
      </c>
      <c r="G454" s="36" t="str">
        <f t="shared" si="83"/>
        <v>Farol Vermelho</v>
      </c>
      <c r="H454">
        <f t="shared" si="81"/>
        <v>8103.75</v>
      </c>
      <c r="I454" s="6">
        <f t="shared" si="82"/>
        <v>9</v>
      </c>
      <c r="J454" s="76">
        <v>8</v>
      </c>
      <c r="K454" s="66"/>
      <c r="L454" s="6">
        <f>$L446+L453</f>
        <v>6</v>
      </c>
      <c r="M454" s="6">
        <f t="shared" si="80"/>
        <v>0</v>
      </c>
      <c r="N454" s="77">
        <v>100</v>
      </c>
      <c r="O454">
        <f t="shared" si="84"/>
        <v>0.5</v>
      </c>
      <c r="P454" s="77">
        <v>50</v>
      </c>
      <c r="Q454">
        <f t="shared" si="85"/>
        <v>0.3</v>
      </c>
      <c r="R454" s="75">
        <v>15</v>
      </c>
      <c r="S454" s="6">
        <f t="shared" si="86"/>
        <v>0.15</v>
      </c>
    </row>
    <row r="455" spans="1:19" x14ac:dyDescent="0.3">
      <c r="A455" s="37" t="s">
        <v>32</v>
      </c>
      <c r="B455" s="6" t="s">
        <v>167</v>
      </c>
      <c r="C455" s="77">
        <v>10805</v>
      </c>
      <c r="D455" s="6">
        <f>(C455/12)*10</f>
        <v>9004.1666666666661</v>
      </c>
      <c r="E455" s="66">
        <v>0</v>
      </c>
      <c r="F455" s="6">
        <f>SUM(E446:E455)</f>
        <v>0</v>
      </c>
      <c r="G455" s="36" t="str">
        <f t="shared" si="83"/>
        <v>Farol Vermelho</v>
      </c>
      <c r="H455">
        <f t="shared" si="81"/>
        <v>9004.1666666666661</v>
      </c>
      <c r="I455" s="6">
        <f t="shared" si="82"/>
        <v>10</v>
      </c>
      <c r="J455" s="76">
        <v>8</v>
      </c>
      <c r="K455" s="66"/>
      <c r="L455" s="6">
        <f>$L446+L454</f>
        <v>6.666666666666667</v>
      </c>
      <c r="M455" s="6">
        <f t="shared" si="80"/>
        <v>0</v>
      </c>
      <c r="N455" s="77">
        <v>100</v>
      </c>
      <c r="O455">
        <f t="shared" si="84"/>
        <v>0.5</v>
      </c>
      <c r="P455" s="77">
        <v>50</v>
      </c>
      <c r="Q455">
        <f t="shared" si="85"/>
        <v>0.3</v>
      </c>
      <c r="R455" s="75">
        <v>15</v>
      </c>
      <c r="S455" s="6">
        <f t="shared" si="86"/>
        <v>0.15</v>
      </c>
    </row>
    <row r="456" spans="1:19" x14ac:dyDescent="0.3">
      <c r="A456" s="37" t="s">
        <v>32</v>
      </c>
      <c r="B456" s="6" t="s">
        <v>168</v>
      </c>
      <c r="C456" s="77">
        <v>10805</v>
      </c>
      <c r="D456" s="6">
        <f>(C456/12)*11</f>
        <v>9904.5833333333321</v>
      </c>
      <c r="E456" s="66">
        <v>0</v>
      </c>
      <c r="F456" s="6">
        <f>SUM(E446:E456)</f>
        <v>0</v>
      </c>
      <c r="G456" s="36" t="str">
        <f t="shared" si="83"/>
        <v>Farol Vermelho</v>
      </c>
      <c r="H456">
        <f t="shared" si="81"/>
        <v>9904.5833333333321</v>
      </c>
      <c r="I456" s="6">
        <f t="shared" si="82"/>
        <v>11</v>
      </c>
      <c r="J456" s="76">
        <v>8</v>
      </c>
      <c r="K456" s="66"/>
      <c r="L456" s="6">
        <f>L446+L455</f>
        <v>7.3333333333333339</v>
      </c>
      <c r="M456" s="6">
        <f t="shared" si="80"/>
        <v>0</v>
      </c>
      <c r="N456" s="77">
        <v>100</v>
      </c>
      <c r="O456">
        <f t="shared" si="84"/>
        <v>0.5</v>
      </c>
      <c r="P456" s="77">
        <v>50</v>
      </c>
      <c r="Q456">
        <f t="shared" si="85"/>
        <v>0.3</v>
      </c>
      <c r="R456" s="75">
        <v>15</v>
      </c>
      <c r="S456" s="6">
        <f t="shared" si="86"/>
        <v>0.15</v>
      </c>
    </row>
    <row r="457" spans="1:19" x14ac:dyDescent="0.3">
      <c r="A457" s="37" t="s">
        <v>32</v>
      </c>
      <c r="B457" s="6" t="s">
        <v>169</v>
      </c>
      <c r="C457" s="77">
        <v>10805</v>
      </c>
      <c r="D457" s="6">
        <f>(C457/12)*12</f>
        <v>10805</v>
      </c>
      <c r="E457" s="66">
        <v>0</v>
      </c>
      <c r="F457" s="6">
        <f>SUM(E446:E457)</f>
        <v>0</v>
      </c>
      <c r="G457" s="36" t="str">
        <f t="shared" si="83"/>
        <v>Farol Vermelho</v>
      </c>
      <c r="H457">
        <f t="shared" si="81"/>
        <v>10805</v>
      </c>
      <c r="I457" s="6">
        <f t="shared" si="82"/>
        <v>12</v>
      </c>
      <c r="J457" s="76">
        <v>8</v>
      </c>
      <c r="K457" s="66"/>
      <c r="L457" s="6">
        <f>$L446+L456</f>
        <v>8</v>
      </c>
      <c r="M457" s="6">
        <f t="shared" si="80"/>
        <v>0</v>
      </c>
      <c r="N457" s="77">
        <v>100</v>
      </c>
      <c r="O457">
        <f t="shared" si="84"/>
        <v>0.5</v>
      </c>
      <c r="P457" s="77">
        <v>50</v>
      </c>
      <c r="Q457">
        <f t="shared" si="85"/>
        <v>0.3</v>
      </c>
      <c r="R457" s="75">
        <v>15</v>
      </c>
      <c r="S457" s="6">
        <f t="shared" si="86"/>
        <v>0.15</v>
      </c>
    </row>
    <row r="458" spans="1:19" x14ac:dyDescent="0.3">
      <c r="A458" s="37" t="s">
        <v>150</v>
      </c>
      <c r="B458" s="6" t="s">
        <v>158</v>
      </c>
      <c r="C458" s="77">
        <v>75000</v>
      </c>
      <c r="D458" s="6">
        <f>(C458/12)*1</f>
        <v>6250</v>
      </c>
      <c r="E458" s="66">
        <v>1800</v>
      </c>
      <c r="F458" s="6">
        <f>E458</f>
        <v>1800</v>
      </c>
      <c r="G458" s="36" t="str">
        <f t="shared" si="83"/>
        <v>Farol Vermelho</v>
      </c>
      <c r="H458">
        <f t="shared" si="81"/>
        <v>4450</v>
      </c>
      <c r="I458" s="6">
        <f t="shared" si="82"/>
        <v>1</v>
      </c>
      <c r="J458" s="76">
        <v>17</v>
      </c>
      <c r="K458" s="66">
        <v>1</v>
      </c>
      <c r="L458" s="6">
        <f>J458/12</f>
        <v>1.4166666666666667</v>
      </c>
      <c r="M458" s="6">
        <f>K458</f>
        <v>1</v>
      </c>
      <c r="N458" s="77">
        <v>100</v>
      </c>
      <c r="O458">
        <f t="shared" si="84"/>
        <v>0.5</v>
      </c>
      <c r="P458" s="77">
        <v>50</v>
      </c>
      <c r="Q458">
        <f t="shared" si="85"/>
        <v>0.3</v>
      </c>
      <c r="R458" s="75">
        <v>15</v>
      </c>
      <c r="S458" s="6">
        <f t="shared" si="86"/>
        <v>0.15</v>
      </c>
    </row>
    <row r="459" spans="1:19" x14ac:dyDescent="0.3">
      <c r="A459" s="37" t="s">
        <v>150</v>
      </c>
      <c r="B459" s="6" t="s">
        <v>159</v>
      </c>
      <c r="C459" s="77">
        <v>75000</v>
      </c>
      <c r="D459" s="6">
        <f>(C459/12)*2</f>
        <v>12500</v>
      </c>
      <c r="E459" s="66">
        <v>7400</v>
      </c>
      <c r="F459" s="6">
        <f>SUM(E458:E459)</f>
        <v>9200</v>
      </c>
      <c r="G459" s="36" t="str">
        <f t="shared" si="83"/>
        <v>Farol Vermelho</v>
      </c>
      <c r="H459">
        <f t="shared" si="81"/>
        <v>3300</v>
      </c>
      <c r="I459" s="6">
        <f t="shared" si="82"/>
        <v>2</v>
      </c>
      <c r="J459" s="76">
        <v>17</v>
      </c>
      <c r="K459" s="66">
        <v>2</v>
      </c>
      <c r="L459" s="6">
        <f>L458+L458</f>
        <v>2.8333333333333335</v>
      </c>
      <c r="M459" s="6">
        <f>M458+K459</f>
        <v>3</v>
      </c>
      <c r="N459" s="77">
        <v>100</v>
      </c>
      <c r="O459">
        <f t="shared" si="84"/>
        <v>0.5</v>
      </c>
      <c r="P459" s="77">
        <v>50</v>
      </c>
      <c r="Q459">
        <f t="shared" si="85"/>
        <v>0.3</v>
      </c>
      <c r="R459" s="75">
        <v>15</v>
      </c>
      <c r="S459" s="6">
        <f t="shared" si="86"/>
        <v>0.15</v>
      </c>
    </row>
    <row r="460" spans="1:19" x14ac:dyDescent="0.3">
      <c r="A460" s="37" t="s">
        <v>150</v>
      </c>
      <c r="B460" s="6" t="s">
        <v>160</v>
      </c>
      <c r="C460" s="77">
        <v>75000</v>
      </c>
      <c r="D460" s="6">
        <f>(C460/12)*3</f>
        <v>18750</v>
      </c>
      <c r="E460" s="66">
        <v>6750</v>
      </c>
      <c r="F460" s="6">
        <f>SUM(E458:E460)</f>
        <v>15950</v>
      </c>
      <c r="G460" s="36" t="str">
        <f t="shared" si="83"/>
        <v>Farol Amarelo</v>
      </c>
      <c r="H460">
        <f t="shared" si="81"/>
        <v>2800</v>
      </c>
      <c r="I460" s="6">
        <f t="shared" si="82"/>
        <v>3</v>
      </c>
      <c r="J460" s="76">
        <v>17</v>
      </c>
      <c r="K460" s="66">
        <v>2</v>
      </c>
      <c r="L460" s="6">
        <f>$L458+L459</f>
        <v>4.25</v>
      </c>
      <c r="M460" s="6">
        <f t="shared" ref="M460:M469" si="87">M459+K460</f>
        <v>5</v>
      </c>
      <c r="N460" s="77">
        <v>100</v>
      </c>
      <c r="O460">
        <f t="shared" si="84"/>
        <v>0.5</v>
      </c>
      <c r="P460" s="77">
        <v>50</v>
      </c>
      <c r="Q460">
        <f t="shared" si="85"/>
        <v>0.3</v>
      </c>
      <c r="R460" s="75">
        <v>15</v>
      </c>
      <c r="S460" s="6">
        <f t="shared" si="86"/>
        <v>0.15</v>
      </c>
    </row>
    <row r="461" spans="1:19" x14ac:dyDescent="0.3">
      <c r="A461" s="37" t="s">
        <v>150</v>
      </c>
      <c r="B461" s="6" t="s">
        <v>161</v>
      </c>
      <c r="C461" s="77">
        <v>75000</v>
      </c>
      <c r="D461" s="6">
        <f>(C461/12)*4</f>
        <v>25000</v>
      </c>
      <c r="E461" s="66">
        <v>2150</v>
      </c>
      <c r="F461" s="6">
        <f>SUM(E458:E461)</f>
        <v>18100</v>
      </c>
      <c r="G461" s="36" t="str">
        <f t="shared" si="83"/>
        <v>Farol Vermelho</v>
      </c>
      <c r="H461">
        <f t="shared" si="81"/>
        <v>6900</v>
      </c>
      <c r="I461" s="6">
        <f t="shared" si="82"/>
        <v>4</v>
      </c>
      <c r="J461" s="76">
        <v>17</v>
      </c>
      <c r="K461" s="66">
        <v>1</v>
      </c>
      <c r="L461" s="6">
        <f>$L458+L460</f>
        <v>5.666666666666667</v>
      </c>
      <c r="M461" s="6">
        <f t="shared" si="87"/>
        <v>6</v>
      </c>
      <c r="N461" s="77">
        <v>100</v>
      </c>
      <c r="O461">
        <f t="shared" si="84"/>
        <v>0.5</v>
      </c>
      <c r="P461" s="77">
        <v>50</v>
      </c>
      <c r="Q461">
        <f t="shared" si="85"/>
        <v>0.3</v>
      </c>
      <c r="R461" s="75">
        <v>15</v>
      </c>
      <c r="S461" s="6">
        <f t="shared" si="86"/>
        <v>0.15</v>
      </c>
    </row>
    <row r="462" spans="1:19" x14ac:dyDescent="0.3">
      <c r="A462" s="37" t="s">
        <v>150</v>
      </c>
      <c r="B462" s="6" t="s">
        <v>162</v>
      </c>
      <c r="C462" s="77">
        <v>75000</v>
      </c>
      <c r="D462" s="6">
        <f>(C462/12)*5</f>
        <v>31250</v>
      </c>
      <c r="E462" s="66">
        <v>5000</v>
      </c>
      <c r="F462" s="6">
        <f>SUM(E458:E462)</f>
        <v>23100</v>
      </c>
      <c r="G462" s="36" t="str">
        <f t="shared" si="83"/>
        <v>Farol Vermelho</v>
      </c>
      <c r="H462">
        <f t="shared" si="81"/>
        <v>8150</v>
      </c>
      <c r="I462" s="6">
        <f t="shared" si="82"/>
        <v>5</v>
      </c>
      <c r="J462" s="76">
        <v>17</v>
      </c>
      <c r="K462" s="66">
        <v>1</v>
      </c>
      <c r="L462" s="6">
        <f>L458+L461</f>
        <v>7.0833333333333339</v>
      </c>
      <c r="M462" s="6">
        <f t="shared" si="87"/>
        <v>7</v>
      </c>
      <c r="N462" s="77">
        <v>100</v>
      </c>
      <c r="O462">
        <f t="shared" si="84"/>
        <v>0.5</v>
      </c>
      <c r="P462" s="77">
        <v>50</v>
      </c>
      <c r="Q462">
        <f t="shared" si="85"/>
        <v>0.3</v>
      </c>
      <c r="R462" s="75">
        <v>15</v>
      </c>
      <c r="S462" s="6">
        <f t="shared" si="86"/>
        <v>0.15</v>
      </c>
    </row>
    <row r="463" spans="1:19" x14ac:dyDescent="0.3">
      <c r="A463" s="37" t="s">
        <v>150</v>
      </c>
      <c r="B463" s="6" t="s">
        <v>163</v>
      </c>
      <c r="C463" s="77">
        <v>75000</v>
      </c>
      <c r="D463" s="6">
        <f>(C463/12)*6</f>
        <v>37500</v>
      </c>
      <c r="E463" s="66">
        <v>0</v>
      </c>
      <c r="F463" s="6">
        <f>SUM(E458:E463)</f>
        <v>23100</v>
      </c>
      <c r="G463" s="36" t="str">
        <f t="shared" si="83"/>
        <v>Farol Vermelho</v>
      </c>
      <c r="H463">
        <f t="shared" si="81"/>
        <v>14400</v>
      </c>
      <c r="I463" s="6">
        <f t="shared" si="82"/>
        <v>6</v>
      </c>
      <c r="J463" s="76">
        <v>17</v>
      </c>
      <c r="K463" s="66"/>
      <c r="L463" s="6">
        <f>$L458+L462</f>
        <v>8.5</v>
      </c>
      <c r="M463" s="6">
        <f t="shared" si="87"/>
        <v>7</v>
      </c>
      <c r="N463" s="77">
        <v>100</v>
      </c>
      <c r="O463">
        <f t="shared" si="84"/>
        <v>0.5</v>
      </c>
      <c r="P463" s="77">
        <v>50</v>
      </c>
      <c r="Q463">
        <f t="shared" si="85"/>
        <v>0.3</v>
      </c>
      <c r="R463" s="75">
        <v>15</v>
      </c>
      <c r="S463" s="6">
        <f t="shared" si="86"/>
        <v>0.15</v>
      </c>
    </row>
    <row r="464" spans="1:19" x14ac:dyDescent="0.3">
      <c r="A464" s="37" t="s">
        <v>150</v>
      </c>
      <c r="B464" s="6" t="s">
        <v>164</v>
      </c>
      <c r="C464" s="77">
        <v>75000</v>
      </c>
      <c r="D464" s="6">
        <f>(C464/12)*7</f>
        <v>43750</v>
      </c>
      <c r="E464" s="66">
        <v>0</v>
      </c>
      <c r="F464" s="6">
        <f>SUM(E458:E464)</f>
        <v>23100</v>
      </c>
      <c r="G464" s="36" t="str">
        <f t="shared" si="83"/>
        <v>Farol Vermelho</v>
      </c>
      <c r="H464">
        <f t="shared" si="81"/>
        <v>20650</v>
      </c>
      <c r="I464" s="6">
        <f t="shared" si="82"/>
        <v>7</v>
      </c>
      <c r="J464" s="76">
        <v>17</v>
      </c>
      <c r="K464" s="66"/>
      <c r="L464" s="6">
        <f>$L458+L463</f>
        <v>9.9166666666666661</v>
      </c>
      <c r="M464" s="6">
        <f t="shared" si="87"/>
        <v>7</v>
      </c>
      <c r="N464" s="77">
        <v>100</v>
      </c>
      <c r="O464">
        <f t="shared" si="84"/>
        <v>0.5</v>
      </c>
      <c r="P464" s="77">
        <v>50</v>
      </c>
      <c r="Q464">
        <f t="shared" si="85"/>
        <v>0.3</v>
      </c>
      <c r="R464" s="75">
        <v>15</v>
      </c>
      <c r="S464" s="6">
        <f t="shared" si="86"/>
        <v>0.15</v>
      </c>
    </row>
    <row r="465" spans="1:19" x14ac:dyDescent="0.3">
      <c r="A465" s="37" t="s">
        <v>150</v>
      </c>
      <c r="B465" s="6" t="s">
        <v>165</v>
      </c>
      <c r="C465" s="77">
        <v>75000</v>
      </c>
      <c r="D465" s="6">
        <f>(C465/12)*8</f>
        <v>50000</v>
      </c>
      <c r="E465" s="66">
        <v>0</v>
      </c>
      <c r="F465" s="6">
        <f>SUM(E458:E465)</f>
        <v>23100</v>
      </c>
      <c r="G465" s="36" t="str">
        <f t="shared" si="83"/>
        <v>Farol Vermelho</v>
      </c>
      <c r="H465">
        <f t="shared" si="81"/>
        <v>26900</v>
      </c>
      <c r="I465" s="6">
        <f t="shared" si="82"/>
        <v>8</v>
      </c>
      <c r="J465" s="76">
        <v>17</v>
      </c>
      <c r="K465" s="66"/>
      <c r="L465" s="6">
        <f>L458+L464</f>
        <v>11.333333333333332</v>
      </c>
      <c r="M465" s="6">
        <f t="shared" si="87"/>
        <v>7</v>
      </c>
      <c r="N465" s="77">
        <v>100</v>
      </c>
      <c r="O465">
        <f t="shared" si="84"/>
        <v>0.5</v>
      </c>
      <c r="P465" s="77">
        <v>50</v>
      </c>
      <c r="Q465">
        <f t="shared" si="85"/>
        <v>0.3</v>
      </c>
      <c r="R465" s="75">
        <v>15</v>
      </c>
      <c r="S465" s="6">
        <f t="shared" si="86"/>
        <v>0.15</v>
      </c>
    </row>
    <row r="466" spans="1:19" x14ac:dyDescent="0.3">
      <c r="A466" s="37" t="s">
        <v>150</v>
      </c>
      <c r="B466" s="6" t="s">
        <v>166</v>
      </c>
      <c r="C466" s="77">
        <v>75000</v>
      </c>
      <c r="D466" s="6">
        <f>(C466/12)*9</f>
        <v>56250</v>
      </c>
      <c r="E466" s="66">
        <v>0</v>
      </c>
      <c r="F466" s="6">
        <f>SUM(E458:E466)</f>
        <v>23100</v>
      </c>
      <c r="G466" s="36" t="str">
        <f t="shared" si="83"/>
        <v>Farol Vermelho</v>
      </c>
      <c r="H466">
        <f t="shared" si="81"/>
        <v>33150</v>
      </c>
      <c r="I466" s="6">
        <f t="shared" si="82"/>
        <v>9</v>
      </c>
      <c r="J466" s="76">
        <v>17</v>
      </c>
      <c r="K466" s="66"/>
      <c r="L466" s="6">
        <f>$L458+L465</f>
        <v>12.749999999999998</v>
      </c>
      <c r="M466" s="6">
        <f t="shared" si="87"/>
        <v>7</v>
      </c>
      <c r="N466" s="77">
        <v>100</v>
      </c>
      <c r="O466">
        <f t="shared" si="84"/>
        <v>0.5</v>
      </c>
      <c r="P466" s="77">
        <v>50</v>
      </c>
      <c r="Q466">
        <f t="shared" si="85"/>
        <v>0.3</v>
      </c>
      <c r="R466" s="75">
        <v>15</v>
      </c>
      <c r="S466" s="6">
        <f t="shared" si="86"/>
        <v>0.15</v>
      </c>
    </row>
    <row r="467" spans="1:19" x14ac:dyDescent="0.3">
      <c r="A467" s="37" t="s">
        <v>150</v>
      </c>
      <c r="B467" s="6" t="s">
        <v>167</v>
      </c>
      <c r="C467" s="77">
        <v>75000</v>
      </c>
      <c r="D467" s="6">
        <f>(C467/12)*10</f>
        <v>62500</v>
      </c>
      <c r="E467" s="66">
        <v>0</v>
      </c>
      <c r="F467" s="6">
        <f>SUM(E458:E467)</f>
        <v>23100</v>
      </c>
      <c r="G467" s="36" t="str">
        <f t="shared" si="83"/>
        <v>Farol Vermelho</v>
      </c>
      <c r="H467">
        <f t="shared" si="81"/>
        <v>39400</v>
      </c>
      <c r="I467" s="6">
        <f t="shared" si="82"/>
        <v>10</v>
      </c>
      <c r="J467" s="76">
        <v>17</v>
      </c>
      <c r="K467" s="66"/>
      <c r="L467" s="6">
        <f>$L458+L466</f>
        <v>14.166666666666664</v>
      </c>
      <c r="M467" s="6">
        <f t="shared" si="87"/>
        <v>7</v>
      </c>
      <c r="N467" s="77">
        <v>100</v>
      </c>
      <c r="O467">
        <f t="shared" si="84"/>
        <v>0.5</v>
      </c>
      <c r="P467" s="77">
        <v>50</v>
      </c>
      <c r="Q467">
        <f t="shared" si="85"/>
        <v>0.3</v>
      </c>
      <c r="R467" s="75">
        <v>15</v>
      </c>
      <c r="S467" s="6">
        <f t="shared" si="86"/>
        <v>0.15</v>
      </c>
    </row>
    <row r="468" spans="1:19" x14ac:dyDescent="0.3">
      <c r="A468" s="37" t="s">
        <v>150</v>
      </c>
      <c r="B468" s="6" t="s">
        <v>168</v>
      </c>
      <c r="C468" s="77">
        <v>75000</v>
      </c>
      <c r="D468" s="6">
        <f>(C468/12)*11</f>
        <v>68750</v>
      </c>
      <c r="E468" s="66">
        <v>0</v>
      </c>
      <c r="F468" s="6">
        <f>SUM(E458:E468)</f>
        <v>23100</v>
      </c>
      <c r="G468" s="36" t="str">
        <f t="shared" si="83"/>
        <v>Farol Vermelho</v>
      </c>
      <c r="H468">
        <f t="shared" si="81"/>
        <v>45650</v>
      </c>
      <c r="I468" s="6">
        <f t="shared" si="82"/>
        <v>11</v>
      </c>
      <c r="J468" s="76">
        <v>17</v>
      </c>
      <c r="K468" s="66"/>
      <c r="L468" s="6">
        <f>L458+L467</f>
        <v>15.58333333333333</v>
      </c>
      <c r="M468" s="6">
        <f t="shared" si="87"/>
        <v>7</v>
      </c>
      <c r="N468" s="77">
        <v>100</v>
      </c>
      <c r="O468">
        <f t="shared" si="84"/>
        <v>0.5</v>
      </c>
      <c r="P468" s="77">
        <v>50</v>
      </c>
      <c r="Q468">
        <f t="shared" si="85"/>
        <v>0.3</v>
      </c>
      <c r="R468" s="75">
        <v>15</v>
      </c>
      <c r="S468" s="6">
        <f t="shared" si="86"/>
        <v>0.15</v>
      </c>
    </row>
    <row r="469" spans="1:19" x14ac:dyDescent="0.3">
      <c r="A469" s="37" t="s">
        <v>150</v>
      </c>
      <c r="B469" s="6" t="s">
        <v>169</v>
      </c>
      <c r="C469" s="77">
        <v>75000</v>
      </c>
      <c r="D469" s="6">
        <f>(C469/12)*12</f>
        <v>75000</v>
      </c>
      <c r="E469" s="66">
        <v>0</v>
      </c>
      <c r="F469" s="6">
        <f>SUM(E458:E469)</f>
        <v>23100</v>
      </c>
      <c r="G469" s="36" t="str">
        <f t="shared" si="83"/>
        <v>Farol Vermelho</v>
      </c>
      <c r="H469">
        <f t="shared" si="81"/>
        <v>51900</v>
      </c>
      <c r="I469" s="6">
        <f t="shared" si="82"/>
        <v>12</v>
      </c>
      <c r="J469" s="76">
        <v>17</v>
      </c>
      <c r="K469" s="66"/>
      <c r="L469" s="6">
        <f>$L458+L468</f>
        <v>16.999999999999996</v>
      </c>
      <c r="M469" s="6">
        <f t="shared" si="87"/>
        <v>7</v>
      </c>
      <c r="N469" s="77">
        <v>100</v>
      </c>
      <c r="O469">
        <f t="shared" si="84"/>
        <v>0.5</v>
      </c>
      <c r="P469" s="77">
        <v>50</v>
      </c>
      <c r="Q469">
        <f t="shared" si="85"/>
        <v>0.3</v>
      </c>
      <c r="R469" s="75">
        <v>15</v>
      </c>
      <c r="S469" s="6">
        <f t="shared" si="86"/>
        <v>0.15</v>
      </c>
    </row>
    <row r="470" spans="1:19" x14ac:dyDescent="0.3">
      <c r="A470" s="37" t="s">
        <v>71</v>
      </c>
      <c r="B470" s="6" t="s">
        <v>158</v>
      </c>
      <c r="C470" s="77">
        <v>6000</v>
      </c>
      <c r="D470" s="6">
        <f>(C470/12)*1</f>
        <v>500</v>
      </c>
      <c r="E470" s="66">
        <v>1400</v>
      </c>
      <c r="F470" s="6">
        <f>E470</f>
        <v>1400</v>
      </c>
      <c r="G470" s="36" t="str">
        <f t="shared" si="83"/>
        <v>Farol Verde</v>
      </c>
      <c r="H470">
        <f t="shared" si="81"/>
        <v>0</v>
      </c>
      <c r="I470" s="6">
        <f t="shared" si="82"/>
        <v>1</v>
      </c>
      <c r="J470" s="76">
        <v>8</v>
      </c>
      <c r="K470" s="66">
        <v>1</v>
      </c>
      <c r="L470" s="6">
        <f>J470/12</f>
        <v>0.66666666666666663</v>
      </c>
      <c r="M470" s="6">
        <f>K470</f>
        <v>1</v>
      </c>
      <c r="N470" s="77">
        <v>100</v>
      </c>
      <c r="O470">
        <f t="shared" si="84"/>
        <v>0.5</v>
      </c>
      <c r="P470" s="77">
        <v>50</v>
      </c>
      <c r="Q470">
        <f t="shared" si="85"/>
        <v>0.3</v>
      </c>
      <c r="R470" s="75">
        <v>15</v>
      </c>
      <c r="S470" s="6">
        <f t="shared" si="86"/>
        <v>0.15</v>
      </c>
    </row>
    <row r="471" spans="1:19" x14ac:dyDescent="0.3">
      <c r="A471" s="37" t="s">
        <v>71</v>
      </c>
      <c r="B471" s="6" t="s">
        <v>159</v>
      </c>
      <c r="C471" s="77">
        <v>6000</v>
      </c>
      <c r="D471" s="6">
        <f>(C471/12)*2</f>
        <v>1000</v>
      </c>
      <c r="E471" s="66">
        <v>0</v>
      </c>
      <c r="F471" s="6">
        <f>SUM(E470:E471)</f>
        <v>1400</v>
      </c>
      <c r="G471" s="36" t="str">
        <f t="shared" si="83"/>
        <v>Farol Verde</v>
      </c>
      <c r="H471">
        <f t="shared" si="81"/>
        <v>0</v>
      </c>
      <c r="I471" s="6">
        <f t="shared" si="82"/>
        <v>2</v>
      </c>
      <c r="J471" s="76">
        <v>8</v>
      </c>
      <c r="K471" s="66">
        <v>0</v>
      </c>
      <c r="L471" s="6">
        <f>L470+L470</f>
        <v>1.3333333333333333</v>
      </c>
      <c r="M471" s="6">
        <f>M470+K471</f>
        <v>1</v>
      </c>
      <c r="N471" s="77">
        <v>100</v>
      </c>
      <c r="O471">
        <f t="shared" si="84"/>
        <v>0.5</v>
      </c>
      <c r="P471" s="77">
        <v>50</v>
      </c>
      <c r="Q471">
        <f t="shared" si="85"/>
        <v>0.3</v>
      </c>
      <c r="R471" s="75">
        <v>15</v>
      </c>
      <c r="S471" s="6">
        <f t="shared" si="86"/>
        <v>0.15</v>
      </c>
    </row>
    <row r="472" spans="1:19" x14ac:dyDescent="0.3">
      <c r="A472" s="37" t="s">
        <v>71</v>
      </c>
      <c r="B472" s="6" t="s">
        <v>160</v>
      </c>
      <c r="C472" s="77">
        <v>6000</v>
      </c>
      <c r="D472" s="6">
        <f>(C472/12)*3</f>
        <v>1500</v>
      </c>
      <c r="E472" s="66">
        <v>0</v>
      </c>
      <c r="F472" s="6">
        <f>SUM(E470:E472)</f>
        <v>1400</v>
      </c>
      <c r="G472" s="36" t="str">
        <f t="shared" si="83"/>
        <v>Farol Amarelo</v>
      </c>
      <c r="H472">
        <f t="shared" si="81"/>
        <v>100</v>
      </c>
      <c r="I472" s="6">
        <f t="shared" si="82"/>
        <v>3</v>
      </c>
      <c r="J472" s="76">
        <v>8</v>
      </c>
      <c r="K472" s="66">
        <v>0</v>
      </c>
      <c r="L472" s="6">
        <f>$L470+L471</f>
        <v>2</v>
      </c>
      <c r="M472" s="6">
        <f t="shared" ref="M472:M481" si="88">M471+K472</f>
        <v>1</v>
      </c>
      <c r="N472" s="77">
        <v>100</v>
      </c>
      <c r="O472">
        <f t="shared" si="84"/>
        <v>0.5</v>
      </c>
      <c r="P472" s="77">
        <v>50</v>
      </c>
      <c r="Q472">
        <f t="shared" si="85"/>
        <v>0.3</v>
      </c>
      <c r="R472" s="75">
        <v>15</v>
      </c>
      <c r="S472" s="6">
        <f t="shared" si="86"/>
        <v>0.15</v>
      </c>
    </row>
    <row r="473" spans="1:19" x14ac:dyDescent="0.3">
      <c r="A473" s="37" t="s">
        <v>71</v>
      </c>
      <c r="B473" s="6" t="s">
        <v>161</v>
      </c>
      <c r="C473" s="77">
        <v>6000</v>
      </c>
      <c r="D473" s="6">
        <f>(C473/12)*4</f>
        <v>2000</v>
      </c>
      <c r="E473" s="66">
        <v>0</v>
      </c>
      <c r="F473" s="6">
        <f>SUM(E470:E473)</f>
        <v>1400</v>
      </c>
      <c r="G473" s="36" t="str">
        <f t="shared" si="83"/>
        <v>Farol Vermelho</v>
      </c>
      <c r="H473">
        <f t="shared" si="81"/>
        <v>600</v>
      </c>
      <c r="I473" s="6">
        <f t="shared" si="82"/>
        <v>4</v>
      </c>
      <c r="J473" s="76">
        <v>8</v>
      </c>
      <c r="K473" s="66">
        <v>0</v>
      </c>
      <c r="L473" s="6">
        <f>$L470+L472</f>
        <v>2.6666666666666665</v>
      </c>
      <c r="M473" s="6">
        <f t="shared" si="88"/>
        <v>1</v>
      </c>
      <c r="N473" s="77">
        <v>100</v>
      </c>
      <c r="O473">
        <f t="shared" si="84"/>
        <v>0.5</v>
      </c>
      <c r="P473" s="77">
        <v>50</v>
      </c>
      <c r="Q473">
        <f t="shared" si="85"/>
        <v>0.3</v>
      </c>
      <c r="R473" s="75">
        <v>15</v>
      </c>
      <c r="S473" s="6">
        <f t="shared" si="86"/>
        <v>0.15</v>
      </c>
    </row>
    <row r="474" spans="1:19" x14ac:dyDescent="0.3">
      <c r="A474" s="37" t="s">
        <v>71</v>
      </c>
      <c r="B474" s="6" t="s">
        <v>162</v>
      </c>
      <c r="C474" s="77">
        <v>6000</v>
      </c>
      <c r="D474" s="6">
        <f>(C474/12)*5</f>
        <v>2500</v>
      </c>
      <c r="E474" s="66">
        <v>4300</v>
      </c>
      <c r="F474" s="6">
        <f>SUM(E470:E474)</f>
        <v>5700</v>
      </c>
      <c r="G474" s="36" t="str">
        <f t="shared" si="83"/>
        <v>Farol Verde</v>
      </c>
      <c r="H474">
        <f t="shared" si="81"/>
        <v>0</v>
      </c>
      <c r="I474" s="6">
        <f t="shared" si="82"/>
        <v>5</v>
      </c>
      <c r="J474" s="76">
        <v>8</v>
      </c>
      <c r="K474" s="66">
        <v>2</v>
      </c>
      <c r="L474" s="6">
        <f>L470+L473</f>
        <v>3.333333333333333</v>
      </c>
      <c r="M474" s="6">
        <f t="shared" si="88"/>
        <v>3</v>
      </c>
      <c r="N474" s="77">
        <v>100</v>
      </c>
      <c r="O474">
        <f t="shared" si="84"/>
        <v>0.5</v>
      </c>
      <c r="P474" s="77">
        <v>50</v>
      </c>
      <c r="Q474">
        <f t="shared" si="85"/>
        <v>0.3</v>
      </c>
      <c r="R474" s="75">
        <v>15</v>
      </c>
      <c r="S474" s="6">
        <f t="shared" si="86"/>
        <v>0.15</v>
      </c>
    </row>
    <row r="475" spans="1:19" x14ac:dyDescent="0.3">
      <c r="A475" s="37" t="s">
        <v>71</v>
      </c>
      <c r="B475" s="6" t="s">
        <v>163</v>
      </c>
      <c r="C475" s="77">
        <v>6000</v>
      </c>
      <c r="D475" s="6">
        <f>(C475/12)*6</f>
        <v>3000</v>
      </c>
      <c r="E475" s="66">
        <v>0</v>
      </c>
      <c r="F475" s="6">
        <f>SUM(E470:E475)</f>
        <v>5700</v>
      </c>
      <c r="G475" s="36" t="str">
        <f t="shared" si="83"/>
        <v>Farol Verde</v>
      </c>
      <c r="H475">
        <f t="shared" si="81"/>
        <v>0</v>
      </c>
      <c r="I475" s="6">
        <f t="shared" si="82"/>
        <v>6</v>
      </c>
      <c r="J475" s="76">
        <v>8</v>
      </c>
      <c r="K475" s="66"/>
      <c r="L475" s="6">
        <f>$L470+L474</f>
        <v>3.9999999999999996</v>
      </c>
      <c r="M475" s="6">
        <f t="shared" si="88"/>
        <v>3</v>
      </c>
      <c r="N475" s="77">
        <v>100</v>
      </c>
      <c r="O475">
        <f t="shared" si="84"/>
        <v>0.5</v>
      </c>
      <c r="P475" s="77">
        <v>50</v>
      </c>
      <c r="Q475">
        <f t="shared" si="85"/>
        <v>0.3</v>
      </c>
      <c r="R475" s="75">
        <v>15</v>
      </c>
      <c r="S475" s="6">
        <f t="shared" si="86"/>
        <v>0.15</v>
      </c>
    </row>
    <row r="476" spans="1:19" x14ac:dyDescent="0.3">
      <c r="A476" s="37" t="s">
        <v>71</v>
      </c>
      <c r="B476" s="6" t="s">
        <v>164</v>
      </c>
      <c r="C476" s="77">
        <v>6000</v>
      </c>
      <c r="D476" s="6">
        <f>(C476/12)*7</f>
        <v>3500</v>
      </c>
      <c r="E476" s="66">
        <v>0</v>
      </c>
      <c r="F476" s="6">
        <f>SUM(E470:E476)</f>
        <v>5700</v>
      </c>
      <c r="G476" s="36" t="str">
        <f t="shared" si="83"/>
        <v>Farol Verde</v>
      </c>
      <c r="H476">
        <f t="shared" si="81"/>
        <v>0</v>
      </c>
      <c r="I476" s="6">
        <f t="shared" si="82"/>
        <v>7</v>
      </c>
      <c r="J476" s="76">
        <v>8</v>
      </c>
      <c r="K476" s="66"/>
      <c r="L476" s="6">
        <f>$L470+L475</f>
        <v>4.6666666666666661</v>
      </c>
      <c r="M476" s="6">
        <f t="shared" si="88"/>
        <v>3</v>
      </c>
      <c r="N476" s="77">
        <v>100</v>
      </c>
      <c r="O476">
        <f t="shared" si="84"/>
        <v>0.5</v>
      </c>
      <c r="P476" s="77">
        <v>50</v>
      </c>
      <c r="Q476">
        <f t="shared" si="85"/>
        <v>0.3</v>
      </c>
      <c r="R476" s="75">
        <v>15</v>
      </c>
      <c r="S476" s="6">
        <f t="shared" si="86"/>
        <v>0.15</v>
      </c>
    </row>
    <row r="477" spans="1:19" x14ac:dyDescent="0.3">
      <c r="A477" s="37" t="s">
        <v>71</v>
      </c>
      <c r="B477" s="6" t="s">
        <v>165</v>
      </c>
      <c r="C477" s="77">
        <v>6000</v>
      </c>
      <c r="D477" s="6">
        <f>(C477/12)*8</f>
        <v>4000</v>
      </c>
      <c r="E477" s="66">
        <v>0</v>
      </c>
      <c r="F477" s="6">
        <f>SUM(E470:E477)</f>
        <v>5700</v>
      </c>
      <c r="G477" s="36" t="str">
        <f t="shared" si="83"/>
        <v>Farol Verde</v>
      </c>
      <c r="H477">
        <f t="shared" si="81"/>
        <v>0</v>
      </c>
      <c r="I477" s="6">
        <f t="shared" si="82"/>
        <v>8</v>
      </c>
      <c r="J477" s="76">
        <v>8</v>
      </c>
      <c r="K477" s="66"/>
      <c r="L477" s="6">
        <f>L470+L476</f>
        <v>5.333333333333333</v>
      </c>
      <c r="M477" s="6">
        <f t="shared" si="88"/>
        <v>3</v>
      </c>
      <c r="N477" s="77">
        <v>100</v>
      </c>
      <c r="O477">
        <f t="shared" si="84"/>
        <v>0.5</v>
      </c>
      <c r="P477" s="77">
        <v>50</v>
      </c>
      <c r="Q477">
        <f t="shared" si="85"/>
        <v>0.3</v>
      </c>
      <c r="R477" s="75">
        <v>15</v>
      </c>
      <c r="S477" s="6">
        <f t="shared" si="86"/>
        <v>0.15</v>
      </c>
    </row>
    <row r="478" spans="1:19" x14ac:dyDescent="0.3">
      <c r="A478" s="37" t="s">
        <v>71</v>
      </c>
      <c r="B478" s="6" t="s">
        <v>166</v>
      </c>
      <c r="C478" s="77">
        <v>6000</v>
      </c>
      <c r="D478" s="6">
        <f>(C478/12)*9</f>
        <v>4500</v>
      </c>
      <c r="E478" s="66">
        <v>0</v>
      </c>
      <c r="F478" s="6">
        <f>SUM(E470:E478)</f>
        <v>5700</v>
      </c>
      <c r="G478" s="36" t="str">
        <f t="shared" si="83"/>
        <v>Farol Verde</v>
      </c>
      <c r="H478">
        <f t="shared" si="81"/>
        <v>0</v>
      </c>
      <c r="I478" s="6">
        <f t="shared" si="82"/>
        <v>9</v>
      </c>
      <c r="J478" s="76">
        <v>8</v>
      </c>
      <c r="K478" s="66"/>
      <c r="L478" s="6">
        <f>$L470+L477</f>
        <v>6</v>
      </c>
      <c r="M478" s="6">
        <f t="shared" si="88"/>
        <v>3</v>
      </c>
      <c r="N478" s="77">
        <v>100</v>
      </c>
      <c r="O478">
        <f t="shared" si="84"/>
        <v>0.5</v>
      </c>
      <c r="P478" s="77">
        <v>50</v>
      </c>
      <c r="Q478">
        <f t="shared" si="85"/>
        <v>0.3</v>
      </c>
      <c r="R478" s="75">
        <v>15</v>
      </c>
      <c r="S478" s="6">
        <f t="shared" si="86"/>
        <v>0.15</v>
      </c>
    </row>
    <row r="479" spans="1:19" x14ac:dyDescent="0.3">
      <c r="A479" s="37" t="s">
        <v>71</v>
      </c>
      <c r="B479" s="6" t="s">
        <v>167</v>
      </c>
      <c r="C479" s="77">
        <v>6000</v>
      </c>
      <c r="D479" s="6">
        <f>(C479/12)*10</f>
        <v>5000</v>
      </c>
      <c r="E479" s="66">
        <v>0</v>
      </c>
      <c r="F479" s="6">
        <f>SUM(E470:E479)</f>
        <v>5700</v>
      </c>
      <c r="G479" s="36" t="str">
        <f t="shared" si="83"/>
        <v>Farol Verde</v>
      </c>
      <c r="H479">
        <f t="shared" si="81"/>
        <v>0</v>
      </c>
      <c r="I479" s="6">
        <f t="shared" si="82"/>
        <v>10</v>
      </c>
      <c r="J479" s="76">
        <v>8</v>
      </c>
      <c r="K479" s="66"/>
      <c r="L479" s="6">
        <f>$L470+L478</f>
        <v>6.666666666666667</v>
      </c>
      <c r="M479" s="6">
        <f t="shared" si="88"/>
        <v>3</v>
      </c>
      <c r="N479" s="77">
        <v>100</v>
      </c>
      <c r="O479">
        <f t="shared" si="84"/>
        <v>0.5</v>
      </c>
      <c r="P479" s="77">
        <v>50</v>
      </c>
      <c r="Q479">
        <f t="shared" si="85"/>
        <v>0.3</v>
      </c>
      <c r="R479" s="75">
        <v>15</v>
      </c>
      <c r="S479" s="6">
        <f t="shared" si="86"/>
        <v>0.15</v>
      </c>
    </row>
    <row r="480" spans="1:19" x14ac:dyDescent="0.3">
      <c r="A480" s="37" t="s">
        <v>71</v>
      </c>
      <c r="B480" s="6" t="s">
        <v>168</v>
      </c>
      <c r="C480" s="77">
        <v>6000</v>
      </c>
      <c r="D480" s="6">
        <f>(C480/12)*11</f>
        <v>5500</v>
      </c>
      <c r="E480" s="66">
        <v>0</v>
      </c>
      <c r="F480" s="6">
        <f>SUM(E470:E480)</f>
        <v>5700</v>
      </c>
      <c r="G480" s="36" t="str">
        <f t="shared" si="83"/>
        <v>Farol Verde</v>
      </c>
      <c r="H480">
        <f t="shared" si="81"/>
        <v>0</v>
      </c>
      <c r="I480" s="6">
        <f t="shared" si="82"/>
        <v>11</v>
      </c>
      <c r="J480" s="76">
        <v>8</v>
      </c>
      <c r="K480" s="66"/>
      <c r="L480" s="6">
        <f>L470+L479</f>
        <v>7.3333333333333339</v>
      </c>
      <c r="M480" s="6">
        <f t="shared" si="88"/>
        <v>3</v>
      </c>
      <c r="N480" s="77">
        <v>100</v>
      </c>
      <c r="O480">
        <f t="shared" si="84"/>
        <v>0.5</v>
      </c>
      <c r="P480" s="77">
        <v>50</v>
      </c>
      <c r="Q480">
        <f t="shared" si="85"/>
        <v>0.3</v>
      </c>
      <c r="R480" s="75">
        <v>15</v>
      </c>
      <c r="S480" s="6">
        <f t="shared" si="86"/>
        <v>0.15</v>
      </c>
    </row>
    <row r="481" spans="1:19" x14ac:dyDescent="0.3">
      <c r="A481" s="37" t="s">
        <v>71</v>
      </c>
      <c r="B481" s="6" t="s">
        <v>169</v>
      </c>
      <c r="C481" s="77">
        <v>6000</v>
      </c>
      <c r="D481" s="6">
        <f>(C481/12)*12</f>
        <v>6000</v>
      </c>
      <c r="E481" s="66">
        <v>0</v>
      </c>
      <c r="F481" s="6">
        <f>SUM(E470:E481)</f>
        <v>5700</v>
      </c>
      <c r="G481" s="36" t="str">
        <f t="shared" si="83"/>
        <v>Farol Amarelo</v>
      </c>
      <c r="H481">
        <f t="shared" si="81"/>
        <v>300</v>
      </c>
      <c r="I481" s="6">
        <f t="shared" si="82"/>
        <v>12</v>
      </c>
      <c r="J481" s="76">
        <v>8</v>
      </c>
      <c r="K481" s="66"/>
      <c r="L481" s="6">
        <f>$L470+L480</f>
        <v>8</v>
      </c>
      <c r="M481" s="6">
        <f t="shared" si="88"/>
        <v>3</v>
      </c>
      <c r="N481" s="77">
        <v>100</v>
      </c>
      <c r="O481">
        <f t="shared" si="84"/>
        <v>0.5</v>
      </c>
      <c r="P481" s="77">
        <v>50</v>
      </c>
      <c r="Q481">
        <f t="shared" si="85"/>
        <v>0.3</v>
      </c>
      <c r="R481" s="75">
        <v>15</v>
      </c>
      <c r="S481" s="6">
        <f t="shared" si="86"/>
        <v>0.15</v>
      </c>
    </row>
    <row r="482" spans="1:19" x14ac:dyDescent="0.3">
      <c r="A482" s="37" t="s">
        <v>84</v>
      </c>
      <c r="B482" s="6" t="s">
        <v>158</v>
      </c>
      <c r="C482" s="77">
        <v>10850</v>
      </c>
      <c r="D482" s="6">
        <f>(C482/12)*1</f>
        <v>904.16666666666663</v>
      </c>
      <c r="E482" s="66">
        <v>0</v>
      </c>
      <c r="F482" s="6">
        <f>E482</f>
        <v>0</v>
      </c>
      <c r="G482" s="36" t="str">
        <f t="shared" si="83"/>
        <v>Farol Vermelho</v>
      </c>
      <c r="H482">
        <f t="shared" si="81"/>
        <v>904.16666666666663</v>
      </c>
      <c r="I482" s="6">
        <f t="shared" si="82"/>
        <v>1</v>
      </c>
      <c r="J482" s="76">
        <v>8</v>
      </c>
      <c r="K482" s="66">
        <v>0</v>
      </c>
      <c r="L482" s="6">
        <f>J482/12</f>
        <v>0.66666666666666663</v>
      </c>
      <c r="M482" s="6">
        <f>K482</f>
        <v>0</v>
      </c>
      <c r="N482" s="77">
        <v>100</v>
      </c>
      <c r="O482">
        <f t="shared" si="84"/>
        <v>0.5</v>
      </c>
      <c r="P482" s="77">
        <v>50</v>
      </c>
      <c r="Q482">
        <f t="shared" si="85"/>
        <v>0.3</v>
      </c>
      <c r="R482" s="75">
        <v>15</v>
      </c>
      <c r="S482" s="6">
        <f t="shared" si="86"/>
        <v>0.15</v>
      </c>
    </row>
    <row r="483" spans="1:19" x14ac:dyDescent="0.3">
      <c r="A483" s="37" t="s">
        <v>84</v>
      </c>
      <c r="B483" s="6" t="s">
        <v>159</v>
      </c>
      <c r="C483" s="77">
        <v>10850</v>
      </c>
      <c r="D483" s="6">
        <f>(C483/12)*2</f>
        <v>1808.3333333333333</v>
      </c>
      <c r="E483" s="66">
        <v>0</v>
      </c>
      <c r="F483" s="6">
        <f>SUM(E482:E483)</f>
        <v>0</v>
      </c>
      <c r="G483" s="36" t="str">
        <f t="shared" si="83"/>
        <v>Farol Vermelho</v>
      </c>
      <c r="H483">
        <f t="shared" si="81"/>
        <v>1808.3333333333333</v>
      </c>
      <c r="I483" s="6">
        <f t="shared" si="82"/>
        <v>2</v>
      </c>
      <c r="J483" s="76">
        <v>8</v>
      </c>
      <c r="K483" s="66">
        <v>0</v>
      </c>
      <c r="L483" s="6">
        <f>L482+L482</f>
        <v>1.3333333333333333</v>
      </c>
      <c r="M483" s="6">
        <f>M482+K483</f>
        <v>0</v>
      </c>
      <c r="N483" s="77">
        <v>100</v>
      </c>
      <c r="O483">
        <f t="shared" si="84"/>
        <v>0.5</v>
      </c>
      <c r="P483" s="77">
        <v>50</v>
      </c>
      <c r="Q483">
        <f t="shared" si="85"/>
        <v>0.3</v>
      </c>
      <c r="R483" s="75">
        <v>15</v>
      </c>
      <c r="S483" s="6">
        <f t="shared" si="86"/>
        <v>0.15</v>
      </c>
    </row>
    <row r="484" spans="1:19" x14ac:dyDescent="0.3">
      <c r="A484" s="37" t="s">
        <v>84</v>
      </c>
      <c r="B484" s="6" t="s">
        <v>160</v>
      </c>
      <c r="C484" s="77">
        <v>10850</v>
      </c>
      <c r="D484" s="6">
        <f>(C484/12)*3</f>
        <v>2712.5</v>
      </c>
      <c r="E484" s="66">
        <v>0</v>
      </c>
      <c r="F484" s="6">
        <f>SUM(E482:E484)</f>
        <v>0</v>
      </c>
      <c r="G484" s="36" t="str">
        <f t="shared" si="83"/>
        <v>Farol Vermelho</v>
      </c>
      <c r="H484">
        <f t="shared" si="81"/>
        <v>2712.5</v>
      </c>
      <c r="I484" s="6">
        <f t="shared" si="82"/>
        <v>3</v>
      </c>
      <c r="J484" s="76">
        <v>8</v>
      </c>
      <c r="K484" s="66">
        <v>0</v>
      </c>
      <c r="L484" s="6">
        <f>$L482+L483</f>
        <v>2</v>
      </c>
      <c r="M484" s="6">
        <f t="shared" ref="M484:M493" si="89">M483+K484</f>
        <v>0</v>
      </c>
      <c r="N484" s="77">
        <v>100</v>
      </c>
      <c r="O484">
        <f t="shared" si="84"/>
        <v>0.5</v>
      </c>
      <c r="P484" s="77">
        <v>50</v>
      </c>
      <c r="Q484">
        <f t="shared" si="85"/>
        <v>0.3</v>
      </c>
      <c r="R484" s="75">
        <v>15</v>
      </c>
      <c r="S484" s="6">
        <f t="shared" si="86"/>
        <v>0.15</v>
      </c>
    </row>
    <row r="485" spans="1:19" x14ac:dyDescent="0.3">
      <c r="A485" s="37" t="s">
        <v>84</v>
      </c>
      <c r="B485" s="6" t="s">
        <v>161</v>
      </c>
      <c r="C485" s="77">
        <v>10850</v>
      </c>
      <c r="D485" s="6">
        <f>(C485/12)*4</f>
        <v>3616.6666666666665</v>
      </c>
      <c r="E485" s="66">
        <v>0</v>
      </c>
      <c r="F485" s="6">
        <f>SUM(E482:E485)</f>
        <v>0</v>
      </c>
      <c r="G485" s="36" t="str">
        <f t="shared" si="83"/>
        <v>Farol Vermelho</v>
      </c>
      <c r="H485">
        <f t="shared" si="81"/>
        <v>3616.6666666666665</v>
      </c>
      <c r="I485" s="6">
        <f t="shared" si="82"/>
        <v>4</v>
      </c>
      <c r="J485" s="76">
        <v>8</v>
      </c>
      <c r="K485" s="66">
        <v>0</v>
      </c>
      <c r="L485" s="6">
        <f>$L482+L484</f>
        <v>2.6666666666666665</v>
      </c>
      <c r="M485" s="6">
        <f t="shared" si="89"/>
        <v>0</v>
      </c>
      <c r="N485" s="77">
        <v>100</v>
      </c>
      <c r="O485">
        <f t="shared" si="84"/>
        <v>0.5</v>
      </c>
      <c r="P485" s="77">
        <v>50</v>
      </c>
      <c r="Q485">
        <f t="shared" si="85"/>
        <v>0.3</v>
      </c>
      <c r="R485" s="75">
        <v>15</v>
      </c>
      <c r="S485" s="6">
        <f t="shared" si="86"/>
        <v>0.15</v>
      </c>
    </row>
    <row r="486" spans="1:19" x14ac:dyDescent="0.3">
      <c r="A486" s="37" t="s">
        <v>84</v>
      </c>
      <c r="B486" s="6" t="s">
        <v>162</v>
      </c>
      <c r="C486" s="77">
        <v>10850</v>
      </c>
      <c r="D486" s="6">
        <f>(C486/12)*5</f>
        <v>4520.833333333333</v>
      </c>
      <c r="E486" s="66">
        <v>0</v>
      </c>
      <c r="F486" s="6">
        <f>SUM(E482:E486)</f>
        <v>0</v>
      </c>
      <c r="G486" s="36" t="str">
        <f t="shared" si="83"/>
        <v>Farol Vermelho</v>
      </c>
      <c r="H486">
        <f t="shared" si="81"/>
        <v>4520.833333333333</v>
      </c>
      <c r="I486" s="6">
        <f t="shared" si="82"/>
        <v>5</v>
      </c>
      <c r="J486" s="76">
        <v>8</v>
      </c>
      <c r="K486" s="66"/>
      <c r="L486" s="6">
        <f>L482+L485</f>
        <v>3.333333333333333</v>
      </c>
      <c r="M486" s="6">
        <f t="shared" si="89"/>
        <v>0</v>
      </c>
      <c r="N486" s="77">
        <v>100</v>
      </c>
      <c r="O486">
        <f t="shared" si="84"/>
        <v>0.5</v>
      </c>
      <c r="P486" s="77">
        <v>50</v>
      </c>
      <c r="Q486">
        <f t="shared" si="85"/>
        <v>0.3</v>
      </c>
      <c r="R486" s="75">
        <v>15</v>
      </c>
      <c r="S486" s="6">
        <f t="shared" si="86"/>
        <v>0.15</v>
      </c>
    </row>
    <row r="487" spans="1:19" x14ac:dyDescent="0.3">
      <c r="A487" s="37" t="s">
        <v>84</v>
      </c>
      <c r="B487" s="6" t="s">
        <v>163</v>
      </c>
      <c r="C487" s="77">
        <v>10850</v>
      </c>
      <c r="D487" s="6">
        <f>(C487/12)*6</f>
        <v>5425</v>
      </c>
      <c r="E487" s="66">
        <v>0</v>
      </c>
      <c r="F487" s="6">
        <f>SUM(E482:E487)</f>
        <v>0</v>
      </c>
      <c r="G487" s="36" t="str">
        <f t="shared" si="83"/>
        <v>Farol Vermelho</v>
      </c>
      <c r="H487">
        <f t="shared" si="81"/>
        <v>5425</v>
      </c>
      <c r="I487" s="6">
        <f t="shared" si="82"/>
        <v>6</v>
      </c>
      <c r="J487" s="76">
        <v>8</v>
      </c>
      <c r="K487" s="66"/>
      <c r="L487" s="6">
        <f>$L482+L486</f>
        <v>3.9999999999999996</v>
      </c>
      <c r="M487" s="6">
        <f t="shared" si="89"/>
        <v>0</v>
      </c>
      <c r="N487" s="77">
        <v>100</v>
      </c>
      <c r="O487">
        <f t="shared" si="84"/>
        <v>0.5</v>
      </c>
      <c r="P487" s="77">
        <v>50</v>
      </c>
      <c r="Q487">
        <f t="shared" si="85"/>
        <v>0.3</v>
      </c>
      <c r="R487" s="75">
        <v>15</v>
      </c>
      <c r="S487" s="6">
        <f t="shared" si="86"/>
        <v>0.15</v>
      </c>
    </row>
    <row r="488" spans="1:19" x14ac:dyDescent="0.3">
      <c r="A488" s="37" t="s">
        <v>84</v>
      </c>
      <c r="B488" s="6" t="s">
        <v>164</v>
      </c>
      <c r="C488" s="77">
        <v>10850</v>
      </c>
      <c r="D488" s="6">
        <f>(C488/12)*7</f>
        <v>6329.1666666666661</v>
      </c>
      <c r="E488" s="66">
        <v>0</v>
      </c>
      <c r="F488" s="6">
        <f>SUM(E482:E488)</f>
        <v>0</v>
      </c>
      <c r="G488" s="36" t="str">
        <f t="shared" si="83"/>
        <v>Farol Vermelho</v>
      </c>
      <c r="H488">
        <f t="shared" si="81"/>
        <v>6329.1666666666661</v>
      </c>
      <c r="I488" s="6">
        <f t="shared" si="82"/>
        <v>7</v>
      </c>
      <c r="J488" s="76">
        <v>8</v>
      </c>
      <c r="K488" s="66"/>
      <c r="L488" s="6">
        <f>$L482+L487</f>
        <v>4.6666666666666661</v>
      </c>
      <c r="M488" s="6">
        <f t="shared" si="89"/>
        <v>0</v>
      </c>
      <c r="N488" s="77">
        <v>100</v>
      </c>
      <c r="O488">
        <f t="shared" si="84"/>
        <v>0.5</v>
      </c>
      <c r="P488" s="77">
        <v>50</v>
      </c>
      <c r="Q488">
        <f t="shared" si="85"/>
        <v>0.3</v>
      </c>
      <c r="R488" s="75">
        <v>15</v>
      </c>
      <c r="S488" s="6">
        <f t="shared" si="86"/>
        <v>0.15</v>
      </c>
    </row>
    <row r="489" spans="1:19" x14ac:dyDescent="0.3">
      <c r="A489" s="37" t="s">
        <v>84</v>
      </c>
      <c r="B489" s="6" t="s">
        <v>165</v>
      </c>
      <c r="C489" s="77">
        <v>10850</v>
      </c>
      <c r="D489" s="6">
        <f>(C489/12)*8</f>
        <v>7233.333333333333</v>
      </c>
      <c r="E489" s="66">
        <v>0</v>
      </c>
      <c r="F489" s="6">
        <f>SUM(E482:E489)</f>
        <v>0</v>
      </c>
      <c r="G489" s="36" t="str">
        <f t="shared" si="83"/>
        <v>Farol Vermelho</v>
      </c>
      <c r="H489">
        <f t="shared" si="81"/>
        <v>7233.333333333333</v>
      </c>
      <c r="I489" s="6">
        <f t="shared" si="82"/>
        <v>8</v>
      </c>
      <c r="J489" s="76">
        <v>8</v>
      </c>
      <c r="K489" s="66"/>
      <c r="L489" s="6">
        <f>L482+L488</f>
        <v>5.333333333333333</v>
      </c>
      <c r="M489" s="6">
        <f t="shared" si="89"/>
        <v>0</v>
      </c>
      <c r="N489" s="77">
        <v>100</v>
      </c>
      <c r="O489">
        <f t="shared" si="84"/>
        <v>0.5</v>
      </c>
      <c r="P489" s="77">
        <v>50</v>
      </c>
      <c r="Q489">
        <f t="shared" si="85"/>
        <v>0.3</v>
      </c>
      <c r="R489" s="75">
        <v>15</v>
      </c>
      <c r="S489" s="6">
        <f t="shared" si="86"/>
        <v>0.15</v>
      </c>
    </row>
    <row r="490" spans="1:19" x14ac:dyDescent="0.3">
      <c r="A490" s="37" t="s">
        <v>84</v>
      </c>
      <c r="B490" s="6" t="s">
        <v>166</v>
      </c>
      <c r="C490" s="77">
        <v>10850</v>
      </c>
      <c r="D490" s="6">
        <f>(C490/12)*9</f>
        <v>8137.5</v>
      </c>
      <c r="E490" s="66">
        <v>0</v>
      </c>
      <c r="F490" s="6">
        <f>SUM(E482:E490)</f>
        <v>0</v>
      </c>
      <c r="G490" s="36" t="str">
        <f t="shared" si="83"/>
        <v>Farol Vermelho</v>
      </c>
      <c r="H490">
        <f t="shared" si="81"/>
        <v>8137.5</v>
      </c>
      <c r="I490" s="6">
        <f t="shared" si="82"/>
        <v>9</v>
      </c>
      <c r="J490" s="76">
        <v>8</v>
      </c>
      <c r="K490" s="66"/>
      <c r="L490" s="6">
        <f>$L482+L489</f>
        <v>6</v>
      </c>
      <c r="M490" s="6">
        <f t="shared" si="89"/>
        <v>0</v>
      </c>
      <c r="N490" s="77">
        <v>100</v>
      </c>
      <c r="O490">
        <f t="shared" si="84"/>
        <v>0.5</v>
      </c>
      <c r="P490" s="77">
        <v>50</v>
      </c>
      <c r="Q490">
        <f t="shared" si="85"/>
        <v>0.3</v>
      </c>
      <c r="R490" s="75">
        <v>15</v>
      </c>
      <c r="S490" s="6">
        <f t="shared" si="86"/>
        <v>0.15</v>
      </c>
    </row>
    <row r="491" spans="1:19" x14ac:dyDescent="0.3">
      <c r="A491" s="37" t="s">
        <v>84</v>
      </c>
      <c r="B491" s="6" t="s">
        <v>167</v>
      </c>
      <c r="C491" s="77">
        <v>10850</v>
      </c>
      <c r="D491" s="6">
        <f>(C491/12)*10</f>
        <v>9041.6666666666661</v>
      </c>
      <c r="E491" s="66">
        <v>0</v>
      </c>
      <c r="F491" s="6">
        <f>SUM(E482:E491)</f>
        <v>0</v>
      </c>
      <c r="G491" s="36" t="str">
        <f t="shared" si="83"/>
        <v>Farol Vermelho</v>
      </c>
      <c r="H491">
        <f t="shared" si="81"/>
        <v>9041.6666666666661</v>
      </c>
      <c r="I491" s="6">
        <f t="shared" si="82"/>
        <v>10</v>
      </c>
      <c r="J491" s="76">
        <v>8</v>
      </c>
      <c r="K491" s="66"/>
      <c r="L491" s="6">
        <f>$L482+L490</f>
        <v>6.666666666666667</v>
      </c>
      <c r="M491" s="6">
        <f t="shared" si="89"/>
        <v>0</v>
      </c>
      <c r="N491" s="77">
        <v>100</v>
      </c>
      <c r="O491">
        <f t="shared" si="84"/>
        <v>0.5</v>
      </c>
      <c r="P491" s="77">
        <v>50</v>
      </c>
      <c r="Q491">
        <f t="shared" si="85"/>
        <v>0.3</v>
      </c>
      <c r="R491" s="75">
        <v>15</v>
      </c>
      <c r="S491" s="6">
        <f t="shared" si="86"/>
        <v>0.15</v>
      </c>
    </row>
    <row r="492" spans="1:19" x14ac:dyDescent="0.3">
      <c r="A492" s="37" t="s">
        <v>84</v>
      </c>
      <c r="B492" s="6" t="s">
        <v>168</v>
      </c>
      <c r="C492" s="77">
        <v>10850</v>
      </c>
      <c r="D492" s="6">
        <f>(C492/12)*11</f>
        <v>9945.8333333333321</v>
      </c>
      <c r="E492" s="66">
        <v>0</v>
      </c>
      <c r="F492" s="6">
        <f>SUM(E482:E492)</f>
        <v>0</v>
      </c>
      <c r="G492" s="36" t="str">
        <f t="shared" si="83"/>
        <v>Farol Vermelho</v>
      </c>
      <c r="H492">
        <f t="shared" si="81"/>
        <v>9945.8333333333321</v>
      </c>
      <c r="I492" s="6">
        <f t="shared" si="82"/>
        <v>11</v>
      </c>
      <c r="J492" s="76">
        <v>8</v>
      </c>
      <c r="K492" s="66"/>
      <c r="L492" s="6">
        <f>L482+L491</f>
        <v>7.3333333333333339</v>
      </c>
      <c r="M492" s="6">
        <f t="shared" si="89"/>
        <v>0</v>
      </c>
      <c r="N492" s="77">
        <v>100</v>
      </c>
      <c r="O492">
        <f t="shared" si="84"/>
        <v>0.5</v>
      </c>
      <c r="P492" s="77">
        <v>50</v>
      </c>
      <c r="Q492">
        <f t="shared" si="85"/>
        <v>0.3</v>
      </c>
      <c r="R492" s="75">
        <v>15</v>
      </c>
      <c r="S492" s="6">
        <f t="shared" si="86"/>
        <v>0.15</v>
      </c>
    </row>
    <row r="493" spans="1:19" x14ac:dyDescent="0.3">
      <c r="A493" s="37" t="s">
        <v>84</v>
      </c>
      <c r="B493" s="6" t="s">
        <v>169</v>
      </c>
      <c r="C493" s="77">
        <v>10850</v>
      </c>
      <c r="D493" s="6">
        <f>(C493/12)*12</f>
        <v>10850</v>
      </c>
      <c r="E493" s="66">
        <v>0</v>
      </c>
      <c r="F493" s="6">
        <f>SUM(E482:E493)</f>
        <v>0</v>
      </c>
      <c r="G493" s="36" t="str">
        <f t="shared" si="83"/>
        <v>Farol Vermelho</v>
      </c>
      <c r="H493">
        <f t="shared" si="81"/>
        <v>10850</v>
      </c>
      <c r="I493" s="6">
        <f t="shared" si="82"/>
        <v>12</v>
      </c>
      <c r="J493" s="76">
        <v>8</v>
      </c>
      <c r="K493" s="66"/>
      <c r="L493" s="6">
        <f>$L482+L492</f>
        <v>8</v>
      </c>
      <c r="M493" s="6">
        <f t="shared" si="89"/>
        <v>0</v>
      </c>
      <c r="N493" s="77">
        <v>100</v>
      </c>
      <c r="O493">
        <f t="shared" si="84"/>
        <v>0.5</v>
      </c>
      <c r="P493" s="77">
        <v>50</v>
      </c>
      <c r="Q493">
        <f t="shared" si="85"/>
        <v>0.3</v>
      </c>
      <c r="R493" s="75">
        <v>15</v>
      </c>
      <c r="S493" s="6">
        <f t="shared" si="86"/>
        <v>0.15</v>
      </c>
    </row>
    <row r="494" spans="1:19" x14ac:dyDescent="0.3">
      <c r="A494" s="37" t="s">
        <v>81</v>
      </c>
      <c r="B494" s="6" t="s">
        <v>158</v>
      </c>
      <c r="C494" s="77">
        <v>9000</v>
      </c>
      <c r="D494" s="6">
        <f>(C494/12)*1</f>
        <v>750</v>
      </c>
      <c r="E494" s="66">
        <v>400</v>
      </c>
      <c r="F494" s="6">
        <f>E494</f>
        <v>400</v>
      </c>
      <c r="G494" s="36" t="str">
        <f t="shared" si="83"/>
        <v>Farol Vermelho</v>
      </c>
      <c r="H494">
        <f t="shared" si="81"/>
        <v>350</v>
      </c>
      <c r="I494" s="6">
        <f t="shared" si="82"/>
        <v>1</v>
      </c>
      <c r="J494" s="76">
        <v>14</v>
      </c>
      <c r="K494" s="66">
        <v>1</v>
      </c>
      <c r="L494" s="6">
        <f>J494/12</f>
        <v>1.1666666666666667</v>
      </c>
      <c r="M494" s="6">
        <f>K494</f>
        <v>1</v>
      </c>
      <c r="N494" s="77">
        <v>100</v>
      </c>
      <c r="O494">
        <f t="shared" si="84"/>
        <v>0.5</v>
      </c>
      <c r="P494" s="77">
        <v>50</v>
      </c>
      <c r="Q494">
        <f t="shared" si="85"/>
        <v>0.3</v>
      </c>
      <c r="R494" s="75">
        <v>15</v>
      </c>
      <c r="S494" s="6">
        <f t="shared" si="86"/>
        <v>0.15</v>
      </c>
    </row>
    <row r="495" spans="1:19" x14ac:dyDescent="0.3">
      <c r="A495" s="37" t="s">
        <v>81</v>
      </c>
      <c r="B495" s="6" t="s">
        <v>159</v>
      </c>
      <c r="C495" s="77">
        <v>9000</v>
      </c>
      <c r="D495" s="6">
        <f>(C495/12)*2</f>
        <v>1500</v>
      </c>
      <c r="E495" s="66">
        <v>0</v>
      </c>
      <c r="F495" s="6">
        <f>SUM(E494:E495)</f>
        <v>400</v>
      </c>
      <c r="G495" s="36" t="str">
        <f t="shared" si="83"/>
        <v>Farol Vermelho</v>
      </c>
      <c r="H495">
        <f t="shared" si="81"/>
        <v>1100</v>
      </c>
      <c r="I495" s="6">
        <f t="shared" si="82"/>
        <v>2</v>
      </c>
      <c r="J495" s="76">
        <v>14</v>
      </c>
      <c r="K495" s="66">
        <v>0</v>
      </c>
      <c r="L495" s="6">
        <f>L494+L494</f>
        <v>2.3333333333333335</v>
      </c>
      <c r="M495" s="6">
        <f>M494+K495</f>
        <v>1</v>
      </c>
      <c r="N495" s="77">
        <v>100</v>
      </c>
      <c r="O495">
        <f t="shared" si="84"/>
        <v>0.5</v>
      </c>
      <c r="P495" s="77">
        <v>50</v>
      </c>
      <c r="Q495">
        <f t="shared" si="85"/>
        <v>0.3</v>
      </c>
      <c r="R495" s="75">
        <v>15</v>
      </c>
      <c r="S495" s="6">
        <f t="shared" si="86"/>
        <v>0.15</v>
      </c>
    </row>
    <row r="496" spans="1:19" x14ac:dyDescent="0.3">
      <c r="A496" s="37" t="s">
        <v>81</v>
      </c>
      <c r="B496" s="6" t="s">
        <v>160</v>
      </c>
      <c r="C496" s="77">
        <v>9000</v>
      </c>
      <c r="D496" s="6">
        <f>(C496/12)*3</f>
        <v>2250</v>
      </c>
      <c r="E496" s="66">
        <v>0</v>
      </c>
      <c r="F496" s="6">
        <f>SUM(E494:E496)</f>
        <v>400</v>
      </c>
      <c r="G496" s="36" t="str">
        <f t="shared" si="83"/>
        <v>Farol Vermelho</v>
      </c>
      <c r="H496">
        <f t="shared" si="81"/>
        <v>1850</v>
      </c>
      <c r="I496" s="6">
        <f t="shared" si="82"/>
        <v>3</v>
      </c>
      <c r="J496" s="76">
        <v>14</v>
      </c>
      <c r="K496" s="66">
        <v>0</v>
      </c>
      <c r="L496" s="6">
        <f>$L494+L495</f>
        <v>3.5</v>
      </c>
      <c r="M496" s="6">
        <f t="shared" ref="M496:M505" si="90">M495+K496</f>
        <v>1</v>
      </c>
      <c r="N496" s="77">
        <v>100</v>
      </c>
      <c r="O496">
        <f t="shared" si="84"/>
        <v>0.5</v>
      </c>
      <c r="P496" s="77">
        <v>50</v>
      </c>
      <c r="Q496">
        <f t="shared" si="85"/>
        <v>0.3</v>
      </c>
      <c r="R496" s="75">
        <v>15</v>
      </c>
      <c r="S496" s="6">
        <f t="shared" si="86"/>
        <v>0.15</v>
      </c>
    </row>
    <row r="497" spans="1:19" x14ac:dyDescent="0.3">
      <c r="A497" s="37" t="s">
        <v>81</v>
      </c>
      <c r="B497" s="6" t="s">
        <v>161</v>
      </c>
      <c r="C497" s="77">
        <v>9000</v>
      </c>
      <c r="D497" s="6">
        <f>(C497/12)*4</f>
        <v>3000</v>
      </c>
      <c r="E497" s="66">
        <v>200</v>
      </c>
      <c r="F497" s="6">
        <f>SUM(E494:E497)</f>
        <v>600</v>
      </c>
      <c r="G497" s="36" t="str">
        <f t="shared" si="83"/>
        <v>Farol Vermelho</v>
      </c>
      <c r="H497">
        <f t="shared" si="81"/>
        <v>2400</v>
      </c>
      <c r="I497" s="6">
        <f t="shared" si="82"/>
        <v>4</v>
      </c>
      <c r="J497" s="76">
        <v>14</v>
      </c>
      <c r="K497" s="66">
        <v>1</v>
      </c>
      <c r="L497" s="6">
        <f>$L494+L496</f>
        <v>4.666666666666667</v>
      </c>
      <c r="M497" s="6">
        <f t="shared" si="90"/>
        <v>2</v>
      </c>
      <c r="N497" s="77">
        <v>100</v>
      </c>
      <c r="O497">
        <f t="shared" si="84"/>
        <v>0.5</v>
      </c>
      <c r="P497" s="77">
        <v>50</v>
      </c>
      <c r="Q497">
        <f t="shared" si="85"/>
        <v>0.3</v>
      </c>
      <c r="R497" s="75">
        <v>15</v>
      </c>
      <c r="S497" s="6">
        <f t="shared" si="86"/>
        <v>0.15</v>
      </c>
    </row>
    <row r="498" spans="1:19" x14ac:dyDescent="0.3">
      <c r="A498" s="37" t="s">
        <v>81</v>
      </c>
      <c r="B498" s="6" t="s">
        <v>162</v>
      </c>
      <c r="C498" s="77">
        <v>9000</v>
      </c>
      <c r="D498" s="6">
        <f>(C498/12)*5</f>
        <v>3750</v>
      </c>
      <c r="E498" s="66">
        <v>0</v>
      </c>
      <c r="F498" s="6">
        <f>SUM(E494:E498)</f>
        <v>600</v>
      </c>
      <c r="G498" s="36" t="str">
        <f t="shared" si="83"/>
        <v>Farol Vermelho</v>
      </c>
      <c r="H498">
        <f t="shared" si="81"/>
        <v>3150</v>
      </c>
      <c r="I498" s="6">
        <f t="shared" si="82"/>
        <v>5</v>
      </c>
      <c r="J498" s="76">
        <v>14</v>
      </c>
      <c r="K498" s="66"/>
      <c r="L498" s="6">
        <f>L494+L497</f>
        <v>5.8333333333333339</v>
      </c>
      <c r="M498" s="6">
        <f t="shared" si="90"/>
        <v>2</v>
      </c>
      <c r="N498" s="77">
        <v>100</v>
      </c>
      <c r="O498">
        <f t="shared" si="84"/>
        <v>0.5</v>
      </c>
      <c r="P498" s="77">
        <v>50</v>
      </c>
      <c r="Q498">
        <f t="shared" si="85"/>
        <v>0.3</v>
      </c>
      <c r="R498" s="75">
        <v>15</v>
      </c>
      <c r="S498" s="6">
        <f t="shared" si="86"/>
        <v>0.15</v>
      </c>
    </row>
    <row r="499" spans="1:19" x14ac:dyDescent="0.3">
      <c r="A499" s="37" t="s">
        <v>81</v>
      </c>
      <c r="B499" s="6" t="s">
        <v>163</v>
      </c>
      <c r="C499" s="77">
        <v>9000</v>
      </c>
      <c r="D499" s="6">
        <f>(C499/12)*6</f>
        <v>4500</v>
      </c>
      <c r="E499" s="66">
        <v>0</v>
      </c>
      <c r="F499" s="6">
        <f>SUM(E494:E499)</f>
        <v>600</v>
      </c>
      <c r="G499" s="36" t="str">
        <f t="shared" si="83"/>
        <v>Farol Vermelho</v>
      </c>
      <c r="H499">
        <f t="shared" si="81"/>
        <v>3900</v>
      </c>
      <c r="I499" s="6">
        <f t="shared" si="82"/>
        <v>6</v>
      </c>
      <c r="J499" s="76">
        <v>14</v>
      </c>
      <c r="K499" s="66"/>
      <c r="L499" s="6">
        <f>$L494+L498</f>
        <v>7.0000000000000009</v>
      </c>
      <c r="M499" s="6">
        <f t="shared" si="90"/>
        <v>2</v>
      </c>
      <c r="N499" s="77">
        <v>100</v>
      </c>
      <c r="O499">
        <f t="shared" si="84"/>
        <v>0.5</v>
      </c>
      <c r="P499" s="77">
        <v>50</v>
      </c>
      <c r="Q499">
        <f t="shared" si="85"/>
        <v>0.3</v>
      </c>
      <c r="R499" s="75">
        <v>15</v>
      </c>
      <c r="S499" s="6">
        <f t="shared" si="86"/>
        <v>0.15</v>
      </c>
    </row>
    <row r="500" spans="1:19" x14ac:dyDescent="0.3">
      <c r="A500" s="37" t="s">
        <v>81</v>
      </c>
      <c r="B500" s="6" t="s">
        <v>164</v>
      </c>
      <c r="C500" s="77">
        <v>9000</v>
      </c>
      <c r="D500" s="6">
        <f>(C500/12)*7</f>
        <v>5250</v>
      </c>
      <c r="E500" s="66">
        <v>0</v>
      </c>
      <c r="F500" s="6">
        <f>SUM(E494:E500)</f>
        <v>600</v>
      </c>
      <c r="G500" s="36" t="str">
        <f t="shared" si="83"/>
        <v>Farol Vermelho</v>
      </c>
      <c r="H500">
        <f t="shared" si="81"/>
        <v>4650</v>
      </c>
      <c r="I500" s="6">
        <f t="shared" si="82"/>
        <v>7</v>
      </c>
      <c r="J500" s="76">
        <v>14</v>
      </c>
      <c r="K500" s="66"/>
      <c r="L500" s="6">
        <f>$L494+L499</f>
        <v>8.1666666666666679</v>
      </c>
      <c r="M500" s="6">
        <f t="shared" si="90"/>
        <v>2</v>
      </c>
      <c r="N500" s="77">
        <v>100</v>
      </c>
      <c r="O500">
        <f t="shared" si="84"/>
        <v>0.5</v>
      </c>
      <c r="P500" s="77">
        <v>50</v>
      </c>
      <c r="Q500">
        <f t="shared" si="85"/>
        <v>0.3</v>
      </c>
      <c r="R500" s="75">
        <v>15</v>
      </c>
      <c r="S500" s="6">
        <f t="shared" si="86"/>
        <v>0.15</v>
      </c>
    </row>
    <row r="501" spans="1:19" x14ac:dyDescent="0.3">
      <c r="A501" s="37" t="s">
        <v>81</v>
      </c>
      <c r="B501" s="6" t="s">
        <v>165</v>
      </c>
      <c r="C501" s="77">
        <v>9000</v>
      </c>
      <c r="D501" s="6">
        <f>(C501/12)*8</f>
        <v>6000</v>
      </c>
      <c r="E501" s="66">
        <v>0</v>
      </c>
      <c r="F501" s="6">
        <f>SUM(E494:E501)</f>
        <v>600</v>
      </c>
      <c r="G501" s="36" t="str">
        <f t="shared" si="83"/>
        <v>Farol Vermelho</v>
      </c>
      <c r="H501">
        <f t="shared" si="81"/>
        <v>5400</v>
      </c>
      <c r="I501" s="6">
        <f t="shared" si="82"/>
        <v>8</v>
      </c>
      <c r="J501" s="76">
        <v>14</v>
      </c>
      <c r="K501" s="66"/>
      <c r="L501" s="6">
        <f>L494+L500</f>
        <v>9.3333333333333339</v>
      </c>
      <c r="M501" s="6">
        <f t="shared" si="90"/>
        <v>2</v>
      </c>
      <c r="N501" s="77">
        <v>100</v>
      </c>
      <c r="O501">
        <f t="shared" si="84"/>
        <v>0.5</v>
      </c>
      <c r="P501" s="77">
        <v>50</v>
      </c>
      <c r="Q501">
        <f t="shared" si="85"/>
        <v>0.3</v>
      </c>
      <c r="R501" s="75">
        <v>15</v>
      </c>
      <c r="S501" s="6">
        <f t="shared" si="86"/>
        <v>0.15</v>
      </c>
    </row>
    <row r="502" spans="1:19" x14ac:dyDescent="0.3">
      <c r="A502" s="37" t="s">
        <v>81</v>
      </c>
      <c r="B502" s="6" t="s">
        <v>166</v>
      </c>
      <c r="C502" s="77">
        <v>9000</v>
      </c>
      <c r="D502" s="6">
        <f>(C502/12)*9</f>
        <v>6750</v>
      </c>
      <c r="E502" s="66">
        <v>0</v>
      </c>
      <c r="F502" s="6">
        <f>SUM(E494:E502)</f>
        <v>600</v>
      </c>
      <c r="G502" s="36" t="str">
        <f t="shared" si="83"/>
        <v>Farol Vermelho</v>
      </c>
      <c r="H502">
        <f t="shared" si="81"/>
        <v>6150</v>
      </c>
      <c r="I502" s="6">
        <f t="shared" si="82"/>
        <v>9</v>
      </c>
      <c r="J502" s="76">
        <v>14</v>
      </c>
      <c r="K502" s="66"/>
      <c r="L502" s="6">
        <f>$L494+L501</f>
        <v>10.5</v>
      </c>
      <c r="M502" s="6">
        <f t="shared" si="90"/>
        <v>2</v>
      </c>
      <c r="N502" s="77">
        <v>100</v>
      </c>
      <c r="O502">
        <f t="shared" si="84"/>
        <v>0.5</v>
      </c>
      <c r="P502" s="77">
        <v>50</v>
      </c>
      <c r="Q502">
        <f t="shared" si="85"/>
        <v>0.3</v>
      </c>
      <c r="R502" s="75">
        <v>15</v>
      </c>
      <c r="S502" s="6">
        <f t="shared" si="86"/>
        <v>0.15</v>
      </c>
    </row>
    <row r="503" spans="1:19" x14ac:dyDescent="0.3">
      <c r="A503" s="37" t="s">
        <v>81</v>
      </c>
      <c r="B503" s="6" t="s">
        <v>167</v>
      </c>
      <c r="C503" s="77">
        <v>9000</v>
      </c>
      <c r="D503" s="6">
        <f>(C503/12)*10</f>
        <v>7500</v>
      </c>
      <c r="E503" s="66">
        <v>0</v>
      </c>
      <c r="F503" s="6">
        <f>SUM(E494:E503)</f>
        <v>600</v>
      </c>
      <c r="G503" s="36" t="str">
        <f t="shared" si="83"/>
        <v>Farol Vermelho</v>
      </c>
      <c r="H503">
        <f t="shared" si="81"/>
        <v>6900</v>
      </c>
      <c r="I503" s="6">
        <f t="shared" si="82"/>
        <v>10</v>
      </c>
      <c r="J503" s="76">
        <v>14</v>
      </c>
      <c r="K503" s="66"/>
      <c r="L503" s="6">
        <f>$L494+L502</f>
        <v>11.666666666666666</v>
      </c>
      <c r="M503" s="6">
        <f t="shared" si="90"/>
        <v>2</v>
      </c>
      <c r="N503" s="77">
        <v>100</v>
      </c>
      <c r="O503">
        <f t="shared" si="84"/>
        <v>0.5</v>
      </c>
      <c r="P503" s="77">
        <v>50</v>
      </c>
      <c r="Q503">
        <f t="shared" si="85"/>
        <v>0.3</v>
      </c>
      <c r="R503" s="75">
        <v>15</v>
      </c>
      <c r="S503" s="6">
        <f t="shared" si="86"/>
        <v>0.15</v>
      </c>
    </row>
    <row r="504" spans="1:19" x14ac:dyDescent="0.3">
      <c r="A504" s="37" t="s">
        <v>81</v>
      </c>
      <c r="B504" s="6" t="s">
        <v>168</v>
      </c>
      <c r="C504" s="77">
        <v>9000</v>
      </c>
      <c r="D504" s="6">
        <f>(C504/12)*11</f>
        <v>8250</v>
      </c>
      <c r="E504" s="66">
        <v>0</v>
      </c>
      <c r="F504" s="6">
        <f>SUM(E494:E504)</f>
        <v>600</v>
      </c>
      <c r="G504" s="36" t="str">
        <f t="shared" si="83"/>
        <v>Farol Vermelho</v>
      </c>
      <c r="H504">
        <f t="shared" si="81"/>
        <v>7650</v>
      </c>
      <c r="I504" s="6">
        <f t="shared" si="82"/>
        <v>11</v>
      </c>
      <c r="J504" s="76">
        <v>14</v>
      </c>
      <c r="K504" s="66"/>
      <c r="L504" s="6">
        <f>L494+L503</f>
        <v>12.833333333333332</v>
      </c>
      <c r="M504" s="6">
        <f t="shared" si="90"/>
        <v>2</v>
      </c>
      <c r="N504" s="77">
        <v>100</v>
      </c>
      <c r="O504">
        <f t="shared" si="84"/>
        <v>0.5</v>
      </c>
      <c r="P504" s="77">
        <v>50</v>
      </c>
      <c r="Q504">
        <f t="shared" si="85"/>
        <v>0.3</v>
      </c>
      <c r="R504" s="75">
        <v>15</v>
      </c>
      <c r="S504" s="6">
        <f t="shared" si="86"/>
        <v>0.15</v>
      </c>
    </row>
    <row r="505" spans="1:19" x14ac:dyDescent="0.3">
      <c r="A505" s="37" t="s">
        <v>81</v>
      </c>
      <c r="B505" s="6" t="s">
        <v>169</v>
      </c>
      <c r="C505" s="77">
        <v>9000</v>
      </c>
      <c r="D505" s="6">
        <f>(C505/12)*12</f>
        <v>9000</v>
      </c>
      <c r="E505" s="66">
        <v>0</v>
      </c>
      <c r="F505" s="6">
        <f>SUM(E494:E505)</f>
        <v>600</v>
      </c>
      <c r="G505" s="36" t="str">
        <f t="shared" si="83"/>
        <v>Farol Vermelho</v>
      </c>
      <c r="H505">
        <f t="shared" si="81"/>
        <v>8400</v>
      </c>
      <c r="I505" s="6">
        <f t="shared" si="82"/>
        <v>12</v>
      </c>
      <c r="J505" s="76">
        <v>14</v>
      </c>
      <c r="K505" s="66"/>
      <c r="L505" s="6">
        <f>$L494+L504</f>
        <v>13.999999999999998</v>
      </c>
      <c r="M505" s="6">
        <f t="shared" si="90"/>
        <v>2</v>
      </c>
      <c r="N505" s="77">
        <v>100</v>
      </c>
      <c r="O505">
        <f t="shared" si="84"/>
        <v>0.5</v>
      </c>
      <c r="P505" s="77">
        <v>50</v>
      </c>
      <c r="Q505">
        <f t="shared" si="85"/>
        <v>0.3</v>
      </c>
      <c r="R505" s="75">
        <v>15</v>
      </c>
      <c r="S505" s="6">
        <f t="shared" si="86"/>
        <v>0.15</v>
      </c>
    </row>
    <row r="506" spans="1:19" x14ac:dyDescent="0.3">
      <c r="A506" s="37" t="s">
        <v>53</v>
      </c>
      <c r="B506" s="6" t="s">
        <v>158</v>
      </c>
      <c r="C506" s="77">
        <v>6600</v>
      </c>
      <c r="D506" s="6">
        <f>(C506/12)*1</f>
        <v>550</v>
      </c>
      <c r="E506" s="66">
        <v>0</v>
      </c>
      <c r="F506" s="6">
        <f>E506</f>
        <v>0</v>
      </c>
      <c r="G506" s="36" t="str">
        <f t="shared" si="83"/>
        <v>Farol Vermelho</v>
      </c>
      <c r="H506">
        <f t="shared" si="81"/>
        <v>550</v>
      </c>
      <c r="I506" s="6">
        <f t="shared" si="82"/>
        <v>1</v>
      </c>
      <c r="J506" s="76">
        <v>8</v>
      </c>
      <c r="K506" s="66">
        <v>0</v>
      </c>
      <c r="L506" s="6">
        <f>J506/12</f>
        <v>0.66666666666666663</v>
      </c>
      <c r="M506" s="6">
        <f>K506</f>
        <v>0</v>
      </c>
      <c r="N506" s="77">
        <v>100</v>
      </c>
      <c r="O506">
        <f t="shared" si="84"/>
        <v>0.5</v>
      </c>
      <c r="P506" s="77">
        <v>50</v>
      </c>
      <c r="Q506">
        <f t="shared" si="85"/>
        <v>0.3</v>
      </c>
      <c r="R506" s="75">
        <v>15</v>
      </c>
      <c r="S506" s="6">
        <f t="shared" si="86"/>
        <v>0.15</v>
      </c>
    </row>
    <row r="507" spans="1:19" x14ac:dyDescent="0.3">
      <c r="A507" s="37" t="s">
        <v>53</v>
      </c>
      <c r="B507" s="6" t="s">
        <v>159</v>
      </c>
      <c r="C507" s="77">
        <v>6600</v>
      </c>
      <c r="D507" s="6">
        <f>(C507/12)*2</f>
        <v>1100</v>
      </c>
      <c r="E507" s="66">
        <v>0</v>
      </c>
      <c r="F507" s="6">
        <f>SUM(E506:E507)</f>
        <v>0</v>
      </c>
      <c r="G507" s="36" t="str">
        <f t="shared" si="83"/>
        <v>Farol Vermelho</v>
      </c>
      <c r="H507">
        <f t="shared" si="81"/>
        <v>1100</v>
      </c>
      <c r="I507" s="6">
        <f t="shared" si="82"/>
        <v>2</v>
      </c>
      <c r="J507" s="76">
        <v>8</v>
      </c>
      <c r="K507" s="66">
        <v>0</v>
      </c>
      <c r="L507" s="6">
        <f>L506+L506</f>
        <v>1.3333333333333333</v>
      </c>
      <c r="M507" s="6">
        <f>M506+K507</f>
        <v>0</v>
      </c>
      <c r="N507" s="77">
        <v>100</v>
      </c>
      <c r="O507">
        <f t="shared" si="84"/>
        <v>0.5</v>
      </c>
      <c r="P507" s="77">
        <v>50</v>
      </c>
      <c r="Q507">
        <f t="shared" si="85"/>
        <v>0.3</v>
      </c>
      <c r="R507" s="75">
        <v>15</v>
      </c>
      <c r="S507" s="6">
        <f t="shared" si="86"/>
        <v>0.15</v>
      </c>
    </row>
    <row r="508" spans="1:19" x14ac:dyDescent="0.3">
      <c r="A508" s="37" t="s">
        <v>53</v>
      </c>
      <c r="B508" s="6" t="s">
        <v>160</v>
      </c>
      <c r="C508" s="77">
        <v>6600</v>
      </c>
      <c r="D508" s="6">
        <f>(C508/12)*3</f>
        <v>1650</v>
      </c>
      <c r="E508" s="66">
        <v>4300</v>
      </c>
      <c r="F508" s="6">
        <f>SUM(E506:E508)</f>
        <v>4300</v>
      </c>
      <c r="G508" s="36" t="str">
        <f t="shared" si="83"/>
        <v>Farol Verde</v>
      </c>
      <c r="H508">
        <f t="shared" si="81"/>
        <v>0</v>
      </c>
      <c r="I508" s="6">
        <f t="shared" si="82"/>
        <v>3</v>
      </c>
      <c r="J508" s="76">
        <v>8</v>
      </c>
      <c r="K508" s="66">
        <v>2</v>
      </c>
      <c r="L508" s="6">
        <f>$L506+L507</f>
        <v>2</v>
      </c>
      <c r="M508" s="6">
        <f t="shared" ref="M508:M517" si="91">M507+K508</f>
        <v>2</v>
      </c>
      <c r="N508" s="77">
        <v>100</v>
      </c>
      <c r="O508">
        <f t="shared" si="84"/>
        <v>0.5</v>
      </c>
      <c r="P508" s="77">
        <v>50</v>
      </c>
      <c r="Q508">
        <f t="shared" si="85"/>
        <v>0.3</v>
      </c>
      <c r="R508" s="75">
        <v>15</v>
      </c>
      <c r="S508" s="6">
        <f t="shared" si="86"/>
        <v>0.15</v>
      </c>
    </row>
    <row r="509" spans="1:19" x14ac:dyDescent="0.3">
      <c r="A509" s="37" t="s">
        <v>53</v>
      </c>
      <c r="B509" s="6" t="s">
        <v>161</v>
      </c>
      <c r="C509" s="77">
        <v>6600</v>
      </c>
      <c r="D509" s="6">
        <f>(C509/12)*4</f>
        <v>2200</v>
      </c>
      <c r="E509" s="66">
        <v>0</v>
      </c>
      <c r="F509" s="6">
        <f>SUM(E506:E509)</f>
        <v>4300</v>
      </c>
      <c r="G509" s="36" t="str">
        <f t="shared" si="83"/>
        <v>Farol Verde</v>
      </c>
      <c r="H509">
        <f t="shared" si="81"/>
        <v>0</v>
      </c>
      <c r="I509" s="6">
        <f t="shared" si="82"/>
        <v>4</v>
      </c>
      <c r="J509" s="76">
        <v>8</v>
      </c>
      <c r="K509" s="66">
        <v>0</v>
      </c>
      <c r="L509" s="6">
        <f>$L506+L508</f>
        <v>2.6666666666666665</v>
      </c>
      <c r="M509" s="6">
        <f t="shared" si="91"/>
        <v>2</v>
      </c>
      <c r="N509" s="77">
        <v>100</v>
      </c>
      <c r="O509">
        <f t="shared" si="84"/>
        <v>0.5</v>
      </c>
      <c r="P509" s="77">
        <v>50</v>
      </c>
      <c r="Q509">
        <f t="shared" si="85"/>
        <v>0.3</v>
      </c>
      <c r="R509" s="75">
        <v>15</v>
      </c>
      <c r="S509" s="6">
        <f t="shared" si="86"/>
        <v>0.15</v>
      </c>
    </row>
    <row r="510" spans="1:19" x14ac:dyDescent="0.3">
      <c r="A510" s="37" t="s">
        <v>53</v>
      </c>
      <c r="B510" s="6" t="s">
        <v>162</v>
      </c>
      <c r="C510" s="77">
        <v>6600</v>
      </c>
      <c r="D510" s="6">
        <f>(C510/12)*5</f>
        <v>2750</v>
      </c>
      <c r="E510" s="66">
        <v>0</v>
      </c>
      <c r="F510" s="6">
        <f>SUM(E506:E510)</f>
        <v>4300</v>
      </c>
      <c r="G510" s="36" t="str">
        <f t="shared" si="83"/>
        <v>Farol Verde</v>
      </c>
      <c r="H510">
        <f t="shared" si="81"/>
        <v>0</v>
      </c>
      <c r="I510" s="6">
        <f t="shared" si="82"/>
        <v>5</v>
      </c>
      <c r="J510" s="76">
        <v>8</v>
      </c>
      <c r="K510" s="66"/>
      <c r="L510" s="6">
        <f>L506+L509</f>
        <v>3.333333333333333</v>
      </c>
      <c r="M510" s="6">
        <f t="shared" si="91"/>
        <v>2</v>
      </c>
      <c r="N510" s="77">
        <v>100</v>
      </c>
      <c r="O510">
        <f t="shared" si="84"/>
        <v>0.5</v>
      </c>
      <c r="P510" s="77">
        <v>50</v>
      </c>
      <c r="Q510">
        <f t="shared" si="85"/>
        <v>0.3</v>
      </c>
      <c r="R510" s="75">
        <v>15</v>
      </c>
      <c r="S510" s="6">
        <f t="shared" si="86"/>
        <v>0.15</v>
      </c>
    </row>
    <row r="511" spans="1:19" x14ac:dyDescent="0.3">
      <c r="A511" s="37" t="s">
        <v>53</v>
      </c>
      <c r="B511" s="6" t="s">
        <v>163</v>
      </c>
      <c r="C511" s="77">
        <v>6600</v>
      </c>
      <c r="D511" s="6">
        <f>(C511/12)*6</f>
        <v>3300</v>
      </c>
      <c r="E511" s="66">
        <v>0</v>
      </c>
      <c r="F511" s="6">
        <f>SUM(E506:E511)</f>
        <v>4300</v>
      </c>
      <c r="G511" s="36" t="str">
        <f t="shared" si="83"/>
        <v>Farol Verde</v>
      </c>
      <c r="H511">
        <f t="shared" si="81"/>
        <v>0</v>
      </c>
      <c r="I511" s="6">
        <f t="shared" si="82"/>
        <v>6</v>
      </c>
      <c r="J511" s="76">
        <v>8</v>
      </c>
      <c r="K511" s="66"/>
      <c r="L511" s="6">
        <f>$L506+L510</f>
        <v>3.9999999999999996</v>
      </c>
      <c r="M511" s="6">
        <f t="shared" si="91"/>
        <v>2</v>
      </c>
      <c r="N511" s="77">
        <v>100</v>
      </c>
      <c r="O511">
        <f t="shared" si="84"/>
        <v>0.5</v>
      </c>
      <c r="P511" s="77">
        <v>50</v>
      </c>
      <c r="Q511">
        <f t="shared" si="85"/>
        <v>0.3</v>
      </c>
      <c r="R511" s="75">
        <v>15</v>
      </c>
      <c r="S511" s="6">
        <f t="shared" si="86"/>
        <v>0.15</v>
      </c>
    </row>
    <row r="512" spans="1:19" x14ac:dyDescent="0.3">
      <c r="A512" s="37" t="s">
        <v>53</v>
      </c>
      <c r="B512" s="6" t="s">
        <v>164</v>
      </c>
      <c r="C512" s="77">
        <v>6600</v>
      </c>
      <c r="D512" s="6">
        <f>(C512/12)*7</f>
        <v>3850</v>
      </c>
      <c r="E512" s="66">
        <v>0</v>
      </c>
      <c r="F512" s="6">
        <f>SUM(E506:E512)</f>
        <v>4300</v>
      </c>
      <c r="G512" s="36" t="str">
        <f t="shared" si="83"/>
        <v>Farol Verde</v>
      </c>
      <c r="H512">
        <f t="shared" si="81"/>
        <v>0</v>
      </c>
      <c r="I512" s="6">
        <f t="shared" si="82"/>
        <v>7</v>
      </c>
      <c r="J512" s="76">
        <v>8</v>
      </c>
      <c r="K512" s="66"/>
      <c r="L512" s="6">
        <f>$L506+L511</f>
        <v>4.6666666666666661</v>
      </c>
      <c r="M512" s="6">
        <f t="shared" si="91"/>
        <v>2</v>
      </c>
      <c r="N512" s="77">
        <v>100</v>
      </c>
      <c r="O512">
        <f t="shared" si="84"/>
        <v>0.5</v>
      </c>
      <c r="P512" s="77">
        <v>50</v>
      </c>
      <c r="Q512">
        <f t="shared" si="85"/>
        <v>0.3</v>
      </c>
      <c r="R512" s="75">
        <v>15</v>
      </c>
      <c r="S512" s="6">
        <f t="shared" si="86"/>
        <v>0.15</v>
      </c>
    </row>
    <row r="513" spans="1:19" x14ac:dyDescent="0.3">
      <c r="A513" s="37" t="s">
        <v>53</v>
      </c>
      <c r="B513" s="6" t="s">
        <v>165</v>
      </c>
      <c r="C513" s="77">
        <v>6600</v>
      </c>
      <c r="D513" s="6">
        <f>(C513/12)*8</f>
        <v>4400</v>
      </c>
      <c r="E513" s="66">
        <v>0</v>
      </c>
      <c r="F513" s="6">
        <f>SUM(E506:E513)</f>
        <v>4300</v>
      </c>
      <c r="G513" s="36" t="str">
        <f t="shared" si="83"/>
        <v>Farol Amarelo</v>
      </c>
      <c r="H513">
        <f t="shared" si="81"/>
        <v>100</v>
      </c>
      <c r="I513" s="6">
        <f t="shared" si="82"/>
        <v>8</v>
      </c>
      <c r="J513" s="76">
        <v>8</v>
      </c>
      <c r="K513" s="66"/>
      <c r="L513" s="6">
        <f>L506+L512</f>
        <v>5.333333333333333</v>
      </c>
      <c r="M513" s="6">
        <f t="shared" si="91"/>
        <v>2</v>
      </c>
      <c r="N513" s="77">
        <v>100</v>
      </c>
      <c r="O513">
        <f t="shared" si="84"/>
        <v>0.5</v>
      </c>
      <c r="P513" s="77">
        <v>50</v>
      </c>
      <c r="Q513">
        <f t="shared" si="85"/>
        <v>0.3</v>
      </c>
      <c r="R513" s="75">
        <v>15</v>
      </c>
      <c r="S513" s="6">
        <f t="shared" si="86"/>
        <v>0.15</v>
      </c>
    </row>
    <row r="514" spans="1:19" x14ac:dyDescent="0.3">
      <c r="A514" s="37" t="s">
        <v>53</v>
      </c>
      <c r="B514" s="6" t="s">
        <v>166</v>
      </c>
      <c r="C514" s="77">
        <v>6600</v>
      </c>
      <c r="D514" s="6">
        <f>(C514/12)*9</f>
        <v>4950</v>
      </c>
      <c r="E514" s="66">
        <v>0</v>
      </c>
      <c r="F514" s="6">
        <f>SUM(E506:E514)</f>
        <v>4300</v>
      </c>
      <c r="G514" s="36" t="str">
        <f t="shared" si="83"/>
        <v>Farol Amarelo</v>
      </c>
      <c r="H514">
        <f t="shared" ref="H514:H577" si="92">IF(D514-F514&lt;0,0,D514-F514)</f>
        <v>650</v>
      </c>
      <c r="I514" s="6">
        <f t="shared" ref="I514:I577" si="93">_xlfn.IFS(B514="Janeiro",1,B514="Fevereiro",2,B514="Março",3,B514="Abril",4,B514="Maio",5,B514="Junho",6,B514="Julho",7,B514="Agosto",8,B514="Setembro",9,B514="Outubro",10,B514="Novembro",11,B514="Dezembro",12,TRUE,0)</f>
        <v>9</v>
      </c>
      <c r="J514" s="76">
        <v>8</v>
      </c>
      <c r="K514" s="66"/>
      <c r="L514" s="6">
        <f>$L506+L513</f>
        <v>6</v>
      </c>
      <c r="M514" s="6">
        <f t="shared" si="91"/>
        <v>2</v>
      </c>
      <c r="N514" s="77">
        <v>100</v>
      </c>
      <c r="O514">
        <f t="shared" si="84"/>
        <v>0.5</v>
      </c>
      <c r="P514" s="77">
        <v>50</v>
      </c>
      <c r="Q514">
        <f t="shared" si="85"/>
        <v>0.3</v>
      </c>
      <c r="R514" s="75">
        <v>15</v>
      </c>
      <c r="S514" s="6">
        <f t="shared" si="86"/>
        <v>0.15</v>
      </c>
    </row>
    <row r="515" spans="1:19" x14ac:dyDescent="0.3">
      <c r="A515" s="37" t="s">
        <v>53</v>
      </c>
      <c r="B515" s="6" t="s">
        <v>167</v>
      </c>
      <c r="C515" s="77">
        <v>6600</v>
      </c>
      <c r="D515" s="6">
        <f>(C515/12)*10</f>
        <v>5500</v>
      </c>
      <c r="E515" s="66">
        <v>0</v>
      </c>
      <c r="F515" s="6">
        <f>SUM(E506:E515)</f>
        <v>4300</v>
      </c>
      <c r="G515" s="36" t="str">
        <f t="shared" ref="G515:G578" si="94">_xlfn.IFS(F515&gt;D515,"Farol Verde",F515&gt;=D515*0.85,"Farol Amarelo",F515&lt;D515*0.85,"Farol Vermelho","Verdadeiro",0)</f>
        <v>Farol Vermelho</v>
      </c>
      <c r="H515">
        <f t="shared" si="92"/>
        <v>1200</v>
      </c>
      <c r="I515" s="6">
        <f t="shared" si="93"/>
        <v>10</v>
      </c>
      <c r="J515" s="76">
        <v>8</v>
      </c>
      <c r="K515" s="66"/>
      <c r="L515" s="6">
        <f>$L506+L514</f>
        <v>6.666666666666667</v>
      </c>
      <c r="M515" s="6">
        <f t="shared" si="91"/>
        <v>2</v>
      </c>
      <c r="N515" s="77">
        <v>100</v>
      </c>
      <c r="O515">
        <f t="shared" ref="O515:O578" si="95">P515/N515</f>
        <v>0.5</v>
      </c>
      <c r="P515" s="77">
        <v>50</v>
      </c>
      <c r="Q515">
        <f t="shared" ref="Q515:Q578" si="96">R515/P515</f>
        <v>0.3</v>
      </c>
      <c r="R515" s="75">
        <v>15</v>
      </c>
      <c r="S515" s="6">
        <f t="shared" ref="S515:S578" si="97">R515/N515</f>
        <v>0.15</v>
      </c>
    </row>
    <row r="516" spans="1:19" x14ac:dyDescent="0.3">
      <c r="A516" s="37" t="s">
        <v>53</v>
      </c>
      <c r="B516" s="6" t="s">
        <v>168</v>
      </c>
      <c r="C516" s="77">
        <v>6600</v>
      </c>
      <c r="D516" s="6">
        <f>(C516/12)*11</f>
        <v>6050</v>
      </c>
      <c r="E516" s="66">
        <v>0</v>
      </c>
      <c r="F516" s="6">
        <f>SUM(E506:E516)</f>
        <v>4300</v>
      </c>
      <c r="G516" s="36" t="str">
        <f t="shared" si="94"/>
        <v>Farol Vermelho</v>
      </c>
      <c r="H516">
        <f t="shared" si="92"/>
        <v>1750</v>
      </c>
      <c r="I516" s="6">
        <f t="shared" si="93"/>
        <v>11</v>
      </c>
      <c r="J516" s="76">
        <v>8</v>
      </c>
      <c r="K516" s="66"/>
      <c r="L516" s="6">
        <f>L506+L515</f>
        <v>7.3333333333333339</v>
      </c>
      <c r="M516" s="6">
        <f t="shared" si="91"/>
        <v>2</v>
      </c>
      <c r="N516" s="77">
        <v>100</v>
      </c>
      <c r="O516">
        <f t="shared" si="95"/>
        <v>0.5</v>
      </c>
      <c r="P516" s="77">
        <v>50</v>
      </c>
      <c r="Q516">
        <f t="shared" si="96"/>
        <v>0.3</v>
      </c>
      <c r="R516" s="75">
        <v>15</v>
      </c>
      <c r="S516" s="6">
        <f t="shared" si="97"/>
        <v>0.15</v>
      </c>
    </row>
    <row r="517" spans="1:19" x14ac:dyDescent="0.3">
      <c r="A517" s="37" t="s">
        <v>53</v>
      </c>
      <c r="B517" s="6" t="s">
        <v>169</v>
      </c>
      <c r="C517" s="77">
        <v>6600</v>
      </c>
      <c r="D517" s="6">
        <f>(C517/12)*12</f>
        <v>6600</v>
      </c>
      <c r="E517" s="66">
        <v>0</v>
      </c>
      <c r="F517" s="6">
        <f>SUM(E506:E517)</f>
        <v>4300</v>
      </c>
      <c r="G517" s="36" t="str">
        <f t="shared" si="94"/>
        <v>Farol Vermelho</v>
      </c>
      <c r="H517">
        <f t="shared" si="92"/>
        <v>2300</v>
      </c>
      <c r="I517" s="6">
        <f t="shared" si="93"/>
        <v>12</v>
      </c>
      <c r="J517" s="76">
        <v>8</v>
      </c>
      <c r="K517" s="66"/>
      <c r="L517" s="6">
        <f>$L506+L516</f>
        <v>8</v>
      </c>
      <c r="M517" s="6">
        <f t="shared" si="91"/>
        <v>2</v>
      </c>
      <c r="N517" s="77">
        <v>100</v>
      </c>
      <c r="O517">
        <f t="shared" si="95"/>
        <v>0.5</v>
      </c>
      <c r="P517" s="77">
        <v>50</v>
      </c>
      <c r="Q517">
        <f t="shared" si="96"/>
        <v>0.3</v>
      </c>
      <c r="R517" s="75">
        <v>15</v>
      </c>
      <c r="S517" s="6">
        <f t="shared" si="97"/>
        <v>0.15</v>
      </c>
    </row>
    <row r="518" spans="1:19" x14ac:dyDescent="0.3">
      <c r="A518" s="37" t="s">
        <v>109</v>
      </c>
      <c r="B518" s="6" t="s">
        <v>158</v>
      </c>
      <c r="C518" s="77">
        <v>20550</v>
      </c>
      <c r="D518" s="6">
        <f>(C518/12)*1</f>
        <v>1712.5</v>
      </c>
      <c r="E518" s="66">
        <v>0</v>
      </c>
      <c r="F518" s="6">
        <f>E518</f>
        <v>0</v>
      </c>
      <c r="G518" s="36" t="str">
        <f t="shared" si="94"/>
        <v>Farol Vermelho</v>
      </c>
      <c r="H518">
        <f t="shared" si="92"/>
        <v>1712.5</v>
      </c>
      <c r="I518" s="6">
        <f t="shared" si="93"/>
        <v>1</v>
      </c>
      <c r="J518" s="76">
        <v>16</v>
      </c>
      <c r="K518" s="66">
        <v>0</v>
      </c>
      <c r="L518" s="6">
        <f>J518/12</f>
        <v>1.3333333333333333</v>
      </c>
      <c r="M518" s="6">
        <f>K518</f>
        <v>0</v>
      </c>
      <c r="N518" s="77">
        <v>100</v>
      </c>
      <c r="O518">
        <f t="shared" si="95"/>
        <v>0.5</v>
      </c>
      <c r="P518" s="77">
        <v>50</v>
      </c>
      <c r="Q518">
        <f t="shared" si="96"/>
        <v>0.3</v>
      </c>
      <c r="R518" s="75">
        <v>15</v>
      </c>
      <c r="S518" s="6">
        <f t="shared" si="97"/>
        <v>0.15</v>
      </c>
    </row>
    <row r="519" spans="1:19" x14ac:dyDescent="0.3">
      <c r="A519" s="37" t="s">
        <v>109</v>
      </c>
      <c r="B519" s="6" t="s">
        <v>159</v>
      </c>
      <c r="C519" s="77">
        <v>20550</v>
      </c>
      <c r="D519" s="6">
        <f>(C519/12)*2</f>
        <v>3425</v>
      </c>
      <c r="E519" s="66">
        <v>0</v>
      </c>
      <c r="F519" s="6">
        <f>SUM(E518:E519)</f>
        <v>0</v>
      </c>
      <c r="G519" s="36" t="str">
        <f t="shared" si="94"/>
        <v>Farol Vermelho</v>
      </c>
      <c r="H519">
        <f t="shared" si="92"/>
        <v>3425</v>
      </c>
      <c r="I519" s="6">
        <f t="shared" si="93"/>
        <v>2</v>
      </c>
      <c r="J519" s="75">
        <v>16</v>
      </c>
      <c r="K519" s="66">
        <v>0</v>
      </c>
      <c r="L519" s="6">
        <f>L518+L518</f>
        <v>2.6666666666666665</v>
      </c>
      <c r="M519" s="6">
        <f>M518+K519</f>
        <v>0</v>
      </c>
      <c r="N519" s="77">
        <v>100</v>
      </c>
      <c r="O519">
        <f t="shared" si="95"/>
        <v>0.5</v>
      </c>
      <c r="P519" s="77">
        <v>50</v>
      </c>
      <c r="Q519">
        <f t="shared" si="96"/>
        <v>0.3</v>
      </c>
      <c r="R519" s="75">
        <v>15</v>
      </c>
      <c r="S519" s="6">
        <f t="shared" si="97"/>
        <v>0.15</v>
      </c>
    </row>
    <row r="520" spans="1:19" x14ac:dyDescent="0.3">
      <c r="A520" s="37" t="s">
        <v>109</v>
      </c>
      <c r="B520" s="6" t="s">
        <v>160</v>
      </c>
      <c r="C520" s="77">
        <v>20550</v>
      </c>
      <c r="D520" s="6">
        <f>(C520/12)*3</f>
        <v>5137.5</v>
      </c>
      <c r="E520" s="66">
        <v>0</v>
      </c>
      <c r="F520" s="6">
        <f>SUM(E518:E520)</f>
        <v>0</v>
      </c>
      <c r="G520" s="36" t="str">
        <f t="shared" si="94"/>
        <v>Farol Vermelho</v>
      </c>
      <c r="H520">
        <f t="shared" si="92"/>
        <v>5137.5</v>
      </c>
      <c r="I520" s="6">
        <f t="shared" si="93"/>
        <v>3</v>
      </c>
      <c r="J520" s="76">
        <v>16</v>
      </c>
      <c r="K520" s="66">
        <v>0</v>
      </c>
      <c r="L520" s="6">
        <f>$L518+L519</f>
        <v>4</v>
      </c>
      <c r="M520" s="6">
        <f t="shared" ref="M520:M529" si="98">M519+K520</f>
        <v>0</v>
      </c>
      <c r="N520" s="77">
        <v>100</v>
      </c>
      <c r="O520">
        <f t="shared" si="95"/>
        <v>0.5</v>
      </c>
      <c r="P520" s="77">
        <v>50</v>
      </c>
      <c r="Q520">
        <f t="shared" si="96"/>
        <v>0.3</v>
      </c>
      <c r="R520" s="75">
        <v>15</v>
      </c>
      <c r="S520" s="6">
        <f t="shared" si="97"/>
        <v>0.15</v>
      </c>
    </row>
    <row r="521" spans="1:19" x14ac:dyDescent="0.3">
      <c r="A521" s="37" t="s">
        <v>109</v>
      </c>
      <c r="B521" s="6" t="s">
        <v>161</v>
      </c>
      <c r="C521" s="77">
        <v>20550</v>
      </c>
      <c r="D521" s="6">
        <f>(C521/12)*4</f>
        <v>6850</v>
      </c>
      <c r="E521" s="66">
        <v>0</v>
      </c>
      <c r="F521" s="6">
        <f>SUM(E518:E521)</f>
        <v>0</v>
      </c>
      <c r="G521" s="36" t="str">
        <f t="shared" si="94"/>
        <v>Farol Vermelho</v>
      </c>
      <c r="H521">
        <f t="shared" si="92"/>
        <v>6850</v>
      </c>
      <c r="I521" s="6">
        <f t="shared" si="93"/>
        <v>4</v>
      </c>
      <c r="J521" s="75">
        <v>16</v>
      </c>
      <c r="K521" s="66">
        <v>0</v>
      </c>
      <c r="L521" s="6">
        <f>$L518+L520</f>
        <v>5.333333333333333</v>
      </c>
      <c r="M521" s="6">
        <f t="shared" si="98"/>
        <v>0</v>
      </c>
      <c r="N521" s="77">
        <v>100</v>
      </c>
      <c r="O521">
        <f t="shared" si="95"/>
        <v>0.5</v>
      </c>
      <c r="P521" s="77">
        <v>50</v>
      </c>
      <c r="Q521">
        <f t="shared" si="96"/>
        <v>0.3</v>
      </c>
      <c r="R521" s="75">
        <v>15</v>
      </c>
      <c r="S521" s="6">
        <f t="shared" si="97"/>
        <v>0.15</v>
      </c>
    </row>
    <row r="522" spans="1:19" x14ac:dyDescent="0.3">
      <c r="A522" s="37" t="s">
        <v>109</v>
      </c>
      <c r="B522" s="6" t="s">
        <v>162</v>
      </c>
      <c r="C522" s="77">
        <v>20550</v>
      </c>
      <c r="D522" s="6">
        <f>(C522/12)*5</f>
        <v>8562.5</v>
      </c>
      <c r="E522" s="66">
        <v>0</v>
      </c>
      <c r="F522" s="6">
        <f>SUM(E518:E522)</f>
        <v>0</v>
      </c>
      <c r="G522" s="36" t="str">
        <f t="shared" si="94"/>
        <v>Farol Vermelho</v>
      </c>
      <c r="H522">
        <f t="shared" si="92"/>
        <v>8562.5</v>
      </c>
      <c r="I522" s="6">
        <f t="shared" si="93"/>
        <v>5</v>
      </c>
      <c r="J522" s="76">
        <v>16</v>
      </c>
      <c r="K522" s="66"/>
      <c r="L522" s="6">
        <f>L518+L521</f>
        <v>6.6666666666666661</v>
      </c>
      <c r="M522" s="6">
        <f t="shared" si="98"/>
        <v>0</v>
      </c>
      <c r="N522" s="77">
        <v>100</v>
      </c>
      <c r="O522">
        <f t="shared" si="95"/>
        <v>0.5</v>
      </c>
      <c r="P522" s="77">
        <v>50</v>
      </c>
      <c r="Q522">
        <f t="shared" si="96"/>
        <v>0.3</v>
      </c>
      <c r="R522" s="75">
        <v>15</v>
      </c>
      <c r="S522" s="6">
        <f t="shared" si="97"/>
        <v>0.15</v>
      </c>
    </row>
    <row r="523" spans="1:19" x14ac:dyDescent="0.3">
      <c r="A523" s="37" t="s">
        <v>109</v>
      </c>
      <c r="B523" s="6" t="s">
        <v>163</v>
      </c>
      <c r="C523" s="77">
        <v>20550</v>
      </c>
      <c r="D523" s="6">
        <f>(C523/12)*6</f>
        <v>10275</v>
      </c>
      <c r="E523" s="66">
        <v>0</v>
      </c>
      <c r="F523" s="6">
        <f>SUM(E518:E523)</f>
        <v>0</v>
      </c>
      <c r="G523" s="36" t="str">
        <f t="shared" si="94"/>
        <v>Farol Vermelho</v>
      </c>
      <c r="H523">
        <f t="shared" si="92"/>
        <v>10275</v>
      </c>
      <c r="I523" s="6">
        <f t="shared" si="93"/>
        <v>6</v>
      </c>
      <c r="J523" s="75">
        <v>16</v>
      </c>
      <c r="K523" s="66"/>
      <c r="L523" s="6">
        <f>$L518+L522</f>
        <v>7.9999999999999991</v>
      </c>
      <c r="M523" s="6">
        <f t="shared" si="98"/>
        <v>0</v>
      </c>
      <c r="N523" s="77">
        <v>100</v>
      </c>
      <c r="O523">
        <f t="shared" si="95"/>
        <v>0.5</v>
      </c>
      <c r="P523" s="77">
        <v>50</v>
      </c>
      <c r="Q523">
        <f t="shared" si="96"/>
        <v>0.3</v>
      </c>
      <c r="R523" s="75">
        <v>15</v>
      </c>
      <c r="S523" s="6">
        <f t="shared" si="97"/>
        <v>0.15</v>
      </c>
    </row>
    <row r="524" spans="1:19" x14ac:dyDescent="0.3">
      <c r="A524" s="37" t="s">
        <v>109</v>
      </c>
      <c r="B524" s="6" t="s">
        <v>164</v>
      </c>
      <c r="C524" s="77">
        <v>20550</v>
      </c>
      <c r="D524" s="6">
        <f>(C524/12)*7</f>
        <v>11987.5</v>
      </c>
      <c r="E524" s="66">
        <v>0</v>
      </c>
      <c r="F524" s="6">
        <f>SUM(E518:E524)</f>
        <v>0</v>
      </c>
      <c r="G524" s="36" t="str">
        <f t="shared" si="94"/>
        <v>Farol Vermelho</v>
      </c>
      <c r="H524">
        <f t="shared" si="92"/>
        <v>11987.5</v>
      </c>
      <c r="I524" s="6">
        <f t="shared" si="93"/>
        <v>7</v>
      </c>
      <c r="J524" s="76">
        <v>16</v>
      </c>
      <c r="K524" s="66"/>
      <c r="L524" s="6">
        <f>$L518+L523</f>
        <v>9.3333333333333321</v>
      </c>
      <c r="M524" s="6">
        <f t="shared" si="98"/>
        <v>0</v>
      </c>
      <c r="N524" s="77">
        <v>100</v>
      </c>
      <c r="O524">
        <f t="shared" si="95"/>
        <v>0.5</v>
      </c>
      <c r="P524" s="77">
        <v>50</v>
      </c>
      <c r="Q524">
        <f t="shared" si="96"/>
        <v>0.3</v>
      </c>
      <c r="R524" s="75">
        <v>15</v>
      </c>
      <c r="S524" s="6">
        <f t="shared" si="97"/>
        <v>0.15</v>
      </c>
    </row>
    <row r="525" spans="1:19" x14ac:dyDescent="0.3">
      <c r="A525" s="37" t="s">
        <v>109</v>
      </c>
      <c r="B525" s="6" t="s">
        <v>165</v>
      </c>
      <c r="C525" s="77">
        <v>20550</v>
      </c>
      <c r="D525" s="6">
        <f>(C525/12)*8</f>
        <v>13700</v>
      </c>
      <c r="E525" s="66">
        <v>0</v>
      </c>
      <c r="F525" s="6">
        <f>SUM(E518:E525)</f>
        <v>0</v>
      </c>
      <c r="G525" s="36" t="str">
        <f t="shared" si="94"/>
        <v>Farol Vermelho</v>
      </c>
      <c r="H525">
        <f t="shared" si="92"/>
        <v>13700</v>
      </c>
      <c r="I525" s="6">
        <f t="shared" si="93"/>
        <v>8</v>
      </c>
      <c r="J525" s="75">
        <v>16</v>
      </c>
      <c r="K525" s="66"/>
      <c r="L525" s="6">
        <f>L518+L524</f>
        <v>10.666666666666666</v>
      </c>
      <c r="M525" s="6">
        <f t="shared" si="98"/>
        <v>0</v>
      </c>
      <c r="N525" s="77">
        <v>100</v>
      </c>
      <c r="O525">
        <f t="shared" si="95"/>
        <v>0.5</v>
      </c>
      <c r="P525" s="77">
        <v>50</v>
      </c>
      <c r="Q525">
        <f t="shared" si="96"/>
        <v>0.3</v>
      </c>
      <c r="R525" s="75">
        <v>15</v>
      </c>
      <c r="S525" s="6">
        <f t="shared" si="97"/>
        <v>0.15</v>
      </c>
    </row>
    <row r="526" spans="1:19" x14ac:dyDescent="0.3">
      <c r="A526" s="37" t="s">
        <v>109</v>
      </c>
      <c r="B526" s="6" t="s">
        <v>166</v>
      </c>
      <c r="C526" s="77">
        <v>20550</v>
      </c>
      <c r="D526" s="6">
        <f>(C526/12)*9</f>
        <v>15412.5</v>
      </c>
      <c r="E526" s="66">
        <v>0</v>
      </c>
      <c r="F526" s="6">
        <f>SUM(E518:E526)</f>
        <v>0</v>
      </c>
      <c r="G526" s="36" t="str">
        <f t="shared" si="94"/>
        <v>Farol Vermelho</v>
      </c>
      <c r="H526">
        <f t="shared" si="92"/>
        <v>15412.5</v>
      </c>
      <c r="I526" s="6">
        <f t="shared" si="93"/>
        <v>9</v>
      </c>
      <c r="J526" s="76">
        <v>16</v>
      </c>
      <c r="K526" s="66"/>
      <c r="L526" s="6">
        <f>$L518+L525</f>
        <v>12</v>
      </c>
      <c r="M526" s="6">
        <f t="shared" si="98"/>
        <v>0</v>
      </c>
      <c r="N526" s="77">
        <v>100</v>
      </c>
      <c r="O526">
        <f t="shared" si="95"/>
        <v>0.5</v>
      </c>
      <c r="P526" s="77">
        <v>50</v>
      </c>
      <c r="Q526">
        <f t="shared" si="96"/>
        <v>0.3</v>
      </c>
      <c r="R526" s="75">
        <v>15</v>
      </c>
      <c r="S526" s="6">
        <f t="shared" si="97"/>
        <v>0.15</v>
      </c>
    </row>
    <row r="527" spans="1:19" x14ac:dyDescent="0.3">
      <c r="A527" s="37" t="s">
        <v>109</v>
      </c>
      <c r="B527" s="6" t="s">
        <v>167</v>
      </c>
      <c r="C527" s="77">
        <v>20550</v>
      </c>
      <c r="D527" s="6">
        <f>(C527/12)*10</f>
        <v>17125</v>
      </c>
      <c r="E527" s="66">
        <v>0</v>
      </c>
      <c r="F527" s="6">
        <f>SUM(E518:E527)</f>
        <v>0</v>
      </c>
      <c r="G527" s="36" t="str">
        <f t="shared" si="94"/>
        <v>Farol Vermelho</v>
      </c>
      <c r="H527">
        <f t="shared" si="92"/>
        <v>17125</v>
      </c>
      <c r="I527" s="6">
        <f t="shared" si="93"/>
        <v>10</v>
      </c>
      <c r="J527" s="75">
        <v>16</v>
      </c>
      <c r="K527" s="66"/>
      <c r="L527" s="6">
        <f>$L518+L526</f>
        <v>13.333333333333334</v>
      </c>
      <c r="M527" s="6">
        <f t="shared" si="98"/>
        <v>0</v>
      </c>
      <c r="N527" s="77">
        <v>100</v>
      </c>
      <c r="O527">
        <f t="shared" si="95"/>
        <v>0.5</v>
      </c>
      <c r="P527" s="77">
        <v>50</v>
      </c>
      <c r="Q527">
        <f t="shared" si="96"/>
        <v>0.3</v>
      </c>
      <c r="R527" s="75">
        <v>15</v>
      </c>
      <c r="S527" s="6">
        <f t="shared" si="97"/>
        <v>0.15</v>
      </c>
    </row>
    <row r="528" spans="1:19" x14ac:dyDescent="0.3">
      <c r="A528" s="37" t="s">
        <v>109</v>
      </c>
      <c r="B528" s="6" t="s">
        <v>168</v>
      </c>
      <c r="C528" s="77">
        <v>20550</v>
      </c>
      <c r="D528" s="6">
        <f>(C528/12)*11</f>
        <v>18837.5</v>
      </c>
      <c r="E528" s="66">
        <v>0</v>
      </c>
      <c r="F528" s="6">
        <f>SUM(E518:E528)</f>
        <v>0</v>
      </c>
      <c r="G528" s="36" t="str">
        <f t="shared" si="94"/>
        <v>Farol Vermelho</v>
      </c>
      <c r="H528">
        <f t="shared" si="92"/>
        <v>18837.5</v>
      </c>
      <c r="I528" s="6">
        <f t="shared" si="93"/>
        <v>11</v>
      </c>
      <c r="J528" s="76">
        <v>16</v>
      </c>
      <c r="K528" s="66"/>
      <c r="L528" s="6">
        <f>L518+L527</f>
        <v>14.666666666666668</v>
      </c>
      <c r="M528" s="6">
        <f t="shared" si="98"/>
        <v>0</v>
      </c>
      <c r="N528" s="77">
        <v>100</v>
      </c>
      <c r="O528">
        <f t="shared" si="95"/>
        <v>0.5</v>
      </c>
      <c r="P528" s="77">
        <v>50</v>
      </c>
      <c r="Q528">
        <f t="shared" si="96"/>
        <v>0.3</v>
      </c>
      <c r="R528" s="75">
        <v>15</v>
      </c>
      <c r="S528" s="6">
        <f t="shared" si="97"/>
        <v>0.15</v>
      </c>
    </row>
    <row r="529" spans="1:19" x14ac:dyDescent="0.3">
      <c r="A529" s="37" t="s">
        <v>109</v>
      </c>
      <c r="B529" s="6" t="s">
        <v>169</v>
      </c>
      <c r="C529" s="77">
        <v>20550</v>
      </c>
      <c r="D529" s="6">
        <f>(C529/12)*12</f>
        <v>20550</v>
      </c>
      <c r="E529" s="66">
        <v>0</v>
      </c>
      <c r="F529" s="6">
        <f>SUM(E518:E529)</f>
        <v>0</v>
      </c>
      <c r="G529" s="36" t="str">
        <f t="shared" si="94"/>
        <v>Farol Vermelho</v>
      </c>
      <c r="H529">
        <f t="shared" si="92"/>
        <v>20550</v>
      </c>
      <c r="I529" s="6">
        <f t="shared" si="93"/>
        <v>12</v>
      </c>
      <c r="J529" s="75">
        <v>16</v>
      </c>
      <c r="K529" s="66"/>
      <c r="L529" s="6">
        <f>$L518+L528</f>
        <v>16</v>
      </c>
      <c r="M529" s="6">
        <f t="shared" si="98"/>
        <v>0</v>
      </c>
      <c r="N529" s="77">
        <v>100</v>
      </c>
      <c r="O529">
        <f t="shared" si="95"/>
        <v>0.5</v>
      </c>
      <c r="P529" s="77">
        <v>50</v>
      </c>
      <c r="Q529">
        <f t="shared" si="96"/>
        <v>0.3</v>
      </c>
      <c r="R529" s="75">
        <v>15</v>
      </c>
      <c r="S529" s="6">
        <f t="shared" si="97"/>
        <v>0.15</v>
      </c>
    </row>
    <row r="530" spans="1:19" x14ac:dyDescent="0.3">
      <c r="A530" s="37" t="s">
        <v>102</v>
      </c>
      <c r="B530" s="6" t="s">
        <v>158</v>
      </c>
      <c r="C530" s="77">
        <v>400000</v>
      </c>
      <c r="D530" s="6">
        <f>(C530/12)*1</f>
        <v>33333.333333333336</v>
      </c>
      <c r="E530" s="66">
        <v>37403.699999999997</v>
      </c>
      <c r="F530" s="6">
        <f>E530</f>
        <v>37403.699999999997</v>
      </c>
      <c r="G530" s="36" t="str">
        <f t="shared" si="94"/>
        <v>Farol Verde</v>
      </c>
      <c r="H530">
        <f t="shared" si="92"/>
        <v>0</v>
      </c>
      <c r="I530" s="6">
        <f t="shared" si="93"/>
        <v>1</v>
      </c>
      <c r="J530" s="76">
        <v>55</v>
      </c>
      <c r="K530" s="66">
        <v>6</v>
      </c>
      <c r="L530" s="6">
        <f>J530/12</f>
        <v>4.583333333333333</v>
      </c>
      <c r="M530" s="6">
        <f>K530</f>
        <v>6</v>
      </c>
      <c r="N530" s="77">
        <v>100</v>
      </c>
      <c r="O530">
        <f t="shared" si="95"/>
        <v>0.5</v>
      </c>
      <c r="P530" s="77">
        <v>50</v>
      </c>
      <c r="Q530">
        <f t="shared" si="96"/>
        <v>0.3</v>
      </c>
      <c r="R530" s="75">
        <v>15</v>
      </c>
      <c r="S530" s="6">
        <f t="shared" si="97"/>
        <v>0.15</v>
      </c>
    </row>
    <row r="531" spans="1:19" x14ac:dyDescent="0.3">
      <c r="A531" s="37" t="s">
        <v>102</v>
      </c>
      <c r="B531" s="6" t="s">
        <v>159</v>
      </c>
      <c r="C531" s="77">
        <v>400000</v>
      </c>
      <c r="D531" s="6">
        <f>(C531/12)*2</f>
        <v>66666.666666666672</v>
      </c>
      <c r="E531" s="66">
        <v>23492.28</v>
      </c>
      <c r="F531" s="6">
        <f>SUM(E530:E531)</f>
        <v>60895.979999999996</v>
      </c>
      <c r="G531" s="36" t="str">
        <f t="shared" si="94"/>
        <v>Farol Amarelo</v>
      </c>
      <c r="H531">
        <f t="shared" si="92"/>
        <v>5770.6866666666756</v>
      </c>
      <c r="I531" s="6">
        <f t="shared" si="93"/>
        <v>2</v>
      </c>
      <c r="J531" s="76">
        <v>55</v>
      </c>
      <c r="K531" s="66">
        <v>3</v>
      </c>
      <c r="L531" s="6">
        <f>L530+L530</f>
        <v>9.1666666666666661</v>
      </c>
      <c r="M531" s="6">
        <f>M530+K531</f>
        <v>9</v>
      </c>
      <c r="N531" s="77">
        <v>100</v>
      </c>
      <c r="O531">
        <f t="shared" si="95"/>
        <v>0.5</v>
      </c>
      <c r="P531" s="77">
        <v>50</v>
      </c>
      <c r="Q531">
        <f t="shared" si="96"/>
        <v>0.3</v>
      </c>
      <c r="R531" s="75">
        <v>15</v>
      </c>
      <c r="S531" s="6">
        <f t="shared" si="97"/>
        <v>0.15</v>
      </c>
    </row>
    <row r="532" spans="1:19" x14ac:dyDescent="0.3">
      <c r="A532" s="37" t="s">
        <v>102</v>
      </c>
      <c r="B532" s="6" t="s">
        <v>160</v>
      </c>
      <c r="C532" s="77">
        <v>400000</v>
      </c>
      <c r="D532" s="6">
        <f>(C532/12)*3</f>
        <v>100000</v>
      </c>
      <c r="E532" s="66">
        <v>20720.93</v>
      </c>
      <c r="F532" s="6">
        <f>SUM(E530:E532)</f>
        <v>81616.91</v>
      </c>
      <c r="G532" s="36" t="str">
        <f t="shared" si="94"/>
        <v>Farol Vermelho</v>
      </c>
      <c r="H532">
        <f t="shared" si="92"/>
        <v>18383.089999999997</v>
      </c>
      <c r="I532" s="6">
        <f t="shared" si="93"/>
        <v>3</v>
      </c>
      <c r="J532" s="76">
        <v>55</v>
      </c>
      <c r="K532" s="66">
        <v>3</v>
      </c>
      <c r="L532" s="6">
        <f>$L530+L531</f>
        <v>13.75</v>
      </c>
      <c r="M532" s="6">
        <f t="shared" ref="M532:M541" si="99">M531+K532</f>
        <v>12</v>
      </c>
      <c r="N532" s="77">
        <v>100</v>
      </c>
      <c r="O532">
        <f t="shared" si="95"/>
        <v>0.5</v>
      </c>
      <c r="P532" s="77">
        <v>50</v>
      </c>
      <c r="Q532">
        <f t="shared" si="96"/>
        <v>0.3</v>
      </c>
      <c r="R532" s="75">
        <v>15</v>
      </c>
      <c r="S532" s="6">
        <f t="shared" si="97"/>
        <v>0.15</v>
      </c>
    </row>
    <row r="533" spans="1:19" x14ac:dyDescent="0.3">
      <c r="A533" s="37" t="s">
        <v>102</v>
      </c>
      <c r="B533" s="6" t="s">
        <v>161</v>
      </c>
      <c r="C533" s="77">
        <v>400000</v>
      </c>
      <c r="D533" s="6">
        <f>(C533/12)*4</f>
        <v>133333.33333333334</v>
      </c>
      <c r="E533" s="66">
        <v>210</v>
      </c>
      <c r="F533" s="6">
        <f>SUM(E530:E533)</f>
        <v>81826.91</v>
      </c>
      <c r="G533" s="36" t="str">
        <f t="shared" si="94"/>
        <v>Farol Vermelho</v>
      </c>
      <c r="H533">
        <f t="shared" si="92"/>
        <v>51506.42333333334</v>
      </c>
      <c r="I533" s="6">
        <f t="shared" si="93"/>
        <v>4</v>
      </c>
      <c r="J533" s="76">
        <v>55</v>
      </c>
      <c r="K533" s="66">
        <v>1</v>
      </c>
      <c r="L533" s="6">
        <f>$L530+L532</f>
        <v>18.333333333333332</v>
      </c>
      <c r="M533" s="6">
        <f t="shared" si="99"/>
        <v>13</v>
      </c>
      <c r="N533" s="77">
        <v>100</v>
      </c>
      <c r="O533">
        <f t="shared" si="95"/>
        <v>0.5</v>
      </c>
      <c r="P533" s="77">
        <v>50</v>
      </c>
      <c r="Q533">
        <f t="shared" si="96"/>
        <v>0.3</v>
      </c>
      <c r="R533" s="75">
        <v>15</v>
      </c>
      <c r="S533" s="6">
        <f t="shared" si="97"/>
        <v>0.15</v>
      </c>
    </row>
    <row r="534" spans="1:19" x14ac:dyDescent="0.3">
      <c r="A534" s="37" t="s">
        <v>102</v>
      </c>
      <c r="B534" s="6" t="s">
        <v>162</v>
      </c>
      <c r="C534" s="77">
        <v>400000</v>
      </c>
      <c r="D534" s="6">
        <f>(C534/12)*5</f>
        <v>166666.66666666669</v>
      </c>
      <c r="E534" s="66">
        <v>9168.27</v>
      </c>
      <c r="F534" s="6">
        <f>SUM(E530:E534)</f>
        <v>90995.180000000008</v>
      </c>
      <c r="G534" s="36" t="str">
        <f t="shared" si="94"/>
        <v>Farol Vermelho</v>
      </c>
      <c r="H534">
        <f t="shared" si="92"/>
        <v>75671.486666666679</v>
      </c>
      <c r="I534" s="6">
        <f t="shared" si="93"/>
        <v>5</v>
      </c>
      <c r="J534" s="76">
        <v>55</v>
      </c>
      <c r="K534" s="66">
        <v>6</v>
      </c>
      <c r="L534" s="6">
        <f>L530+L533</f>
        <v>22.916666666666664</v>
      </c>
      <c r="M534" s="6">
        <f t="shared" si="99"/>
        <v>19</v>
      </c>
      <c r="N534" s="77">
        <v>100</v>
      </c>
      <c r="O534">
        <f t="shared" si="95"/>
        <v>0.5</v>
      </c>
      <c r="P534" s="77">
        <v>50</v>
      </c>
      <c r="Q534">
        <f t="shared" si="96"/>
        <v>0.3</v>
      </c>
      <c r="R534" s="75">
        <v>15</v>
      </c>
      <c r="S534" s="6">
        <f t="shared" si="97"/>
        <v>0.15</v>
      </c>
    </row>
    <row r="535" spans="1:19" x14ac:dyDescent="0.3">
      <c r="A535" s="37" t="s">
        <v>102</v>
      </c>
      <c r="B535" s="6" t="s">
        <v>163</v>
      </c>
      <c r="C535" s="77">
        <v>400000</v>
      </c>
      <c r="D535" s="6">
        <f>(C535/12)*6</f>
        <v>200000</v>
      </c>
      <c r="E535" s="66">
        <v>0</v>
      </c>
      <c r="F535" s="6">
        <f>SUM(E530:E535)</f>
        <v>90995.180000000008</v>
      </c>
      <c r="G535" s="36" t="str">
        <f t="shared" si="94"/>
        <v>Farol Vermelho</v>
      </c>
      <c r="H535">
        <f t="shared" si="92"/>
        <v>109004.81999999999</v>
      </c>
      <c r="I535" s="6">
        <f t="shared" si="93"/>
        <v>6</v>
      </c>
      <c r="J535" s="76">
        <v>55</v>
      </c>
      <c r="K535" s="66"/>
      <c r="L535" s="6">
        <f>$L530+L534</f>
        <v>27.499999999999996</v>
      </c>
      <c r="M535" s="6">
        <f t="shared" si="99"/>
        <v>19</v>
      </c>
      <c r="N535" s="77">
        <v>100</v>
      </c>
      <c r="O535">
        <f t="shared" si="95"/>
        <v>0.5</v>
      </c>
      <c r="P535" s="77">
        <v>50</v>
      </c>
      <c r="Q535">
        <f t="shared" si="96"/>
        <v>0.3</v>
      </c>
      <c r="R535" s="75">
        <v>15</v>
      </c>
      <c r="S535" s="6">
        <f t="shared" si="97"/>
        <v>0.15</v>
      </c>
    </row>
    <row r="536" spans="1:19" x14ac:dyDescent="0.3">
      <c r="A536" s="37" t="s">
        <v>102</v>
      </c>
      <c r="B536" s="6" t="s">
        <v>164</v>
      </c>
      <c r="C536" s="77">
        <v>400000</v>
      </c>
      <c r="D536" s="6">
        <f>(C536/12)*7</f>
        <v>233333.33333333334</v>
      </c>
      <c r="E536" s="66">
        <v>0</v>
      </c>
      <c r="F536" s="6">
        <f>SUM(E530:E536)</f>
        <v>90995.180000000008</v>
      </c>
      <c r="G536" s="36" t="str">
        <f t="shared" si="94"/>
        <v>Farol Vermelho</v>
      </c>
      <c r="H536">
        <f t="shared" si="92"/>
        <v>142338.15333333332</v>
      </c>
      <c r="I536" s="6">
        <f t="shared" si="93"/>
        <v>7</v>
      </c>
      <c r="J536" s="76">
        <v>55</v>
      </c>
      <c r="K536" s="66"/>
      <c r="L536" s="6">
        <f>$L530+L535</f>
        <v>32.083333333333329</v>
      </c>
      <c r="M536" s="6">
        <f t="shared" si="99"/>
        <v>19</v>
      </c>
      <c r="N536" s="77">
        <v>100</v>
      </c>
      <c r="O536">
        <f t="shared" si="95"/>
        <v>0.5</v>
      </c>
      <c r="P536" s="77">
        <v>50</v>
      </c>
      <c r="Q536">
        <f t="shared" si="96"/>
        <v>0.3</v>
      </c>
      <c r="R536" s="75">
        <v>15</v>
      </c>
      <c r="S536" s="6">
        <f t="shared" si="97"/>
        <v>0.15</v>
      </c>
    </row>
    <row r="537" spans="1:19" x14ac:dyDescent="0.3">
      <c r="A537" s="37" t="s">
        <v>102</v>
      </c>
      <c r="B537" s="6" t="s">
        <v>165</v>
      </c>
      <c r="C537" s="77">
        <v>400000</v>
      </c>
      <c r="D537" s="6">
        <f>(C537/12)*8</f>
        <v>266666.66666666669</v>
      </c>
      <c r="E537" s="66">
        <v>0</v>
      </c>
      <c r="F537" s="6">
        <f>SUM(E530:E537)</f>
        <v>90995.180000000008</v>
      </c>
      <c r="G537" s="36" t="str">
        <f t="shared" si="94"/>
        <v>Farol Vermelho</v>
      </c>
      <c r="H537">
        <f t="shared" si="92"/>
        <v>175671.48666666669</v>
      </c>
      <c r="I537" s="6">
        <f t="shared" si="93"/>
        <v>8</v>
      </c>
      <c r="J537" s="76">
        <v>55</v>
      </c>
      <c r="K537" s="66"/>
      <c r="L537" s="6">
        <f>L530+L536</f>
        <v>36.666666666666664</v>
      </c>
      <c r="M537" s="6">
        <f t="shared" si="99"/>
        <v>19</v>
      </c>
      <c r="N537" s="77">
        <v>100</v>
      </c>
      <c r="O537">
        <f t="shared" si="95"/>
        <v>0.5</v>
      </c>
      <c r="P537" s="77">
        <v>50</v>
      </c>
      <c r="Q537">
        <f t="shared" si="96"/>
        <v>0.3</v>
      </c>
      <c r="R537" s="75">
        <v>15</v>
      </c>
      <c r="S537" s="6">
        <f t="shared" si="97"/>
        <v>0.15</v>
      </c>
    </row>
    <row r="538" spans="1:19" x14ac:dyDescent="0.3">
      <c r="A538" s="37" t="s">
        <v>102</v>
      </c>
      <c r="B538" s="6" t="s">
        <v>166</v>
      </c>
      <c r="C538" s="77">
        <v>400000</v>
      </c>
      <c r="D538" s="6">
        <f>(C538/12)*9</f>
        <v>300000</v>
      </c>
      <c r="E538" s="66">
        <v>0</v>
      </c>
      <c r="F538" s="6">
        <f>SUM(E530:E538)</f>
        <v>90995.180000000008</v>
      </c>
      <c r="G538" s="36" t="str">
        <f t="shared" si="94"/>
        <v>Farol Vermelho</v>
      </c>
      <c r="H538">
        <f t="shared" si="92"/>
        <v>209004.82</v>
      </c>
      <c r="I538" s="6">
        <f t="shared" si="93"/>
        <v>9</v>
      </c>
      <c r="J538" s="76">
        <v>55</v>
      </c>
      <c r="K538" s="66"/>
      <c r="L538" s="6">
        <f>$L530+L537</f>
        <v>41.25</v>
      </c>
      <c r="M538" s="6">
        <f t="shared" si="99"/>
        <v>19</v>
      </c>
      <c r="N538" s="77">
        <v>100</v>
      </c>
      <c r="O538">
        <f t="shared" si="95"/>
        <v>0.5</v>
      </c>
      <c r="P538" s="77">
        <v>50</v>
      </c>
      <c r="Q538">
        <f t="shared" si="96"/>
        <v>0.3</v>
      </c>
      <c r="R538" s="75">
        <v>15</v>
      </c>
      <c r="S538" s="6">
        <f t="shared" si="97"/>
        <v>0.15</v>
      </c>
    </row>
    <row r="539" spans="1:19" x14ac:dyDescent="0.3">
      <c r="A539" s="37" t="s">
        <v>102</v>
      </c>
      <c r="B539" s="6" t="s">
        <v>167</v>
      </c>
      <c r="C539" s="77">
        <v>400000</v>
      </c>
      <c r="D539" s="6">
        <f>(C539/12)*10</f>
        <v>333333.33333333337</v>
      </c>
      <c r="E539" s="66">
        <v>0</v>
      </c>
      <c r="F539" s="6">
        <f>SUM(E530:E539)</f>
        <v>90995.180000000008</v>
      </c>
      <c r="G539" s="36" t="str">
        <f t="shared" si="94"/>
        <v>Farol Vermelho</v>
      </c>
      <c r="H539">
        <f t="shared" si="92"/>
        <v>242338.15333333338</v>
      </c>
      <c r="I539" s="6">
        <f t="shared" si="93"/>
        <v>10</v>
      </c>
      <c r="J539" s="76">
        <v>55</v>
      </c>
      <c r="K539" s="66"/>
      <c r="L539" s="6">
        <f>$L530+L538</f>
        <v>45.833333333333336</v>
      </c>
      <c r="M539" s="6">
        <f t="shared" si="99"/>
        <v>19</v>
      </c>
      <c r="N539" s="77">
        <v>100</v>
      </c>
      <c r="O539">
        <f t="shared" si="95"/>
        <v>0.5</v>
      </c>
      <c r="P539" s="77">
        <v>50</v>
      </c>
      <c r="Q539">
        <f t="shared" si="96"/>
        <v>0.3</v>
      </c>
      <c r="R539" s="75">
        <v>15</v>
      </c>
      <c r="S539" s="6">
        <f t="shared" si="97"/>
        <v>0.15</v>
      </c>
    </row>
    <row r="540" spans="1:19" x14ac:dyDescent="0.3">
      <c r="A540" s="37" t="s">
        <v>102</v>
      </c>
      <c r="B540" s="6" t="s">
        <v>168</v>
      </c>
      <c r="C540" s="77">
        <v>400000</v>
      </c>
      <c r="D540" s="6">
        <f>(C540/12)*11</f>
        <v>366666.66666666669</v>
      </c>
      <c r="E540" s="66">
        <v>0</v>
      </c>
      <c r="F540" s="6">
        <f>SUM(E530:E540)</f>
        <v>90995.180000000008</v>
      </c>
      <c r="G540" s="36" t="str">
        <f t="shared" si="94"/>
        <v>Farol Vermelho</v>
      </c>
      <c r="H540">
        <f t="shared" si="92"/>
        <v>275671.48666666669</v>
      </c>
      <c r="I540" s="6">
        <f t="shared" si="93"/>
        <v>11</v>
      </c>
      <c r="J540" s="76">
        <v>55</v>
      </c>
      <c r="K540" s="66"/>
      <c r="L540" s="6">
        <f>L530+L539</f>
        <v>50.416666666666671</v>
      </c>
      <c r="M540" s="6">
        <f t="shared" si="99"/>
        <v>19</v>
      </c>
      <c r="N540" s="77">
        <v>100</v>
      </c>
      <c r="O540">
        <f t="shared" si="95"/>
        <v>0.5</v>
      </c>
      <c r="P540" s="77">
        <v>50</v>
      </c>
      <c r="Q540">
        <f t="shared" si="96"/>
        <v>0.3</v>
      </c>
      <c r="R540" s="75">
        <v>15</v>
      </c>
      <c r="S540" s="6">
        <f t="shared" si="97"/>
        <v>0.15</v>
      </c>
    </row>
    <row r="541" spans="1:19" x14ac:dyDescent="0.3">
      <c r="A541" s="37" t="s">
        <v>102</v>
      </c>
      <c r="B541" s="6" t="s">
        <v>169</v>
      </c>
      <c r="C541" s="77">
        <v>400000</v>
      </c>
      <c r="D541" s="6">
        <f>(C541/12)*12</f>
        <v>400000</v>
      </c>
      <c r="E541" s="66">
        <v>0</v>
      </c>
      <c r="F541" s="6">
        <f>SUM(E530:E541)</f>
        <v>90995.180000000008</v>
      </c>
      <c r="G541" s="36" t="str">
        <f t="shared" si="94"/>
        <v>Farol Vermelho</v>
      </c>
      <c r="H541">
        <f t="shared" si="92"/>
        <v>309004.82</v>
      </c>
      <c r="I541" s="6">
        <f t="shared" si="93"/>
        <v>12</v>
      </c>
      <c r="J541" s="76">
        <v>55</v>
      </c>
      <c r="K541" s="66"/>
      <c r="L541" s="6">
        <f>$L530+L540</f>
        <v>55.000000000000007</v>
      </c>
      <c r="M541" s="6">
        <f t="shared" si="99"/>
        <v>19</v>
      </c>
      <c r="N541" s="77">
        <v>100</v>
      </c>
      <c r="O541">
        <f t="shared" si="95"/>
        <v>0.5</v>
      </c>
      <c r="P541" s="77">
        <v>50</v>
      </c>
      <c r="Q541">
        <f t="shared" si="96"/>
        <v>0.3</v>
      </c>
      <c r="R541" s="75">
        <v>15</v>
      </c>
      <c r="S541" s="6">
        <f t="shared" si="97"/>
        <v>0.15</v>
      </c>
    </row>
    <row r="542" spans="1:19" x14ac:dyDescent="0.3">
      <c r="A542" s="37" t="s">
        <v>113</v>
      </c>
      <c r="B542" s="6" t="s">
        <v>158</v>
      </c>
      <c r="C542" s="77">
        <v>11000</v>
      </c>
      <c r="D542" s="6">
        <f>(C542/12)*1</f>
        <v>916.66666666666663</v>
      </c>
      <c r="E542" s="66">
        <v>0</v>
      </c>
      <c r="F542" s="6">
        <f>E542</f>
        <v>0</v>
      </c>
      <c r="G542" s="36" t="str">
        <f t="shared" si="94"/>
        <v>Farol Vermelho</v>
      </c>
      <c r="H542">
        <f t="shared" si="92"/>
        <v>916.66666666666663</v>
      </c>
      <c r="I542" s="6">
        <f t="shared" si="93"/>
        <v>1</v>
      </c>
      <c r="J542" s="76">
        <v>12</v>
      </c>
      <c r="K542" s="66">
        <v>0</v>
      </c>
      <c r="L542" s="6">
        <f>J542/12</f>
        <v>1</v>
      </c>
      <c r="M542" s="6">
        <f>K542</f>
        <v>0</v>
      </c>
      <c r="N542" s="77">
        <v>100</v>
      </c>
      <c r="O542">
        <f t="shared" si="95"/>
        <v>0.5</v>
      </c>
      <c r="P542" s="77">
        <v>50</v>
      </c>
      <c r="Q542">
        <f t="shared" si="96"/>
        <v>0.3</v>
      </c>
      <c r="R542" s="75">
        <v>15</v>
      </c>
      <c r="S542" s="6">
        <f t="shared" si="97"/>
        <v>0.15</v>
      </c>
    </row>
    <row r="543" spans="1:19" x14ac:dyDescent="0.3">
      <c r="A543" s="37" t="s">
        <v>113</v>
      </c>
      <c r="B543" s="6" t="s">
        <v>159</v>
      </c>
      <c r="C543" s="77">
        <v>11000</v>
      </c>
      <c r="D543" s="6">
        <f>(C543/12)*2</f>
        <v>1833.3333333333333</v>
      </c>
      <c r="E543" s="66">
        <v>0</v>
      </c>
      <c r="F543" s="6">
        <f>SUM(E542:E543)</f>
        <v>0</v>
      </c>
      <c r="G543" s="36" t="str">
        <f t="shared" si="94"/>
        <v>Farol Vermelho</v>
      </c>
      <c r="H543">
        <f t="shared" si="92"/>
        <v>1833.3333333333333</v>
      </c>
      <c r="I543" s="6">
        <f t="shared" si="93"/>
        <v>2</v>
      </c>
      <c r="J543" s="75">
        <v>12</v>
      </c>
      <c r="K543" s="66">
        <v>0</v>
      </c>
      <c r="L543" s="6">
        <f>L542+L542</f>
        <v>2</v>
      </c>
      <c r="M543" s="6">
        <f>M542+K543</f>
        <v>0</v>
      </c>
      <c r="N543" s="77">
        <v>100</v>
      </c>
      <c r="O543">
        <f t="shared" si="95"/>
        <v>0.5</v>
      </c>
      <c r="P543" s="77">
        <v>50</v>
      </c>
      <c r="Q543">
        <f t="shared" si="96"/>
        <v>0.3</v>
      </c>
      <c r="R543" s="75">
        <v>15</v>
      </c>
      <c r="S543" s="6">
        <f t="shared" si="97"/>
        <v>0.15</v>
      </c>
    </row>
    <row r="544" spans="1:19" x14ac:dyDescent="0.3">
      <c r="A544" s="37" t="s">
        <v>113</v>
      </c>
      <c r="B544" s="6" t="s">
        <v>160</v>
      </c>
      <c r="C544" s="77">
        <v>11000</v>
      </c>
      <c r="D544" s="6">
        <f>(C544/12)*3</f>
        <v>2750</v>
      </c>
      <c r="E544" s="66">
        <v>0</v>
      </c>
      <c r="F544" s="6">
        <f>SUM(E542:E544)</f>
        <v>0</v>
      </c>
      <c r="G544" s="36" t="str">
        <f t="shared" si="94"/>
        <v>Farol Vermelho</v>
      </c>
      <c r="H544">
        <f t="shared" si="92"/>
        <v>2750</v>
      </c>
      <c r="I544" s="6">
        <f t="shared" si="93"/>
        <v>3</v>
      </c>
      <c r="J544" s="76">
        <v>12</v>
      </c>
      <c r="K544" s="66">
        <v>0</v>
      </c>
      <c r="L544" s="6">
        <f>$L542+L543</f>
        <v>3</v>
      </c>
      <c r="M544" s="6">
        <f t="shared" ref="M544:M553" si="100">M543+K544</f>
        <v>0</v>
      </c>
      <c r="N544" s="77">
        <v>100</v>
      </c>
      <c r="O544">
        <f t="shared" si="95"/>
        <v>0.5</v>
      </c>
      <c r="P544" s="77">
        <v>50</v>
      </c>
      <c r="Q544">
        <f t="shared" si="96"/>
        <v>0.3</v>
      </c>
      <c r="R544" s="75">
        <v>15</v>
      </c>
      <c r="S544" s="6">
        <f t="shared" si="97"/>
        <v>0.15</v>
      </c>
    </row>
    <row r="545" spans="1:19" x14ac:dyDescent="0.3">
      <c r="A545" s="37" t="s">
        <v>113</v>
      </c>
      <c r="B545" s="6" t="s">
        <v>161</v>
      </c>
      <c r="C545" s="77">
        <v>11000</v>
      </c>
      <c r="D545" s="6">
        <f>(C545/12)*4</f>
        <v>3666.6666666666665</v>
      </c>
      <c r="E545" s="66">
        <v>0</v>
      </c>
      <c r="F545" s="6">
        <f>SUM(E542:E545)</f>
        <v>0</v>
      </c>
      <c r="G545" s="36" t="str">
        <f t="shared" si="94"/>
        <v>Farol Vermelho</v>
      </c>
      <c r="H545">
        <f t="shared" si="92"/>
        <v>3666.6666666666665</v>
      </c>
      <c r="I545" s="6">
        <f t="shared" si="93"/>
        <v>4</v>
      </c>
      <c r="J545" s="75">
        <v>12</v>
      </c>
      <c r="K545" s="66">
        <v>0</v>
      </c>
      <c r="L545" s="6">
        <f>$L542+L544</f>
        <v>4</v>
      </c>
      <c r="M545" s="6">
        <f t="shared" si="100"/>
        <v>0</v>
      </c>
      <c r="N545" s="77">
        <v>100</v>
      </c>
      <c r="O545">
        <f t="shared" si="95"/>
        <v>0.5</v>
      </c>
      <c r="P545" s="77">
        <v>50</v>
      </c>
      <c r="Q545">
        <f t="shared" si="96"/>
        <v>0.3</v>
      </c>
      <c r="R545" s="75">
        <v>15</v>
      </c>
      <c r="S545" s="6">
        <f t="shared" si="97"/>
        <v>0.15</v>
      </c>
    </row>
    <row r="546" spans="1:19" x14ac:dyDescent="0.3">
      <c r="A546" s="37" t="s">
        <v>113</v>
      </c>
      <c r="B546" s="6" t="s">
        <v>162</v>
      </c>
      <c r="C546" s="77">
        <v>11000</v>
      </c>
      <c r="D546" s="6">
        <f>(C546/12)*5</f>
        <v>4583.333333333333</v>
      </c>
      <c r="E546" s="66">
        <v>0</v>
      </c>
      <c r="F546" s="6">
        <f>SUM(E542:E546)</f>
        <v>0</v>
      </c>
      <c r="G546" s="36" t="str">
        <f t="shared" si="94"/>
        <v>Farol Vermelho</v>
      </c>
      <c r="H546">
        <f t="shared" si="92"/>
        <v>4583.333333333333</v>
      </c>
      <c r="I546" s="6">
        <f t="shared" si="93"/>
        <v>5</v>
      </c>
      <c r="J546" s="76">
        <v>12</v>
      </c>
      <c r="K546" s="66"/>
      <c r="L546" s="6">
        <f>L542+L545</f>
        <v>5</v>
      </c>
      <c r="M546" s="6">
        <f t="shared" si="100"/>
        <v>0</v>
      </c>
      <c r="N546" s="77">
        <v>100</v>
      </c>
      <c r="O546">
        <f t="shared" si="95"/>
        <v>0.5</v>
      </c>
      <c r="P546" s="77">
        <v>50</v>
      </c>
      <c r="Q546">
        <f t="shared" si="96"/>
        <v>0.3</v>
      </c>
      <c r="R546" s="75">
        <v>15</v>
      </c>
      <c r="S546" s="6">
        <f t="shared" si="97"/>
        <v>0.15</v>
      </c>
    </row>
    <row r="547" spans="1:19" x14ac:dyDescent="0.3">
      <c r="A547" s="37" t="s">
        <v>113</v>
      </c>
      <c r="B547" s="6" t="s">
        <v>163</v>
      </c>
      <c r="C547" s="77">
        <v>11000</v>
      </c>
      <c r="D547" s="6">
        <f>(C547/12)*6</f>
        <v>5500</v>
      </c>
      <c r="E547" s="66">
        <v>0</v>
      </c>
      <c r="F547" s="6">
        <f>SUM(E542:E547)</f>
        <v>0</v>
      </c>
      <c r="G547" s="36" t="str">
        <f t="shared" si="94"/>
        <v>Farol Vermelho</v>
      </c>
      <c r="H547">
        <f t="shared" si="92"/>
        <v>5500</v>
      </c>
      <c r="I547" s="6">
        <f t="shared" si="93"/>
        <v>6</v>
      </c>
      <c r="J547" s="75">
        <v>12</v>
      </c>
      <c r="K547" s="66"/>
      <c r="L547" s="6">
        <f>$L542+L546</f>
        <v>6</v>
      </c>
      <c r="M547" s="6">
        <f t="shared" si="100"/>
        <v>0</v>
      </c>
      <c r="N547" s="77">
        <v>100</v>
      </c>
      <c r="O547">
        <f t="shared" si="95"/>
        <v>0.5</v>
      </c>
      <c r="P547" s="77">
        <v>50</v>
      </c>
      <c r="Q547">
        <f t="shared" si="96"/>
        <v>0.3</v>
      </c>
      <c r="R547" s="75">
        <v>15</v>
      </c>
      <c r="S547" s="6">
        <f t="shared" si="97"/>
        <v>0.15</v>
      </c>
    </row>
    <row r="548" spans="1:19" x14ac:dyDescent="0.3">
      <c r="A548" s="37" t="s">
        <v>113</v>
      </c>
      <c r="B548" s="6" t="s">
        <v>164</v>
      </c>
      <c r="C548" s="77">
        <v>11000</v>
      </c>
      <c r="D548" s="6">
        <f>(C548/12)*7</f>
        <v>6416.6666666666661</v>
      </c>
      <c r="E548" s="66">
        <v>0</v>
      </c>
      <c r="F548" s="6">
        <f>SUM(E542:E548)</f>
        <v>0</v>
      </c>
      <c r="G548" s="36" t="str">
        <f t="shared" si="94"/>
        <v>Farol Vermelho</v>
      </c>
      <c r="H548">
        <f t="shared" si="92"/>
        <v>6416.6666666666661</v>
      </c>
      <c r="I548" s="6">
        <f t="shared" si="93"/>
        <v>7</v>
      </c>
      <c r="J548" s="76">
        <v>12</v>
      </c>
      <c r="K548" s="66"/>
      <c r="L548" s="6">
        <f>$L542+L547</f>
        <v>7</v>
      </c>
      <c r="M548" s="6">
        <f t="shared" si="100"/>
        <v>0</v>
      </c>
      <c r="N548" s="77">
        <v>100</v>
      </c>
      <c r="O548">
        <f t="shared" si="95"/>
        <v>0.5</v>
      </c>
      <c r="P548" s="77">
        <v>50</v>
      </c>
      <c r="Q548">
        <f t="shared" si="96"/>
        <v>0.3</v>
      </c>
      <c r="R548" s="75">
        <v>15</v>
      </c>
      <c r="S548" s="6">
        <f t="shared" si="97"/>
        <v>0.15</v>
      </c>
    </row>
    <row r="549" spans="1:19" x14ac:dyDescent="0.3">
      <c r="A549" s="37" t="s">
        <v>113</v>
      </c>
      <c r="B549" s="6" t="s">
        <v>165</v>
      </c>
      <c r="C549" s="77">
        <v>11000</v>
      </c>
      <c r="D549" s="6">
        <f>(C549/12)*8</f>
        <v>7333.333333333333</v>
      </c>
      <c r="E549" s="66">
        <v>0</v>
      </c>
      <c r="F549" s="6">
        <f>SUM(E542:E549)</f>
        <v>0</v>
      </c>
      <c r="G549" s="36" t="str">
        <f t="shared" si="94"/>
        <v>Farol Vermelho</v>
      </c>
      <c r="H549">
        <f t="shared" si="92"/>
        <v>7333.333333333333</v>
      </c>
      <c r="I549" s="6">
        <f t="shared" si="93"/>
        <v>8</v>
      </c>
      <c r="J549" s="75">
        <v>12</v>
      </c>
      <c r="K549" s="66"/>
      <c r="L549" s="6">
        <f>L542+L548</f>
        <v>8</v>
      </c>
      <c r="M549" s="6">
        <f t="shared" si="100"/>
        <v>0</v>
      </c>
      <c r="N549" s="77">
        <v>100</v>
      </c>
      <c r="O549">
        <f t="shared" si="95"/>
        <v>0.5</v>
      </c>
      <c r="P549" s="77">
        <v>50</v>
      </c>
      <c r="Q549">
        <f t="shared" si="96"/>
        <v>0.3</v>
      </c>
      <c r="R549" s="75">
        <v>15</v>
      </c>
      <c r="S549" s="6">
        <f t="shared" si="97"/>
        <v>0.15</v>
      </c>
    </row>
    <row r="550" spans="1:19" x14ac:dyDescent="0.3">
      <c r="A550" s="37" t="s">
        <v>113</v>
      </c>
      <c r="B550" s="6" t="s">
        <v>166</v>
      </c>
      <c r="C550" s="77">
        <v>11000</v>
      </c>
      <c r="D550" s="6">
        <f>(C550/12)*9</f>
        <v>8250</v>
      </c>
      <c r="E550" s="66">
        <v>0</v>
      </c>
      <c r="F550" s="6">
        <f>SUM(E542:E550)</f>
        <v>0</v>
      </c>
      <c r="G550" s="36" t="str">
        <f t="shared" si="94"/>
        <v>Farol Vermelho</v>
      </c>
      <c r="H550">
        <f t="shared" si="92"/>
        <v>8250</v>
      </c>
      <c r="I550" s="6">
        <f t="shared" si="93"/>
        <v>9</v>
      </c>
      <c r="J550" s="76">
        <v>12</v>
      </c>
      <c r="K550" s="66"/>
      <c r="L550" s="6">
        <f>$L542+L549</f>
        <v>9</v>
      </c>
      <c r="M550" s="6">
        <f t="shared" si="100"/>
        <v>0</v>
      </c>
      <c r="N550" s="77">
        <v>100</v>
      </c>
      <c r="O550">
        <f t="shared" si="95"/>
        <v>0.5</v>
      </c>
      <c r="P550" s="77">
        <v>50</v>
      </c>
      <c r="Q550">
        <f t="shared" si="96"/>
        <v>0.3</v>
      </c>
      <c r="R550" s="75">
        <v>15</v>
      </c>
      <c r="S550" s="6">
        <f t="shared" si="97"/>
        <v>0.15</v>
      </c>
    </row>
    <row r="551" spans="1:19" x14ac:dyDescent="0.3">
      <c r="A551" s="37" t="s">
        <v>113</v>
      </c>
      <c r="B551" s="6" t="s">
        <v>167</v>
      </c>
      <c r="C551" s="77">
        <v>11000</v>
      </c>
      <c r="D551" s="6">
        <f>(C551/12)*10</f>
        <v>9166.6666666666661</v>
      </c>
      <c r="E551" s="66">
        <v>0</v>
      </c>
      <c r="F551" s="6">
        <f>SUM(E542:E551)</f>
        <v>0</v>
      </c>
      <c r="G551" s="36" t="str">
        <f t="shared" si="94"/>
        <v>Farol Vermelho</v>
      </c>
      <c r="H551">
        <f t="shared" si="92"/>
        <v>9166.6666666666661</v>
      </c>
      <c r="I551" s="6">
        <f t="shared" si="93"/>
        <v>10</v>
      </c>
      <c r="J551" s="75">
        <v>12</v>
      </c>
      <c r="K551" s="66"/>
      <c r="L551" s="6">
        <f>$L542+L550</f>
        <v>10</v>
      </c>
      <c r="M551" s="6">
        <f t="shared" si="100"/>
        <v>0</v>
      </c>
      <c r="N551" s="77">
        <v>100</v>
      </c>
      <c r="O551">
        <f t="shared" si="95"/>
        <v>0.5</v>
      </c>
      <c r="P551" s="77">
        <v>50</v>
      </c>
      <c r="Q551">
        <f t="shared" si="96"/>
        <v>0.3</v>
      </c>
      <c r="R551" s="75">
        <v>15</v>
      </c>
      <c r="S551" s="6">
        <f t="shared" si="97"/>
        <v>0.15</v>
      </c>
    </row>
    <row r="552" spans="1:19" x14ac:dyDescent="0.3">
      <c r="A552" s="37" t="s">
        <v>113</v>
      </c>
      <c r="B552" s="6" t="s">
        <v>168</v>
      </c>
      <c r="C552" s="77">
        <v>11000</v>
      </c>
      <c r="D552" s="6">
        <f>(C552/12)*11</f>
        <v>10083.333333333332</v>
      </c>
      <c r="E552" s="66">
        <v>0</v>
      </c>
      <c r="F552" s="6">
        <f>SUM(E542:E552)</f>
        <v>0</v>
      </c>
      <c r="G552" s="36" t="str">
        <f t="shared" si="94"/>
        <v>Farol Vermelho</v>
      </c>
      <c r="H552">
        <f t="shared" si="92"/>
        <v>10083.333333333332</v>
      </c>
      <c r="I552" s="6">
        <f t="shared" si="93"/>
        <v>11</v>
      </c>
      <c r="J552" s="76">
        <v>12</v>
      </c>
      <c r="K552" s="66"/>
      <c r="L552" s="6">
        <f>L542+L551</f>
        <v>11</v>
      </c>
      <c r="M552" s="6">
        <f t="shared" si="100"/>
        <v>0</v>
      </c>
      <c r="N552" s="77">
        <v>100</v>
      </c>
      <c r="O552">
        <f t="shared" si="95"/>
        <v>0.5</v>
      </c>
      <c r="P552" s="77">
        <v>50</v>
      </c>
      <c r="Q552">
        <f t="shared" si="96"/>
        <v>0.3</v>
      </c>
      <c r="R552" s="75">
        <v>15</v>
      </c>
      <c r="S552" s="6">
        <f t="shared" si="97"/>
        <v>0.15</v>
      </c>
    </row>
    <row r="553" spans="1:19" x14ac:dyDescent="0.3">
      <c r="A553" s="37" t="s">
        <v>113</v>
      </c>
      <c r="B553" s="6" t="s">
        <v>169</v>
      </c>
      <c r="C553" s="77">
        <v>11000</v>
      </c>
      <c r="D553" s="6">
        <f>(C553/12)*12</f>
        <v>11000</v>
      </c>
      <c r="E553" s="66">
        <v>0</v>
      </c>
      <c r="F553" s="6">
        <f>SUM(E542:E553)</f>
        <v>0</v>
      </c>
      <c r="G553" s="36" t="str">
        <f t="shared" si="94"/>
        <v>Farol Vermelho</v>
      </c>
      <c r="H553">
        <f t="shared" si="92"/>
        <v>11000</v>
      </c>
      <c r="I553" s="6">
        <f t="shared" si="93"/>
        <v>12</v>
      </c>
      <c r="J553" s="75">
        <v>12</v>
      </c>
      <c r="K553" s="66"/>
      <c r="L553" s="6">
        <f>$L542+L552</f>
        <v>12</v>
      </c>
      <c r="M553" s="6">
        <f t="shared" si="100"/>
        <v>0</v>
      </c>
      <c r="N553" s="77">
        <v>100</v>
      </c>
      <c r="O553">
        <f t="shared" si="95"/>
        <v>0.5</v>
      </c>
      <c r="P553" s="77">
        <v>50</v>
      </c>
      <c r="Q553">
        <f t="shared" si="96"/>
        <v>0.3</v>
      </c>
      <c r="R553" s="75">
        <v>15</v>
      </c>
      <c r="S553" s="6">
        <f t="shared" si="97"/>
        <v>0.15</v>
      </c>
    </row>
    <row r="554" spans="1:19" x14ac:dyDescent="0.3">
      <c r="A554" s="37" t="s">
        <v>100</v>
      </c>
      <c r="B554" s="6" t="s">
        <v>158</v>
      </c>
      <c r="C554" s="77">
        <v>53000</v>
      </c>
      <c r="D554" s="6">
        <f>(C554/12)*1</f>
        <v>4416.666666666667</v>
      </c>
      <c r="E554" s="66">
        <v>0</v>
      </c>
      <c r="F554" s="6">
        <f>E554</f>
        <v>0</v>
      </c>
      <c r="G554" s="36" t="str">
        <f t="shared" si="94"/>
        <v>Farol Vermelho</v>
      </c>
      <c r="H554">
        <f t="shared" si="92"/>
        <v>4416.666666666667</v>
      </c>
      <c r="I554" s="6">
        <f t="shared" si="93"/>
        <v>1</v>
      </c>
      <c r="J554" s="76">
        <v>15</v>
      </c>
      <c r="K554" s="66">
        <v>0</v>
      </c>
      <c r="L554" s="6">
        <f>J554/12</f>
        <v>1.25</v>
      </c>
      <c r="M554" s="6">
        <f>K554</f>
        <v>0</v>
      </c>
      <c r="N554" s="77">
        <v>100</v>
      </c>
      <c r="O554">
        <f t="shared" si="95"/>
        <v>0.5</v>
      </c>
      <c r="P554" s="77">
        <v>50</v>
      </c>
      <c r="Q554">
        <f t="shared" si="96"/>
        <v>0.3</v>
      </c>
      <c r="R554" s="75">
        <v>15</v>
      </c>
      <c r="S554" s="6">
        <f t="shared" si="97"/>
        <v>0.15</v>
      </c>
    </row>
    <row r="555" spans="1:19" x14ac:dyDescent="0.3">
      <c r="A555" s="37" t="s">
        <v>100</v>
      </c>
      <c r="B555" s="6" t="s">
        <v>159</v>
      </c>
      <c r="C555" s="77">
        <v>53000</v>
      </c>
      <c r="D555" s="6">
        <f>(C555/12)*2</f>
        <v>8833.3333333333339</v>
      </c>
      <c r="E555" s="66">
        <v>0</v>
      </c>
      <c r="F555" s="6">
        <f>SUM(E554:E555)</f>
        <v>0</v>
      </c>
      <c r="G555" s="36" t="str">
        <f t="shared" si="94"/>
        <v>Farol Vermelho</v>
      </c>
      <c r="H555">
        <f t="shared" si="92"/>
        <v>8833.3333333333339</v>
      </c>
      <c r="I555" s="6">
        <f t="shared" si="93"/>
        <v>2</v>
      </c>
      <c r="J555" s="76">
        <v>15</v>
      </c>
      <c r="K555" s="66">
        <v>0</v>
      </c>
      <c r="L555" s="6">
        <f>L554+L554</f>
        <v>2.5</v>
      </c>
      <c r="M555" s="6">
        <f>M554+K555</f>
        <v>0</v>
      </c>
      <c r="N555" s="77">
        <v>100</v>
      </c>
      <c r="O555">
        <f t="shared" si="95"/>
        <v>0.5</v>
      </c>
      <c r="P555" s="77">
        <v>50</v>
      </c>
      <c r="Q555">
        <f t="shared" si="96"/>
        <v>0.3</v>
      </c>
      <c r="R555" s="75">
        <v>15</v>
      </c>
      <c r="S555" s="6">
        <f t="shared" si="97"/>
        <v>0.15</v>
      </c>
    </row>
    <row r="556" spans="1:19" x14ac:dyDescent="0.3">
      <c r="A556" s="37" t="s">
        <v>100</v>
      </c>
      <c r="B556" s="6" t="s">
        <v>160</v>
      </c>
      <c r="C556" s="77">
        <v>53000</v>
      </c>
      <c r="D556" s="6">
        <f>(C556/12)*3</f>
        <v>13250</v>
      </c>
      <c r="E556" s="66">
        <v>0</v>
      </c>
      <c r="F556" s="6">
        <f>SUM(E554:E556)</f>
        <v>0</v>
      </c>
      <c r="G556" s="36" t="str">
        <f t="shared" si="94"/>
        <v>Farol Vermelho</v>
      </c>
      <c r="H556">
        <f t="shared" si="92"/>
        <v>13250</v>
      </c>
      <c r="I556" s="6">
        <f t="shared" si="93"/>
        <v>3</v>
      </c>
      <c r="J556" s="76">
        <v>15</v>
      </c>
      <c r="K556" s="66">
        <v>0</v>
      </c>
      <c r="L556" s="6">
        <f>$L554+L555</f>
        <v>3.75</v>
      </c>
      <c r="M556" s="6">
        <f t="shared" ref="M556:M565" si="101">M555+K556</f>
        <v>0</v>
      </c>
      <c r="N556" s="77">
        <v>100</v>
      </c>
      <c r="O556">
        <f t="shared" si="95"/>
        <v>0.5</v>
      </c>
      <c r="P556" s="77">
        <v>50</v>
      </c>
      <c r="Q556">
        <f t="shared" si="96"/>
        <v>0.3</v>
      </c>
      <c r="R556" s="75">
        <v>15</v>
      </c>
      <c r="S556" s="6">
        <f t="shared" si="97"/>
        <v>0.15</v>
      </c>
    </row>
    <row r="557" spans="1:19" x14ac:dyDescent="0.3">
      <c r="A557" s="37" t="s">
        <v>100</v>
      </c>
      <c r="B557" s="6" t="s">
        <v>161</v>
      </c>
      <c r="C557" s="77">
        <v>53000</v>
      </c>
      <c r="D557" s="6">
        <f>(C557/12)*4</f>
        <v>17666.666666666668</v>
      </c>
      <c r="E557" s="66">
        <v>0</v>
      </c>
      <c r="F557" s="6">
        <f>SUM(E554:E557)</f>
        <v>0</v>
      </c>
      <c r="G557" s="36" t="str">
        <f t="shared" si="94"/>
        <v>Farol Vermelho</v>
      </c>
      <c r="H557">
        <f t="shared" si="92"/>
        <v>17666.666666666668</v>
      </c>
      <c r="I557" s="6">
        <f t="shared" si="93"/>
        <v>4</v>
      </c>
      <c r="J557" s="76">
        <v>15</v>
      </c>
      <c r="K557" s="66">
        <v>0</v>
      </c>
      <c r="L557" s="6">
        <f>$L554+L556</f>
        <v>5</v>
      </c>
      <c r="M557" s="6">
        <f t="shared" si="101"/>
        <v>0</v>
      </c>
      <c r="N557" s="77">
        <v>100</v>
      </c>
      <c r="O557">
        <f t="shared" si="95"/>
        <v>0.5</v>
      </c>
      <c r="P557" s="77">
        <v>50</v>
      </c>
      <c r="Q557">
        <f t="shared" si="96"/>
        <v>0.3</v>
      </c>
      <c r="R557" s="75">
        <v>15</v>
      </c>
      <c r="S557" s="6">
        <f t="shared" si="97"/>
        <v>0.15</v>
      </c>
    </row>
    <row r="558" spans="1:19" x14ac:dyDescent="0.3">
      <c r="A558" s="37" t="s">
        <v>100</v>
      </c>
      <c r="B558" s="6" t="s">
        <v>162</v>
      </c>
      <c r="C558" s="77">
        <v>53000</v>
      </c>
      <c r="D558" s="6">
        <f>(C558/12)*5</f>
        <v>22083.333333333336</v>
      </c>
      <c r="E558" s="66">
        <v>0</v>
      </c>
      <c r="F558" s="6">
        <f>SUM(E554:E558)</f>
        <v>0</v>
      </c>
      <c r="G558" s="36" t="str">
        <f t="shared" si="94"/>
        <v>Farol Vermelho</v>
      </c>
      <c r="H558">
        <f t="shared" si="92"/>
        <v>22083.333333333336</v>
      </c>
      <c r="I558" s="6">
        <f t="shared" si="93"/>
        <v>5</v>
      </c>
      <c r="J558" s="76">
        <v>15</v>
      </c>
      <c r="K558" s="66"/>
      <c r="L558" s="6">
        <f>L554+L557</f>
        <v>6.25</v>
      </c>
      <c r="M558" s="6">
        <f t="shared" si="101"/>
        <v>0</v>
      </c>
      <c r="N558" s="77">
        <v>100</v>
      </c>
      <c r="O558">
        <f t="shared" si="95"/>
        <v>0.5</v>
      </c>
      <c r="P558" s="77">
        <v>50</v>
      </c>
      <c r="Q558">
        <f t="shared" si="96"/>
        <v>0.3</v>
      </c>
      <c r="R558" s="75">
        <v>15</v>
      </c>
      <c r="S558" s="6">
        <f t="shared" si="97"/>
        <v>0.15</v>
      </c>
    </row>
    <row r="559" spans="1:19" x14ac:dyDescent="0.3">
      <c r="A559" s="37" t="s">
        <v>100</v>
      </c>
      <c r="B559" s="6" t="s">
        <v>163</v>
      </c>
      <c r="C559" s="77">
        <v>53000</v>
      </c>
      <c r="D559" s="6">
        <f>(C559/12)*6</f>
        <v>26500</v>
      </c>
      <c r="E559" s="66">
        <v>0</v>
      </c>
      <c r="F559" s="6">
        <f>SUM(E554:E559)</f>
        <v>0</v>
      </c>
      <c r="G559" s="36" t="str">
        <f t="shared" si="94"/>
        <v>Farol Vermelho</v>
      </c>
      <c r="H559">
        <f t="shared" si="92"/>
        <v>26500</v>
      </c>
      <c r="I559" s="6">
        <f t="shared" si="93"/>
        <v>6</v>
      </c>
      <c r="J559" s="76">
        <v>15</v>
      </c>
      <c r="K559" s="66"/>
      <c r="L559" s="6">
        <f>$L554+L558</f>
        <v>7.5</v>
      </c>
      <c r="M559" s="6">
        <f t="shared" si="101"/>
        <v>0</v>
      </c>
      <c r="N559" s="77">
        <v>100</v>
      </c>
      <c r="O559">
        <f t="shared" si="95"/>
        <v>0.5</v>
      </c>
      <c r="P559" s="77">
        <v>50</v>
      </c>
      <c r="Q559">
        <f t="shared" si="96"/>
        <v>0.3</v>
      </c>
      <c r="R559" s="75">
        <v>15</v>
      </c>
      <c r="S559" s="6">
        <f t="shared" si="97"/>
        <v>0.15</v>
      </c>
    </row>
    <row r="560" spans="1:19" x14ac:dyDescent="0.3">
      <c r="A560" s="37" t="s">
        <v>100</v>
      </c>
      <c r="B560" s="6" t="s">
        <v>164</v>
      </c>
      <c r="C560" s="77">
        <v>53000</v>
      </c>
      <c r="D560" s="6">
        <f>(C560/12)*7</f>
        <v>30916.666666666668</v>
      </c>
      <c r="E560" s="66">
        <v>0</v>
      </c>
      <c r="F560" s="6">
        <f>SUM(E554:E560)</f>
        <v>0</v>
      </c>
      <c r="G560" s="36" t="str">
        <f t="shared" si="94"/>
        <v>Farol Vermelho</v>
      </c>
      <c r="H560">
        <f t="shared" si="92"/>
        <v>30916.666666666668</v>
      </c>
      <c r="I560" s="6">
        <f t="shared" si="93"/>
        <v>7</v>
      </c>
      <c r="J560" s="76">
        <v>15</v>
      </c>
      <c r="K560" s="66"/>
      <c r="L560" s="6">
        <f>$L554+L559</f>
        <v>8.75</v>
      </c>
      <c r="M560" s="6">
        <f t="shared" si="101"/>
        <v>0</v>
      </c>
      <c r="N560" s="77">
        <v>100</v>
      </c>
      <c r="O560">
        <f t="shared" si="95"/>
        <v>0.5</v>
      </c>
      <c r="P560" s="77">
        <v>50</v>
      </c>
      <c r="Q560">
        <f t="shared" si="96"/>
        <v>0.3</v>
      </c>
      <c r="R560" s="75">
        <v>15</v>
      </c>
      <c r="S560" s="6">
        <f t="shared" si="97"/>
        <v>0.15</v>
      </c>
    </row>
    <row r="561" spans="1:19" x14ac:dyDescent="0.3">
      <c r="A561" s="37" t="s">
        <v>100</v>
      </c>
      <c r="B561" s="6" t="s">
        <v>165</v>
      </c>
      <c r="C561" s="77">
        <v>53000</v>
      </c>
      <c r="D561" s="6">
        <f>(C561/12)*8</f>
        <v>35333.333333333336</v>
      </c>
      <c r="E561" s="66">
        <v>0</v>
      </c>
      <c r="F561" s="6">
        <f>SUM(E554:E561)</f>
        <v>0</v>
      </c>
      <c r="G561" s="36" t="str">
        <f t="shared" si="94"/>
        <v>Farol Vermelho</v>
      </c>
      <c r="H561">
        <f t="shared" si="92"/>
        <v>35333.333333333336</v>
      </c>
      <c r="I561" s="6">
        <f t="shared" si="93"/>
        <v>8</v>
      </c>
      <c r="J561" s="76">
        <v>15</v>
      </c>
      <c r="K561" s="66"/>
      <c r="L561" s="6">
        <f>L554+L560</f>
        <v>10</v>
      </c>
      <c r="M561" s="6">
        <f t="shared" si="101"/>
        <v>0</v>
      </c>
      <c r="N561" s="77">
        <v>100</v>
      </c>
      <c r="O561">
        <f t="shared" si="95"/>
        <v>0.5</v>
      </c>
      <c r="P561" s="77">
        <v>50</v>
      </c>
      <c r="Q561">
        <f t="shared" si="96"/>
        <v>0.3</v>
      </c>
      <c r="R561" s="75">
        <v>15</v>
      </c>
      <c r="S561" s="6">
        <f t="shared" si="97"/>
        <v>0.15</v>
      </c>
    </row>
    <row r="562" spans="1:19" x14ac:dyDescent="0.3">
      <c r="A562" s="37" t="s">
        <v>100</v>
      </c>
      <c r="B562" s="6" t="s">
        <v>166</v>
      </c>
      <c r="C562" s="77">
        <v>53000</v>
      </c>
      <c r="D562" s="6">
        <f>(C562/12)*9</f>
        <v>39750</v>
      </c>
      <c r="E562" s="66">
        <v>0</v>
      </c>
      <c r="F562" s="6">
        <f>SUM(E554:E562)</f>
        <v>0</v>
      </c>
      <c r="G562" s="36" t="str">
        <f t="shared" si="94"/>
        <v>Farol Vermelho</v>
      </c>
      <c r="H562">
        <f t="shared" si="92"/>
        <v>39750</v>
      </c>
      <c r="I562" s="6">
        <f t="shared" si="93"/>
        <v>9</v>
      </c>
      <c r="J562" s="76">
        <v>15</v>
      </c>
      <c r="K562" s="66"/>
      <c r="L562" s="6">
        <f>$L554+L561</f>
        <v>11.25</v>
      </c>
      <c r="M562" s="6">
        <f t="shared" si="101"/>
        <v>0</v>
      </c>
      <c r="N562" s="77">
        <v>100</v>
      </c>
      <c r="O562">
        <f t="shared" si="95"/>
        <v>0.5</v>
      </c>
      <c r="P562" s="77">
        <v>50</v>
      </c>
      <c r="Q562">
        <f t="shared" si="96"/>
        <v>0.3</v>
      </c>
      <c r="R562" s="75">
        <v>15</v>
      </c>
      <c r="S562" s="6">
        <f t="shared" si="97"/>
        <v>0.15</v>
      </c>
    </row>
    <row r="563" spans="1:19" x14ac:dyDescent="0.3">
      <c r="A563" s="37" t="s">
        <v>100</v>
      </c>
      <c r="B563" s="6" t="s">
        <v>167</v>
      </c>
      <c r="C563" s="77">
        <v>53000</v>
      </c>
      <c r="D563" s="6">
        <f>(C563/12)*10</f>
        <v>44166.666666666672</v>
      </c>
      <c r="E563" s="66">
        <v>0</v>
      </c>
      <c r="F563" s="6">
        <f>SUM(E554:E563)</f>
        <v>0</v>
      </c>
      <c r="G563" s="36" t="str">
        <f t="shared" si="94"/>
        <v>Farol Vermelho</v>
      </c>
      <c r="H563">
        <f t="shared" si="92"/>
        <v>44166.666666666672</v>
      </c>
      <c r="I563" s="6">
        <f t="shared" si="93"/>
        <v>10</v>
      </c>
      <c r="J563" s="76">
        <v>15</v>
      </c>
      <c r="K563" s="66"/>
      <c r="L563" s="6">
        <f>$L554+L562</f>
        <v>12.5</v>
      </c>
      <c r="M563" s="6">
        <f t="shared" si="101"/>
        <v>0</v>
      </c>
      <c r="N563" s="77">
        <v>100</v>
      </c>
      <c r="O563">
        <f t="shared" si="95"/>
        <v>0.5</v>
      </c>
      <c r="P563" s="77">
        <v>50</v>
      </c>
      <c r="Q563">
        <f t="shared" si="96"/>
        <v>0.3</v>
      </c>
      <c r="R563" s="75">
        <v>15</v>
      </c>
      <c r="S563" s="6">
        <f t="shared" si="97"/>
        <v>0.15</v>
      </c>
    </row>
    <row r="564" spans="1:19" x14ac:dyDescent="0.3">
      <c r="A564" s="37" t="s">
        <v>100</v>
      </c>
      <c r="B564" s="6" t="s">
        <v>168</v>
      </c>
      <c r="C564" s="77">
        <v>53000</v>
      </c>
      <c r="D564" s="6">
        <f>(C564/12)*11</f>
        <v>48583.333333333336</v>
      </c>
      <c r="E564" s="66">
        <v>0</v>
      </c>
      <c r="F564" s="6">
        <f>SUM(E554:E564)</f>
        <v>0</v>
      </c>
      <c r="G564" s="36" t="str">
        <f t="shared" si="94"/>
        <v>Farol Vermelho</v>
      </c>
      <c r="H564">
        <f t="shared" si="92"/>
        <v>48583.333333333336</v>
      </c>
      <c r="I564" s="6">
        <f t="shared" si="93"/>
        <v>11</v>
      </c>
      <c r="J564" s="76">
        <v>15</v>
      </c>
      <c r="K564" s="66"/>
      <c r="L564" s="6">
        <f>L554+L563</f>
        <v>13.75</v>
      </c>
      <c r="M564" s="6">
        <f t="shared" si="101"/>
        <v>0</v>
      </c>
      <c r="N564" s="77">
        <v>100</v>
      </c>
      <c r="O564">
        <f t="shared" si="95"/>
        <v>0.5</v>
      </c>
      <c r="P564" s="77">
        <v>50</v>
      </c>
      <c r="Q564">
        <f t="shared" si="96"/>
        <v>0.3</v>
      </c>
      <c r="R564" s="75">
        <v>15</v>
      </c>
      <c r="S564" s="6">
        <f t="shared" si="97"/>
        <v>0.15</v>
      </c>
    </row>
    <row r="565" spans="1:19" x14ac:dyDescent="0.3">
      <c r="A565" s="37" t="s">
        <v>100</v>
      </c>
      <c r="B565" s="6" t="s">
        <v>169</v>
      </c>
      <c r="C565" s="77">
        <v>53000</v>
      </c>
      <c r="D565" s="6">
        <f>(C565/12)*12</f>
        <v>53000</v>
      </c>
      <c r="E565" s="66">
        <v>0</v>
      </c>
      <c r="F565" s="6">
        <f>SUM(E554:E565)</f>
        <v>0</v>
      </c>
      <c r="G565" s="36" t="str">
        <f t="shared" si="94"/>
        <v>Farol Vermelho</v>
      </c>
      <c r="H565">
        <f t="shared" si="92"/>
        <v>53000</v>
      </c>
      <c r="I565" s="6">
        <f t="shared" si="93"/>
        <v>12</v>
      </c>
      <c r="J565" s="76">
        <v>15</v>
      </c>
      <c r="K565" s="66"/>
      <c r="L565" s="6">
        <f>$L554+L564</f>
        <v>15</v>
      </c>
      <c r="M565" s="6">
        <f t="shared" si="101"/>
        <v>0</v>
      </c>
      <c r="N565" s="77">
        <v>100</v>
      </c>
      <c r="O565">
        <f t="shared" si="95"/>
        <v>0.5</v>
      </c>
      <c r="P565" s="77">
        <v>50</v>
      </c>
      <c r="Q565">
        <f t="shared" si="96"/>
        <v>0.3</v>
      </c>
      <c r="R565" s="75">
        <v>15</v>
      </c>
      <c r="S565" s="6">
        <f t="shared" si="97"/>
        <v>0.15</v>
      </c>
    </row>
    <row r="566" spans="1:19" x14ac:dyDescent="0.3">
      <c r="A566" s="37" t="s">
        <v>67</v>
      </c>
      <c r="B566" s="6" t="s">
        <v>158</v>
      </c>
      <c r="C566" s="77">
        <v>7000</v>
      </c>
      <c r="D566" s="6">
        <f>(C566/12)*1</f>
        <v>583.33333333333337</v>
      </c>
      <c r="E566" s="66">
        <v>0</v>
      </c>
      <c r="F566" s="6">
        <f>E566</f>
        <v>0</v>
      </c>
      <c r="G566" s="36" t="str">
        <f t="shared" si="94"/>
        <v>Farol Vermelho</v>
      </c>
      <c r="H566">
        <f t="shared" si="92"/>
        <v>583.33333333333337</v>
      </c>
      <c r="I566" s="6">
        <f t="shared" si="93"/>
        <v>1</v>
      </c>
      <c r="J566" s="76">
        <v>10</v>
      </c>
      <c r="K566" s="66">
        <v>0</v>
      </c>
      <c r="L566" s="6">
        <f>J566/12</f>
        <v>0.83333333333333337</v>
      </c>
      <c r="M566" s="6">
        <f>K566</f>
        <v>0</v>
      </c>
      <c r="N566" s="77">
        <v>100</v>
      </c>
      <c r="O566">
        <f t="shared" si="95"/>
        <v>0.5</v>
      </c>
      <c r="P566" s="77">
        <v>50</v>
      </c>
      <c r="Q566">
        <f t="shared" si="96"/>
        <v>0.3</v>
      </c>
      <c r="R566" s="75">
        <v>15</v>
      </c>
      <c r="S566" s="6">
        <f t="shared" si="97"/>
        <v>0.15</v>
      </c>
    </row>
    <row r="567" spans="1:19" x14ac:dyDescent="0.3">
      <c r="A567" s="37" t="s">
        <v>67</v>
      </c>
      <c r="B567" s="6" t="s">
        <v>159</v>
      </c>
      <c r="C567" s="77">
        <v>7000</v>
      </c>
      <c r="D567" s="6">
        <f>(C567/12)*2</f>
        <v>1166.6666666666667</v>
      </c>
      <c r="E567" s="66">
        <v>3420</v>
      </c>
      <c r="F567" s="6">
        <f>SUM(E566:E567)</f>
        <v>3420</v>
      </c>
      <c r="G567" s="36" t="str">
        <f t="shared" si="94"/>
        <v>Farol Verde</v>
      </c>
      <c r="H567">
        <f t="shared" si="92"/>
        <v>0</v>
      </c>
      <c r="I567" s="6">
        <f t="shared" si="93"/>
        <v>2</v>
      </c>
      <c r="J567" s="76">
        <v>10</v>
      </c>
      <c r="K567" s="66">
        <v>1</v>
      </c>
      <c r="L567" s="6">
        <f>L566+L566</f>
        <v>1.6666666666666667</v>
      </c>
      <c r="M567" s="6">
        <f>M566+K567</f>
        <v>1</v>
      </c>
      <c r="N567" s="77">
        <v>100</v>
      </c>
      <c r="O567">
        <f t="shared" si="95"/>
        <v>0.5</v>
      </c>
      <c r="P567" s="77">
        <v>50</v>
      </c>
      <c r="Q567">
        <f t="shared" si="96"/>
        <v>0.3</v>
      </c>
      <c r="R567" s="75">
        <v>15</v>
      </c>
      <c r="S567" s="6">
        <f t="shared" si="97"/>
        <v>0.15</v>
      </c>
    </row>
    <row r="568" spans="1:19" x14ac:dyDescent="0.3">
      <c r="A568" s="37" t="s">
        <v>67</v>
      </c>
      <c r="B568" s="6" t="s">
        <v>160</v>
      </c>
      <c r="C568" s="77">
        <v>7000</v>
      </c>
      <c r="D568" s="6">
        <f>(C568/12)*3</f>
        <v>1750</v>
      </c>
      <c r="E568" s="66">
        <v>0</v>
      </c>
      <c r="F568" s="6">
        <f>SUM(E566:E568)</f>
        <v>3420</v>
      </c>
      <c r="G568" s="36" t="str">
        <f t="shared" si="94"/>
        <v>Farol Verde</v>
      </c>
      <c r="H568">
        <f t="shared" si="92"/>
        <v>0</v>
      </c>
      <c r="I568" s="6">
        <f t="shared" si="93"/>
        <v>3</v>
      </c>
      <c r="J568" s="76">
        <v>10</v>
      </c>
      <c r="K568" s="66">
        <v>0</v>
      </c>
      <c r="L568" s="6">
        <f>$L566+L567</f>
        <v>2.5</v>
      </c>
      <c r="M568" s="6">
        <f t="shared" ref="M568:M577" si="102">M567+K568</f>
        <v>1</v>
      </c>
      <c r="N568" s="77">
        <v>100</v>
      </c>
      <c r="O568">
        <f t="shared" si="95"/>
        <v>0.5</v>
      </c>
      <c r="P568" s="77">
        <v>50</v>
      </c>
      <c r="Q568">
        <f t="shared" si="96"/>
        <v>0.3</v>
      </c>
      <c r="R568" s="75">
        <v>15</v>
      </c>
      <c r="S568" s="6">
        <f t="shared" si="97"/>
        <v>0.15</v>
      </c>
    </row>
    <row r="569" spans="1:19" x14ac:dyDescent="0.3">
      <c r="A569" s="37" t="s">
        <v>67</v>
      </c>
      <c r="B569" s="6" t="s">
        <v>161</v>
      </c>
      <c r="C569" s="77">
        <v>7000</v>
      </c>
      <c r="D569" s="6">
        <f>(C569/12)*4</f>
        <v>2333.3333333333335</v>
      </c>
      <c r="E569" s="66">
        <v>0</v>
      </c>
      <c r="F569" s="6">
        <f>SUM(E566:E569)</f>
        <v>3420</v>
      </c>
      <c r="G569" s="36" t="str">
        <f t="shared" si="94"/>
        <v>Farol Verde</v>
      </c>
      <c r="H569">
        <f t="shared" si="92"/>
        <v>0</v>
      </c>
      <c r="I569" s="6">
        <f t="shared" si="93"/>
        <v>4</v>
      </c>
      <c r="J569" s="76">
        <v>10</v>
      </c>
      <c r="K569" s="66">
        <v>0</v>
      </c>
      <c r="L569" s="6">
        <f>$L566+L568</f>
        <v>3.3333333333333335</v>
      </c>
      <c r="M569" s="6">
        <f t="shared" si="102"/>
        <v>1</v>
      </c>
      <c r="N569" s="77">
        <v>100</v>
      </c>
      <c r="O569">
        <f t="shared" si="95"/>
        <v>0.5</v>
      </c>
      <c r="P569" s="77">
        <v>50</v>
      </c>
      <c r="Q569">
        <f t="shared" si="96"/>
        <v>0.3</v>
      </c>
      <c r="R569" s="75">
        <v>15</v>
      </c>
      <c r="S569" s="6">
        <f t="shared" si="97"/>
        <v>0.15</v>
      </c>
    </row>
    <row r="570" spans="1:19" x14ac:dyDescent="0.3">
      <c r="A570" s="37" t="s">
        <v>67</v>
      </c>
      <c r="B570" s="6" t="s">
        <v>162</v>
      </c>
      <c r="C570" s="77">
        <v>7000</v>
      </c>
      <c r="D570" s="6">
        <f>(C570/12)*5</f>
        <v>2916.666666666667</v>
      </c>
      <c r="E570" s="66">
        <v>0</v>
      </c>
      <c r="F570" s="6">
        <f>SUM(E566:E570)</f>
        <v>3420</v>
      </c>
      <c r="G570" s="36" t="str">
        <f t="shared" si="94"/>
        <v>Farol Verde</v>
      </c>
      <c r="H570">
        <f t="shared" si="92"/>
        <v>0</v>
      </c>
      <c r="I570" s="6">
        <f t="shared" si="93"/>
        <v>5</v>
      </c>
      <c r="J570" s="76">
        <v>10</v>
      </c>
      <c r="K570" s="66"/>
      <c r="L570" s="6">
        <f>L566+L569</f>
        <v>4.166666666666667</v>
      </c>
      <c r="M570" s="6">
        <f t="shared" si="102"/>
        <v>1</v>
      </c>
      <c r="N570" s="77">
        <v>100</v>
      </c>
      <c r="O570">
        <f t="shared" si="95"/>
        <v>0.5</v>
      </c>
      <c r="P570" s="77">
        <v>50</v>
      </c>
      <c r="Q570">
        <f t="shared" si="96"/>
        <v>0.3</v>
      </c>
      <c r="R570" s="75">
        <v>15</v>
      </c>
      <c r="S570" s="6">
        <f t="shared" si="97"/>
        <v>0.15</v>
      </c>
    </row>
    <row r="571" spans="1:19" x14ac:dyDescent="0.3">
      <c r="A571" s="37" t="s">
        <v>67</v>
      </c>
      <c r="B571" s="6" t="s">
        <v>163</v>
      </c>
      <c r="C571" s="77">
        <v>7000</v>
      </c>
      <c r="D571" s="6">
        <f>(C571/12)*6</f>
        <v>3500</v>
      </c>
      <c r="E571" s="66">
        <v>0</v>
      </c>
      <c r="F571" s="6">
        <f>SUM(E566:E571)</f>
        <v>3420</v>
      </c>
      <c r="G571" s="36" t="str">
        <f t="shared" si="94"/>
        <v>Farol Amarelo</v>
      </c>
      <c r="H571">
        <f t="shared" si="92"/>
        <v>80</v>
      </c>
      <c r="I571" s="6">
        <f t="shared" si="93"/>
        <v>6</v>
      </c>
      <c r="J571" s="76">
        <v>10</v>
      </c>
      <c r="K571" s="66"/>
      <c r="L571" s="6">
        <f>$L566+L570</f>
        <v>5</v>
      </c>
      <c r="M571" s="6">
        <f t="shared" si="102"/>
        <v>1</v>
      </c>
      <c r="N571" s="77">
        <v>100</v>
      </c>
      <c r="O571">
        <f t="shared" si="95"/>
        <v>0.5</v>
      </c>
      <c r="P571" s="77">
        <v>50</v>
      </c>
      <c r="Q571">
        <f t="shared" si="96"/>
        <v>0.3</v>
      </c>
      <c r="R571" s="75">
        <v>15</v>
      </c>
      <c r="S571" s="6">
        <f t="shared" si="97"/>
        <v>0.15</v>
      </c>
    </row>
    <row r="572" spans="1:19" x14ac:dyDescent="0.3">
      <c r="A572" s="37" t="s">
        <v>67</v>
      </c>
      <c r="B572" s="6" t="s">
        <v>164</v>
      </c>
      <c r="C572" s="77">
        <v>7000</v>
      </c>
      <c r="D572" s="6">
        <f>(C572/12)*7</f>
        <v>4083.3333333333335</v>
      </c>
      <c r="E572" s="66">
        <v>0</v>
      </c>
      <c r="F572" s="6">
        <f>SUM(E566:E572)</f>
        <v>3420</v>
      </c>
      <c r="G572" s="36" t="str">
        <f t="shared" si="94"/>
        <v>Farol Vermelho</v>
      </c>
      <c r="H572">
        <f t="shared" si="92"/>
        <v>663.33333333333348</v>
      </c>
      <c r="I572" s="6">
        <f t="shared" si="93"/>
        <v>7</v>
      </c>
      <c r="J572" s="76">
        <v>10</v>
      </c>
      <c r="K572" s="66"/>
      <c r="L572" s="6">
        <f>$L566+L571</f>
        <v>5.833333333333333</v>
      </c>
      <c r="M572" s="6">
        <f t="shared" si="102"/>
        <v>1</v>
      </c>
      <c r="N572" s="77">
        <v>100</v>
      </c>
      <c r="O572">
        <f t="shared" si="95"/>
        <v>0.5</v>
      </c>
      <c r="P572" s="77">
        <v>50</v>
      </c>
      <c r="Q572">
        <f t="shared" si="96"/>
        <v>0.3</v>
      </c>
      <c r="R572" s="75">
        <v>15</v>
      </c>
      <c r="S572" s="6">
        <f t="shared" si="97"/>
        <v>0.15</v>
      </c>
    </row>
    <row r="573" spans="1:19" x14ac:dyDescent="0.3">
      <c r="A573" s="37" t="s">
        <v>67</v>
      </c>
      <c r="B573" s="6" t="s">
        <v>165</v>
      </c>
      <c r="C573" s="77">
        <v>7000</v>
      </c>
      <c r="D573" s="6">
        <f>(C573/12)*8</f>
        <v>4666.666666666667</v>
      </c>
      <c r="E573" s="66">
        <v>0</v>
      </c>
      <c r="F573" s="6">
        <f>SUM(E566:E573)</f>
        <v>3420</v>
      </c>
      <c r="G573" s="36" t="str">
        <f t="shared" si="94"/>
        <v>Farol Vermelho</v>
      </c>
      <c r="H573">
        <f t="shared" si="92"/>
        <v>1246.666666666667</v>
      </c>
      <c r="I573" s="6">
        <f t="shared" si="93"/>
        <v>8</v>
      </c>
      <c r="J573" s="76">
        <v>10</v>
      </c>
      <c r="K573" s="66"/>
      <c r="L573" s="6">
        <f>L566+L572</f>
        <v>6.6666666666666661</v>
      </c>
      <c r="M573" s="6">
        <f t="shared" si="102"/>
        <v>1</v>
      </c>
      <c r="N573" s="77">
        <v>100</v>
      </c>
      <c r="O573">
        <f t="shared" si="95"/>
        <v>0.5</v>
      </c>
      <c r="P573" s="77">
        <v>50</v>
      </c>
      <c r="Q573">
        <f t="shared" si="96"/>
        <v>0.3</v>
      </c>
      <c r="R573" s="75">
        <v>15</v>
      </c>
      <c r="S573" s="6">
        <f t="shared" si="97"/>
        <v>0.15</v>
      </c>
    </row>
    <row r="574" spans="1:19" x14ac:dyDescent="0.3">
      <c r="A574" s="37" t="s">
        <v>67</v>
      </c>
      <c r="B574" s="6" t="s">
        <v>166</v>
      </c>
      <c r="C574" s="77">
        <v>7000</v>
      </c>
      <c r="D574" s="6">
        <f>(C574/12)*9</f>
        <v>5250</v>
      </c>
      <c r="E574" s="66">
        <v>0</v>
      </c>
      <c r="F574" s="6">
        <f>SUM(E566:E574)</f>
        <v>3420</v>
      </c>
      <c r="G574" s="36" t="str">
        <f t="shared" si="94"/>
        <v>Farol Vermelho</v>
      </c>
      <c r="H574">
        <f t="shared" si="92"/>
        <v>1830</v>
      </c>
      <c r="I574" s="6">
        <f t="shared" si="93"/>
        <v>9</v>
      </c>
      <c r="J574" s="76">
        <v>10</v>
      </c>
      <c r="K574" s="66"/>
      <c r="L574" s="6">
        <f>$L566+L573</f>
        <v>7.4999999999999991</v>
      </c>
      <c r="M574" s="6">
        <f t="shared" si="102"/>
        <v>1</v>
      </c>
      <c r="N574" s="77">
        <v>100</v>
      </c>
      <c r="O574">
        <f t="shared" si="95"/>
        <v>0.5</v>
      </c>
      <c r="P574" s="77">
        <v>50</v>
      </c>
      <c r="Q574">
        <f t="shared" si="96"/>
        <v>0.3</v>
      </c>
      <c r="R574" s="75">
        <v>15</v>
      </c>
      <c r="S574" s="6">
        <f t="shared" si="97"/>
        <v>0.15</v>
      </c>
    </row>
    <row r="575" spans="1:19" x14ac:dyDescent="0.3">
      <c r="A575" s="37" t="s">
        <v>67</v>
      </c>
      <c r="B575" s="6" t="s">
        <v>167</v>
      </c>
      <c r="C575" s="77">
        <v>7000</v>
      </c>
      <c r="D575" s="6">
        <f>(C575/12)*10</f>
        <v>5833.3333333333339</v>
      </c>
      <c r="E575" s="66">
        <v>0</v>
      </c>
      <c r="F575" s="6">
        <f>SUM(E566:E575)</f>
        <v>3420</v>
      </c>
      <c r="G575" s="36" t="str">
        <f t="shared" si="94"/>
        <v>Farol Vermelho</v>
      </c>
      <c r="H575">
        <f t="shared" si="92"/>
        <v>2413.3333333333339</v>
      </c>
      <c r="I575" s="6">
        <f t="shared" si="93"/>
        <v>10</v>
      </c>
      <c r="J575" s="76">
        <v>10</v>
      </c>
      <c r="K575" s="66"/>
      <c r="L575" s="6">
        <f>$L566+L574</f>
        <v>8.3333333333333321</v>
      </c>
      <c r="M575" s="6">
        <f t="shared" si="102"/>
        <v>1</v>
      </c>
      <c r="N575" s="77">
        <v>100</v>
      </c>
      <c r="O575">
        <f t="shared" si="95"/>
        <v>0.5</v>
      </c>
      <c r="P575" s="77">
        <v>50</v>
      </c>
      <c r="Q575">
        <f t="shared" si="96"/>
        <v>0.3</v>
      </c>
      <c r="R575" s="75">
        <v>15</v>
      </c>
      <c r="S575" s="6">
        <f t="shared" si="97"/>
        <v>0.15</v>
      </c>
    </row>
    <row r="576" spans="1:19" x14ac:dyDescent="0.3">
      <c r="A576" s="37" t="s">
        <v>67</v>
      </c>
      <c r="B576" s="6" t="s">
        <v>168</v>
      </c>
      <c r="C576" s="77">
        <v>7000</v>
      </c>
      <c r="D576" s="6">
        <f>(C576/12)*11</f>
        <v>6416.666666666667</v>
      </c>
      <c r="E576" s="66">
        <v>0</v>
      </c>
      <c r="F576" s="6">
        <f>SUM(E566:E576)</f>
        <v>3420</v>
      </c>
      <c r="G576" s="36" t="str">
        <f t="shared" si="94"/>
        <v>Farol Vermelho</v>
      </c>
      <c r="H576">
        <f t="shared" si="92"/>
        <v>2996.666666666667</v>
      </c>
      <c r="I576" s="6">
        <f t="shared" si="93"/>
        <v>11</v>
      </c>
      <c r="J576" s="76">
        <v>10</v>
      </c>
      <c r="K576" s="66"/>
      <c r="L576" s="6">
        <f>L566+L575</f>
        <v>9.1666666666666661</v>
      </c>
      <c r="M576" s="6">
        <f t="shared" si="102"/>
        <v>1</v>
      </c>
      <c r="N576" s="77">
        <v>100</v>
      </c>
      <c r="O576">
        <f t="shared" si="95"/>
        <v>0.5</v>
      </c>
      <c r="P576" s="77">
        <v>50</v>
      </c>
      <c r="Q576">
        <f t="shared" si="96"/>
        <v>0.3</v>
      </c>
      <c r="R576" s="75">
        <v>15</v>
      </c>
      <c r="S576" s="6">
        <f t="shared" si="97"/>
        <v>0.15</v>
      </c>
    </row>
    <row r="577" spans="1:19" x14ac:dyDescent="0.3">
      <c r="A577" s="37" t="s">
        <v>67</v>
      </c>
      <c r="B577" s="6" t="s">
        <v>169</v>
      </c>
      <c r="C577" s="77">
        <v>7000</v>
      </c>
      <c r="D577" s="6">
        <f>(C577/12)*12</f>
        <v>7000</v>
      </c>
      <c r="E577" s="66">
        <v>0</v>
      </c>
      <c r="F577" s="6">
        <f>SUM(E566:E577)</f>
        <v>3420</v>
      </c>
      <c r="G577" s="36" t="str">
        <f t="shared" si="94"/>
        <v>Farol Vermelho</v>
      </c>
      <c r="H577">
        <f t="shared" si="92"/>
        <v>3580</v>
      </c>
      <c r="I577" s="6">
        <f t="shared" si="93"/>
        <v>12</v>
      </c>
      <c r="J577" s="76">
        <v>10</v>
      </c>
      <c r="K577" s="66"/>
      <c r="L577" s="6">
        <f>$L566+L576</f>
        <v>10</v>
      </c>
      <c r="M577" s="6">
        <f t="shared" si="102"/>
        <v>1</v>
      </c>
      <c r="N577" s="77">
        <v>100</v>
      </c>
      <c r="O577">
        <f t="shared" si="95"/>
        <v>0.5</v>
      </c>
      <c r="P577" s="77">
        <v>50</v>
      </c>
      <c r="Q577">
        <f t="shared" si="96"/>
        <v>0.3</v>
      </c>
      <c r="R577" s="75">
        <v>15</v>
      </c>
      <c r="S577" s="6">
        <f t="shared" si="97"/>
        <v>0.15</v>
      </c>
    </row>
    <row r="578" spans="1:19" x14ac:dyDescent="0.3">
      <c r="A578" s="37" t="s">
        <v>153</v>
      </c>
      <c r="B578" s="6" t="s">
        <v>158</v>
      </c>
      <c r="C578" s="77">
        <v>20000</v>
      </c>
      <c r="D578" s="6">
        <f>(C578/12)*1</f>
        <v>1666.6666666666667</v>
      </c>
      <c r="E578" s="66">
        <v>0</v>
      </c>
      <c r="F578" s="6">
        <f>E578</f>
        <v>0</v>
      </c>
      <c r="G578" s="36" t="str">
        <f t="shared" si="94"/>
        <v>Farol Vermelho</v>
      </c>
      <c r="H578">
        <f t="shared" ref="H578:H641" si="103">IF(D578-F578&lt;0,0,D578-F578)</f>
        <v>1666.6666666666667</v>
      </c>
      <c r="I578" s="6">
        <f t="shared" ref="I578:I641" si="104">_xlfn.IFS(B578="Janeiro",1,B578="Fevereiro",2,B578="Março",3,B578="Abril",4,B578="Maio",5,B578="Junho",6,B578="Julho",7,B578="Agosto",8,B578="Setembro",9,B578="Outubro",10,B578="Novembro",11,B578="Dezembro",12,TRUE,0)</f>
        <v>1</v>
      </c>
      <c r="J578" s="76">
        <v>18</v>
      </c>
      <c r="K578" s="66">
        <v>0</v>
      </c>
      <c r="L578" s="6">
        <f>J578/12</f>
        <v>1.5</v>
      </c>
      <c r="M578" s="6">
        <f>K578</f>
        <v>0</v>
      </c>
      <c r="N578" s="77">
        <v>100</v>
      </c>
      <c r="O578">
        <f t="shared" si="95"/>
        <v>0.5</v>
      </c>
      <c r="P578" s="77">
        <v>50</v>
      </c>
      <c r="Q578">
        <f t="shared" si="96"/>
        <v>0.3</v>
      </c>
      <c r="R578" s="75">
        <v>15</v>
      </c>
      <c r="S578" s="6">
        <f t="shared" si="97"/>
        <v>0.15</v>
      </c>
    </row>
    <row r="579" spans="1:19" x14ac:dyDescent="0.3">
      <c r="A579" s="37" t="s">
        <v>153</v>
      </c>
      <c r="B579" s="6" t="s">
        <v>159</v>
      </c>
      <c r="C579" s="77">
        <v>20000</v>
      </c>
      <c r="D579" s="6">
        <f>(C579/12)*2</f>
        <v>3333.3333333333335</v>
      </c>
      <c r="E579" s="66">
        <v>0</v>
      </c>
      <c r="F579" s="6">
        <f>SUM(E578:E579)</f>
        <v>0</v>
      </c>
      <c r="G579" s="36" t="str">
        <f t="shared" ref="G579:G642" si="105">_xlfn.IFS(F579&gt;D579,"Farol Verde",F579&gt;=D579*0.85,"Farol Amarelo",F579&lt;D579*0.85,"Farol Vermelho","Verdadeiro",0)</f>
        <v>Farol Vermelho</v>
      </c>
      <c r="H579">
        <f t="shared" si="103"/>
        <v>3333.3333333333335</v>
      </c>
      <c r="I579" s="6">
        <f t="shared" si="104"/>
        <v>2</v>
      </c>
      <c r="J579" s="76">
        <v>18</v>
      </c>
      <c r="K579" s="66">
        <v>0</v>
      </c>
      <c r="L579" s="6">
        <f>L578+L578</f>
        <v>3</v>
      </c>
      <c r="M579" s="6">
        <f>M578+K579</f>
        <v>0</v>
      </c>
      <c r="N579" s="77">
        <v>100</v>
      </c>
      <c r="O579">
        <f t="shared" ref="O579:O642" si="106">P579/N579</f>
        <v>0.5</v>
      </c>
      <c r="P579" s="77">
        <v>50</v>
      </c>
      <c r="Q579">
        <f t="shared" ref="Q579:Q642" si="107">R579/P579</f>
        <v>0.3</v>
      </c>
      <c r="R579" s="75">
        <v>15</v>
      </c>
      <c r="S579" s="6">
        <f t="shared" ref="S579:S642" si="108">R579/N579</f>
        <v>0.15</v>
      </c>
    </row>
    <row r="580" spans="1:19" x14ac:dyDescent="0.3">
      <c r="A580" s="37" t="s">
        <v>153</v>
      </c>
      <c r="B580" s="6" t="s">
        <v>160</v>
      </c>
      <c r="C580" s="77">
        <v>20000</v>
      </c>
      <c r="D580" s="6">
        <f>(C580/12)*3</f>
        <v>5000</v>
      </c>
      <c r="E580" s="66">
        <v>0</v>
      </c>
      <c r="F580" s="6">
        <f>SUM(E578:E580)</f>
        <v>0</v>
      </c>
      <c r="G580" s="36" t="str">
        <f t="shared" si="105"/>
        <v>Farol Vermelho</v>
      </c>
      <c r="H580">
        <f t="shared" si="103"/>
        <v>5000</v>
      </c>
      <c r="I580" s="6">
        <f t="shared" si="104"/>
        <v>3</v>
      </c>
      <c r="J580" s="76">
        <v>18</v>
      </c>
      <c r="K580" s="66">
        <v>0</v>
      </c>
      <c r="L580" s="6">
        <f>$L578+L579</f>
        <v>4.5</v>
      </c>
      <c r="M580" s="6">
        <f t="shared" ref="M580:M589" si="109">M579+K580</f>
        <v>0</v>
      </c>
      <c r="N580" s="77">
        <v>100</v>
      </c>
      <c r="O580">
        <f t="shared" si="106"/>
        <v>0.5</v>
      </c>
      <c r="P580" s="77">
        <v>50</v>
      </c>
      <c r="Q580">
        <f t="shared" si="107"/>
        <v>0.3</v>
      </c>
      <c r="R580" s="75">
        <v>15</v>
      </c>
      <c r="S580" s="6">
        <f t="shared" si="108"/>
        <v>0.15</v>
      </c>
    </row>
    <row r="581" spans="1:19" x14ac:dyDescent="0.3">
      <c r="A581" s="37" t="s">
        <v>153</v>
      </c>
      <c r="B581" s="6" t="s">
        <v>161</v>
      </c>
      <c r="C581" s="77">
        <v>20000</v>
      </c>
      <c r="D581" s="6">
        <f>(C581/12)*4</f>
        <v>6666.666666666667</v>
      </c>
      <c r="E581" s="66">
        <v>1102</v>
      </c>
      <c r="F581" s="6">
        <f>SUM(E578:E581)</f>
        <v>1102</v>
      </c>
      <c r="G581" s="36" t="str">
        <f t="shared" si="105"/>
        <v>Farol Vermelho</v>
      </c>
      <c r="H581">
        <f t="shared" si="103"/>
        <v>5564.666666666667</v>
      </c>
      <c r="I581" s="6">
        <f t="shared" si="104"/>
        <v>4</v>
      </c>
      <c r="J581" s="76">
        <v>18</v>
      </c>
      <c r="K581" s="66">
        <v>3</v>
      </c>
      <c r="L581" s="6">
        <f>$L578+L580</f>
        <v>6</v>
      </c>
      <c r="M581" s="6">
        <f t="shared" si="109"/>
        <v>3</v>
      </c>
      <c r="N581" s="77">
        <v>100</v>
      </c>
      <c r="O581">
        <f t="shared" si="106"/>
        <v>0.5</v>
      </c>
      <c r="P581" s="77">
        <v>50</v>
      </c>
      <c r="Q581">
        <f t="shared" si="107"/>
        <v>0.3</v>
      </c>
      <c r="R581" s="75">
        <v>15</v>
      </c>
      <c r="S581" s="6">
        <f t="shared" si="108"/>
        <v>0.15</v>
      </c>
    </row>
    <row r="582" spans="1:19" x14ac:dyDescent="0.3">
      <c r="A582" s="37" t="s">
        <v>153</v>
      </c>
      <c r="B582" s="6" t="s">
        <v>162</v>
      </c>
      <c r="C582" s="77">
        <v>20000</v>
      </c>
      <c r="D582" s="6">
        <f>(C582/12)*5</f>
        <v>8333.3333333333339</v>
      </c>
      <c r="E582" s="66">
        <v>0</v>
      </c>
      <c r="F582" s="6">
        <f>SUM(E578:E582)</f>
        <v>1102</v>
      </c>
      <c r="G582" s="36" t="str">
        <f t="shared" si="105"/>
        <v>Farol Vermelho</v>
      </c>
      <c r="H582">
        <f t="shared" si="103"/>
        <v>7231.3333333333339</v>
      </c>
      <c r="I582" s="6">
        <f t="shared" si="104"/>
        <v>5</v>
      </c>
      <c r="J582" s="76">
        <v>18</v>
      </c>
      <c r="K582" s="66"/>
      <c r="L582" s="6">
        <f>L578+L581</f>
        <v>7.5</v>
      </c>
      <c r="M582" s="6">
        <f t="shared" si="109"/>
        <v>3</v>
      </c>
      <c r="N582" s="77">
        <v>100</v>
      </c>
      <c r="O582">
        <f t="shared" si="106"/>
        <v>0.5</v>
      </c>
      <c r="P582" s="77">
        <v>50</v>
      </c>
      <c r="Q582">
        <f t="shared" si="107"/>
        <v>0.3</v>
      </c>
      <c r="R582" s="75">
        <v>15</v>
      </c>
      <c r="S582" s="6">
        <f t="shared" si="108"/>
        <v>0.15</v>
      </c>
    </row>
    <row r="583" spans="1:19" x14ac:dyDescent="0.3">
      <c r="A583" s="37" t="s">
        <v>153</v>
      </c>
      <c r="B583" s="6" t="s">
        <v>163</v>
      </c>
      <c r="C583" s="77">
        <v>20000</v>
      </c>
      <c r="D583" s="6">
        <f>(C583/12)*6</f>
        <v>10000</v>
      </c>
      <c r="E583" s="66">
        <v>0</v>
      </c>
      <c r="F583" s="6">
        <f>SUM(E578:E583)</f>
        <v>1102</v>
      </c>
      <c r="G583" s="36" t="str">
        <f t="shared" si="105"/>
        <v>Farol Vermelho</v>
      </c>
      <c r="H583">
        <f t="shared" si="103"/>
        <v>8898</v>
      </c>
      <c r="I583" s="6">
        <f t="shared" si="104"/>
        <v>6</v>
      </c>
      <c r="J583" s="76">
        <v>18</v>
      </c>
      <c r="K583" s="66"/>
      <c r="L583" s="6">
        <f>$L578+L582</f>
        <v>9</v>
      </c>
      <c r="M583" s="6">
        <f t="shared" si="109"/>
        <v>3</v>
      </c>
      <c r="N583" s="77">
        <v>100</v>
      </c>
      <c r="O583">
        <f t="shared" si="106"/>
        <v>0.5</v>
      </c>
      <c r="P583" s="77">
        <v>50</v>
      </c>
      <c r="Q583">
        <f t="shared" si="107"/>
        <v>0.3</v>
      </c>
      <c r="R583" s="75">
        <v>15</v>
      </c>
      <c r="S583" s="6">
        <f t="shared" si="108"/>
        <v>0.15</v>
      </c>
    </row>
    <row r="584" spans="1:19" x14ac:dyDescent="0.3">
      <c r="A584" s="37" t="s">
        <v>153</v>
      </c>
      <c r="B584" s="6" t="s">
        <v>164</v>
      </c>
      <c r="C584" s="77">
        <v>20000</v>
      </c>
      <c r="D584" s="6">
        <f>(C584/12)*7</f>
        <v>11666.666666666668</v>
      </c>
      <c r="E584" s="66">
        <v>0</v>
      </c>
      <c r="F584" s="6">
        <f>SUM(E578:E584)</f>
        <v>1102</v>
      </c>
      <c r="G584" s="36" t="str">
        <f t="shared" si="105"/>
        <v>Farol Vermelho</v>
      </c>
      <c r="H584">
        <f t="shared" si="103"/>
        <v>10564.666666666668</v>
      </c>
      <c r="I584" s="6">
        <f t="shared" si="104"/>
        <v>7</v>
      </c>
      <c r="J584" s="76">
        <v>18</v>
      </c>
      <c r="K584" s="66"/>
      <c r="L584" s="6">
        <f>$L578+L583</f>
        <v>10.5</v>
      </c>
      <c r="M584" s="6">
        <f t="shared" si="109"/>
        <v>3</v>
      </c>
      <c r="N584" s="77">
        <v>100</v>
      </c>
      <c r="O584">
        <f t="shared" si="106"/>
        <v>0.5</v>
      </c>
      <c r="P584" s="77">
        <v>50</v>
      </c>
      <c r="Q584">
        <f t="shared" si="107"/>
        <v>0.3</v>
      </c>
      <c r="R584" s="75">
        <v>15</v>
      </c>
      <c r="S584" s="6">
        <f t="shared" si="108"/>
        <v>0.15</v>
      </c>
    </row>
    <row r="585" spans="1:19" x14ac:dyDescent="0.3">
      <c r="A585" s="37" t="s">
        <v>153</v>
      </c>
      <c r="B585" s="6" t="s">
        <v>165</v>
      </c>
      <c r="C585" s="77">
        <v>20000</v>
      </c>
      <c r="D585" s="6">
        <f>(C585/12)*8</f>
        <v>13333.333333333334</v>
      </c>
      <c r="E585" s="66">
        <v>0</v>
      </c>
      <c r="F585" s="6">
        <f>SUM(E578:E585)</f>
        <v>1102</v>
      </c>
      <c r="G585" s="36" t="str">
        <f t="shared" si="105"/>
        <v>Farol Vermelho</v>
      </c>
      <c r="H585">
        <f t="shared" si="103"/>
        <v>12231.333333333334</v>
      </c>
      <c r="I585" s="6">
        <f t="shared" si="104"/>
        <v>8</v>
      </c>
      <c r="J585" s="76">
        <v>18</v>
      </c>
      <c r="K585" s="66"/>
      <c r="L585" s="6">
        <f>L578+L584</f>
        <v>12</v>
      </c>
      <c r="M585" s="6">
        <f t="shared" si="109"/>
        <v>3</v>
      </c>
      <c r="N585" s="77">
        <v>100</v>
      </c>
      <c r="O585">
        <f t="shared" si="106"/>
        <v>0.5</v>
      </c>
      <c r="P585" s="77">
        <v>50</v>
      </c>
      <c r="Q585">
        <f t="shared" si="107"/>
        <v>0.3</v>
      </c>
      <c r="R585" s="75">
        <v>15</v>
      </c>
      <c r="S585" s="6">
        <f t="shared" si="108"/>
        <v>0.15</v>
      </c>
    </row>
    <row r="586" spans="1:19" x14ac:dyDescent="0.3">
      <c r="A586" s="37" t="s">
        <v>153</v>
      </c>
      <c r="B586" s="6" t="s">
        <v>166</v>
      </c>
      <c r="C586" s="77">
        <v>20000</v>
      </c>
      <c r="D586" s="6">
        <f>(C586/12)*9</f>
        <v>15000</v>
      </c>
      <c r="E586" s="66">
        <v>0</v>
      </c>
      <c r="F586" s="6">
        <f>SUM(E578:E586)</f>
        <v>1102</v>
      </c>
      <c r="G586" s="36" t="str">
        <f t="shared" si="105"/>
        <v>Farol Vermelho</v>
      </c>
      <c r="H586">
        <f t="shared" si="103"/>
        <v>13898</v>
      </c>
      <c r="I586" s="6">
        <f t="shared" si="104"/>
        <v>9</v>
      </c>
      <c r="J586" s="76">
        <v>18</v>
      </c>
      <c r="K586" s="66"/>
      <c r="L586" s="6">
        <f>$L578+L585</f>
        <v>13.5</v>
      </c>
      <c r="M586" s="6">
        <f t="shared" si="109"/>
        <v>3</v>
      </c>
      <c r="N586" s="77">
        <v>100</v>
      </c>
      <c r="O586">
        <f t="shared" si="106"/>
        <v>0.5</v>
      </c>
      <c r="P586" s="77">
        <v>50</v>
      </c>
      <c r="Q586">
        <f t="shared" si="107"/>
        <v>0.3</v>
      </c>
      <c r="R586" s="75">
        <v>15</v>
      </c>
      <c r="S586" s="6">
        <f t="shared" si="108"/>
        <v>0.15</v>
      </c>
    </row>
    <row r="587" spans="1:19" x14ac:dyDescent="0.3">
      <c r="A587" s="37" t="s">
        <v>153</v>
      </c>
      <c r="B587" s="6" t="s">
        <v>167</v>
      </c>
      <c r="C587" s="77">
        <v>20000</v>
      </c>
      <c r="D587" s="6">
        <f>(C587/12)*10</f>
        <v>16666.666666666668</v>
      </c>
      <c r="E587" s="66">
        <v>0</v>
      </c>
      <c r="F587" s="6">
        <f>SUM(E578:E587)</f>
        <v>1102</v>
      </c>
      <c r="G587" s="36" t="str">
        <f t="shared" si="105"/>
        <v>Farol Vermelho</v>
      </c>
      <c r="H587">
        <f t="shared" si="103"/>
        <v>15564.666666666668</v>
      </c>
      <c r="I587" s="6">
        <f t="shared" si="104"/>
        <v>10</v>
      </c>
      <c r="J587" s="76">
        <v>18</v>
      </c>
      <c r="K587" s="66"/>
      <c r="L587" s="6">
        <f>$L578+L586</f>
        <v>15</v>
      </c>
      <c r="M587" s="6">
        <f t="shared" si="109"/>
        <v>3</v>
      </c>
      <c r="N587" s="77">
        <v>100</v>
      </c>
      <c r="O587">
        <f t="shared" si="106"/>
        <v>0.5</v>
      </c>
      <c r="P587" s="77">
        <v>50</v>
      </c>
      <c r="Q587">
        <f t="shared" si="107"/>
        <v>0.3</v>
      </c>
      <c r="R587" s="75">
        <v>15</v>
      </c>
      <c r="S587" s="6">
        <f t="shared" si="108"/>
        <v>0.15</v>
      </c>
    </row>
    <row r="588" spans="1:19" x14ac:dyDescent="0.3">
      <c r="A588" s="37" t="s">
        <v>153</v>
      </c>
      <c r="B588" s="6" t="s">
        <v>168</v>
      </c>
      <c r="C588" s="77">
        <v>20000</v>
      </c>
      <c r="D588" s="6">
        <f>(C588/12)*11</f>
        <v>18333.333333333336</v>
      </c>
      <c r="E588" s="66">
        <v>0</v>
      </c>
      <c r="F588" s="6">
        <f>SUM(E578:E588)</f>
        <v>1102</v>
      </c>
      <c r="G588" s="36" t="str">
        <f t="shared" si="105"/>
        <v>Farol Vermelho</v>
      </c>
      <c r="H588">
        <f t="shared" si="103"/>
        <v>17231.333333333336</v>
      </c>
      <c r="I588" s="6">
        <f t="shared" si="104"/>
        <v>11</v>
      </c>
      <c r="J588" s="76">
        <v>18</v>
      </c>
      <c r="K588" s="66"/>
      <c r="L588" s="6">
        <f>L578+L587</f>
        <v>16.5</v>
      </c>
      <c r="M588" s="6">
        <f t="shared" si="109"/>
        <v>3</v>
      </c>
      <c r="N588" s="77">
        <v>100</v>
      </c>
      <c r="O588">
        <f t="shared" si="106"/>
        <v>0.5</v>
      </c>
      <c r="P588" s="77">
        <v>50</v>
      </c>
      <c r="Q588">
        <f t="shared" si="107"/>
        <v>0.3</v>
      </c>
      <c r="R588" s="75">
        <v>15</v>
      </c>
      <c r="S588" s="6">
        <f t="shared" si="108"/>
        <v>0.15</v>
      </c>
    </row>
    <row r="589" spans="1:19" x14ac:dyDescent="0.3">
      <c r="A589" s="37" t="s">
        <v>153</v>
      </c>
      <c r="B589" s="6" t="s">
        <v>169</v>
      </c>
      <c r="C589" s="77">
        <v>20000</v>
      </c>
      <c r="D589" s="6">
        <f>(C589/12)*12</f>
        <v>20000</v>
      </c>
      <c r="E589" s="66">
        <v>0</v>
      </c>
      <c r="F589" s="6">
        <f>SUM(E578:E589)</f>
        <v>1102</v>
      </c>
      <c r="G589" s="36" t="str">
        <f t="shared" si="105"/>
        <v>Farol Vermelho</v>
      </c>
      <c r="H589">
        <f t="shared" si="103"/>
        <v>18898</v>
      </c>
      <c r="I589" s="6">
        <f t="shared" si="104"/>
        <v>12</v>
      </c>
      <c r="J589" s="76">
        <v>18</v>
      </c>
      <c r="K589" s="66"/>
      <c r="L589" s="6">
        <f>$L578+L588</f>
        <v>18</v>
      </c>
      <c r="M589" s="6">
        <f t="shared" si="109"/>
        <v>3</v>
      </c>
      <c r="N589" s="77">
        <v>100</v>
      </c>
      <c r="O589">
        <f t="shared" si="106"/>
        <v>0.5</v>
      </c>
      <c r="P589" s="77">
        <v>50</v>
      </c>
      <c r="Q589">
        <f t="shared" si="107"/>
        <v>0.3</v>
      </c>
      <c r="R589" s="75">
        <v>15</v>
      </c>
      <c r="S589" s="6">
        <f t="shared" si="108"/>
        <v>0.15</v>
      </c>
    </row>
    <row r="590" spans="1:19" x14ac:dyDescent="0.3">
      <c r="A590" s="37" t="s">
        <v>137</v>
      </c>
      <c r="B590" s="6" t="s">
        <v>158</v>
      </c>
      <c r="C590" s="77">
        <v>16000</v>
      </c>
      <c r="D590" s="6">
        <f>(C590/12)*1</f>
        <v>1333.3333333333333</v>
      </c>
      <c r="E590" s="66">
        <v>1600</v>
      </c>
      <c r="F590" s="6">
        <f>E590</f>
        <v>1600</v>
      </c>
      <c r="G590" s="36" t="str">
        <f t="shared" si="105"/>
        <v>Farol Verde</v>
      </c>
      <c r="H590">
        <f t="shared" si="103"/>
        <v>0</v>
      </c>
      <c r="I590" s="6">
        <f t="shared" si="104"/>
        <v>1</v>
      </c>
      <c r="J590" s="76">
        <v>10</v>
      </c>
      <c r="K590" s="66">
        <v>1</v>
      </c>
      <c r="L590" s="6">
        <f>J590/12</f>
        <v>0.83333333333333337</v>
      </c>
      <c r="M590" s="6">
        <f>K590</f>
        <v>1</v>
      </c>
      <c r="N590" s="77">
        <v>100</v>
      </c>
      <c r="O590">
        <f t="shared" si="106"/>
        <v>0.5</v>
      </c>
      <c r="P590" s="77">
        <v>50</v>
      </c>
      <c r="Q590">
        <f t="shared" si="107"/>
        <v>0.3</v>
      </c>
      <c r="R590" s="75">
        <v>15</v>
      </c>
      <c r="S590" s="6">
        <f t="shared" si="108"/>
        <v>0.15</v>
      </c>
    </row>
    <row r="591" spans="1:19" x14ac:dyDescent="0.3">
      <c r="A591" s="37" t="s">
        <v>137</v>
      </c>
      <c r="B591" s="6" t="s">
        <v>159</v>
      </c>
      <c r="C591" s="77">
        <v>16000</v>
      </c>
      <c r="D591" s="6">
        <f>(C591/12)*2</f>
        <v>2666.6666666666665</v>
      </c>
      <c r="E591" s="66">
        <v>2350</v>
      </c>
      <c r="F591" s="6">
        <f>SUM(E590:E591)</f>
        <v>3950</v>
      </c>
      <c r="G591" s="36" t="str">
        <f t="shared" si="105"/>
        <v>Farol Verde</v>
      </c>
      <c r="H591">
        <f t="shared" si="103"/>
        <v>0</v>
      </c>
      <c r="I591" s="6">
        <f t="shared" si="104"/>
        <v>2</v>
      </c>
      <c r="J591" s="76">
        <v>10</v>
      </c>
      <c r="K591" s="66">
        <v>1</v>
      </c>
      <c r="L591" s="6">
        <f>L590+L590</f>
        <v>1.6666666666666667</v>
      </c>
      <c r="M591" s="6">
        <f>M590+K591</f>
        <v>2</v>
      </c>
      <c r="N591" s="77">
        <v>100</v>
      </c>
      <c r="O591">
        <f t="shared" si="106"/>
        <v>0.5</v>
      </c>
      <c r="P591" s="77">
        <v>50</v>
      </c>
      <c r="Q591">
        <f t="shared" si="107"/>
        <v>0.3</v>
      </c>
      <c r="R591" s="75">
        <v>15</v>
      </c>
      <c r="S591" s="6">
        <f t="shared" si="108"/>
        <v>0.15</v>
      </c>
    </row>
    <row r="592" spans="1:19" x14ac:dyDescent="0.3">
      <c r="A592" s="37" t="s">
        <v>137</v>
      </c>
      <c r="B592" s="6" t="s">
        <v>160</v>
      </c>
      <c r="C592" s="77">
        <v>16000</v>
      </c>
      <c r="D592" s="6">
        <f>(C592/12)*3</f>
        <v>4000</v>
      </c>
      <c r="E592" s="66">
        <v>1500</v>
      </c>
      <c r="F592" s="6">
        <f>SUM(E590:E592)</f>
        <v>5450</v>
      </c>
      <c r="G592" s="36" t="str">
        <f t="shared" si="105"/>
        <v>Farol Verde</v>
      </c>
      <c r="H592">
        <f t="shared" si="103"/>
        <v>0</v>
      </c>
      <c r="I592" s="6">
        <f t="shared" si="104"/>
        <v>3</v>
      </c>
      <c r="J592" s="76">
        <v>10</v>
      </c>
      <c r="K592" s="66">
        <v>1</v>
      </c>
      <c r="L592" s="6">
        <f>$L590+L591</f>
        <v>2.5</v>
      </c>
      <c r="M592" s="6">
        <f t="shared" ref="M592:M601" si="110">M591+K592</f>
        <v>3</v>
      </c>
      <c r="N592" s="77">
        <v>100</v>
      </c>
      <c r="O592">
        <f t="shared" si="106"/>
        <v>0.5</v>
      </c>
      <c r="P592" s="77">
        <v>50</v>
      </c>
      <c r="Q592">
        <f t="shared" si="107"/>
        <v>0.3</v>
      </c>
      <c r="R592" s="75">
        <v>15</v>
      </c>
      <c r="S592" s="6">
        <f t="shared" si="108"/>
        <v>0.15</v>
      </c>
    </row>
    <row r="593" spans="1:19" x14ac:dyDescent="0.3">
      <c r="A593" s="37" t="s">
        <v>137</v>
      </c>
      <c r="B593" s="6" t="s">
        <v>161</v>
      </c>
      <c r="C593" s="77">
        <v>16000</v>
      </c>
      <c r="D593" s="6">
        <f>(C593/12)*4</f>
        <v>5333.333333333333</v>
      </c>
      <c r="E593" s="66">
        <v>0</v>
      </c>
      <c r="F593" s="6">
        <f>SUM(E590:E593)</f>
        <v>5450</v>
      </c>
      <c r="G593" s="36" t="str">
        <f t="shared" si="105"/>
        <v>Farol Verde</v>
      </c>
      <c r="H593">
        <f t="shared" si="103"/>
        <v>0</v>
      </c>
      <c r="I593" s="6">
        <f t="shared" si="104"/>
        <v>4</v>
      </c>
      <c r="J593" s="76">
        <v>10</v>
      </c>
      <c r="K593" s="66">
        <v>0</v>
      </c>
      <c r="L593" s="6">
        <f>$L590+L592</f>
        <v>3.3333333333333335</v>
      </c>
      <c r="M593" s="6">
        <f t="shared" si="110"/>
        <v>3</v>
      </c>
      <c r="N593" s="77">
        <v>100</v>
      </c>
      <c r="O593">
        <f t="shared" si="106"/>
        <v>0.5</v>
      </c>
      <c r="P593" s="77">
        <v>50</v>
      </c>
      <c r="Q593">
        <f t="shared" si="107"/>
        <v>0.3</v>
      </c>
      <c r="R593" s="75">
        <v>15</v>
      </c>
      <c r="S593" s="6">
        <f t="shared" si="108"/>
        <v>0.15</v>
      </c>
    </row>
    <row r="594" spans="1:19" x14ac:dyDescent="0.3">
      <c r="A594" s="37" t="s">
        <v>137</v>
      </c>
      <c r="B594" s="6" t="s">
        <v>162</v>
      </c>
      <c r="C594" s="77">
        <v>16000</v>
      </c>
      <c r="D594" s="6">
        <f>(C594/12)*5</f>
        <v>6666.6666666666661</v>
      </c>
      <c r="E594" s="66">
        <v>5050</v>
      </c>
      <c r="F594" s="6">
        <f>SUM(E590:E594)</f>
        <v>10500</v>
      </c>
      <c r="G594" s="36" t="str">
        <f t="shared" si="105"/>
        <v>Farol Verde</v>
      </c>
      <c r="H594">
        <f t="shared" si="103"/>
        <v>0</v>
      </c>
      <c r="I594" s="6">
        <f t="shared" si="104"/>
        <v>5</v>
      </c>
      <c r="J594" s="76">
        <v>10</v>
      </c>
      <c r="K594" s="66">
        <v>1</v>
      </c>
      <c r="L594" s="6">
        <f>L590+L593</f>
        <v>4.166666666666667</v>
      </c>
      <c r="M594" s="6">
        <f t="shared" si="110"/>
        <v>4</v>
      </c>
      <c r="N594" s="77">
        <v>100</v>
      </c>
      <c r="O594">
        <f t="shared" si="106"/>
        <v>0.5</v>
      </c>
      <c r="P594" s="77">
        <v>50</v>
      </c>
      <c r="Q594">
        <f t="shared" si="107"/>
        <v>0.3</v>
      </c>
      <c r="R594" s="75">
        <v>15</v>
      </c>
      <c r="S594" s="6">
        <f t="shared" si="108"/>
        <v>0.15</v>
      </c>
    </row>
    <row r="595" spans="1:19" x14ac:dyDescent="0.3">
      <c r="A595" s="37" t="s">
        <v>137</v>
      </c>
      <c r="B595" s="6" t="s">
        <v>163</v>
      </c>
      <c r="C595" s="77">
        <v>16000</v>
      </c>
      <c r="D595" s="6">
        <f>(C595/12)*6</f>
        <v>8000</v>
      </c>
      <c r="E595" s="66">
        <v>0</v>
      </c>
      <c r="F595" s="6">
        <f>SUM(E590:E595)</f>
        <v>10500</v>
      </c>
      <c r="G595" s="36" t="str">
        <f t="shared" si="105"/>
        <v>Farol Verde</v>
      </c>
      <c r="H595">
        <f t="shared" si="103"/>
        <v>0</v>
      </c>
      <c r="I595" s="6">
        <f t="shared" si="104"/>
        <v>6</v>
      </c>
      <c r="J595" s="76">
        <v>10</v>
      </c>
      <c r="K595" s="66"/>
      <c r="L595" s="6">
        <f>$L590+L594</f>
        <v>5</v>
      </c>
      <c r="M595" s="6">
        <f t="shared" si="110"/>
        <v>4</v>
      </c>
      <c r="N595" s="77">
        <v>100</v>
      </c>
      <c r="O595">
        <f t="shared" si="106"/>
        <v>0.5</v>
      </c>
      <c r="P595" s="77">
        <v>50</v>
      </c>
      <c r="Q595">
        <f t="shared" si="107"/>
        <v>0.3</v>
      </c>
      <c r="R595" s="75">
        <v>15</v>
      </c>
      <c r="S595" s="6">
        <f t="shared" si="108"/>
        <v>0.15</v>
      </c>
    </row>
    <row r="596" spans="1:19" x14ac:dyDescent="0.3">
      <c r="A596" s="37" t="s">
        <v>137</v>
      </c>
      <c r="B596" s="6" t="s">
        <v>164</v>
      </c>
      <c r="C596" s="77">
        <v>16000</v>
      </c>
      <c r="D596" s="6">
        <f>(C596/12)*7</f>
        <v>9333.3333333333321</v>
      </c>
      <c r="E596" s="66">
        <v>0</v>
      </c>
      <c r="F596" s="6">
        <f>SUM(E590:E596)</f>
        <v>10500</v>
      </c>
      <c r="G596" s="36" t="str">
        <f t="shared" si="105"/>
        <v>Farol Verde</v>
      </c>
      <c r="H596">
        <f t="shared" si="103"/>
        <v>0</v>
      </c>
      <c r="I596" s="6">
        <f t="shared" si="104"/>
        <v>7</v>
      </c>
      <c r="J596" s="76">
        <v>10</v>
      </c>
      <c r="K596" s="66"/>
      <c r="L596" s="6">
        <f>$L590+L595</f>
        <v>5.833333333333333</v>
      </c>
      <c r="M596" s="6">
        <f t="shared" si="110"/>
        <v>4</v>
      </c>
      <c r="N596" s="77">
        <v>100</v>
      </c>
      <c r="O596">
        <f t="shared" si="106"/>
        <v>0.5</v>
      </c>
      <c r="P596" s="77">
        <v>50</v>
      </c>
      <c r="Q596">
        <f t="shared" si="107"/>
        <v>0.3</v>
      </c>
      <c r="R596" s="75">
        <v>15</v>
      </c>
      <c r="S596" s="6">
        <f t="shared" si="108"/>
        <v>0.15</v>
      </c>
    </row>
    <row r="597" spans="1:19" x14ac:dyDescent="0.3">
      <c r="A597" s="37" t="s">
        <v>137</v>
      </c>
      <c r="B597" s="6" t="s">
        <v>165</v>
      </c>
      <c r="C597" s="77">
        <v>16000</v>
      </c>
      <c r="D597" s="6">
        <f>(C597/12)*8</f>
        <v>10666.666666666666</v>
      </c>
      <c r="E597" s="66">
        <v>0</v>
      </c>
      <c r="F597" s="6">
        <f>SUM(E590:E597)</f>
        <v>10500</v>
      </c>
      <c r="G597" s="36" t="str">
        <f t="shared" si="105"/>
        <v>Farol Amarelo</v>
      </c>
      <c r="H597">
        <f t="shared" si="103"/>
        <v>166.66666666666606</v>
      </c>
      <c r="I597" s="6">
        <f t="shared" si="104"/>
        <v>8</v>
      </c>
      <c r="J597" s="76">
        <v>10</v>
      </c>
      <c r="K597" s="66"/>
      <c r="L597" s="6">
        <f>L590+L596</f>
        <v>6.6666666666666661</v>
      </c>
      <c r="M597" s="6">
        <f t="shared" si="110"/>
        <v>4</v>
      </c>
      <c r="N597" s="77">
        <v>100</v>
      </c>
      <c r="O597">
        <f t="shared" si="106"/>
        <v>0.5</v>
      </c>
      <c r="P597" s="77">
        <v>50</v>
      </c>
      <c r="Q597">
        <f t="shared" si="107"/>
        <v>0.3</v>
      </c>
      <c r="R597" s="75">
        <v>15</v>
      </c>
      <c r="S597" s="6">
        <f t="shared" si="108"/>
        <v>0.15</v>
      </c>
    </row>
    <row r="598" spans="1:19" x14ac:dyDescent="0.3">
      <c r="A598" s="37" t="s">
        <v>137</v>
      </c>
      <c r="B598" s="6" t="s">
        <v>166</v>
      </c>
      <c r="C598" s="77">
        <v>16000</v>
      </c>
      <c r="D598" s="6">
        <f>(C598/12)*9</f>
        <v>12000</v>
      </c>
      <c r="E598" s="66">
        <v>0</v>
      </c>
      <c r="F598" s="6">
        <f>SUM(E590:E598)</f>
        <v>10500</v>
      </c>
      <c r="G598" s="36" t="str">
        <f t="shared" si="105"/>
        <v>Farol Amarelo</v>
      </c>
      <c r="H598">
        <f t="shared" si="103"/>
        <v>1500</v>
      </c>
      <c r="I598" s="6">
        <f t="shared" si="104"/>
        <v>9</v>
      </c>
      <c r="J598" s="76">
        <v>10</v>
      </c>
      <c r="K598" s="66"/>
      <c r="L598" s="6">
        <f>$L590+L597</f>
        <v>7.4999999999999991</v>
      </c>
      <c r="M598" s="6">
        <f t="shared" si="110"/>
        <v>4</v>
      </c>
      <c r="N598" s="77">
        <v>100</v>
      </c>
      <c r="O598">
        <f t="shared" si="106"/>
        <v>0.5</v>
      </c>
      <c r="P598" s="77">
        <v>50</v>
      </c>
      <c r="Q598">
        <f t="shared" si="107"/>
        <v>0.3</v>
      </c>
      <c r="R598" s="75">
        <v>15</v>
      </c>
      <c r="S598" s="6">
        <f t="shared" si="108"/>
        <v>0.15</v>
      </c>
    </row>
    <row r="599" spans="1:19" x14ac:dyDescent="0.3">
      <c r="A599" s="37" t="s">
        <v>137</v>
      </c>
      <c r="B599" s="6" t="s">
        <v>167</v>
      </c>
      <c r="C599" s="77">
        <v>16000</v>
      </c>
      <c r="D599" s="6">
        <f>(C599/12)*10</f>
        <v>13333.333333333332</v>
      </c>
      <c r="E599" s="66">
        <v>0</v>
      </c>
      <c r="F599" s="6">
        <f>SUM(E590:E599)</f>
        <v>10500</v>
      </c>
      <c r="G599" s="36" t="str">
        <f t="shared" si="105"/>
        <v>Farol Vermelho</v>
      </c>
      <c r="H599">
        <f t="shared" si="103"/>
        <v>2833.3333333333321</v>
      </c>
      <c r="I599" s="6">
        <f t="shared" si="104"/>
        <v>10</v>
      </c>
      <c r="J599" s="76">
        <v>10</v>
      </c>
      <c r="K599" s="66"/>
      <c r="L599" s="6">
        <f>$L590+L598</f>
        <v>8.3333333333333321</v>
      </c>
      <c r="M599" s="6">
        <f t="shared" si="110"/>
        <v>4</v>
      </c>
      <c r="N599" s="77">
        <v>100</v>
      </c>
      <c r="O599">
        <f t="shared" si="106"/>
        <v>0.5</v>
      </c>
      <c r="P599" s="77">
        <v>50</v>
      </c>
      <c r="Q599">
        <f t="shared" si="107"/>
        <v>0.3</v>
      </c>
      <c r="R599" s="75">
        <v>15</v>
      </c>
      <c r="S599" s="6">
        <f t="shared" si="108"/>
        <v>0.15</v>
      </c>
    </row>
    <row r="600" spans="1:19" x14ac:dyDescent="0.3">
      <c r="A600" s="37" t="s">
        <v>137</v>
      </c>
      <c r="B600" s="6" t="s">
        <v>168</v>
      </c>
      <c r="C600" s="77">
        <v>16000</v>
      </c>
      <c r="D600" s="6">
        <f>(C600/12)*11</f>
        <v>14666.666666666666</v>
      </c>
      <c r="E600" s="66">
        <v>0</v>
      </c>
      <c r="F600" s="6">
        <f>SUM(E590:E600)</f>
        <v>10500</v>
      </c>
      <c r="G600" s="36" t="str">
        <f t="shared" si="105"/>
        <v>Farol Vermelho</v>
      </c>
      <c r="H600">
        <f t="shared" si="103"/>
        <v>4166.6666666666661</v>
      </c>
      <c r="I600" s="6">
        <f t="shared" si="104"/>
        <v>11</v>
      </c>
      <c r="J600" s="76">
        <v>10</v>
      </c>
      <c r="K600" s="66"/>
      <c r="L600" s="6">
        <f>L590+L599</f>
        <v>9.1666666666666661</v>
      </c>
      <c r="M600" s="6">
        <f t="shared" si="110"/>
        <v>4</v>
      </c>
      <c r="N600" s="77">
        <v>100</v>
      </c>
      <c r="O600">
        <f t="shared" si="106"/>
        <v>0.5</v>
      </c>
      <c r="P600" s="77">
        <v>50</v>
      </c>
      <c r="Q600">
        <f t="shared" si="107"/>
        <v>0.3</v>
      </c>
      <c r="R600" s="75">
        <v>15</v>
      </c>
      <c r="S600" s="6">
        <f t="shared" si="108"/>
        <v>0.15</v>
      </c>
    </row>
    <row r="601" spans="1:19" x14ac:dyDescent="0.3">
      <c r="A601" s="37" t="s">
        <v>137</v>
      </c>
      <c r="B601" s="6" t="s">
        <v>169</v>
      </c>
      <c r="C601" s="77">
        <v>16000</v>
      </c>
      <c r="D601" s="6">
        <f>(C601/12)*12</f>
        <v>16000</v>
      </c>
      <c r="E601" s="66">
        <v>0</v>
      </c>
      <c r="F601" s="6">
        <f>SUM(E590:E601)</f>
        <v>10500</v>
      </c>
      <c r="G601" s="36" t="str">
        <f t="shared" si="105"/>
        <v>Farol Vermelho</v>
      </c>
      <c r="H601">
        <f t="shared" si="103"/>
        <v>5500</v>
      </c>
      <c r="I601" s="6">
        <f t="shared" si="104"/>
        <v>12</v>
      </c>
      <c r="J601" s="76">
        <v>10</v>
      </c>
      <c r="K601" s="66"/>
      <c r="L601" s="6">
        <f>$L590+L600</f>
        <v>10</v>
      </c>
      <c r="M601" s="6">
        <f t="shared" si="110"/>
        <v>4</v>
      </c>
      <c r="N601" s="77">
        <v>100</v>
      </c>
      <c r="O601">
        <f t="shared" si="106"/>
        <v>0.5</v>
      </c>
      <c r="P601" s="77">
        <v>50</v>
      </c>
      <c r="Q601">
        <f t="shared" si="107"/>
        <v>0.3</v>
      </c>
      <c r="R601" s="75">
        <v>15</v>
      </c>
      <c r="S601" s="6">
        <f t="shared" si="108"/>
        <v>0.15</v>
      </c>
    </row>
    <row r="602" spans="1:19" x14ac:dyDescent="0.3">
      <c r="A602" s="37" t="s">
        <v>43</v>
      </c>
      <c r="B602" s="6" t="s">
        <v>158</v>
      </c>
      <c r="C602" s="77">
        <v>17883.45</v>
      </c>
      <c r="D602" s="6">
        <f>(C602/12)*1</f>
        <v>1490.2875000000001</v>
      </c>
      <c r="E602" s="66">
        <v>0</v>
      </c>
      <c r="F602" s="6">
        <f>E602</f>
        <v>0</v>
      </c>
      <c r="G602" s="36" t="str">
        <f t="shared" si="105"/>
        <v>Farol Vermelho</v>
      </c>
      <c r="H602">
        <f t="shared" si="103"/>
        <v>1490.2875000000001</v>
      </c>
      <c r="I602" s="6">
        <f t="shared" si="104"/>
        <v>1</v>
      </c>
      <c r="J602" s="76">
        <v>12</v>
      </c>
      <c r="K602" s="66">
        <v>0</v>
      </c>
      <c r="L602" s="6">
        <f>J602/12</f>
        <v>1</v>
      </c>
      <c r="M602" s="6">
        <f>K602</f>
        <v>0</v>
      </c>
      <c r="N602" s="77">
        <v>100</v>
      </c>
      <c r="O602">
        <f t="shared" si="106"/>
        <v>0.5</v>
      </c>
      <c r="P602" s="77">
        <v>50</v>
      </c>
      <c r="Q602">
        <f t="shared" si="107"/>
        <v>0.3</v>
      </c>
      <c r="R602" s="75">
        <v>15</v>
      </c>
      <c r="S602" s="6">
        <f t="shared" si="108"/>
        <v>0.15</v>
      </c>
    </row>
    <row r="603" spans="1:19" x14ac:dyDescent="0.3">
      <c r="A603" s="37" t="s">
        <v>43</v>
      </c>
      <c r="B603" s="6" t="s">
        <v>159</v>
      </c>
      <c r="C603" s="77">
        <v>17883.45</v>
      </c>
      <c r="D603" s="6">
        <f>(C603/12)*2</f>
        <v>2980.5750000000003</v>
      </c>
      <c r="E603" s="66">
        <v>600</v>
      </c>
      <c r="F603" s="6">
        <f>SUM(E602:E603)</f>
        <v>600</v>
      </c>
      <c r="G603" s="36" t="str">
        <f t="shared" si="105"/>
        <v>Farol Vermelho</v>
      </c>
      <c r="H603">
        <f t="shared" si="103"/>
        <v>2380.5750000000003</v>
      </c>
      <c r="I603" s="6">
        <f t="shared" si="104"/>
        <v>2</v>
      </c>
      <c r="J603" s="76">
        <v>12</v>
      </c>
      <c r="K603" s="66">
        <v>1</v>
      </c>
      <c r="L603" s="6">
        <f>L602+L602</f>
        <v>2</v>
      </c>
      <c r="M603" s="6">
        <f>M602+K603</f>
        <v>1</v>
      </c>
      <c r="N603" s="77">
        <v>100</v>
      </c>
      <c r="O603">
        <f t="shared" si="106"/>
        <v>0.5</v>
      </c>
      <c r="P603" s="77">
        <v>50</v>
      </c>
      <c r="Q603">
        <f t="shared" si="107"/>
        <v>0.3</v>
      </c>
      <c r="R603" s="75">
        <v>15</v>
      </c>
      <c r="S603" s="6">
        <f t="shared" si="108"/>
        <v>0.15</v>
      </c>
    </row>
    <row r="604" spans="1:19" x14ac:dyDescent="0.3">
      <c r="A604" s="37" t="s">
        <v>43</v>
      </c>
      <c r="B604" s="6" t="s">
        <v>160</v>
      </c>
      <c r="C604" s="77">
        <v>17883.45</v>
      </c>
      <c r="D604" s="6">
        <f>(C604/12)*3</f>
        <v>4470.8625000000002</v>
      </c>
      <c r="E604" s="66">
        <v>0</v>
      </c>
      <c r="F604" s="6">
        <f>SUM(E602:E604)</f>
        <v>600</v>
      </c>
      <c r="G604" s="36" t="str">
        <f t="shared" si="105"/>
        <v>Farol Vermelho</v>
      </c>
      <c r="H604">
        <f t="shared" si="103"/>
        <v>3870.8625000000002</v>
      </c>
      <c r="I604" s="6">
        <f t="shared" si="104"/>
        <v>3</v>
      </c>
      <c r="J604" s="76">
        <v>12</v>
      </c>
      <c r="K604" s="66">
        <v>0</v>
      </c>
      <c r="L604" s="6">
        <f>$L602+L603</f>
        <v>3</v>
      </c>
      <c r="M604" s="6">
        <f t="shared" ref="M604:M613" si="111">M603+K604</f>
        <v>1</v>
      </c>
      <c r="N604" s="77">
        <v>100</v>
      </c>
      <c r="O604">
        <f t="shared" si="106"/>
        <v>0.5</v>
      </c>
      <c r="P604" s="77">
        <v>50</v>
      </c>
      <c r="Q604">
        <f t="shared" si="107"/>
        <v>0.3</v>
      </c>
      <c r="R604" s="75">
        <v>15</v>
      </c>
      <c r="S604" s="6">
        <f t="shared" si="108"/>
        <v>0.15</v>
      </c>
    </row>
    <row r="605" spans="1:19" x14ac:dyDescent="0.3">
      <c r="A605" s="37" t="s">
        <v>43</v>
      </c>
      <c r="B605" s="6" t="s">
        <v>161</v>
      </c>
      <c r="C605" s="77">
        <v>17883.45</v>
      </c>
      <c r="D605" s="6">
        <f>(C605/12)*4</f>
        <v>5961.1500000000005</v>
      </c>
      <c r="E605" s="66">
        <v>0</v>
      </c>
      <c r="F605" s="6">
        <f>SUM(E602:E605)</f>
        <v>600</v>
      </c>
      <c r="G605" s="36" t="str">
        <f t="shared" si="105"/>
        <v>Farol Vermelho</v>
      </c>
      <c r="H605">
        <f t="shared" si="103"/>
        <v>5361.1500000000005</v>
      </c>
      <c r="I605" s="6">
        <f t="shared" si="104"/>
        <v>4</v>
      </c>
      <c r="J605" s="76">
        <v>12</v>
      </c>
      <c r="K605" s="66">
        <v>0</v>
      </c>
      <c r="L605" s="6">
        <f>$L602+L604</f>
        <v>4</v>
      </c>
      <c r="M605" s="6">
        <f t="shared" si="111"/>
        <v>1</v>
      </c>
      <c r="N605" s="77">
        <v>100</v>
      </c>
      <c r="O605">
        <f t="shared" si="106"/>
        <v>0.5</v>
      </c>
      <c r="P605" s="77">
        <v>50</v>
      </c>
      <c r="Q605">
        <f t="shared" si="107"/>
        <v>0.3</v>
      </c>
      <c r="R605" s="75">
        <v>15</v>
      </c>
      <c r="S605" s="6">
        <f t="shared" si="108"/>
        <v>0.15</v>
      </c>
    </row>
    <row r="606" spans="1:19" x14ac:dyDescent="0.3">
      <c r="A606" s="37" t="s">
        <v>43</v>
      </c>
      <c r="B606" s="6" t="s">
        <v>162</v>
      </c>
      <c r="C606" s="77">
        <v>17883.45</v>
      </c>
      <c r="D606" s="6">
        <f>(C606/12)*5</f>
        <v>7451.4375000000009</v>
      </c>
      <c r="E606" s="66">
        <v>283.5</v>
      </c>
      <c r="F606" s="6">
        <f>SUM(E602:E606)</f>
        <v>883.5</v>
      </c>
      <c r="G606" s="36" t="str">
        <f t="shared" si="105"/>
        <v>Farol Vermelho</v>
      </c>
      <c r="H606">
        <f t="shared" si="103"/>
        <v>6567.9375000000009</v>
      </c>
      <c r="I606" s="6">
        <f t="shared" si="104"/>
        <v>5</v>
      </c>
      <c r="J606" s="76">
        <v>12</v>
      </c>
      <c r="K606" s="66">
        <v>1</v>
      </c>
      <c r="L606" s="6">
        <f>L602+L605</f>
        <v>5</v>
      </c>
      <c r="M606" s="6">
        <f t="shared" si="111"/>
        <v>2</v>
      </c>
      <c r="N606" s="77">
        <v>100</v>
      </c>
      <c r="O606">
        <f t="shared" si="106"/>
        <v>0.5</v>
      </c>
      <c r="P606" s="77">
        <v>50</v>
      </c>
      <c r="Q606">
        <f t="shared" si="107"/>
        <v>0.3</v>
      </c>
      <c r="R606" s="75">
        <v>15</v>
      </c>
      <c r="S606" s="6">
        <f t="shared" si="108"/>
        <v>0.15</v>
      </c>
    </row>
    <row r="607" spans="1:19" x14ac:dyDescent="0.3">
      <c r="A607" s="37" t="s">
        <v>43</v>
      </c>
      <c r="B607" s="6" t="s">
        <v>163</v>
      </c>
      <c r="C607" s="77">
        <v>17883.45</v>
      </c>
      <c r="D607" s="6">
        <f>(C607/12)*6</f>
        <v>8941.7250000000004</v>
      </c>
      <c r="E607" s="66">
        <v>0</v>
      </c>
      <c r="F607" s="6">
        <f>SUM(E602:E607)</f>
        <v>883.5</v>
      </c>
      <c r="G607" s="36" t="str">
        <f t="shared" si="105"/>
        <v>Farol Vermelho</v>
      </c>
      <c r="H607">
        <f t="shared" si="103"/>
        <v>8058.2250000000004</v>
      </c>
      <c r="I607" s="6">
        <f t="shared" si="104"/>
        <v>6</v>
      </c>
      <c r="J607" s="76">
        <v>12</v>
      </c>
      <c r="K607" s="66"/>
      <c r="L607" s="6">
        <f>$L602+L606</f>
        <v>6</v>
      </c>
      <c r="M607" s="6">
        <f t="shared" si="111"/>
        <v>2</v>
      </c>
      <c r="N607" s="77">
        <v>100</v>
      </c>
      <c r="O607">
        <f t="shared" si="106"/>
        <v>0.5</v>
      </c>
      <c r="P607" s="77">
        <v>50</v>
      </c>
      <c r="Q607">
        <f t="shared" si="107"/>
        <v>0.3</v>
      </c>
      <c r="R607" s="75">
        <v>15</v>
      </c>
      <c r="S607" s="6">
        <f t="shared" si="108"/>
        <v>0.15</v>
      </c>
    </row>
    <row r="608" spans="1:19" x14ac:dyDescent="0.3">
      <c r="A608" s="37" t="s">
        <v>43</v>
      </c>
      <c r="B608" s="6" t="s">
        <v>164</v>
      </c>
      <c r="C608" s="77">
        <v>17883.45</v>
      </c>
      <c r="D608" s="6">
        <f>(C608/12)*7</f>
        <v>10432.012500000001</v>
      </c>
      <c r="E608" s="66">
        <v>0</v>
      </c>
      <c r="F608" s="6">
        <f>SUM(E602:E608)</f>
        <v>883.5</v>
      </c>
      <c r="G608" s="36" t="str">
        <f t="shared" si="105"/>
        <v>Farol Vermelho</v>
      </c>
      <c r="H608">
        <f t="shared" si="103"/>
        <v>9548.5125000000007</v>
      </c>
      <c r="I608" s="6">
        <f t="shared" si="104"/>
        <v>7</v>
      </c>
      <c r="J608" s="76">
        <v>12</v>
      </c>
      <c r="K608" s="66"/>
      <c r="L608" s="6">
        <f>$L602+L607</f>
        <v>7</v>
      </c>
      <c r="M608" s="6">
        <f t="shared" si="111"/>
        <v>2</v>
      </c>
      <c r="N608" s="77">
        <v>100</v>
      </c>
      <c r="O608">
        <f t="shared" si="106"/>
        <v>0.5</v>
      </c>
      <c r="P608" s="77">
        <v>50</v>
      </c>
      <c r="Q608">
        <f t="shared" si="107"/>
        <v>0.3</v>
      </c>
      <c r="R608" s="75">
        <v>15</v>
      </c>
      <c r="S608" s="6">
        <f t="shared" si="108"/>
        <v>0.15</v>
      </c>
    </row>
    <row r="609" spans="1:19" x14ac:dyDescent="0.3">
      <c r="A609" s="37" t="s">
        <v>43</v>
      </c>
      <c r="B609" s="6" t="s">
        <v>165</v>
      </c>
      <c r="C609" s="77">
        <v>17883.45</v>
      </c>
      <c r="D609" s="6">
        <f>(C609/12)*8</f>
        <v>11922.300000000001</v>
      </c>
      <c r="E609" s="66">
        <v>0</v>
      </c>
      <c r="F609" s="6">
        <f>SUM(E602:E609)</f>
        <v>883.5</v>
      </c>
      <c r="G609" s="36" t="str">
        <f t="shared" si="105"/>
        <v>Farol Vermelho</v>
      </c>
      <c r="H609">
        <f t="shared" si="103"/>
        <v>11038.800000000001</v>
      </c>
      <c r="I609" s="6">
        <f t="shared" si="104"/>
        <v>8</v>
      </c>
      <c r="J609" s="76">
        <v>12</v>
      </c>
      <c r="K609" s="66"/>
      <c r="L609" s="6">
        <f>L602+L608</f>
        <v>8</v>
      </c>
      <c r="M609" s="6">
        <f t="shared" si="111"/>
        <v>2</v>
      </c>
      <c r="N609" s="77">
        <v>100</v>
      </c>
      <c r="O609">
        <f t="shared" si="106"/>
        <v>0.5</v>
      </c>
      <c r="P609" s="77">
        <v>50</v>
      </c>
      <c r="Q609">
        <f t="shared" si="107"/>
        <v>0.3</v>
      </c>
      <c r="R609" s="75">
        <v>15</v>
      </c>
      <c r="S609" s="6">
        <f t="shared" si="108"/>
        <v>0.15</v>
      </c>
    </row>
    <row r="610" spans="1:19" x14ac:dyDescent="0.3">
      <c r="A610" s="37" t="s">
        <v>43</v>
      </c>
      <c r="B610" s="6" t="s">
        <v>166</v>
      </c>
      <c r="C610" s="77">
        <v>17883.45</v>
      </c>
      <c r="D610" s="6">
        <f>(C610/12)*9</f>
        <v>13412.587500000001</v>
      </c>
      <c r="E610" s="66">
        <v>0</v>
      </c>
      <c r="F610" s="6">
        <f>SUM(E602:E610)</f>
        <v>883.5</v>
      </c>
      <c r="G610" s="36" t="str">
        <f t="shared" si="105"/>
        <v>Farol Vermelho</v>
      </c>
      <c r="H610">
        <f t="shared" si="103"/>
        <v>12529.087500000001</v>
      </c>
      <c r="I610" s="6">
        <f t="shared" si="104"/>
        <v>9</v>
      </c>
      <c r="J610" s="76">
        <v>12</v>
      </c>
      <c r="K610" s="66"/>
      <c r="L610" s="6">
        <f>$L602+L609</f>
        <v>9</v>
      </c>
      <c r="M610" s="6">
        <f t="shared" si="111"/>
        <v>2</v>
      </c>
      <c r="N610" s="77">
        <v>100</v>
      </c>
      <c r="O610">
        <f t="shared" si="106"/>
        <v>0.5</v>
      </c>
      <c r="P610" s="77">
        <v>50</v>
      </c>
      <c r="Q610">
        <f t="shared" si="107"/>
        <v>0.3</v>
      </c>
      <c r="R610" s="75">
        <v>15</v>
      </c>
      <c r="S610" s="6">
        <f t="shared" si="108"/>
        <v>0.15</v>
      </c>
    </row>
    <row r="611" spans="1:19" x14ac:dyDescent="0.3">
      <c r="A611" s="37" t="s">
        <v>43</v>
      </c>
      <c r="B611" s="6" t="s">
        <v>167</v>
      </c>
      <c r="C611" s="77">
        <v>17883.45</v>
      </c>
      <c r="D611" s="6">
        <f>(C611/12)*10</f>
        <v>14902.875000000002</v>
      </c>
      <c r="E611" s="66">
        <v>0</v>
      </c>
      <c r="F611" s="6">
        <f>SUM(E602:E611)</f>
        <v>883.5</v>
      </c>
      <c r="G611" s="36" t="str">
        <f t="shared" si="105"/>
        <v>Farol Vermelho</v>
      </c>
      <c r="H611">
        <f t="shared" si="103"/>
        <v>14019.375000000002</v>
      </c>
      <c r="I611" s="6">
        <f t="shared" si="104"/>
        <v>10</v>
      </c>
      <c r="J611" s="76">
        <v>12</v>
      </c>
      <c r="K611" s="66"/>
      <c r="L611" s="6">
        <f>$L602+L610</f>
        <v>10</v>
      </c>
      <c r="M611" s="6">
        <f t="shared" si="111"/>
        <v>2</v>
      </c>
      <c r="N611" s="77">
        <v>100</v>
      </c>
      <c r="O611">
        <f t="shared" si="106"/>
        <v>0.5</v>
      </c>
      <c r="P611" s="77">
        <v>50</v>
      </c>
      <c r="Q611">
        <f t="shared" si="107"/>
        <v>0.3</v>
      </c>
      <c r="R611" s="75">
        <v>15</v>
      </c>
      <c r="S611" s="6">
        <f t="shared" si="108"/>
        <v>0.15</v>
      </c>
    </row>
    <row r="612" spans="1:19" x14ac:dyDescent="0.3">
      <c r="A612" s="37" t="s">
        <v>43</v>
      </c>
      <c r="B612" s="6" t="s">
        <v>168</v>
      </c>
      <c r="C612" s="77">
        <v>17883.45</v>
      </c>
      <c r="D612" s="6">
        <f>(C612/12)*11</f>
        <v>16393.162500000002</v>
      </c>
      <c r="E612" s="66">
        <v>0</v>
      </c>
      <c r="F612" s="6">
        <f>SUM(E602:E612)</f>
        <v>883.5</v>
      </c>
      <c r="G612" s="36" t="str">
        <f t="shared" si="105"/>
        <v>Farol Vermelho</v>
      </c>
      <c r="H612">
        <f t="shared" si="103"/>
        <v>15509.662500000002</v>
      </c>
      <c r="I612" s="6">
        <f t="shared" si="104"/>
        <v>11</v>
      </c>
      <c r="J612" s="76">
        <v>12</v>
      </c>
      <c r="K612" s="66"/>
      <c r="L612" s="6">
        <f>L602+L611</f>
        <v>11</v>
      </c>
      <c r="M612" s="6">
        <f t="shared" si="111"/>
        <v>2</v>
      </c>
      <c r="N612" s="77">
        <v>100</v>
      </c>
      <c r="O612">
        <f t="shared" si="106"/>
        <v>0.5</v>
      </c>
      <c r="P612" s="77">
        <v>50</v>
      </c>
      <c r="Q612">
        <f t="shared" si="107"/>
        <v>0.3</v>
      </c>
      <c r="R612" s="75">
        <v>15</v>
      </c>
      <c r="S612" s="6">
        <f t="shared" si="108"/>
        <v>0.15</v>
      </c>
    </row>
    <row r="613" spans="1:19" x14ac:dyDescent="0.3">
      <c r="A613" s="37" t="s">
        <v>43</v>
      </c>
      <c r="B613" s="6" t="s">
        <v>169</v>
      </c>
      <c r="C613" s="77">
        <v>17883.45</v>
      </c>
      <c r="D613" s="6">
        <f>(C613/12)*12</f>
        <v>17883.45</v>
      </c>
      <c r="E613" s="66">
        <v>0</v>
      </c>
      <c r="F613" s="6">
        <f>SUM(E602:E613)</f>
        <v>883.5</v>
      </c>
      <c r="G613" s="36" t="str">
        <f t="shared" si="105"/>
        <v>Farol Vermelho</v>
      </c>
      <c r="H613">
        <f t="shared" si="103"/>
        <v>16999.95</v>
      </c>
      <c r="I613" s="6">
        <f t="shared" si="104"/>
        <v>12</v>
      </c>
      <c r="J613" s="76">
        <v>12</v>
      </c>
      <c r="K613" s="66"/>
      <c r="L613" s="6">
        <f>$L602+L612</f>
        <v>12</v>
      </c>
      <c r="M613" s="6">
        <f t="shared" si="111"/>
        <v>2</v>
      </c>
      <c r="N613" s="77">
        <v>100</v>
      </c>
      <c r="O613">
        <f t="shared" si="106"/>
        <v>0.5</v>
      </c>
      <c r="P613" s="77">
        <v>50</v>
      </c>
      <c r="Q613">
        <f t="shared" si="107"/>
        <v>0.3</v>
      </c>
      <c r="R613" s="75">
        <v>15</v>
      </c>
      <c r="S613" s="6">
        <f t="shared" si="108"/>
        <v>0.15</v>
      </c>
    </row>
    <row r="614" spans="1:19" x14ac:dyDescent="0.3">
      <c r="A614" s="37" t="s">
        <v>112</v>
      </c>
      <c r="B614" s="6" t="s">
        <v>158</v>
      </c>
      <c r="C614" s="77">
        <v>30000</v>
      </c>
      <c r="D614" s="6">
        <f>(C614/12)*1</f>
        <v>2500</v>
      </c>
      <c r="E614" s="66">
        <v>0</v>
      </c>
      <c r="F614" s="6">
        <f>E614</f>
        <v>0</v>
      </c>
      <c r="G614" s="36" t="str">
        <f t="shared" si="105"/>
        <v>Farol Vermelho</v>
      </c>
      <c r="H614">
        <f t="shared" si="103"/>
        <v>2500</v>
      </c>
      <c r="I614" s="6">
        <f t="shared" si="104"/>
        <v>1</v>
      </c>
      <c r="J614" s="76">
        <v>12</v>
      </c>
      <c r="K614" s="66">
        <v>0</v>
      </c>
      <c r="L614" s="6">
        <f>J614/12</f>
        <v>1</v>
      </c>
      <c r="M614" s="6">
        <f>K614</f>
        <v>0</v>
      </c>
      <c r="N614" s="77">
        <v>100</v>
      </c>
      <c r="O614">
        <f t="shared" si="106"/>
        <v>0.5</v>
      </c>
      <c r="P614" s="77">
        <v>50</v>
      </c>
      <c r="Q614">
        <f t="shared" si="107"/>
        <v>0.3</v>
      </c>
      <c r="R614" s="75">
        <v>15</v>
      </c>
      <c r="S614" s="6">
        <f t="shared" si="108"/>
        <v>0.15</v>
      </c>
    </row>
    <row r="615" spans="1:19" x14ac:dyDescent="0.3">
      <c r="A615" s="37" t="s">
        <v>112</v>
      </c>
      <c r="B615" s="6" t="s">
        <v>159</v>
      </c>
      <c r="C615" s="77">
        <v>30000</v>
      </c>
      <c r="D615" s="6">
        <f>(C615/12)*2</f>
        <v>5000</v>
      </c>
      <c r="E615" s="66">
        <v>0</v>
      </c>
      <c r="F615" s="6">
        <f>SUM(E614:E615)</f>
        <v>0</v>
      </c>
      <c r="G615" s="36" t="str">
        <f t="shared" si="105"/>
        <v>Farol Vermelho</v>
      </c>
      <c r="H615">
        <f t="shared" si="103"/>
        <v>5000</v>
      </c>
      <c r="I615" s="6">
        <f t="shared" si="104"/>
        <v>2</v>
      </c>
      <c r="J615" s="76">
        <v>12</v>
      </c>
      <c r="K615" s="66">
        <v>0</v>
      </c>
      <c r="L615" s="6">
        <f>L614+L614</f>
        <v>2</v>
      </c>
      <c r="M615" s="6">
        <f>M614+K615</f>
        <v>0</v>
      </c>
      <c r="N615" s="77">
        <v>100</v>
      </c>
      <c r="O615">
        <f t="shared" si="106"/>
        <v>0.5</v>
      </c>
      <c r="P615" s="77">
        <v>50</v>
      </c>
      <c r="Q615">
        <f t="shared" si="107"/>
        <v>0.3</v>
      </c>
      <c r="R615" s="75">
        <v>15</v>
      </c>
      <c r="S615" s="6">
        <f t="shared" si="108"/>
        <v>0.15</v>
      </c>
    </row>
    <row r="616" spans="1:19" x14ac:dyDescent="0.3">
      <c r="A616" s="37" t="s">
        <v>112</v>
      </c>
      <c r="B616" s="6" t="s">
        <v>160</v>
      </c>
      <c r="C616" s="77">
        <v>30000</v>
      </c>
      <c r="D616" s="6">
        <f>(C616/12)*3</f>
        <v>7500</v>
      </c>
      <c r="E616" s="66">
        <v>0</v>
      </c>
      <c r="F616" s="6">
        <f>SUM(E614:E616)</f>
        <v>0</v>
      </c>
      <c r="G616" s="36" t="str">
        <f t="shared" si="105"/>
        <v>Farol Vermelho</v>
      </c>
      <c r="H616">
        <f t="shared" si="103"/>
        <v>7500</v>
      </c>
      <c r="I616" s="6">
        <f t="shared" si="104"/>
        <v>3</v>
      </c>
      <c r="J616" s="76">
        <v>12</v>
      </c>
      <c r="K616" s="66">
        <v>0</v>
      </c>
      <c r="L616" s="6">
        <f>$L614+L615</f>
        <v>3</v>
      </c>
      <c r="M616" s="6">
        <f t="shared" ref="M616:M625" si="112">M615+K616</f>
        <v>0</v>
      </c>
      <c r="N616" s="77">
        <v>100</v>
      </c>
      <c r="O616">
        <f t="shared" si="106"/>
        <v>0.5</v>
      </c>
      <c r="P616" s="77">
        <v>50</v>
      </c>
      <c r="Q616">
        <f t="shared" si="107"/>
        <v>0.3</v>
      </c>
      <c r="R616" s="75">
        <v>15</v>
      </c>
      <c r="S616" s="6">
        <f t="shared" si="108"/>
        <v>0.15</v>
      </c>
    </row>
    <row r="617" spans="1:19" x14ac:dyDescent="0.3">
      <c r="A617" s="37" t="s">
        <v>112</v>
      </c>
      <c r="B617" s="6" t="s">
        <v>161</v>
      </c>
      <c r="C617" s="77">
        <v>30000</v>
      </c>
      <c r="D617" s="6">
        <f>(C617/12)*4</f>
        <v>10000</v>
      </c>
      <c r="E617" s="66">
        <v>0</v>
      </c>
      <c r="F617" s="6">
        <f>SUM(E614:E617)</f>
        <v>0</v>
      </c>
      <c r="G617" s="36" t="str">
        <f t="shared" si="105"/>
        <v>Farol Vermelho</v>
      </c>
      <c r="H617">
        <f t="shared" si="103"/>
        <v>10000</v>
      </c>
      <c r="I617" s="6">
        <f t="shared" si="104"/>
        <v>4</v>
      </c>
      <c r="J617" s="76">
        <v>12</v>
      </c>
      <c r="K617" s="66">
        <v>0</v>
      </c>
      <c r="L617" s="6">
        <f>$L614+L616</f>
        <v>4</v>
      </c>
      <c r="M617" s="6">
        <f t="shared" si="112"/>
        <v>0</v>
      </c>
      <c r="N617" s="77">
        <v>100</v>
      </c>
      <c r="O617">
        <f t="shared" si="106"/>
        <v>0.5</v>
      </c>
      <c r="P617" s="77">
        <v>50</v>
      </c>
      <c r="Q617">
        <f t="shared" si="107"/>
        <v>0.3</v>
      </c>
      <c r="R617" s="75">
        <v>15</v>
      </c>
      <c r="S617" s="6">
        <f t="shared" si="108"/>
        <v>0.15</v>
      </c>
    </row>
    <row r="618" spans="1:19" x14ac:dyDescent="0.3">
      <c r="A618" s="37" t="s">
        <v>112</v>
      </c>
      <c r="B618" s="6" t="s">
        <v>162</v>
      </c>
      <c r="C618" s="77">
        <v>30000</v>
      </c>
      <c r="D618" s="6">
        <f>(C618/12)*5</f>
        <v>12500</v>
      </c>
      <c r="E618" s="66">
        <v>0</v>
      </c>
      <c r="F618" s="6">
        <f>SUM(E614:E618)</f>
        <v>0</v>
      </c>
      <c r="G618" s="36" t="str">
        <f t="shared" si="105"/>
        <v>Farol Vermelho</v>
      </c>
      <c r="H618">
        <f t="shared" si="103"/>
        <v>12500</v>
      </c>
      <c r="I618" s="6">
        <f t="shared" si="104"/>
        <v>5</v>
      </c>
      <c r="J618" s="76">
        <v>12</v>
      </c>
      <c r="K618" s="66"/>
      <c r="L618" s="6">
        <f>L614+L617</f>
        <v>5</v>
      </c>
      <c r="M618" s="6">
        <f t="shared" si="112"/>
        <v>0</v>
      </c>
      <c r="N618" s="77">
        <v>100</v>
      </c>
      <c r="O618">
        <f t="shared" si="106"/>
        <v>0.5</v>
      </c>
      <c r="P618" s="77">
        <v>50</v>
      </c>
      <c r="Q618">
        <f t="shared" si="107"/>
        <v>0.3</v>
      </c>
      <c r="R618" s="75">
        <v>15</v>
      </c>
      <c r="S618" s="6">
        <f t="shared" si="108"/>
        <v>0.15</v>
      </c>
    </row>
    <row r="619" spans="1:19" x14ac:dyDescent="0.3">
      <c r="A619" s="37" t="s">
        <v>112</v>
      </c>
      <c r="B619" s="6" t="s">
        <v>163</v>
      </c>
      <c r="C619" s="77">
        <v>30000</v>
      </c>
      <c r="D619" s="6">
        <f>(C619/12)*6</f>
        <v>15000</v>
      </c>
      <c r="E619" s="66">
        <v>0</v>
      </c>
      <c r="F619" s="6">
        <f>SUM(E614:E619)</f>
        <v>0</v>
      </c>
      <c r="G619" s="36" t="str">
        <f t="shared" si="105"/>
        <v>Farol Vermelho</v>
      </c>
      <c r="H619">
        <f t="shared" si="103"/>
        <v>15000</v>
      </c>
      <c r="I619" s="6">
        <f t="shared" si="104"/>
        <v>6</v>
      </c>
      <c r="J619" s="76">
        <v>12</v>
      </c>
      <c r="K619" s="66"/>
      <c r="L619" s="6">
        <f>$L614+L618</f>
        <v>6</v>
      </c>
      <c r="M619" s="6">
        <f t="shared" si="112"/>
        <v>0</v>
      </c>
      <c r="N619" s="77">
        <v>100</v>
      </c>
      <c r="O619">
        <f t="shared" si="106"/>
        <v>0.5</v>
      </c>
      <c r="P619" s="77">
        <v>50</v>
      </c>
      <c r="Q619">
        <f t="shared" si="107"/>
        <v>0.3</v>
      </c>
      <c r="R619" s="75">
        <v>15</v>
      </c>
      <c r="S619" s="6">
        <f t="shared" si="108"/>
        <v>0.15</v>
      </c>
    </row>
    <row r="620" spans="1:19" x14ac:dyDescent="0.3">
      <c r="A620" s="37" t="s">
        <v>112</v>
      </c>
      <c r="B620" s="6" t="s">
        <v>164</v>
      </c>
      <c r="C620" s="77">
        <v>30000</v>
      </c>
      <c r="D620" s="6">
        <f>(C620/12)*7</f>
        <v>17500</v>
      </c>
      <c r="E620" s="66">
        <v>0</v>
      </c>
      <c r="F620" s="6">
        <f>SUM(E614:E620)</f>
        <v>0</v>
      </c>
      <c r="G620" s="36" t="str">
        <f t="shared" si="105"/>
        <v>Farol Vermelho</v>
      </c>
      <c r="H620">
        <f t="shared" si="103"/>
        <v>17500</v>
      </c>
      <c r="I620" s="6">
        <f t="shared" si="104"/>
        <v>7</v>
      </c>
      <c r="J620" s="76">
        <v>12</v>
      </c>
      <c r="K620" s="66"/>
      <c r="L620" s="6">
        <f>$L614+L619</f>
        <v>7</v>
      </c>
      <c r="M620" s="6">
        <f t="shared" si="112"/>
        <v>0</v>
      </c>
      <c r="N620" s="77">
        <v>100</v>
      </c>
      <c r="O620">
        <f t="shared" si="106"/>
        <v>0.5</v>
      </c>
      <c r="P620" s="77">
        <v>50</v>
      </c>
      <c r="Q620">
        <f t="shared" si="107"/>
        <v>0.3</v>
      </c>
      <c r="R620" s="75">
        <v>15</v>
      </c>
      <c r="S620" s="6">
        <f t="shared" si="108"/>
        <v>0.15</v>
      </c>
    </row>
    <row r="621" spans="1:19" x14ac:dyDescent="0.3">
      <c r="A621" s="37" t="s">
        <v>112</v>
      </c>
      <c r="B621" s="6" t="s">
        <v>165</v>
      </c>
      <c r="C621" s="77">
        <v>30000</v>
      </c>
      <c r="D621" s="6">
        <f>(C621/12)*8</f>
        <v>20000</v>
      </c>
      <c r="E621" s="66">
        <v>0</v>
      </c>
      <c r="F621" s="6">
        <f>SUM(E614:E621)</f>
        <v>0</v>
      </c>
      <c r="G621" s="36" t="str">
        <f t="shared" si="105"/>
        <v>Farol Vermelho</v>
      </c>
      <c r="H621">
        <f t="shared" si="103"/>
        <v>20000</v>
      </c>
      <c r="I621" s="6">
        <f t="shared" si="104"/>
        <v>8</v>
      </c>
      <c r="J621" s="76">
        <v>12</v>
      </c>
      <c r="K621" s="66"/>
      <c r="L621" s="6">
        <f>L614+L620</f>
        <v>8</v>
      </c>
      <c r="M621" s="6">
        <f t="shared" si="112"/>
        <v>0</v>
      </c>
      <c r="N621" s="77">
        <v>100</v>
      </c>
      <c r="O621">
        <f t="shared" si="106"/>
        <v>0.5</v>
      </c>
      <c r="P621" s="77">
        <v>50</v>
      </c>
      <c r="Q621">
        <f t="shared" si="107"/>
        <v>0.3</v>
      </c>
      <c r="R621" s="75">
        <v>15</v>
      </c>
      <c r="S621" s="6">
        <f t="shared" si="108"/>
        <v>0.15</v>
      </c>
    </row>
    <row r="622" spans="1:19" x14ac:dyDescent="0.3">
      <c r="A622" s="37" t="s">
        <v>112</v>
      </c>
      <c r="B622" s="6" t="s">
        <v>166</v>
      </c>
      <c r="C622" s="77">
        <v>30000</v>
      </c>
      <c r="D622" s="6">
        <f>(C622/12)*9</f>
        <v>22500</v>
      </c>
      <c r="E622" s="66">
        <v>0</v>
      </c>
      <c r="F622" s="6">
        <f>SUM(E614:E622)</f>
        <v>0</v>
      </c>
      <c r="G622" s="36" t="str">
        <f t="shared" si="105"/>
        <v>Farol Vermelho</v>
      </c>
      <c r="H622">
        <f t="shared" si="103"/>
        <v>22500</v>
      </c>
      <c r="I622" s="6">
        <f t="shared" si="104"/>
        <v>9</v>
      </c>
      <c r="J622" s="76">
        <v>12</v>
      </c>
      <c r="K622" s="66"/>
      <c r="L622" s="6">
        <f>$L614+L621</f>
        <v>9</v>
      </c>
      <c r="M622" s="6">
        <f t="shared" si="112"/>
        <v>0</v>
      </c>
      <c r="N622" s="77">
        <v>100</v>
      </c>
      <c r="O622">
        <f t="shared" si="106"/>
        <v>0.5</v>
      </c>
      <c r="P622" s="77">
        <v>50</v>
      </c>
      <c r="Q622">
        <f t="shared" si="107"/>
        <v>0.3</v>
      </c>
      <c r="R622" s="75">
        <v>15</v>
      </c>
      <c r="S622" s="6">
        <f t="shared" si="108"/>
        <v>0.15</v>
      </c>
    </row>
    <row r="623" spans="1:19" x14ac:dyDescent="0.3">
      <c r="A623" s="37" t="s">
        <v>112</v>
      </c>
      <c r="B623" s="6" t="s">
        <v>167</v>
      </c>
      <c r="C623" s="77">
        <v>30000</v>
      </c>
      <c r="D623" s="6">
        <f>(C623/12)*10</f>
        <v>25000</v>
      </c>
      <c r="E623" s="66">
        <v>0</v>
      </c>
      <c r="F623" s="6">
        <f>SUM(E614:E623)</f>
        <v>0</v>
      </c>
      <c r="G623" s="36" t="str">
        <f t="shared" si="105"/>
        <v>Farol Vermelho</v>
      </c>
      <c r="H623">
        <f t="shared" si="103"/>
        <v>25000</v>
      </c>
      <c r="I623" s="6">
        <f t="shared" si="104"/>
        <v>10</v>
      </c>
      <c r="J623" s="76">
        <v>12</v>
      </c>
      <c r="K623" s="66"/>
      <c r="L623" s="6">
        <f>$L614+L622</f>
        <v>10</v>
      </c>
      <c r="M623" s="6">
        <f t="shared" si="112"/>
        <v>0</v>
      </c>
      <c r="N623" s="77">
        <v>100</v>
      </c>
      <c r="O623">
        <f t="shared" si="106"/>
        <v>0.5</v>
      </c>
      <c r="P623" s="77">
        <v>50</v>
      </c>
      <c r="Q623">
        <f t="shared" si="107"/>
        <v>0.3</v>
      </c>
      <c r="R623" s="75">
        <v>15</v>
      </c>
      <c r="S623" s="6">
        <f t="shared" si="108"/>
        <v>0.15</v>
      </c>
    </row>
    <row r="624" spans="1:19" x14ac:dyDescent="0.3">
      <c r="A624" s="37" t="s">
        <v>112</v>
      </c>
      <c r="B624" s="6" t="s">
        <v>168</v>
      </c>
      <c r="C624" s="77">
        <v>30000</v>
      </c>
      <c r="D624" s="6">
        <f>(C624/12)*11</f>
        <v>27500</v>
      </c>
      <c r="E624" s="66">
        <v>0</v>
      </c>
      <c r="F624" s="6">
        <f>SUM(E614:E624)</f>
        <v>0</v>
      </c>
      <c r="G624" s="36" t="str">
        <f t="shared" si="105"/>
        <v>Farol Vermelho</v>
      </c>
      <c r="H624">
        <f t="shared" si="103"/>
        <v>27500</v>
      </c>
      <c r="I624" s="6">
        <f t="shared" si="104"/>
        <v>11</v>
      </c>
      <c r="J624" s="76">
        <v>12</v>
      </c>
      <c r="K624" s="66"/>
      <c r="L624" s="6">
        <f>L614+L623</f>
        <v>11</v>
      </c>
      <c r="M624" s="6">
        <f t="shared" si="112"/>
        <v>0</v>
      </c>
      <c r="N624" s="77">
        <v>100</v>
      </c>
      <c r="O624">
        <f t="shared" si="106"/>
        <v>0.5</v>
      </c>
      <c r="P624" s="77">
        <v>50</v>
      </c>
      <c r="Q624">
        <f t="shared" si="107"/>
        <v>0.3</v>
      </c>
      <c r="R624" s="75">
        <v>15</v>
      </c>
      <c r="S624" s="6">
        <f t="shared" si="108"/>
        <v>0.15</v>
      </c>
    </row>
    <row r="625" spans="1:19" x14ac:dyDescent="0.3">
      <c r="A625" s="37" t="s">
        <v>112</v>
      </c>
      <c r="B625" s="6" t="s">
        <v>169</v>
      </c>
      <c r="C625" s="77">
        <v>30000</v>
      </c>
      <c r="D625" s="6">
        <f>(C625/12)*12</f>
        <v>30000</v>
      </c>
      <c r="E625" s="66">
        <v>0</v>
      </c>
      <c r="F625" s="6">
        <f>SUM(E614:E625)</f>
        <v>0</v>
      </c>
      <c r="G625" s="36" t="str">
        <f t="shared" si="105"/>
        <v>Farol Vermelho</v>
      </c>
      <c r="H625">
        <f t="shared" si="103"/>
        <v>30000</v>
      </c>
      <c r="I625" s="6">
        <f t="shared" si="104"/>
        <v>12</v>
      </c>
      <c r="J625" s="76">
        <v>12</v>
      </c>
      <c r="K625" s="66"/>
      <c r="L625" s="6">
        <f>$L614+L624</f>
        <v>12</v>
      </c>
      <c r="M625" s="6">
        <f t="shared" si="112"/>
        <v>0</v>
      </c>
      <c r="N625" s="77">
        <v>100</v>
      </c>
      <c r="O625">
        <f t="shared" si="106"/>
        <v>0.5</v>
      </c>
      <c r="P625" s="77">
        <v>50</v>
      </c>
      <c r="Q625">
        <f t="shared" si="107"/>
        <v>0.3</v>
      </c>
      <c r="R625" s="75">
        <v>15</v>
      </c>
      <c r="S625" s="6">
        <f t="shared" si="108"/>
        <v>0.15</v>
      </c>
    </row>
    <row r="626" spans="1:19" x14ac:dyDescent="0.3">
      <c r="A626" s="37" t="s">
        <v>135</v>
      </c>
      <c r="B626" s="6" t="s">
        <v>158</v>
      </c>
      <c r="C626" s="77">
        <v>8000</v>
      </c>
      <c r="D626" s="6">
        <f>(C626/12)*1</f>
        <v>666.66666666666663</v>
      </c>
      <c r="E626" s="66">
        <v>0</v>
      </c>
      <c r="F626" s="6">
        <f>E626</f>
        <v>0</v>
      </c>
      <c r="G626" s="36" t="str">
        <f>_xlfn.IFS(F626&gt;D626,"Farol Verde",F626&gt;=D626*0.85,"Farol Amarelo",F626&lt;D626*0.85,"Farol Vermelho","Verdadeiro",0)</f>
        <v>Farol Vermelho</v>
      </c>
      <c r="H626">
        <f t="shared" si="103"/>
        <v>666.66666666666663</v>
      </c>
      <c r="I626" s="6">
        <f t="shared" si="104"/>
        <v>1</v>
      </c>
      <c r="J626" s="76">
        <v>10</v>
      </c>
      <c r="K626" s="66">
        <v>0</v>
      </c>
      <c r="L626" s="6">
        <f>J626/12</f>
        <v>0.83333333333333337</v>
      </c>
      <c r="M626" s="6">
        <f>K626</f>
        <v>0</v>
      </c>
      <c r="N626" s="77">
        <v>100</v>
      </c>
      <c r="O626">
        <f t="shared" si="106"/>
        <v>0.5</v>
      </c>
      <c r="P626" s="77">
        <v>50</v>
      </c>
      <c r="Q626">
        <f t="shared" si="107"/>
        <v>0.3</v>
      </c>
      <c r="R626" s="75">
        <v>15</v>
      </c>
      <c r="S626" s="6">
        <f t="shared" si="108"/>
        <v>0.15</v>
      </c>
    </row>
    <row r="627" spans="1:19" x14ac:dyDescent="0.3">
      <c r="A627" s="37" t="s">
        <v>135</v>
      </c>
      <c r="B627" s="6" t="s">
        <v>159</v>
      </c>
      <c r="C627" s="77">
        <v>8000</v>
      </c>
      <c r="D627" s="6">
        <f>(C627/12)*2</f>
        <v>1333.3333333333333</v>
      </c>
      <c r="E627" s="66">
        <v>0</v>
      </c>
      <c r="F627" s="6">
        <f>SUM(E626:E627)</f>
        <v>0</v>
      </c>
      <c r="G627" s="36" t="str">
        <f t="shared" si="105"/>
        <v>Farol Vermelho</v>
      </c>
      <c r="H627">
        <f t="shared" si="103"/>
        <v>1333.3333333333333</v>
      </c>
      <c r="I627" s="6">
        <f t="shared" si="104"/>
        <v>2</v>
      </c>
      <c r="J627" s="76">
        <v>10</v>
      </c>
      <c r="K627" s="66">
        <v>0</v>
      </c>
      <c r="L627" s="6">
        <f>L626+L626</f>
        <v>1.6666666666666667</v>
      </c>
      <c r="M627" s="6">
        <f>M626+K627</f>
        <v>0</v>
      </c>
      <c r="N627" s="77">
        <v>100</v>
      </c>
      <c r="O627">
        <f t="shared" si="106"/>
        <v>0.5</v>
      </c>
      <c r="P627" s="77">
        <v>50</v>
      </c>
      <c r="Q627">
        <f t="shared" si="107"/>
        <v>0.3</v>
      </c>
      <c r="R627" s="75">
        <v>15</v>
      </c>
      <c r="S627" s="6">
        <f t="shared" si="108"/>
        <v>0.15</v>
      </c>
    </row>
    <row r="628" spans="1:19" x14ac:dyDescent="0.3">
      <c r="A628" s="37" t="s">
        <v>135</v>
      </c>
      <c r="B628" s="6" t="s">
        <v>160</v>
      </c>
      <c r="C628" s="77">
        <v>8000</v>
      </c>
      <c r="D628" s="6">
        <f>(C628/12)*3</f>
        <v>2000</v>
      </c>
      <c r="E628" s="66">
        <v>0</v>
      </c>
      <c r="F628" s="6">
        <f>SUM(E626:E628)</f>
        <v>0</v>
      </c>
      <c r="G628" s="36" t="str">
        <f t="shared" si="105"/>
        <v>Farol Vermelho</v>
      </c>
      <c r="H628">
        <f t="shared" si="103"/>
        <v>2000</v>
      </c>
      <c r="I628" s="6">
        <f t="shared" si="104"/>
        <v>3</v>
      </c>
      <c r="J628" s="76">
        <v>10</v>
      </c>
      <c r="K628" s="66">
        <v>0</v>
      </c>
      <c r="L628" s="6">
        <f>$L626+L627</f>
        <v>2.5</v>
      </c>
      <c r="M628" s="6">
        <f t="shared" ref="M628:M637" si="113">M627+K628</f>
        <v>0</v>
      </c>
      <c r="N628" s="77">
        <v>100</v>
      </c>
      <c r="O628">
        <f t="shared" si="106"/>
        <v>0.5</v>
      </c>
      <c r="P628" s="77">
        <v>50</v>
      </c>
      <c r="Q628">
        <f t="shared" si="107"/>
        <v>0.3</v>
      </c>
      <c r="R628" s="75">
        <v>15</v>
      </c>
      <c r="S628" s="6">
        <f t="shared" si="108"/>
        <v>0.15</v>
      </c>
    </row>
    <row r="629" spans="1:19" x14ac:dyDescent="0.3">
      <c r="A629" s="37" t="s">
        <v>135</v>
      </c>
      <c r="B629" s="6" t="s">
        <v>161</v>
      </c>
      <c r="C629" s="77">
        <v>8000</v>
      </c>
      <c r="D629" s="6">
        <f>(C629/12)*4</f>
        <v>2666.6666666666665</v>
      </c>
      <c r="E629" s="66">
        <v>0</v>
      </c>
      <c r="F629" s="6">
        <f>SUM(E626:E629)</f>
        <v>0</v>
      </c>
      <c r="G629" s="36" t="str">
        <f t="shared" si="105"/>
        <v>Farol Vermelho</v>
      </c>
      <c r="H629">
        <f t="shared" si="103"/>
        <v>2666.6666666666665</v>
      </c>
      <c r="I629" s="6">
        <f t="shared" si="104"/>
        <v>4</v>
      </c>
      <c r="J629" s="76">
        <v>10</v>
      </c>
      <c r="K629" s="66">
        <v>0</v>
      </c>
      <c r="L629" s="6">
        <f>$L626+L628</f>
        <v>3.3333333333333335</v>
      </c>
      <c r="M629" s="6">
        <f t="shared" si="113"/>
        <v>0</v>
      </c>
      <c r="N629" s="77">
        <v>100</v>
      </c>
      <c r="O629">
        <f t="shared" si="106"/>
        <v>0.5</v>
      </c>
      <c r="P629" s="77">
        <v>50</v>
      </c>
      <c r="Q629">
        <f t="shared" si="107"/>
        <v>0.3</v>
      </c>
      <c r="R629" s="75">
        <v>15</v>
      </c>
      <c r="S629" s="6">
        <f t="shared" si="108"/>
        <v>0.15</v>
      </c>
    </row>
    <row r="630" spans="1:19" x14ac:dyDescent="0.3">
      <c r="A630" s="37" t="s">
        <v>135</v>
      </c>
      <c r="B630" s="6" t="s">
        <v>162</v>
      </c>
      <c r="C630" s="77">
        <v>8000</v>
      </c>
      <c r="D630" s="6">
        <f>(C630/12)*5</f>
        <v>3333.333333333333</v>
      </c>
      <c r="E630" s="66">
        <v>0</v>
      </c>
      <c r="F630" s="6">
        <f>SUM(E626:E630)</f>
        <v>0</v>
      </c>
      <c r="G630" s="36" t="str">
        <f t="shared" si="105"/>
        <v>Farol Vermelho</v>
      </c>
      <c r="H630">
        <f t="shared" si="103"/>
        <v>3333.333333333333</v>
      </c>
      <c r="I630" s="6">
        <f t="shared" si="104"/>
        <v>5</v>
      </c>
      <c r="J630" s="76">
        <v>10</v>
      </c>
      <c r="K630" s="66"/>
      <c r="L630" s="6">
        <f>L626+L629</f>
        <v>4.166666666666667</v>
      </c>
      <c r="M630" s="6">
        <f t="shared" si="113"/>
        <v>0</v>
      </c>
      <c r="N630" s="77">
        <v>100</v>
      </c>
      <c r="O630">
        <f t="shared" si="106"/>
        <v>0.5</v>
      </c>
      <c r="P630" s="77">
        <v>50</v>
      </c>
      <c r="Q630">
        <f t="shared" si="107"/>
        <v>0.3</v>
      </c>
      <c r="R630" s="75">
        <v>15</v>
      </c>
      <c r="S630" s="6">
        <f t="shared" si="108"/>
        <v>0.15</v>
      </c>
    </row>
    <row r="631" spans="1:19" x14ac:dyDescent="0.3">
      <c r="A631" s="37" t="s">
        <v>135</v>
      </c>
      <c r="B631" s="6" t="s">
        <v>163</v>
      </c>
      <c r="C631" s="77">
        <v>8000</v>
      </c>
      <c r="D631" s="6">
        <f>(C631/12)*6</f>
        <v>4000</v>
      </c>
      <c r="E631" s="66">
        <v>0</v>
      </c>
      <c r="F631" s="6">
        <f>SUM(E626:E631)</f>
        <v>0</v>
      </c>
      <c r="G631" s="36" t="str">
        <f t="shared" si="105"/>
        <v>Farol Vermelho</v>
      </c>
      <c r="H631">
        <f t="shared" si="103"/>
        <v>4000</v>
      </c>
      <c r="I631" s="6">
        <f t="shared" si="104"/>
        <v>6</v>
      </c>
      <c r="J631" s="76">
        <v>10</v>
      </c>
      <c r="K631" s="66"/>
      <c r="L631" s="6">
        <f>$L626+L630</f>
        <v>5</v>
      </c>
      <c r="M631" s="6">
        <f t="shared" si="113"/>
        <v>0</v>
      </c>
      <c r="N631" s="77">
        <v>100</v>
      </c>
      <c r="O631">
        <f t="shared" si="106"/>
        <v>0.5</v>
      </c>
      <c r="P631" s="77">
        <v>50</v>
      </c>
      <c r="Q631">
        <f t="shared" si="107"/>
        <v>0.3</v>
      </c>
      <c r="R631" s="75">
        <v>15</v>
      </c>
      <c r="S631" s="6">
        <f t="shared" si="108"/>
        <v>0.15</v>
      </c>
    </row>
    <row r="632" spans="1:19" x14ac:dyDescent="0.3">
      <c r="A632" s="37" t="s">
        <v>135</v>
      </c>
      <c r="B632" s="6" t="s">
        <v>164</v>
      </c>
      <c r="C632" s="77">
        <v>8000</v>
      </c>
      <c r="D632" s="6">
        <f>(C632/12)*7</f>
        <v>4666.6666666666661</v>
      </c>
      <c r="E632" s="66">
        <v>0</v>
      </c>
      <c r="F632" s="6">
        <f>SUM(E626:E632)</f>
        <v>0</v>
      </c>
      <c r="G632" s="36" t="str">
        <f t="shared" si="105"/>
        <v>Farol Vermelho</v>
      </c>
      <c r="H632">
        <f t="shared" si="103"/>
        <v>4666.6666666666661</v>
      </c>
      <c r="I632" s="6">
        <f t="shared" si="104"/>
        <v>7</v>
      </c>
      <c r="J632" s="76">
        <v>10</v>
      </c>
      <c r="K632" s="66"/>
      <c r="L632" s="6">
        <f>$L626+L631</f>
        <v>5.833333333333333</v>
      </c>
      <c r="M632" s="6">
        <f t="shared" si="113"/>
        <v>0</v>
      </c>
      <c r="N632" s="77">
        <v>100</v>
      </c>
      <c r="O632">
        <f t="shared" si="106"/>
        <v>0.5</v>
      </c>
      <c r="P632" s="77">
        <v>50</v>
      </c>
      <c r="Q632">
        <f t="shared" si="107"/>
        <v>0.3</v>
      </c>
      <c r="R632" s="75">
        <v>15</v>
      </c>
      <c r="S632" s="6">
        <f t="shared" si="108"/>
        <v>0.15</v>
      </c>
    </row>
    <row r="633" spans="1:19" x14ac:dyDescent="0.3">
      <c r="A633" s="37" t="s">
        <v>135</v>
      </c>
      <c r="B633" s="6" t="s">
        <v>165</v>
      </c>
      <c r="C633" s="77">
        <v>8000</v>
      </c>
      <c r="D633" s="6">
        <f>(C633/12)*8</f>
        <v>5333.333333333333</v>
      </c>
      <c r="E633" s="66">
        <v>0</v>
      </c>
      <c r="F633" s="6">
        <f>SUM(E626:E633)</f>
        <v>0</v>
      </c>
      <c r="G633" s="36" t="str">
        <f t="shared" si="105"/>
        <v>Farol Vermelho</v>
      </c>
      <c r="H633">
        <f t="shared" si="103"/>
        <v>5333.333333333333</v>
      </c>
      <c r="I633" s="6">
        <f t="shared" si="104"/>
        <v>8</v>
      </c>
      <c r="J633" s="76">
        <v>10</v>
      </c>
      <c r="K633" s="66"/>
      <c r="L633" s="6">
        <f>L626+L632</f>
        <v>6.6666666666666661</v>
      </c>
      <c r="M633" s="6">
        <f t="shared" si="113"/>
        <v>0</v>
      </c>
      <c r="N633" s="77">
        <v>100</v>
      </c>
      <c r="O633">
        <f t="shared" si="106"/>
        <v>0.5</v>
      </c>
      <c r="P633" s="77">
        <v>50</v>
      </c>
      <c r="Q633">
        <f t="shared" si="107"/>
        <v>0.3</v>
      </c>
      <c r="R633" s="75">
        <v>15</v>
      </c>
      <c r="S633" s="6">
        <f t="shared" si="108"/>
        <v>0.15</v>
      </c>
    </row>
    <row r="634" spans="1:19" x14ac:dyDescent="0.3">
      <c r="A634" s="37" t="s">
        <v>135</v>
      </c>
      <c r="B634" s="6" t="s">
        <v>166</v>
      </c>
      <c r="C634" s="77">
        <v>8000</v>
      </c>
      <c r="D634" s="6">
        <f>(C634/12)*9</f>
        <v>6000</v>
      </c>
      <c r="E634" s="66">
        <v>0</v>
      </c>
      <c r="F634" s="6">
        <f>SUM(E626:E634)</f>
        <v>0</v>
      </c>
      <c r="G634" s="36" t="str">
        <f t="shared" si="105"/>
        <v>Farol Vermelho</v>
      </c>
      <c r="H634">
        <f t="shared" si="103"/>
        <v>6000</v>
      </c>
      <c r="I634" s="6">
        <f t="shared" si="104"/>
        <v>9</v>
      </c>
      <c r="J634" s="76">
        <v>10</v>
      </c>
      <c r="K634" s="66"/>
      <c r="L634" s="6">
        <f>$L626+L633</f>
        <v>7.4999999999999991</v>
      </c>
      <c r="M634" s="6">
        <f t="shared" si="113"/>
        <v>0</v>
      </c>
      <c r="N634" s="77">
        <v>100</v>
      </c>
      <c r="O634">
        <f t="shared" si="106"/>
        <v>0.5</v>
      </c>
      <c r="P634" s="77">
        <v>50</v>
      </c>
      <c r="Q634">
        <f t="shared" si="107"/>
        <v>0.3</v>
      </c>
      <c r="R634" s="75">
        <v>15</v>
      </c>
      <c r="S634" s="6">
        <f t="shared" si="108"/>
        <v>0.15</v>
      </c>
    </row>
    <row r="635" spans="1:19" x14ac:dyDescent="0.3">
      <c r="A635" s="37" t="s">
        <v>135</v>
      </c>
      <c r="B635" s="6" t="s">
        <v>167</v>
      </c>
      <c r="C635" s="77">
        <v>8000</v>
      </c>
      <c r="D635" s="6">
        <f>(C635/12)*10</f>
        <v>6666.6666666666661</v>
      </c>
      <c r="E635" s="66">
        <v>0</v>
      </c>
      <c r="F635" s="6">
        <f>SUM(E626:E635)</f>
        <v>0</v>
      </c>
      <c r="G635" s="36" t="str">
        <f t="shared" si="105"/>
        <v>Farol Vermelho</v>
      </c>
      <c r="H635">
        <f t="shared" si="103"/>
        <v>6666.6666666666661</v>
      </c>
      <c r="I635" s="6">
        <f t="shared" si="104"/>
        <v>10</v>
      </c>
      <c r="J635" s="76">
        <v>10</v>
      </c>
      <c r="K635" s="66"/>
      <c r="L635" s="6">
        <f>$L626+L634</f>
        <v>8.3333333333333321</v>
      </c>
      <c r="M635" s="6">
        <f t="shared" si="113"/>
        <v>0</v>
      </c>
      <c r="N635" s="77">
        <v>100</v>
      </c>
      <c r="O635">
        <f t="shared" si="106"/>
        <v>0.5</v>
      </c>
      <c r="P635" s="77">
        <v>50</v>
      </c>
      <c r="Q635">
        <f t="shared" si="107"/>
        <v>0.3</v>
      </c>
      <c r="R635" s="75">
        <v>15</v>
      </c>
      <c r="S635" s="6">
        <f t="shared" si="108"/>
        <v>0.15</v>
      </c>
    </row>
    <row r="636" spans="1:19" x14ac:dyDescent="0.3">
      <c r="A636" s="37" t="s">
        <v>135</v>
      </c>
      <c r="B636" s="6" t="s">
        <v>168</v>
      </c>
      <c r="C636" s="77">
        <v>8000</v>
      </c>
      <c r="D636" s="6">
        <f>(C636/12)*11</f>
        <v>7333.333333333333</v>
      </c>
      <c r="E636" s="66">
        <v>0</v>
      </c>
      <c r="F636" s="6">
        <f>SUM(E626:E636)</f>
        <v>0</v>
      </c>
      <c r="G636" s="36" t="str">
        <f t="shared" si="105"/>
        <v>Farol Vermelho</v>
      </c>
      <c r="H636">
        <f t="shared" si="103"/>
        <v>7333.333333333333</v>
      </c>
      <c r="I636" s="6">
        <f t="shared" si="104"/>
        <v>11</v>
      </c>
      <c r="J636" s="76">
        <v>10</v>
      </c>
      <c r="K636" s="66"/>
      <c r="L636" s="6">
        <f>L626+L635</f>
        <v>9.1666666666666661</v>
      </c>
      <c r="M636" s="6">
        <f t="shared" si="113"/>
        <v>0</v>
      </c>
      <c r="N636" s="77">
        <v>100</v>
      </c>
      <c r="O636">
        <f t="shared" si="106"/>
        <v>0.5</v>
      </c>
      <c r="P636" s="77">
        <v>50</v>
      </c>
      <c r="Q636">
        <f t="shared" si="107"/>
        <v>0.3</v>
      </c>
      <c r="R636" s="75">
        <v>15</v>
      </c>
      <c r="S636" s="6">
        <f t="shared" si="108"/>
        <v>0.15</v>
      </c>
    </row>
    <row r="637" spans="1:19" x14ac:dyDescent="0.3">
      <c r="A637" s="37" t="s">
        <v>135</v>
      </c>
      <c r="B637" s="6" t="s">
        <v>169</v>
      </c>
      <c r="C637" s="77">
        <v>8000</v>
      </c>
      <c r="D637" s="6">
        <f>(C637/12)*12</f>
        <v>8000</v>
      </c>
      <c r="E637" s="66">
        <v>0</v>
      </c>
      <c r="F637" s="6">
        <f>SUM(E626:E637)</f>
        <v>0</v>
      </c>
      <c r="G637" s="36" t="str">
        <f t="shared" si="105"/>
        <v>Farol Vermelho</v>
      </c>
      <c r="H637">
        <f t="shared" si="103"/>
        <v>8000</v>
      </c>
      <c r="I637" s="6">
        <f t="shared" si="104"/>
        <v>12</v>
      </c>
      <c r="J637" s="76">
        <v>10</v>
      </c>
      <c r="K637" s="66"/>
      <c r="L637" s="6">
        <f>$L626+L636</f>
        <v>10</v>
      </c>
      <c r="M637" s="6">
        <f t="shared" si="113"/>
        <v>0</v>
      </c>
      <c r="N637" s="77">
        <v>100</v>
      </c>
      <c r="O637">
        <f t="shared" si="106"/>
        <v>0.5</v>
      </c>
      <c r="P637" s="77">
        <v>50</v>
      </c>
      <c r="Q637">
        <f t="shared" si="107"/>
        <v>0.3</v>
      </c>
      <c r="R637" s="75">
        <v>15</v>
      </c>
      <c r="S637" s="6">
        <f t="shared" si="108"/>
        <v>0.15</v>
      </c>
    </row>
    <row r="638" spans="1:19" x14ac:dyDescent="0.3">
      <c r="A638" s="37" t="s">
        <v>131</v>
      </c>
      <c r="B638" s="6" t="s">
        <v>158</v>
      </c>
      <c r="C638" s="77">
        <v>13830.5</v>
      </c>
      <c r="D638" s="6">
        <f>(C638/12)*1</f>
        <v>1152.5416666666667</v>
      </c>
      <c r="E638" s="66">
        <v>0</v>
      </c>
      <c r="F638" s="6">
        <f>E638</f>
        <v>0</v>
      </c>
      <c r="G638" s="36" t="str">
        <f t="shared" si="105"/>
        <v>Farol Vermelho</v>
      </c>
      <c r="H638">
        <f t="shared" si="103"/>
        <v>1152.5416666666667</v>
      </c>
      <c r="I638" s="6">
        <f t="shared" si="104"/>
        <v>1</v>
      </c>
      <c r="J638" s="76">
        <v>8</v>
      </c>
      <c r="K638" s="66">
        <v>0</v>
      </c>
      <c r="L638" s="6">
        <f>J638/12</f>
        <v>0.66666666666666663</v>
      </c>
      <c r="M638" s="6">
        <f>K638</f>
        <v>0</v>
      </c>
      <c r="N638" s="77">
        <v>100</v>
      </c>
      <c r="O638">
        <f t="shared" si="106"/>
        <v>0.5</v>
      </c>
      <c r="P638" s="77">
        <v>50</v>
      </c>
      <c r="Q638">
        <f t="shared" si="107"/>
        <v>0.3</v>
      </c>
      <c r="R638" s="75">
        <v>15</v>
      </c>
      <c r="S638" s="6">
        <f t="shared" si="108"/>
        <v>0.15</v>
      </c>
    </row>
    <row r="639" spans="1:19" x14ac:dyDescent="0.3">
      <c r="A639" s="37" t="s">
        <v>131</v>
      </c>
      <c r="B639" s="6" t="s">
        <v>159</v>
      </c>
      <c r="C639" s="77">
        <v>13830.5</v>
      </c>
      <c r="D639" s="6">
        <f>(C639/12)*2</f>
        <v>2305.0833333333335</v>
      </c>
      <c r="E639" s="66">
        <v>0</v>
      </c>
      <c r="F639" s="6">
        <f>SUM(E638:E639)</f>
        <v>0</v>
      </c>
      <c r="G639" s="36" t="str">
        <f t="shared" si="105"/>
        <v>Farol Vermelho</v>
      </c>
      <c r="H639">
        <f t="shared" si="103"/>
        <v>2305.0833333333335</v>
      </c>
      <c r="I639" s="6">
        <f t="shared" si="104"/>
        <v>2</v>
      </c>
      <c r="J639" s="76">
        <v>8</v>
      </c>
      <c r="K639" s="66">
        <v>0</v>
      </c>
      <c r="L639" s="6">
        <f>L638+L638</f>
        <v>1.3333333333333333</v>
      </c>
      <c r="M639" s="6">
        <f>M638+K639</f>
        <v>0</v>
      </c>
      <c r="N639" s="77">
        <v>100</v>
      </c>
      <c r="O639">
        <f t="shared" si="106"/>
        <v>0.5</v>
      </c>
      <c r="P639" s="77">
        <v>50</v>
      </c>
      <c r="Q639">
        <f t="shared" si="107"/>
        <v>0.3</v>
      </c>
      <c r="R639" s="75">
        <v>15</v>
      </c>
      <c r="S639" s="6">
        <f t="shared" si="108"/>
        <v>0.15</v>
      </c>
    </row>
    <row r="640" spans="1:19" x14ac:dyDescent="0.3">
      <c r="A640" s="37" t="s">
        <v>131</v>
      </c>
      <c r="B640" s="6" t="s">
        <v>160</v>
      </c>
      <c r="C640" s="77">
        <v>13830.5</v>
      </c>
      <c r="D640" s="6">
        <f>(C640/12)*3</f>
        <v>3457.625</v>
      </c>
      <c r="E640" s="66">
        <v>1500</v>
      </c>
      <c r="F640" s="6">
        <f>SUM(E638:E640)</f>
        <v>1500</v>
      </c>
      <c r="G640" s="36" t="str">
        <f t="shared" si="105"/>
        <v>Farol Vermelho</v>
      </c>
      <c r="H640">
        <f t="shared" si="103"/>
        <v>1957.625</v>
      </c>
      <c r="I640" s="6">
        <f t="shared" si="104"/>
        <v>3</v>
      </c>
      <c r="J640" s="76">
        <v>8</v>
      </c>
      <c r="K640" s="66">
        <v>1</v>
      </c>
      <c r="L640" s="6">
        <f>$L638+L639</f>
        <v>2</v>
      </c>
      <c r="M640" s="6">
        <f t="shared" ref="M640:M649" si="114">M639+K640</f>
        <v>1</v>
      </c>
      <c r="N640" s="77">
        <v>100</v>
      </c>
      <c r="O640">
        <f t="shared" si="106"/>
        <v>0.5</v>
      </c>
      <c r="P640" s="77">
        <v>50</v>
      </c>
      <c r="Q640">
        <f t="shared" si="107"/>
        <v>0.3</v>
      </c>
      <c r="R640" s="75">
        <v>15</v>
      </c>
      <c r="S640" s="6">
        <f t="shared" si="108"/>
        <v>0.15</v>
      </c>
    </row>
    <row r="641" spans="1:19" x14ac:dyDescent="0.3">
      <c r="A641" s="37" t="s">
        <v>131</v>
      </c>
      <c r="B641" s="6" t="s">
        <v>161</v>
      </c>
      <c r="C641" s="77">
        <v>13830.5</v>
      </c>
      <c r="D641" s="6">
        <f>(C641/12)*4</f>
        <v>4610.166666666667</v>
      </c>
      <c r="E641" s="66">
        <v>0</v>
      </c>
      <c r="F641" s="6">
        <f>SUM(E638:E641)</f>
        <v>1500</v>
      </c>
      <c r="G641" s="36" t="str">
        <f t="shared" si="105"/>
        <v>Farol Vermelho</v>
      </c>
      <c r="H641">
        <f t="shared" si="103"/>
        <v>3110.166666666667</v>
      </c>
      <c r="I641" s="6">
        <f t="shared" si="104"/>
        <v>4</v>
      </c>
      <c r="J641" s="76">
        <v>8</v>
      </c>
      <c r="K641" s="66">
        <v>0</v>
      </c>
      <c r="L641" s="6">
        <f>$L638+L640</f>
        <v>2.6666666666666665</v>
      </c>
      <c r="M641" s="6">
        <f t="shared" si="114"/>
        <v>1</v>
      </c>
      <c r="N641" s="77">
        <v>100</v>
      </c>
      <c r="O641">
        <f t="shared" si="106"/>
        <v>0.5</v>
      </c>
      <c r="P641" s="77">
        <v>50</v>
      </c>
      <c r="Q641">
        <f t="shared" si="107"/>
        <v>0.3</v>
      </c>
      <c r="R641" s="75">
        <v>15</v>
      </c>
      <c r="S641" s="6">
        <f t="shared" si="108"/>
        <v>0.15</v>
      </c>
    </row>
    <row r="642" spans="1:19" x14ac:dyDescent="0.3">
      <c r="A642" s="37" t="s">
        <v>131</v>
      </c>
      <c r="B642" s="6" t="s">
        <v>162</v>
      </c>
      <c r="C642" s="77">
        <v>13830.5</v>
      </c>
      <c r="D642" s="6">
        <f>(C642/12)*5</f>
        <v>5762.7083333333339</v>
      </c>
      <c r="E642" s="66">
        <v>0</v>
      </c>
      <c r="F642" s="6">
        <f>SUM(E638:E642)</f>
        <v>1500</v>
      </c>
      <c r="G642" s="36" t="str">
        <f t="shared" si="105"/>
        <v>Farol Vermelho</v>
      </c>
      <c r="H642">
        <f t="shared" ref="H642:H648" si="115">IF(D642-F642&lt;0,0,D642-F642)</f>
        <v>4262.7083333333339</v>
      </c>
      <c r="I642" s="6">
        <f t="shared" ref="I642:I649" si="116">_xlfn.IFS(B642="Janeiro",1,B642="Fevereiro",2,B642="Março",3,B642="Abril",4,B642="Maio",5,B642="Junho",6,B642="Julho",7,B642="Agosto",8,B642="Setembro",9,B642="Outubro",10,B642="Novembro",11,B642="Dezembro",12,TRUE,0)</f>
        <v>5</v>
      </c>
      <c r="J642" s="76">
        <v>8</v>
      </c>
      <c r="K642" s="66"/>
      <c r="L642" s="6">
        <f>L638+L641</f>
        <v>3.333333333333333</v>
      </c>
      <c r="M642" s="6">
        <f t="shared" si="114"/>
        <v>1</v>
      </c>
      <c r="N642" s="77">
        <v>100</v>
      </c>
      <c r="O642">
        <f t="shared" si="106"/>
        <v>0.5</v>
      </c>
      <c r="P642" s="77">
        <v>50</v>
      </c>
      <c r="Q642">
        <f t="shared" si="107"/>
        <v>0.3</v>
      </c>
      <c r="R642" s="75">
        <v>15</v>
      </c>
      <c r="S642" s="6">
        <f t="shared" si="108"/>
        <v>0.15</v>
      </c>
    </row>
    <row r="643" spans="1:19" x14ac:dyDescent="0.3">
      <c r="A643" s="37" t="s">
        <v>131</v>
      </c>
      <c r="B643" s="6" t="s">
        <v>163</v>
      </c>
      <c r="C643" s="77">
        <v>13830.5</v>
      </c>
      <c r="D643" s="6">
        <f>(C643/12)*6</f>
        <v>6915.25</v>
      </c>
      <c r="E643" s="66">
        <v>0</v>
      </c>
      <c r="F643" s="6">
        <f>SUM(E638:E643)</f>
        <v>1500</v>
      </c>
      <c r="G643" s="36" t="str">
        <f t="shared" ref="G643:G649" si="117">_xlfn.IFS(F643&gt;D643,"Farol Verde",F643&gt;=D643*0.85,"Farol Amarelo",F643&lt;D643*0.85,"Farol Vermelho","Verdadeiro",0)</f>
        <v>Farol Vermelho</v>
      </c>
      <c r="H643">
        <f t="shared" si="115"/>
        <v>5415.25</v>
      </c>
      <c r="I643" s="6">
        <f t="shared" si="116"/>
        <v>6</v>
      </c>
      <c r="J643" s="76">
        <v>8</v>
      </c>
      <c r="K643" s="66"/>
      <c r="L643" s="6">
        <f>$L638+L642</f>
        <v>3.9999999999999996</v>
      </c>
      <c r="M643" s="6">
        <f t="shared" si="114"/>
        <v>1</v>
      </c>
      <c r="N643" s="77">
        <v>100</v>
      </c>
      <c r="O643">
        <f t="shared" ref="O643:O649" si="118">P643/N643</f>
        <v>0.5</v>
      </c>
      <c r="P643" s="77">
        <v>50</v>
      </c>
      <c r="Q643">
        <f t="shared" ref="Q643:Q649" si="119">R643/P643</f>
        <v>0.3</v>
      </c>
      <c r="R643" s="75">
        <v>15</v>
      </c>
      <c r="S643" s="6">
        <f t="shared" ref="S643:S649" si="120">R643/N643</f>
        <v>0.15</v>
      </c>
    </row>
    <row r="644" spans="1:19" x14ac:dyDescent="0.3">
      <c r="A644" s="37" t="s">
        <v>131</v>
      </c>
      <c r="B644" s="6" t="s">
        <v>164</v>
      </c>
      <c r="C644" s="77">
        <v>13830.5</v>
      </c>
      <c r="D644" s="6">
        <f>(C644/12)*7</f>
        <v>8067.791666666667</v>
      </c>
      <c r="E644" s="66">
        <v>0</v>
      </c>
      <c r="F644" s="6">
        <f>SUM(E638:E644)</f>
        <v>1500</v>
      </c>
      <c r="G644" s="36" t="str">
        <f t="shared" si="117"/>
        <v>Farol Vermelho</v>
      </c>
      <c r="H644">
        <f t="shared" si="115"/>
        <v>6567.791666666667</v>
      </c>
      <c r="I644" s="6">
        <f t="shared" si="116"/>
        <v>7</v>
      </c>
      <c r="J644" s="76">
        <v>8</v>
      </c>
      <c r="K644" s="66"/>
      <c r="L644" s="6">
        <f>$L638+L643</f>
        <v>4.6666666666666661</v>
      </c>
      <c r="M644" s="6">
        <f t="shared" si="114"/>
        <v>1</v>
      </c>
      <c r="N644" s="77">
        <v>100</v>
      </c>
      <c r="O644">
        <f t="shared" si="118"/>
        <v>0.5</v>
      </c>
      <c r="P644" s="77">
        <v>50</v>
      </c>
      <c r="Q644">
        <f t="shared" si="119"/>
        <v>0.3</v>
      </c>
      <c r="R644" s="75">
        <v>15</v>
      </c>
      <c r="S644" s="6">
        <f t="shared" si="120"/>
        <v>0.15</v>
      </c>
    </row>
    <row r="645" spans="1:19" x14ac:dyDescent="0.3">
      <c r="A645" s="37" t="s">
        <v>131</v>
      </c>
      <c r="B645" s="6" t="s">
        <v>165</v>
      </c>
      <c r="C645" s="77">
        <v>13830.5</v>
      </c>
      <c r="D645" s="6">
        <f>(C645/12)*8</f>
        <v>9220.3333333333339</v>
      </c>
      <c r="E645" s="66">
        <v>0</v>
      </c>
      <c r="F645" s="6">
        <f>SUM(E638:E645)</f>
        <v>1500</v>
      </c>
      <c r="G645" s="36" t="str">
        <f t="shared" si="117"/>
        <v>Farol Vermelho</v>
      </c>
      <c r="H645">
        <f t="shared" si="115"/>
        <v>7720.3333333333339</v>
      </c>
      <c r="I645" s="6">
        <f t="shared" si="116"/>
        <v>8</v>
      </c>
      <c r="J645" s="76">
        <v>8</v>
      </c>
      <c r="K645" s="66"/>
      <c r="L645" s="6">
        <f>L638+L644</f>
        <v>5.333333333333333</v>
      </c>
      <c r="M645" s="6">
        <f t="shared" si="114"/>
        <v>1</v>
      </c>
      <c r="N645" s="77">
        <v>100</v>
      </c>
      <c r="O645">
        <f t="shared" si="118"/>
        <v>0.5</v>
      </c>
      <c r="P645" s="77">
        <v>50</v>
      </c>
      <c r="Q645">
        <f t="shared" si="119"/>
        <v>0.3</v>
      </c>
      <c r="R645" s="75">
        <v>15</v>
      </c>
      <c r="S645" s="6">
        <f t="shared" si="120"/>
        <v>0.15</v>
      </c>
    </row>
    <row r="646" spans="1:19" x14ac:dyDescent="0.3">
      <c r="A646" s="37" t="s">
        <v>131</v>
      </c>
      <c r="B646" s="6" t="s">
        <v>166</v>
      </c>
      <c r="C646" s="77">
        <v>13830.5</v>
      </c>
      <c r="D646" s="6">
        <f>(C646/12)*9</f>
        <v>10372.875</v>
      </c>
      <c r="E646" s="66">
        <v>0</v>
      </c>
      <c r="F646" s="6">
        <f>SUM(E638:E646)</f>
        <v>1500</v>
      </c>
      <c r="G646" s="36" t="str">
        <f t="shared" si="117"/>
        <v>Farol Vermelho</v>
      </c>
      <c r="H646">
        <f t="shared" si="115"/>
        <v>8872.875</v>
      </c>
      <c r="I646" s="6">
        <f t="shared" si="116"/>
        <v>9</v>
      </c>
      <c r="J646" s="76">
        <v>8</v>
      </c>
      <c r="K646" s="66"/>
      <c r="L646" s="6">
        <f>$L638+L645</f>
        <v>6</v>
      </c>
      <c r="M646" s="6">
        <f t="shared" si="114"/>
        <v>1</v>
      </c>
      <c r="N646" s="77">
        <v>100</v>
      </c>
      <c r="O646">
        <f t="shared" si="118"/>
        <v>0.5</v>
      </c>
      <c r="P646" s="77">
        <v>50</v>
      </c>
      <c r="Q646">
        <f t="shared" si="119"/>
        <v>0.3</v>
      </c>
      <c r="R646" s="75">
        <v>15</v>
      </c>
      <c r="S646" s="6">
        <f t="shared" si="120"/>
        <v>0.15</v>
      </c>
    </row>
    <row r="647" spans="1:19" x14ac:dyDescent="0.3">
      <c r="A647" s="37" t="s">
        <v>131</v>
      </c>
      <c r="B647" s="6" t="s">
        <v>167</v>
      </c>
      <c r="C647" s="77">
        <v>13830.5</v>
      </c>
      <c r="D647" s="6">
        <f>(C647/12)*10</f>
        <v>11525.416666666668</v>
      </c>
      <c r="E647" s="66">
        <v>0</v>
      </c>
      <c r="F647" s="6">
        <f>SUM(E638:E647)</f>
        <v>1500</v>
      </c>
      <c r="G647" s="36" t="str">
        <f t="shared" si="117"/>
        <v>Farol Vermelho</v>
      </c>
      <c r="H647">
        <f t="shared" si="115"/>
        <v>10025.416666666668</v>
      </c>
      <c r="I647" s="6">
        <f t="shared" si="116"/>
        <v>10</v>
      </c>
      <c r="J647" s="76">
        <v>8</v>
      </c>
      <c r="K647" s="66"/>
      <c r="L647" s="6">
        <f>$L638+L646</f>
        <v>6.666666666666667</v>
      </c>
      <c r="M647" s="6">
        <f t="shared" si="114"/>
        <v>1</v>
      </c>
      <c r="N647" s="77">
        <v>100</v>
      </c>
      <c r="O647">
        <f t="shared" si="118"/>
        <v>0.5</v>
      </c>
      <c r="P647" s="77">
        <v>50</v>
      </c>
      <c r="Q647">
        <f t="shared" si="119"/>
        <v>0.3</v>
      </c>
      <c r="R647" s="75">
        <v>15</v>
      </c>
      <c r="S647" s="6">
        <f t="shared" si="120"/>
        <v>0.15</v>
      </c>
    </row>
    <row r="648" spans="1:19" x14ac:dyDescent="0.3">
      <c r="A648" s="37" t="s">
        <v>131</v>
      </c>
      <c r="B648" s="6" t="s">
        <v>168</v>
      </c>
      <c r="C648" s="77">
        <v>13830.5</v>
      </c>
      <c r="D648" s="6">
        <f>(C648/12)*11</f>
        <v>12677.958333333334</v>
      </c>
      <c r="E648" s="66">
        <v>0</v>
      </c>
      <c r="F648" s="6">
        <f>SUM(E638:E648)</f>
        <v>1500</v>
      </c>
      <c r="G648" s="36" t="str">
        <f t="shared" si="117"/>
        <v>Farol Vermelho</v>
      </c>
      <c r="H648">
        <f t="shared" si="115"/>
        <v>11177.958333333334</v>
      </c>
      <c r="I648" s="6">
        <f t="shared" si="116"/>
        <v>11</v>
      </c>
      <c r="J648" s="76">
        <v>8</v>
      </c>
      <c r="K648" s="66"/>
      <c r="L648" s="6">
        <f>L638+L647</f>
        <v>7.3333333333333339</v>
      </c>
      <c r="M648" s="6">
        <f t="shared" si="114"/>
        <v>1</v>
      </c>
      <c r="N648" s="77">
        <v>100</v>
      </c>
      <c r="O648">
        <f t="shared" si="118"/>
        <v>0.5</v>
      </c>
      <c r="P648" s="77">
        <v>50</v>
      </c>
      <c r="Q648">
        <f t="shared" si="119"/>
        <v>0.3</v>
      </c>
      <c r="R648" s="75">
        <v>15</v>
      </c>
      <c r="S648" s="6">
        <f t="shared" si="120"/>
        <v>0.15</v>
      </c>
    </row>
    <row r="649" spans="1:19" x14ac:dyDescent="0.3">
      <c r="A649" s="37" t="s">
        <v>131</v>
      </c>
      <c r="B649" s="6" t="s">
        <v>169</v>
      </c>
      <c r="C649" s="77">
        <v>13830.5</v>
      </c>
      <c r="D649" s="6">
        <f>(C649/12)*12</f>
        <v>13830.5</v>
      </c>
      <c r="E649" s="66">
        <v>0</v>
      </c>
      <c r="F649" s="6">
        <f>SUM(E638:E649)</f>
        <v>1500</v>
      </c>
      <c r="G649" s="36" t="str">
        <f t="shared" si="117"/>
        <v>Farol Vermelho</v>
      </c>
      <c r="H649">
        <f>IF(D649-F649&lt;0,0,D649-F649)</f>
        <v>12330.5</v>
      </c>
      <c r="I649" s="6">
        <f t="shared" si="116"/>
        <v>12</v>
      </c>
      <c r="J649" s="76">
        <v>8</v>
      </c>
      <c r="K649" s="66"/>
      <c r="L649" s="6">
        <f>$L638+L648</f>
        <v>8</v>
      </c>
      <c r="M649" s="6">
        <f t="shared" si="114"/>
        <v>1</v>
      </c>
      <c r="N649" s="77">
        <v>100</v>
      </c>
      <c r="O649">
        <f t="shared" si="118"/>
        <v>0.5</v>
      </c>
      <c r="P649" s="77">
        <v>50</v>
      </c>
      <c r="Q649">
        <f t="shared" si="119"/>
        <v>0.3</v>
      </c>
      <c r="R649" s="75">
        <v>15</v>
      </c>
      <c r="S649" s="6">
        <f t="shared" si="120"/>
        <v>0.15</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60"/>
  <sheetViews>
    <sheetView showGridLines="0" workbookViewId="0">
      <pane xSplit="1" ySplit="1" topLeftCell="E2" activePane="bottomRight" state="frozen"/>
      <selection pane="topRight" activeCell="B1" sqref="B1"/>
      <selection pane="bottomLeft" activeCell="A2" sqref="A2"/>
      <selection pane="bottomRight" activeCell="E17" sqref="E17"/>
    </sheetView>
  </sheetViews>
  <sheetFormatPr defaultRowHeight="14" x14ac:dyDescent="0.3"/>
  <cols>
    <col min="1" max="1" width="46.0820312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32.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3">
      <c r="A2" t="s">
        <v>138</v>
      </c>
      <c r="B2" s="77">
        <v>1</v>
      </c>
      <c r="C2" t="s">
        <v>200</v>
      </c>
      <c r="D2" t="s">
        <v>27</v>
      </c>
      <c r="E2" t="s">
        <v>91</v>
      </c>
      <c r="F2" t="s">
        <v>52</v>
      </c>
      <c r="G2" s="77">
        <v>0</v>
      </c>
      <c r="H2" s="77">
        <v>0</v>
      </c>
      <c r="I2" s="77">
        <v>0</v>
      </c>
      <c r="J2" s="79">
        <f>IF(I2=0,0,H2/I2)</f>
        <v>0</v>
      </c>
      <c r="K2" s="77">
        <v>0</v>
      </c>
      <c r="L2" s="77">
        <v>0</v>
      </c>
      <c r="M2">
        <f>IF(L2=0,0,K2/L2)</f>
        <v>0</v>
      </c>
      <c r="N2" s="77">
        <v>0</v>
      </c>
      <c r="O2" s="80">
        <v>0</v>
      </c>
      <c r="P2" s="80">
        <v>0</v>
      </c>
      <c r="Q2">
        <f t="shared" ref="Q2:Q33" si="0">IF(N2=0,0,(O2/N2)-1)</f>
        <v>0</v>
      </c>
      <c r="R2" s="77">
        <v>0</v>
      </c>
      <c r="S2" s="77">
        <v>0</v>
      </c>
      <c r="T2" s="77">
        <v>0</v>
      </c>
      <c r="U2">
        <f t="shared" ref="U2:U33" si="1">IF(S2=0,0,(T2/S2)-1)</f>
        <v>0</v>
      </c>
      <c r="V2" s="81">
        <v>0</v>
      </c>
      <c r="W2" s="2">
        <f t="shared" ref="W2:W33" si="2">IF(K2=0,0,H2/K2)</f>
        <v>0</v>
      </c>
      <c r="X2">
        <f>IF(V2=0,0,(W2/V2)-1)</f>
        <v>0</v>
      </c>
      <c r="Y2" s="77">
        <v>0</v>
      </c>
      <c r="Z2" s="77">
        <v>0</v>
      </c>
      <c r="AA2" s="77">
        <v>0</v>
      </c>
      <c r="AB2" s="77">
        <v>1</v>
      </c>
      <c r="AC2" s="77">
        <v>0</v>
      </c>
      <c r="AD2" s="77">
        <v>0</v>
      </c>
    </row>
    <row r="3" spans="1:31" x14ac:dyDescent="0.3">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3">
      <c r="A4" t="s">
        <v>87</v>
      </c>
      <c r="B4" s="77">
        <v>2</v>
      </c>
      <c r="C4" t="s">
        <v>180</v>
      </c>
      <c r="D4" t="s">
        <v>88</v>
      </c>
      <c r="E4" t="s">
        <v>33</v>
      </c>
      <c r="F4" t="s">
        <v>31</v>
      </c>
      <c r="G4" s="77">
        <v>12</v>
      </c>
      <c r="H4" s="77">
        <v>7497</v>
      </c>
      <c r="I4" s="77">
        <v>24000</v>
      </c>
      <c r="J4" s="79">
        <f t="shared" si="3"/>
        <v>0.31237500000000001</v>
      </c>
      <c r="K4" s="77">
        <v>9</v>
      </c>
      <c r="L4" s="66">
        <v>21</v>
      </c>
      <c r="M4">
        <f t="shared" si="4"/>
        <v>0.42857142857142855</v>
      </c>
      <c r="N4" s="77">
        <v>0</v>
      </c>
      <c r="O4" s="80">
        <v>100</v>
      </c>
      <c r="P4" s="80">
        <v>75</v>
      </c>
      <c r="Q4">
        <f t="shared" si="0"/>
        <v>0</v>
      </c>
      <c r="R4" s="77">
        <v>0</v>
      </c>
      <c r="S4" s="77">
        <v>100</v>
      </c>
      <c r="T4" s="77">
        <v>50</v>
      </c>
      <c r="U4">
        <f t="shared" si="1"/>
        <v>-0.5</v>
      </c>
      <c r="V4" s="81">
        <v>0</v>
      </c>
      <c r="W4" s="2">
        <f t="shared" si="2"/>
        <v>833</v>
      </c>
      <c r="X4">
        <f t="shared" si="5"/>
        <v>0</v>
      </c>
      <c r="Y4" s="77">
        <v>16</v>
      </c>
      <c r="Z4" s="77">
        <v>16</v>
      </c>
      <c r="AA4" s="77">
        <v>3</v>
      </c>
      <c r="AB4" s="77">
        <v>2</v>
      </c>
      <c r="AC4" s="77">
        <v>3</v>
      </c>
      <c r="AD4" s="77">
        <v>1</v>
      </c>
      <c r="AE4" s="49" t="s">
        <v>217</v>
      </c>
    </row>
    <row r="5" spans="1:31" x14ac:dyDescent="0.3">
      <c r="A5" t="s">
        <v>98</v>
      </c>
      <c r="B5" s="77">
        <v>1</v>
      </c>
      <c r="C5" t="s">
        <v>201</v>
      </c>
      <c r="D5" t="s">
        <v>27</v>
      </c>
      <c r="E5" t="s">
        <v>40</v>
      </c>
      <c r="F5" t="s">
        <v>30</v>
      </c>
      <c r="G5" s="77">
        <v>11</v>
      </c>
      <c r="H5" s="77">
        <v>366</v>
      </c>
      <c r="I5" s="77">
        <v>2000</v>
      </c>
      <c r="J5" s="79">
        <f>IF(I5=0,0,H5/I5)</f>
        <v>0.183</v>
      </c>
      <c r="K5" s="77">
        <v>2</v>
      </c>
      <c r="L5" s="66">
        <v>7</v>
      </c>
      <c r="M5">
        <f t="shared" si="4"/>
        <v>0.2857142857142857</v>
      </c>
      <c r="N5" s="77">
        <v>15</v>
      </c>
      <c r="O5" s="80">
        <v>0</v>
      </c>
      <c r="P5" s="80">
        <v>0</v>
      </c>
      <c r="Q5">
        <f t="shared" si="0"/>
        <v>-1</v>
      </c>
      <c r="R5" s="77">
        <v>0</v>
      </c>
      <c r="S5" s="77">
        <v>0</v>
      </c>
      <c r="T5" s="77">
        <v>0</v>
      </c>
      <c r="U5">
        <f t="shared" si="1"/>
        <v>0</v>
      </c>
      <c r="V5" s="81">
        <v>0</v>
      </c>
      <c r="W5" s="2">
        <f t="shared" si="2"/>
        <v>183</v>
      </c>
      <c r="X5">
        <f t="shared" si="5"/>
        <v>0</v>
      </c>
      <c r="Y5" s="77">
        <v>0</v>
      </c>
      <c r="Z5" s="77">
        <v>0</v>
      </c>
      <c r="AA5" s="77">
        <v>0</v>
      </c>
      <c r="AB5" s="77">
        <v>0</v>
      </c>
      <c r="AC5" s="77">
        <v>0</v>
      </c>
      <c r="AD5" s="77">
        <v>0</v>
      </c>
      <c r="AE5" s="49" t="s">
        <v>262</v>
      </c>
    </row>
    <row r="6" spans="1:31" x14ac:dyDescent="0.3">
      <c r="A6" t="s">
        <v>56</v>
      </c>
      <c r="B6" s="77">
        <v>3</v>
      </c>
      <c r="C6" t="s">
        <v>180</v>
      </c>
      <c r="D6" t="s">
        <v>44</v>
      </c>
      <c r="E6" t="s">
        <v>45</v>
      </c>
      <c r="F6" t="s">
        <v>36</v>
      </c>
      <c r="G6" s="77">
        <v>16</v>
      </c>
      <c r="H6" s="77">
        <v>5818.08</v>
      </c>
      <c r="I6" s="77">
        <v>39634.5</v>
      </c>
      <c r="J6" s="79">
        <f t="shared" si="3"/>
        <v>0.14679332399803202</v>
      </c>
      <c r="K6" s="77">
        <v>4</v>
      </c>
      <c r="L6" s="66">
        <v>18</v>
      </c>
      <c r="M6">
        <f t="shared" si="4"/>
        <v>0.22222222222222221</v>
      </c>
      <c r="N6" s="77">
        <v>0</v>
      </c>
      <c r="O6" s="80">
        <v>83</v>
      </c>
      <c r="P6" s="80">
        <v>35</v>
      </c>
      <c r="Q6">
        <f t="shared" si="0"/>
        <v>0</v>
      </c>
      <c r="R6" s="77">
        <v>0</v>
      </c>
      <c r="S6" s="77">
        <v>100</v>
      </c>
      <c r="T6" s="77">
        <v>1</v>
      </c>
      <c r="U6">
        <f t="shared" si="1"/>
        <v>-0.99</v>
      </c>
      <c r="V6" s="81">
        <v>408.26</v>
      </c>
      <c r="W6" s="2">
        <f t="shared" si="2"/>
        <v>1454.52</v>
      </c>
      <c r="X6">
        <f t="shared" si="5"/>
        <v>2.5627296330769607</v>
      </c>
      <c r="Y6" s="77">
        <v>12</v>
      </c>
      <c r="Z6" s="77">
        <v>14</v>
      </c>
      <c r="AA6" s="77">
        <v>2</v>
      </c>
      <c r="AB6" s="77">
        <v>2</v>
      </c>
      <c r="AC6" s="77">
        <v>2</v>
      </c>
      <c r="AD6" s="77">
        <v>1</v>
      </c>
    </row>
    <row r="7" spans="1:31" x14ac:dyDescent="0.3">
      <c r="A7" t="s">
        <v>149</v>
      </c>
      <c r="B7" s="77">
        <v>3</v>
      </c>
      <c r="C7" t="s">
        <v>201</v>
      </c>
      <c r="D7" t="s">
        <v>44</v>
      </c>
      <c r="E7" t="s">
        <v>45</v>
      </c>
      <c r="F7" t="s">
        <v>31</v>
      </c>
      <c r="G7" s="77">
        <v>12</v>
      </c>
      <c r="H7" s="77">
        <v>18073.8</v>
      </c>
      <c r="I7" s="77">
        <v>100000</v>
      </c>
      <c r="J7" s="79">
        <f t="shared" si="3"/>
        <v>0.18073799999999998</v>
      </c>
      <c r="K7" s="77">
        <v>7</v>
      </c>
      <c r="L7" s="66">
        <v>25</v>
      </c>
      <c r="M7">
        <f t="shared" si="4"/>
        <v>0.28000000000000003</v>
      </c>
      <c r="N7" s="77">
        <v>74</v>
      </c>
      <c r="O7" s="80">
        <v>95</v>
      </c>
      <c r="P7" s="80">
        <v>75</v>
      </c>
      <c r="Q7">
        <f t="shared" si="0"/>
        <v>0.28378378378378377</v>
      </c>
      <c r="R7" s="77">
        <v>1</v>
      </c>
      <c r="S7" s="77">
        <v>55</v>
      </c>
      <c r="T7" s="77">
        <v>51</v>
      </c>
      <c r="U7">
        <f t="shared" si="1"/>
        <v>-7.2727272727272751E-2</v>
      </c>
      <c r="V7" s="81">
        <v>1474.9230769230769</v>
      </c>
      <c r="W7" s="2">
        <f t="shared" si="2"/>
        <v>2581.9714285714285</v>
      </c>
      <c r="X7">
        <f t="shared" si="5"/>
        <v>0.75058039905228813</v>
      </c>
      <c r="Y7" s="77">
        <v>18</v>
      </c>
      <c r="Z7" s="77">
        <v>18</v>
      </c>
      <c r="AA7" s="77">
        <v>1</v>
      </c>
      <c r="AB7" s="77">
        <v>4</v>
      </c>
      <c r="AC7" s="77">
        <v>1</v>
      </c>
      <c r="AD7" s="77">
        <v>0</v>
      </c>
      <c r="AE7" s="49" t="s">
        <v>218</v>
      </c>
    </row>
    <row r="8" spans="1:31" x14ac:dyDescent="0.3">
      <c r="A8" t="s">
        <v>66</v>
      </c>
      <c r="B8" s="77">
        <v>2</v>
      </c>
      <c r="C8" t="s">
        <v>182</v>
      </c>
      <c r="D8" t="s">
        <v>88</v>
      </c>
      <c r="E8" t="s">
        <v>33</v>
      </c>
      <c r="F8" t="s">
        <v>35</v>
      </c>
      <c r="G8" s="77">
        <v>12</v>
      </c>
      <c r="H8" s="77">
        <v>5200</v>
      </c>
      <c r="I8" s="77">
        <v>16500</v>
      </c>
      <c r="J8" s="79">
        <f t="shared" si="3"/>
        <v>0.31515151515151513</v>
      </c>
      <c r="K8" s="77">
        <v>4</v>
      </c>
      <c r="L8" s="66">
        <v>12</v>
      </c>
      <c r="M8">
        <f t="shared" si="4"/>
        <v>0.33333333333333331</v>
      </c>
      <c r="N8" s="77">
        <v>87</v>
      </c>
      <c r="O8" s="80">
        <v>85</v>
      </c>
      <c r="P8" s="80">
        <v>0</v>
      </c>
      <c r="Q8">
        <f t="shared" si="0"/>
        <v>-2.2988505747126409E-2</v>
      </c>
      <c r="R8" s="77">
        <v>63</v>
      </c>
      <c r="S8" s="77">
        <v>100</v>
      </c>
      <c r="T8" s="77">
        <v>0</v>
      </c>
      <c r="U8">
        <f t="shared" si="1"/>
        <v>-1</v>
      </c>
      <c r="V8" s="81">
        <v>0</v>
      </c>
      <c r="W8" s="2">
        <f t="shared" si="2"/>
        <v>1300</v>
      </c>
      <c r="X8">
        <f t="shared" si="5"/>
        <v>0</v>
      </c>
      <c r="Y8" s="77">
        <v>3</v>
      </c>
      <c r="Z8" s="77">
        <v>3</v>
      </c>
      <c r="AA8" s="77">
        <v>0</v>
      </c>
      <c r="AB8" s="77">
        <v>0</v>
      </c>
      <c r="AC8" s="77">
        <v>0</v>
      </c>
      <c r="AD8" s="77">
        <v>0</v>
      </c>
      <c r="AE8" s="49" t="s">
        <v>219</v>
      </c>
    </row>
    <row r="9" spans="1:31" x14ac:dyDescent="0.3">
      <c r="A9" t="s">
        <v>42</v>
      </c>
      <c r="B9" s="77">
        <v>4</v>
      </c>
      <c r="C9" t="s">
        <v>201</v>
      </c>
      <c r="D9" t="s">
        <v>44</v>
      </c>
      <c r="E9" t="s">
        <v>45</v>
      </c>
      <c r="F9" t="s">
        <v>116</v>
      </c>
      <c r="G9" s="77">
        <v>16</v>
      </c>
      <c r="H9" s="77">
        <v>26900</v>
      </c>
      <c r="I9" s="77">
        <v>88000</v>
      </c>
      <c r="J9" s="79">
        <f t="shared" si="3"/>
        <v>0.30568181818181817</v>
      </c>
      <c r="K9" s="77">
        <v>634</v>
      </c>
      <c r="L9" s="66">
        <v>856</v>
      </c>
      <c r="M9">
        <f t="shared" si="4"/>
        <v>0.74065420560747663</v>
      </c>
      <c r="N9" s="77">
        <v>85</v>
      </c>
      <c r="O9" s="80">
        <v>100</v>
      </c>
      <c r="P9" s="80">
        <v>75</v>
      </c>
      <c r="Q9">
        <f t="shared" si="0"/>
        <v>0.17647058823529416</v>
      </c>
      <c r="R9" s="77">
        <v>80</v>
      </c>
      <c r="S9" s="77">
        <v>95</v>
      </c>
      <c r="T9" s="77">
        <v>50</v>
      </c>
      <c r="U9">
        <f t="shared" si="1"/>
        <v>-0.47368421052631582</v>
      </c>
      <c r="V9" s="81">
        <v>38.607346421785941</v>
      </c>
      <c r="W9" s="2">
        <f t="shared" si="2"/>
        <v>42.429022082018925</v>
      </c>
      <c r="X9">
        <f t="shared" si="5"/>
        <v>9.8988301824246339E-2</v>
      </c>
      <c r="Y9" s="77">
        <v>98</v>
      </c>
      <c r="Z9" s="77">
        <v>1224</v>
      </c>
      <c r="AA9" s="77">
        <v>1</v>
      </c>
      <c r="AB9" s="77">
        <v>1</v>
      </c>
      <c r="AC9" s="77">
        <v>1</v>
      </c>
      <c r="AD9" s="77">
        <v>0</v>
      </c>
      <c r="AE9" s="49" t="s">
        <v>220</v>
      </c>
    </row>
    <row r="10" spans="1:31" x14ac:dyDescent="0.3">
      <c r="A10" t="s">
        <v>63</v>
      </c>
      <c r="B10" s="77">
        <v>1</v>
      </c>
      <c r="C10" t="s">
        <v>180</v>
      </c>
      <c r="D10" t="s">
        <v>27</v>
      </c>
      <c r="E10" t="s">
        <v>33</v>
      </c>
      <c r="F10" t="s">
        <v>64</v>
      </c>
      <c r="G10" s="77">
        <v>11</v>
      </c>
      <c r="H10" s="77">
        <v>600</v>
      </c>
      <c r="I10" s="77">
        <v>15000</v>
      </c>
      <c r="J10" s="79">
        <f t="shared" si="3"/>
        <v>0.04</v>
      </c>
      <c r="K10" s="77">
        <v>1</v>
      </c>
      <c r="L10" s="66">
        <v>6</v>
      </c>
      <c r="M10">
        <f t="shared" si="4"/>
        <v>0.16666666666666666</v>
      </c>
      <c r="N10" s="77">
        <v>0</v>
      </c>
      <c r="O10" s="80">
        <v>18</v>
      </c>
      <c r="P10" s="80">
        <v>0</v>
      </c>
      <c r="Q10">
        <f t="shared" si="0"/>
        <v>0</v>
      </c>
      <c r="R10" s="77">
        <v>0</v>
      </c>
      <c r="S10" s="77">
        <v>0</v>
      </c>
      <c r="T10" s="77">
        <v>0</v>
      </c>
      <c r="U10">
        <f t="shared" si="1"/>
        <v>0</v>
      </c>
      <c r="V10" s="81">
        <v>0</v>
      </c>
      <c r="W10" s="2">
        <f t="shared" si="2"/>
        <v>600</v>
      </c>
      <c r="X10">
        <f t="shared" si="5"/>
        <v>0</v>
      </c>
      <c r="Y10" s="77">
        <v>1</v>
      </c>
      <c r="Z10" s="77">
        <v>1</v>
      </c>
      <c r="AA10" s="77">
        <v>1</v>
      </c>
      <c r="AB10" s="77">
        <v>0</v>
      </c>
      <c r="AC10" s="77">
        <v>1</v>
      </c>
      <c r="AD10" s="77">
        <v>0</v>
      </c>
    </row>
    <row r="11" spans="1:31" x14ac:dyDescent="0.3">
      <c r="A11" t="s">
        <v>120</v>
      </c>
      <c r="B11" s="77">
        <v>4</v>
      </c>
      <c r="C11" t="s">
        <v>180</v>
      </c>
      <c r="D11" t="s">
        <v>39</v>
      </c>
      <c r="E11" t="s">
        <v>40</v>
      </c>
      <c r="F11" t="s">
        <v>126</v>
      </c>
      <c r="G11" s="77">
        <v>24</v>
      </c>
      <c r="H11" s="77">
        <v>19056.91</v>
      </c>
      <c r="I11" s="77">
        <v>129000</v>
      </c>
      <c r="J11" s="79">
        <f t="shared" si="3"/>
        <v>0.14772798449612404</v>
      </c>
      <c r="K11" s="77">
        <v>7</v>
      </c>
      <c r="L11" s="66">
        <v>18</v>
      </c>
      <c r="M11">
        <f t="shared" si="4"/>
        <v>0.3888888888888889</v>
      </c>
      <c r="N11" s="77">
        <v>74</v>
      </c>
      <c r="O11" s="80">
        <v>84</v>
      </c>
      <c r="P11" s="80">
        <v>75</v>
      </c>
      <c r="Q11">
        <f t="shared" si="0"/>
        <v>0.13513513513513509</v>
      </c>
      <c r="R11" s="77">
        <v>1</v>
      </c>
      <c r="S11" s="77">
        <v>100</v>
      </c>
      <c r="T11" s="77">
        <v>5</v>
      </c>
      <c r="U11">
        <f t="shared" si="1"/>
        <v>-0.95</v>
      </c>
      <c r="V11" s="81">
        <v>4104.6840000000002</v>
      </c>
      <c r="W11" s="2">
        <f t="shared" si="2"/>
        <v>2722.4157142857143</v>
      </c>
      <c r="X11">
        <f t="shared" si="5"/>
        <v>-0.33675388549137664</v>
      </c>
      <c r="Y11" s="77">
        <v>16</v>
      </c>
      <c r="Z11" s="77">
        <v>16</v>
      </c>
      <c r="AA11" s="77">
        <v>2</v>
      </c>
      <c r="AB11" s="77">
        <v>2</v>
      </c>
      <c r="AC11" s="77">
        <v>2</v>
      </c>
      <c r="AD11" s="77">
        <v>1</v>
      </c>
      <c r="AE11" s="49" t="s">
        <v>263</v>
      </c>
    </row>
    <row r="12" spans="1:31" x14ac:dyDescent="0.3">
      <c r="A12" t="s">
        <v>48</v>
      </c>
      <c r="B12" s="77">
        <v>3</v>
      </c>
      <c r="C12" t="s">
        <v>200</v>
      </c>
      <c r="D12" t="s">
        <v>39</v>
      </c>
      <c r="E12" t="s">
        <v>40</v>
      </c>
      <c r="F12" t="s">
        <v>101</v>
      </c>
      <c r="G12" s="77">
        <v>21</v>
      </c>
      <c r="H12" s="77">
        <v>10326</v>
      </c>
      <c r="I12" s="77">
        <v>54610.2</v>
      </c>
      <c r="J12" s="79">
        <f t="shared" si="3"/>
        <v>0.18908555544568598</v>
      </c>
      <c r="K12" s="77">
        <v>65</v>
      </c>
      <c r="L12" s="66">
        <v>100</v>
      </c>
      <c r="M12">
        <f t="shared" si="4"/>
        <v>0.65</v>
      </c>
      <c r="N12" s="77">
        <v>0</v>
      </c>
      <c r="O12" s="80">
        <v>100</v>
      </c>
      <c r="P12" s="80">
        <v>75</v>
      </c>
      <c r="Q12">
        <f t="shared" si="0"/>
        <v>0</v>
      </c>
      <c r="R12" s="77">
        <v>0</v>
      </c>
      <c r="S12" s="77">
        <v>85</v>
      </c>
      <c r="T12" s="77">
        <v>50</v>
      </c>
      <c r="U12">
        <f t="shared" si="1"/>
        <v>-0.41176470588235292</v>
      </c>
      <c r="V12" s="81">
        <v>131.14751131221718</v>
      </c>
      <c r="W12" s="2">
        <f t="shared" si="2"/>
        <v>158.86153846153846</v>
      </c>
      <c r="X12">
        <f t="shared" si="5"/>
        <v>0.21131950482341755</v>
      </c>
      <c r="Y12" s="77">
        <v>35</v>
      </c>
      <c r="Z12" s="77">
        <v>280</v>
      </c>
      <c r="AA12" s="77">
        <v>6</v>
      </c>
      <c r="AB12" s="77">
        <v>1</v>
      </c>
      <c r="AC12" s="77">
        <v>5</v>
      </c>
      <c r="AD12" s="77">
        <v>6</v>
      </c>
    </row>
    <row r="13" spans="1:31" x14ac:dyDescent="0.3">
      <c r="A13" t="s">
        <v>117</v>
      </c>
      <c r="B13" s="77">
        <v>1</v>
      </c>
      <c r="C13" t="s">
        <v>202</v>
      </c>
      <c r="D13" t="s">
        <v>39</v>
      </c>
      <c r="E13" t="s">
        <v>26</v>
      </c>
      <c r="F13" t="s">
        <v>118</v>
      </c>
      <c r="G13" s="77">
        <v>0</v>
      </c>
      <c r="H13" s="77">
        <v>0</v>
      </c>
      <c r="I13" s="77">
        <v>0</v>
      </c>
      <c r="J13" s="79">
        <f t="shared" si="3"/>
        <v>0</v>
      </c>
      <c r="K13" s="77">
        <v>0</v>
      </c>
      <c r="L13" s="66">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3">
      <c r="A14" t="s">
        <v>93</v>
      </c>
      <c r="B14" s="77">
        <v>2</v>
      </c>
      <c r="C14" t="s">
        <v>182</v>
      </c>
      <c r="D14" t="s">
        <v>44</v>
      </c>
      <c r="E14" t="s">
        <v>45</v>
      </c>
      <c r="F14" t="s">
        <v>36</v>
      </c>
      <c r="G14" s="77">
        <v>12</v>
      </c>
      <c r="H14" s="77">
        <v>5140</v>
      </c>
      <c r="I14" s="77">
        <v>53550</v>
      </c>
      <c r="J14" s="79">
        <f t="shared" si="3"/>
        <v>9.598506069094305E-2</v>
      </c>
      <c r="K14" s="77">
        <v>3</v>
      </c>
      <c r="L14" s="66">
        <v>10</v>
      </c>
      <c r="M14">
        <f t="shared" si="4"/>
        <v>0.3</v>
      </c>
      <c r="N14" s="77">
        <v>0</v>
      </c>
      <c r="O14" s="80">
        <v>85</v>
      </c>
      <c r="P14" s="80">
        <v>75</v>
      </c>
      <c r="Q14">
        <f t="shared" si="0"/>
        <v>0</v>
      </c>
      <c r="R14" s="77">
        <v>0</v>
      </c>
      <c r="S14" s="77">
        <v>50</v>
      </c>
      <c r="T14" s="77">
        <v>15</v>
      </c>
      <c r="U14">
        <f t="shared" si="1"/>
        <v>-0.7</v>
      </c>
      <c r="V14" s="81">
        <v>1661.5</v>
      </c>
      <c r="W14" s="2">
        <f t="shared" si="2"/>
        <v>1713.3333333333333</v>
      </c>
      <c r="X14">
        <f t="shared" si="5"/>
        <v>3.1196709800381139E-2</v>
      </c>
      <c r="Y14" s="77">
        <v>13</v>
      </c>
      <c r="Z14" s="77">
        <v>13</v>
      </c>
      <c r="AA14" s="77">
        <v>0</v>
      </c>
      <c r="AB14" s="77">
        <v>2</v>
      </c>
      <c r="AC14" s="77">
        <v>0</v>
      </c>
      <c r="AD14" s="77">
        <v>0</v>
      </c>
    </row>
    <row r="15" spans="1:31" x14ac:dyDescent="0.3">
      <c r="A15" t="s">
        <v>119</v>
      </c>
      <c r="B15" s="77">
        <v>1</v>
      </c>
      <c r="C15" t="s">
        <v>180</v>
      </c>
      <c r="D15" t="s">
        <v>68</v>
      </c>
      <c r="E15" t="s">
        <v>69</v>
      </c>
      <c r="F15" t="s">
        <v>29</v>
      </c>
      <c r="G15" s="77">
        <v>6</v>
      </c>
      <c r="H15" s="77">
        <v>0</v>
      </c>
      <c r="I15" s="77">
        <v>2500</v>
      </c>
      <c r="J15" s="79">
        <f t="shared" si="3"/>
        <v>0</v>
      </c>
      <c r="K15" s="77">
        <v>0</v>
      </c>
      <c r="L15" s="66">
        <v>6</v>
      </c>
      <c r="M15">
        <f t="shared" si="4"/>
        <v>0</v>
      </c>
      <c r="N15" s="77">
        <v>50</v>
      </c>
      <c r="O15" s="80">
        <v>50</v>
      </c>
      <c r="P15" s="80">
        <v>53</v>
      </c>
      <c r="Q15">
        <f t="shared" si="0"/>
        <v>0</v>
      </c>
      <c r="R15" s="77">
        <v>0</v>
      </c>
      <c r="S15" s="77">
        <v>100</v>
      </c>
      <c r="T15" s="77">
        <v>1</v>
      </c>
      <c r="U15">
        <f t="shared" si="1"/>
        <v>-0.99</v>
      </c>
      <c r="V15" s="81">
        <v>0</v>
      </c>
      <c r="W15" s="2">
        <f t="shared" si="2"/>
        <v>0</v>
      </c>
      <c r="X15">
        <f t="shared" si="5"/>
        <v>0</v>
      </c>
      <c r="Y15" s="77">
        <v>1</v>
      </c>
      <c r="Z15" s="77">
        <v>1</v>
      </c>
      <c r="AA15" s="77">
        <v>1</v>
      </c>
      <c r="AB15" s="77">
        <v>1</v>
      </c>
      <c r="AC15" s="77">
        <v>1</v>
      </c>
      <c r="AD15" s="77">
        <v>1</v>
      </c>
    </row>
    <row r="16" spans="1:31" x14ac:dyDescent="0.3">
      <c r="A16" t="s">
        <v>123</v>
      </c>
      <c r="B16" s="77">
        <v>1</v>
      </c>
      <c r="C16" t="s">
        <v>180</v>
      </c>
      <c r="D16" t="s">
        <v>39</v>
      </c>
      <c r="E16" t="s">
        <v>40</v>
      </c>
      <c r="F16" t="s">
        <v>134</v>
      </c>
      <c r="G16" s="77">
        <v>17</v>
      </c>
      <c r="H16" s="77">
        <v>3083.88</v>
      </c>
      <c r="I16" s="77">
        <v>61746.25</v>
      </c>
      <c r="J16" s="79">
        <f t="shared" si="3"/>
        <v>4.9944409579529121E-2</v>
      </c>
      <c r="K16" s="77">
        <v>6</v>
      </c>
      <c r="L16" s="66">
        <v>40</v>
      </c>
      <c r="M16">
        <f t="shared" si="4"/>
        <v>0.15</v>
      </c>
      <c r="N16" s="77">
        <v>0</v>
      </c>
      <c r="O16" s="80">
        <v>89</v>
      </c>
      <c r="P16" s="80">
        <v>75</v>
      </c>
      <c r="Q16">
        <f t="shared" si="0"/>
        <v>0</v>
      </c>
      <c r="R16" s="77">
        <v>0</v>
      </c>
      <c r="S16" s="77">
        <v>100</v>
      </c>
      <c r="T16" s="77">
        <v>80</v>
      </c>
      <c r="U16">
        <f t="shared" si="1"/>
        <v>-0.19999999999999996</v>
      </c>
      <c r="V16" s="81">
        <v>747.29411764705878</v>
      </c>
      <c r="W16" s="2">
        <f t="shared" si="2"/>
        <v>513.98</v>
      </c>
      <c r="X16">
        <f t="shared" si="5"/>
        <v>-0.31221190176322411</v>
      </c>
      <c r="Y16" s="77">
        <v>25</v>
      </c>
      <c r="Z16" s="77">
        <v>31</v>
      </c>
      <c r="AA16" s="77">
        <v>3</v>
      </c>
      <c r="AB16" s="77">
        <v>4</v>
      </c>
      <c r="AC16" s="77">
        <v>2</v>
      </c>
      <c r="AD16" s="77">
        <v>4</v>
      </c>
      <c r="AE16" s="49" t="s">
        <v>221</v>
      </c>
    </row>
    <row r="17" spans="1:31" x14ac:dyDescent="0.3">
      <c r="A17" t="s">
        <v>103</v>
      </c>
      <c r="B17" s="77">
        <v>1</v>
      </c>
      <c r="C17" t="s">
        <v>179</v>
      </c>
      <c r="D17" t="s">
        <v>104</v>
      </c>
      <c r="E17" t="s">
        <v>105</v>
      </c>
      <c r="F17" t="s">
        <v>46</v>
      </c>
      <c r="G17" s="77">
        <v>16</v>
      </c>
      <c r="H17" s="77">
        <v>822.5</v>
      </c>
      <c r="I17" s="77">
        <v>12000</v>
      </c>
      <c r="J17" s="79">
        <f t="shared" si="3"/>
        <v>6.8541666666666667E-2</v>
      </c>
      <c r="K17" s="77">
        <v>8</v>
      </c>
      <c r="L17" s="66">
        <v>40</v>
      </c>
      <c r="M17">
        <f t="shared" si="4"/>
        <v>0.2</v>
      </c>
      <c r="N17" s="77">
        <v>0</v>
      </c>
      <c r="O17" s="80">
        <v>52</v>
      </c>
      <c r="P17" s="80">
        <v>0</v>
      </c>
      <c r="Q17">
        <f t="shared" si="0"/>
        <v>0</v>
      </c>
      <c r="R17" s="77">
        <v>0</v>
      </c>
      <c r="S17" s="77">
        <v>28.57</v>
      </c>
      <c r="T17" s="77">
        <v>0</v>
      </c>
      <c r="U17">
        <f t="shared" si="1"/>
        <v>-1</v>
      </c>
      <c r="V17" s="81">
        <v>0</v>
      </c>
      <c r="W17" s="2">
        <f t="shared" si="2"/>
        <v>102.8125</v>
      </c>
      <c r="X17">
        <f t="shared" si="5"/>
        <v>0</v>
      </c>
      <c r="Y17" s="77">
        <v>9</v>
      </c>
      <c r="Z17" s="77">
        <v>12</v>
      </c>
      <c r="AA17" s="77">
        <v>0</v>
      </c>
      <c r="AB17" s="77">
        <v>0</v>
      </c>
      <c r="AC17" s="77">
        <v>0</v>
      </c>
      <c r="AD17" s="77">
        <v>0</v>
      </c>
    </row>
    <row r="18" spans="1:31" x14ac:dyDescent="0.3">
      <c r="A18" t="s">
        <v>129</v>
      </c>
      <c r="B18" s="77">
        <v>4</v>
      </c>
      <c r="C18" t="s">
        <v>179</v>
      </c>
      <c r="D18" t="s">
        <v>130</v>
      </c>
      <c r="E18" t="s">
        <v>45</v>
      </c>
      <c r="F18" t="s">
        <v>29</v>
      </c>
      <c r="G18" s="77">
        <v>20</v>
      </c>
      <c r="H18" s="77">
        <v>1400</v>
      </c>
      <c r="I18" s="77">
        <v>57000</v>
      </c>
      <c r="J18" s="79">
        <f t="shared" si="3"/>
        <v>2.456140350877193E-2</v>
      </c>
      <c r="K18" s="77">
        <v>1</v>
      </c>
      <c r="L18" s="66">
        <v>12</v>
      </c>
      <c r="M18">
        <f t="shared" si="4"/>
        <v>8.3333333333333329E-2</v>
      </c>
      <c r="N18" s="77">
        <v>0</v>
      </c>
      <c r="O18" s="80">
        <v>100</v>
      </c>
      <c r="P18" s="80">
        <v>54</v>
      </c>
      <c r="Q18">
        <f t="shared" si="0"/>
        <v>0</v>
      </c>
      <c r="R18" s="77">
        <v>0</v>
      </c>
      <c r="S18" s="77">
        <v>100</v>
      </c>
      <c r="T18" s="77">
        <v>22</v>
      </c>
      <c r="U18">
        <f t="shared" si="1"/>
        <v>-0.78</v>
      </c>
      <c r="V18" s="81">
        <v>1587.6200000000001</v>
      </c>
      <c r="W18" s="2">
        <f t="shared" si="2"/>
        <v>1400</v>
      </c>
      <c r="X18">
        <f t="shared" si="5"/>
        <v>-0.11817689371512086</v>
      </c>
      <c r="Y18" s="77">
        <v>17</v>
      </c>
      <c r="Z18" s="77">
        <v>19</v>
      </c>
      <c r="AA18" s="77">
        <v>1</v>
      </c>
      <c r="AB18" s="77">
        <v>1</v>
      </c>
      <c r="AC18" s="77">
        <v>1</v>
      </c>
      <c r="AD18" s="77">
        <v>1</v>
      </c>
    </row>
    <row r="19" spans="1:31" x14ac:dyDescent="0.3">
      <c r="A19" t="s">
        <v>96</v>
      </c>
      <c r="B19" s="77">
        <v>1</v>
      </c>
      <c r="C19" t="s">
        <v>180</v>
      </c>
      <c r="D19" t="s">
        <v>39</v>
      </c>
      <c r="E19" t="s">
        <v>40</v>
      </c>
      <c r="F19" t="s">
        <v>83</v>
      </c>
      <c r="G19" s="77">
        <v>26</v>
      </c>
      <c r="H19" s="77">
        <v>10875</v>
      </c>
      <c r="I19" s="77">
        <v>140000</v>
      </c>
      <c r="J19" s="79">
        <f t="shared" si="3"/>
        <v>7.767857142857143E-2</v>
      </c>
      <c r="K19" s="77">
        <v>4</v>
      </c>
      <c r="L19" s="66">
        <v>40</v>
      </c>
      <c r="M19">
        <f t="shared" si="4"/>
        <v>0.1</v>
      </c>
      <c r="N19" s="77">
        <v>0</v>
      </c>
      <c r="O19" s="80">
        <v>75</v>
      </c>
      <c r="P19" s="80">
        <v>75</v>
      </c>
      <c r="Q19">
        <f t="shared" si="0"/>
        <v>0</v>
      </c>
      <c r="R19" s="77">
        <v>0</v>
      </c>
      <c r="S19" s="77">
        <v>33</v>
      </c>
      <c r="T19" s="77">
        <v>50</v>
      </c>
      <c r="U19">
        <f t="shared" si="1"/>
        <v>0.51515151515151514</v>
      </c>
      <c r="V19" s="81">
        <v>1145.550847457627</v>
      </c>
      <c r="W19" s="2">
        <f t="shared" si="2"/>
        <v>2718.75</v>
      </c>
      <c r="X19">
        <f t="shared" si="5"/>
        <v>1.3733123728500094</v>
      </c>
      <c r="Y19" s="77">
        <v>31</v>
      </c>
      <c r="Z19" s="77">
        <v>42</v>
      </c>
      <c r="AA19" s="77">
        <v>1</v>
      </c>
      <c r="AB19" s="77">
        <v>4</v>
      </c>
      <c r="AC19" s="77">
        <v>2</v>
      </c>
      <c r="AD19" s="77">
        <v>1</v>
      </c>
      <c r="AE19" s="49" t="s">
        <v>222</v>
      </c>
    </row>
    <row r="20" spans="1:31" x14ac:dyDescent="0.3">
      <c r="A20" t="s">
        <v>38</v>
      </c>
      <c r="B20" s="77">
        <v>1</v>
      </c>
      <c r="C20" t="s">
        <v>180</v>
      </c>
      <c r="D20" t="s">
        <v>39</v>
      </c>
      <c r="E20" t="s">
        <v>40</v>
      </c>
      <c r="F20" t="s">
        <v>41</v>
      </c>
      <c r="G20" s="77">
        <v>5</v>
      </c>
      <c r="H20" s="77">
        <v>1800</v>
      </c>
      <c r="I20" s="77">
        <v>6600</v>
      </c>
      <c r="J20" s="79">
        <f t="shared" si="3"/>
        <v>0.27272727272727271</v>
      </c>
      <c r="K20" s="77">
        <v>2</v>
      </c>
      <c r="L20" s="66">
        <v>6</v>
      </c>
      <c r="M20">
        <f t="shared" si="4"/>
        <v>0.33333333333333331</v>
      </c>
      <c r="N20" s="77">
        <v>88</v>
      </c>
      <c r="O20" s="80">
        <v>55</v>
      </c>
      <c r="P20" s="80">
        <v>75</v>
      </c>
      <c r="Q20">
        <f t="shared" si="0"/>
        <v>-0.375</v>
      </c>
      <c r="R20" s="77">
        <v>68</v>
      </c>
      <c r="S20" s="77">
        <v>83</v>
      </c>
      <c r="T20" s="77">
        <v>26</v>
      </c>
      <c r="U20">
        <f t="shared" si="1"/>
        <v>-0.68674698795180722</v>
      </c>
      <c r="V20" s="81">
        <v>3178.75</v>
      </c>
      <c r="W20" s="2">
        <f t="shared" si="2"/>
        <v>900</v>
      </c>
      <c r="X20">
        <f t="shared" si="5"/>
        <v>-0.71686983877310262</v>
      </c>
      <c r="Y20" s="77">
        <v>5</v>
      </c>
      <c r="Z20" s="77">
        <v>5</v>
      </c>
      <c r="AA20" s="77">
        <v>1</v>
      </c>
      <c r="AB20" s="77">
        <v>1</v>
      </c>
      <c r="AC20" s="77">
        <v>1</v>
      </c>
      <c r="AD20" s="77">
        <v>0</v>
      </c>
      <c r="AE20" s="49" t="s">
        <v>223</v>
      </c>
    </row>
    <row r="21" spans="1:31" x14ac:dyDescent="0.3">
      <c r="A21" t="s">
        <v>95</v>
      </c>
      <c r="B21" s="77">
        <v>2</v>
      </c>
      <c r="C21" t="s">
        <v>180</v>
      </c>
      <c r="D21" t="s">
        <v>39</v>
      </c>
      <c r="E21" t="s">
        <v>40</v>
      </c>
      <c r="F21" t="s">
        <v>60</v>
      </c>
      <c r="G21" s="77">
        <v>21</v>
      </c>
      <c r="H21" s="77">
        <v>7807</v>
      </c>
      <c r="I21" s="77">
        <v>50000</v>
      </c>
      <c r="J21" s="79">
        <f t="shared" si="3"/>
        <v>0.15614</v>
      </c>
      <c r="K21" s="77">
        <v>6</v>
      </c>
      <c r="L21" s="66">
        <v>14</v>
      </c>
      <c r="M21">
        <f t="shared" si="4"/>
        <v>0.42857142857142855</v>
      </c>
      <c r="N21" s="77">
        <v>73</v>
      </c>
      <c r="O21" s="80">
        <v>82</v>
      </c>
      <c r="P21" s="80">
        <v>60</v>
      </c>
      <c r="Q21">
        <f t="shared" si="0"/>
        <v>0.12328767123287676</v>
      </c>
      <c r="R21" s="77">
        <v>0</v>
      </c>
      <c r="S21" s="77">
        <v>50</v>
      </c>
      <c r="T21" s="77">
        <v>1</v>
      </c>
      <c r="U21">
        <f t="shared" si="1"/>
        <v>-0.98</v>
      </c>
      <c r="V21" s="81">
        <v>5260.833333333333</v>
      </c>
      <c r="W21" s="2">
        <f t="shared" si="2"/>
        <v>1301.1666666666667</v>
      </c>
      <c r="X21">
        <f t="shared" si="5"/>
        <v>-0.75266909551718675</v>
      </c>
      <c r="Y21" s="77">
        <v>9</v>
      </c>
      <c r="Z21" s="77">
        <v>9</v>
      </c>
      <c r="AA21" s="77">
        <v>2</v>
      </c>
      <c r="AB21" s="77">
        <v>1</v>
      </c>
      <c r="AC21" s="77">
        <v>2</v>
      </c>
      <c r="AD21" s="77">
        <v>1</v>
      </c>
      <c r="AE21" s="49" t="s">
        <v>224</v>
      </c>
    </row>
    <row r="22" spans="1:31" x14ac:dyDescent="0.3">
      <c r="A22" t="s">
        <v>132</v>
      </c>
      <c r="B22" s="77">
        <v>4</v>
      </c>
      <c r="C22" t="s">
        <v>201</v>
      </c>
      <c r="D22" t="s">
        <v>39</v>
      </c>
      <c r="E22" t="s">
        <v>50</v>
      </c>
      <c r="F22" t="s">
        <v>133</v>
      </c>
      <c r="G22" s="77">
        <v>20</v>
      </c>
      <c r="H22" s="77">
        <v>51410</v>
      </c>
      <c r="I22" s="77">
        <v>120000</v>
      </c>
      <c r="J22" s="79">
        <f t="shared" si="3"/>
        <v>0.42841666666666667</v>
      </c>
      <c r="K22" s="77">
        <v>8</v>
      </c>
      <c r="L22" s="66">
        <v>18</v>
      </c>
      <c r="M22">
        <f t="shared" si="4"/>
        <v>0.44444444444444442</v>
      </c>
      <c r="N22" s="77">
        <v>0</v>
      </c>
      <c r="O22" s="80">
        <v>83</v>
      </c>
      <c r="P22" s="80">
        <v>75</v>
      </c>
      <c r="Q22">
        <f t="shared" si="0"/>
        <v>0</v>
      </c>
      <c r="R22" s="77">
        <v>0</v>
      </c>
      <c r="S22" s="77">
        <v>71</v>
      </c>
      <c r="T22" s="77">
        <v>40</v>
      </c>
      <c r="U22">
        <f t="shared" si="1"/>
        <v>-0.43661971830985913</v>
      </c>
      <c r="V22" s="81">
        <v>7839.0476190476193</v>
      </c>
      <c r="W22" s="2">
        <f t="shared" si="2"/>
        <v>6426.25</v>
      </c>
      <c r="X22">
        <f t="shared" si="5"/>
        <v>-0.18022567124286237</v>
      </c>
      <c r="Y22" s="77">
        <v>19</v>
      </c>
      <c r="Z22" s="77">
        <v>19</v>
      </c>
      <c r="AA22" s="77">
        <v>2</v>
      </c>
      <c r="AB22" s="77">
        <v>2</v>
      </c>
      <c r="AC22" s="77">
        <v>2</v>
      </c>
      <c r="AD22" s="77">
        <v>2</v>
      </c>
      <c r="AE22" s="49" t="s">
        <v>225</v>
      </c>
    </row>
    <row r="23" spans="1:31" x14ac:dyDescent="0.3">
      <c r="A23" t="s">
        <v>74</v>
      </c>
      <c r="B23" s="77">
        <v>1</v>
      </c>
      <c r="C23" t="s">
        <v>182</v>
      </c>
      <c r="D23" t="s">
        <v>39</v>
      </c>
      <c r="E23" t="s">
        <v>40</v>
      </c>
      <c r="F23" t="s">
        <v>75</v>
      </c>
      <c r="G23" s="77">
        <v>8</v>
      </c>
      <c r="H23" s="77">
        <v>0</v>
      </c>
      <c r="I23" s="77">
        <v>18000</v>
      </c>
      <c r="J23" s="79">
        <f t="shared" si="3"/>
        <v>0</v>
      </c>
      <c r="K23" s="77">
        <v>0</v>
      </c>
      <c r="L23" s="66">
        <v>7</v>
      </c>
      <c r="M23">
        <f t="shared" si="4"/>
        <v>0</v>
      </c>
      <c r="N23" s="77">
        <v>99</v>
      </c>
      <c r="O23" s="80">
        <v>35</v>
      </c>
      <c r="P23" s="80">
        <v>75</v>
      </c>
      <c r="Q23">
        <f t="shared" si="0"/>
        <v>-0.64646464646464641</v>
      </c>
      <c r="R23" s="77">
        <v>0</v>
      </c>
      <c r="S23" s="77">
        <v>100</v>
      </c>
      <c r="T23" s="77">
        <v>60</v>
      </c>
      <c r="U23">
        <f t="shared" si="1"/>
        <v>-0.4</v>
      </c>
      <c r="V23" s="81">
        <v>3141.6666666666665</v>
      </c>
      <c r="W23" s="2">
        <f t="shared" si="2"/>
        <v>0</v>
      </c>
      <c r="X23">
        <f t="shared" si="5"/>
        <v>-1</v>
      </c>
      <c r="Y23" s="77">
        <v>5</v>
      </c>
      <c r="Z23" s="77">
        <v>5</v>
      </c>
      <c r="AA23" s="77">
        <v>2</v>
      </c>
      <c r="AB23" s="77">
        <v>6</v>
      </c>
      <c r="AC23" s="77">
        <v>3</v>
      </c>
      <c r="AD23" s="77">
        <v>1</v>
      </c>
    </row>
    <row r="24" spans="1:31" x14ac:dyDescent="0.3">
      <c r="A24" t="s">
        <v>57</v>
      </c>
      <c r="B24" s="77">
        <v>1</v>
      </c>
      <c r="C24" t="s">
        <v>180</v>
      </c>
      <c r="D24" t="s">
        <v>39</v>
      </c>
      <c r="E24" t="s">
        <v>40</v>
      </c>
      <c r="F24" t="s">
        <v>58</v>
      </c>
      <c r="G24" s="77">
        <v>13</v>
      </c>
      <c r="H24" s="77">
        <v>2700</v>
      </c>
      <c r="I24" s="77">
        <v>47000</v>
      </c>
      <c r="J24" s="79">
        <f t="shared" si="3"/>
        <v>5.7446808510638298E-2</v>
      </c>
      <c r="K24" s="77">
        <v>1</v>
      </c>
      <c r="L24" s="66">
        <v>8</v>
      </c>
      <c r="M24">
        <f t="shared" si="4"/>
        <v>0.125</v>
      </c>
      <c r="N24" s="77">
        <v>52</v>
      </c>
      <c r="O24" s="80">
        <v>72</v>
      </c>
      <c r="P24" s="80">
        <v>66</v>
      </c>
      <c r="Q24">
        <f t="shared" si="0"/>
        <v>0.38461538461538458</v>
      </c>
      <c r="R24" s="77">
        <v>0</v>
      </c>
      <c r="S24" s="77">
        <v>50</v>
      </c>
      <c r="T24" s="77">
        <v>25</v>
      </c>
      <c r="U24">
        <f t="shared" si="1"/>
        <v>-0.5</v>
      </c>
      <c r="V24" s="81">
        <v>867.83500000000004</v>
      </c>
      <c r="W24" s="2">
        <f t="shared" si="2"/>
        <v>2700</v>
      </c>
      <c r="X24">
        <f t="shared" si="5"/>
        <v>2.1111904912800243</v>
      </c>
      <c r="Y24" s="77">
        <v>11</v>
      </c>
      <c r="Z24" s="77">
        <v>11</v>
      </c>
      <c r="AA24" s="77">
        <v>0</v>
      </c>
      <c r="AB24" s="77">
        <v>3</v>
      </c>
      <c r="AC24" s="77">
        <v>0</v>
      </c>
      <c r="AD24" s="77">
        <v>0</v>
      </c>
      <c r="AE24" s="49" t="s">
        <v>264</v>
      </c>
    </row>
    <row r="25" spans="1:31" x14ac:dyDescent="0.3">
      <c r="A25" t="s">
        <v>94</v>
      </c>
      <c r="B25" s="77">
        <v>5</v>
      </c>
      <c r="C25" t="s">
        <v>180</v>
      </c>
      <c r="D25" t="s">
        <v>39</v>
      </c>
      <c r="E25" t="s">
        <v>40</v>
      </c>
      <c r="F25" t="s">
        <v>147</v>
      </c>
      <c r="G25" s="77">
        <v>30</v>
      </c>
      <c r="H25" s="83">
        <v>134532</v>
      </c>
      <c r="I25" s="77">
        <v>475000</v>
      </c>
      <c r="J25" s="79">
        <f t="shared" si="3"/>
        <v>0.28322526315789476</v>
      </c>
      <c r="K25" s="77">
        <v>7</v>
      </c>
      <c r="L25" s="66">
        <v>28</v>
      </c>
      <c r="M25">
        <f t="shared" si="4"/>
        <v>0.25</v>
      </c>
      <c r="N25" s="77">
        <v>79</v>
      </c>
      <c r="O25" s="80">
        <v>100</v>
      </c>
      <c r="P25" s="80">
        <v>75</v>
      </c>
      <c r="Q25">
        <f t="shared" si="0"/>
        <v>0.26582278481012667</v>
      </c>
      <c r="R25" s="77">
        <v>67</v>
      </c>
      <c r="S25" s="77">
        <v>92</v>
      </c>
      <c r="T25" s="77">
        <v>80</v>
      </c>
      <c r="U25">
        <f t="shared" si="1"/>
        <v>-0.13043478260869568</v>
      </c>
      <c r="V25" s="81">
        <v>14191.351904761905</v>
      </c>
      <c r="W25" s="2">
        <f t="shared" si="2"/>
        <v>19218.857142857141</v>
      </c>
      <c r="X25">
        <f t="shared" si="5"/>
        <v>0.35426541966084701</v>
      </c>
      <c r="Y25" s="77">
        <v>25</v>
      </c>
      <c r="Z25" s="77">
        <v>25</v>
      </c>
      <c r="AA25" s="77">
        <v>6</v>
      </c>
      <c r="AB25" s="77">
        <v>3</v>
      </c>
      <c r="AC25" s="77">
        <v>5</v>
      </c>
      <c r="AD25" s="77">
        <v>1</v>
      </c>
    </row>
    <row r="26" spans="1:31" x14ac:dyDescent="0.3">
      <c r="A26" t="s">
        <v>55</v>
      </c>
      <c r="B26" s="77">
        <v>3</v>
      </c>
      <c r="C26" t="s">
        <v>201</v>
      </c>
      <c r="D26" t="s">
        <v>39</v>
      </c>
      <c r="E26" t="s">
        <v>40</v>
      </c>
      <c r="F26" t="s">
        <v>111</v>
      </c>
      <c r="G26" s="77">
        <v>13</v>
      </c>
      <c r="H26" s="77">
        <v>80</v>
      </c>
      <c r="I26" s="77">
        <v>75714.75</v>
      </c>
      <c r="J26" s="79">
        <f t="shared" si="3"/>
        <v>1.056597294450553E-3</v>
      </c>
      <c r="K26" s="77">
        <v>1</v>
      </c>
      <c r="L26" s="66">
        <v>235</v>
      </c>
      <c r="M26">
        <f t="shared" si="4"/>
        <v>4.2553191489361703E-3</v>
      </c>
      <c r="N26" s="77">
        <v>62</v>
      </c>
      <c r="O26" s="80">
        <v>73</v>
      </c>
      <c r="P26" s="80">
        <v>68</v>
      </c>
      <c r="Q26">
        <f t="shared" si="0"/>
        <v>0.17741935483870974</v>
      </c>
      <c r="R26" s="77">
        <v>0</v>
      </c>
      <c r="S26" s="77">
        <v>81</v>
      </c>
      <c r="T26" s="77">
        <v>1</v>
      </c>
      <c r="U26">
        <f t="shared" si="1"/>
        <v>-0.98765432098765427</v>
      </c>
      <c r="V26" s="81">
        <v>292.98246666666671</v>
      </c>
      <c r="W26" s="2">
        <f t="shared" si="2"/>
        <v>80</v>
      </c>
      <c r="X26">
        <f t="shared" si="5"/>
        <v>-0.72694611759475025</v>
      </c>
      <c r="Y26" s="77">
        <v>134</v>
      </c>
      <c r="Z26" s="77">
        <v>250</v>
      </c>
      <c r="AA26" s="77">
        <v>3</v>
      </c>
      <c r="AB26" s="77">
        <v>2</v>
      </c>
      <c r="AC26" s="77">
        <v>3</v>
      </c>
      <c r="AD26" s="77">
        <v>2</v>
      </c>
    </row>
    <row r="27" spans="1:31" x14ac:dyDescent="0.3">
      <c r="A27" t="s">
        <v>154</v>
      </c>
      <c r="B27" s="77">
        <v>1</v>
      </c>
      <c r="C27" t="s">
        <v>180</v>
      </c>
      <c r="D27" t="s">
        <v>27</v>
      </c>
      <c r="E27" t="s">
        <v>33</v>
      </c>
      <c r="F27" t="s">
        <v>155</v>
      </c>
      <c r="G27" s="77">
        <v>5</v>
      </c>
      <c r="H27" s="77">
        <v>0</v>
      </c>
      <c r="I27" s="77">
        <v>10000</v>
      </c>
      <c r="J27" s="79">
        <f t="shared" si="3"/>
        <v>0</v>
      </c>
      <c r="K27" s="77">
        <v>0</v>
      </c>
      <c r="L27" s="66">
        <v>7</v>
      </c>
      <c r="M27">
        <f t="shared" si="4"/>
        <v>0</v>
      </c>
      <c r="N27" s="77">
        <v>75</v>
      </c>
      <c r="O27" s="80">
        <v>0</v>
      </c>
      <c r="P27" s="80">
        <v>0</v>
      </c>
      <c r="Q27">
        <f t="shared" si="0"/>
        <v>-1</v>
      </c>
      <c r="R27" s="77">
        <v>1</v>
      </c>
      <c r="S27" s="77">
        <v>0</v>
      </c>
      <c r="T27" s="77">
        <v>0</v>
      </c>
      <c r="U27">
        <f t="shared" si="1"/>
        <v>0</v>
      </c>
      <c r="V27" s="81">
        <v>0</v>
      </c>
      <c r="W27" s="2">
        <f t="shared" si="2"/>
        <v>0</v>
      </c>
      <c r="X27">
        <f t="shared" si="5"/>
        <v>0</v>
      </c>
      <c r="Y27" s="77">
        <v>0</v>
      </c>
      <c r="Z27" s="77">
        <v>0</v>
      </c>
      <c r="AA27" s="77">
        <v>0</v>
      </c>
      <c r="AB27" s="77">
        <v>0</v>
      </c>
      <c r="AC27" s="77">
        <v>0</v>
      </c>
      <c r="AD27" s="77">
        <v>0</v>
      </c>
      <c r="AE27" s="49" t="s">
        <v>226</v>
      </c>
    </row>
    <row r="28" spans="1:31" x14ac:dyDescent="0.3">
      <c r="A28" t="s">
        <v>72</v>
      </c>
      <c r="B28" s="77">
        <v>1</v>
      </c>
      <c r="C28" t="s">
        <v>201</v>
      </c>
      <c r="D28" t="s">
        <v>44</v>
      </c>
      <c r="E28" t="s">
        <v>45</v>
      </c>
      <c r="F28" t="s">
        <v>73</v>
      </c>
      <c r="G28" s="77">
        <v>7</v>
      </c>
      <c r="H28" s="77">
        <v>4510</v>
      </c>
      <c r="I28" s="77">
        <v>10000</v>
      </c>
      <c r="J28" s="79">
        <f t="shared" si="3"/>
        <v>0.45100000000000001</v>
      </c>
      <c r="K28" s="77">
        <v>2</v>
      </c>
      <c r="L28" s="66">
        <v>10</v>
      </c>
      <c r="M28">
        <f t="shared" si="4"/>
        <v>0.2</v>
      </c>
      <c r="N28" s="77">
        <v>100</v>
      </c>
      <c r="O28" s="80">
        <v>36</v>
      </c>
      <c r="P28" s="80">
        <v>45</v>
      </c>
      <c r="Q28">
        <f t="shared" si="0"/>
        <v>-0.64</v>
      </c>
      <c r="R28" s="77">
        <v>58</v>
      </c>
      <c r="S28" s="77">
        <v>0</v>
      </c>
      <c r="T28" s="77">
        <v>26</v>
      </c>
      <c r="U28">
        <f t="shared" si="1"/>
        <v>0</v>
      </c>
      <c r="V28" s="81">
        <v>0</v>
      </c>
      <c r="W28" s="2">
        <f t="shared" si="2"/>
        <v>2255</v>
      </c>
      <c r="X28">
        <f t="shared" si="5"/>
        <v>0</v>
      </c>
      <c r="Y28" s="77">
        <v>1</v>
      </c>
      <c r="Z28" s="77">
        <v>3</v>
      </c>
      <c r="AA28" s="77">
        <v>1</v>
      </c>
      <c r="AB28" s="77">
        <v>2</v>
      </c>
      <c r="AC28" s="77">
        <v>1</v>
      </c>
      <c r="AD28" s="77">
        <v>2</v>
      </c>
      <c r="AE28" s="49" t="s">
        <v>227</v>
      </c>
    </row>
    <row r="29" spans="1:31" x14ac:dyDescent="0.3">
      <c r="A29" t="s">
        <v>76</v>
      </c>
      <c r="B29" s="77">
        <v>1</v>
      </c>
      <c r="C29" t="s">
        <v>202</v>
      </c>
      <c r="D29" t="s">
        <v>39</v>
      </c>
      <c r="E29" t="s">
        <v>40</v>
      </c>
      <c r="F29" t="s">
        <v>92</v>
      </c>
      <c r="G29" s="77">
        <v>28</v>
      </c>
      <c r="H29" s="77">
        <v>15780.8</v>
      </c>
      <c r="I29" s="77">
        <v>57666.71</v>
      </c>
      <c r="J29" s="79">
        <f t="shared" si="3"/>
        <v>0.27365528569255987</v>
      </c>
      <c r="K29" s="77">
        <v>17</v>
      </c>
      <c r="L29" s="66">
        <v>37</v>
      </c>
      <c r="M29">
        <f t="shared" si="4"/>
        <v>0.45945945945945948</v>
      </c>
      <c r="N29" s="77">
        <v>100</v>
      </c>
      <c r="O29" s="80">
        <v>86</v>
      </c>
      <c r="P29" s="80">
        <v>75</v>
      </c>
      <c r="Q29">
        <f t="shared" si="0"/>
        <v>-0.14000000000000001</v>
      </c>
      <c r="R29" s="77">
        <v>100</v>
      </c>
      <c r="S29" s="77">
        <v>87</v>
      </c>
      <c r="T29" s="77">
        <v>50</v>
      </c>
      <c r="U29">
        <f t="shared" si="1"/>
        <v>-0.42528735632183912</v>
      </c>
      <c r="V29" s="81">
        <v>1086.2925925925927</v>
      </c>
      <c r="W29" s="2">
        <f t="shared" si="2"/>
        <v>928.28235294117644</v>
      </c>
      <c r="X29">
        <f t="shared" si="5"/>
        <v>-0.14545826854466726</v>
      </c>
      <c r="Y29" s="77">
        <v>22</v>
      </c>
      <c r="Z29" s="77">
        <v>33</v>
      </c>
      <c r="AA29" s="77">
        <v>6</v>
      </c>
      <c r="AB29" s="77">
        <v>10</v>
      </c>
      <c r="AC29" s="77">
        <v>5</v>
      </c>
      <c r="AD29" s="77">
        <v>6</v>
      </c>
      <c r="AE29" s="49" t="s">
        <v>228</v>
      </c>
    </row>
    <row r="30" spans="1:31" x14ac:dyDescent="0.3">
      <c r="A30" t="s">
        <v>47</v>
      </c>
      <c r="B30" s="77">
        <v>2</v>
      </c>
      <c r="C30" t="s">
        <v>179</v>
      </c>
      <c r="D30" t="s">
        <v>27</v>
      </c>
      <c r="E30" t="s">
        <v>45</v>
      </c>
      <c r="F30" t="s">
        <v>99</v>
      </c>
      <c r="G30" s="77">
        <v>10</v>
      </c>
      <c r="H30" s="77">
        <v>0</v>
      </c>
      <c r="I30" s="77">
        <v>16000</v>
      </c>
      <c r="J30" s="79">
        <f t="shared" si="3"/>
        <v>0</v>
      </c>
      <c r="K30" s="77">
        <v>0</v>
      </c>
      <c r="L30" s="66">
        <v>18</v>
      </c>
      <c r="M30">
        <f t="shared" si="4"/>
        <v>0</v>
      </c>
      <c r="N30" s="77">
        <v>0</v>
      </c>
      <c r="O30" s="80">
        <v>82</v>
      </c>
      <c r="P30" s="80">
        <v>75</v>
      </c>
      <c r="Q30">
        <f t="shared" si="0"/>
        <v>0</v>
      </c>
      <c r="R30" s="77">
        <v>0</v>
      </c>
      <c r="S30" s="77">
        <v>80</v>
      </c>
      <c r="T30" s="77">
        <v>15</v>
      </c>
      <c r="U30">
        <f t="shared" si="1"/>
        <v>-0.8125</v>
      </c>
      <c r="V30" s="81">
        <v>1032.4916666666666</v>
      </c>
      <c r="W30" s="2">
        <f t="shared" si="2"/>
        <v>0</v>
      </c>
      <c r="X30">
        <f t="shared" si="5"/>
        <v>-1</v>
      </c>
      <c r="Y30" s="77">
        <v>10</v>
      </c>
      <c r="Z30" s="77">
        <v>14</v>
      </c>
      <c r="AA30" s="77">
        <v>0</v>
      </c>
      <c r="AB30" s="77">
        <v>4</v>
      </c>
      <c r="AC30" s="77">
        <v>0</v>
      </c>
      <c r="AD30" s="77">
        <v>0</v>
      </c>
    </row>
    <row r="31" spans="1:31" x14ac:dyDescent="0.3">
      <c r="A31" t="s">
        <v>37</v>
      </c>
      <c r="B31" s="77">
        <v>1</v>
      </c>
      <c r="C31" t="s">
        <v>201</v>
      </c>
      <c r="D31" t="s">
        <v>39</v>
      </c>
      <c r="E31" t="s">
        <v>50</v>
      </c>
      <c r="F31" t="s">
        <v>51</v>
      </c>
      <c r="G31" s="77">
        <v>11</v>
      </c>
      <c r="H31" s="77">
        <v>0</v>
      </c>
      <c r="I31" s="77">
        <v>36000</v>
      </c>
      <c r="J31" s="79">
        <f t="shared" si="3"/>
        <v>0</v>
      </c>
      <c r="K31" s="77">
        <v>0</v>
      </c>
      <c r="L31" s="66">
        <v>6</v>
      </c>
      <c r="M31">
        <f t="shared" si="4"/>
        <v>0</v>
      </c>
      <c r="N31" s="77">
        <v>0</v>
      </c>
      <c r="O31" s="80">
        <v>76</v>
      </c>
      <c r="P31" s="80">
        <v>75</v>
      </c>
      <c r="Q31">
        <f t="shared" si="0"/>
        <v>0</v>
      </c>
      <c r="R31" s="77">
        <v>0</v>
      </c>
      <c r="S31" s="77">
        <v>100</v>
      </c>
      <c r="T31" s="77">
        <v>100</v>
      </c>
      <c r="U31">
        <f t="shared" si="1"/>
        <v>0</v>
      </c>
      <c r="V31" s="81">
        <v>4551</v>
      </c>
      <c r="W31" s="2">
        <f t="shared" si="2"/>
        <v>0</v>
      </c>
      <c r="X31">
        <f t="shared" si="5"/>
        <v>-1</v>
      </c>
      <c r="Y31" s="77">
        <v>6</v>
      </c>
      <c r="Z31" s="77">
        <v>6</v>
      </c>
      <c r="AA31" s="77">
        <v>1</v>
      </c>
      <c r="AB31" s="77">
        <v>1</v>
      </c>
      <c r="AC31" s="77">
        <v>1</v>
      </c>
      <c r="AD31" s="77">
        <v>1</v>
      </c>
    </row>
    <row r="32" spans="1:31" x14ac:dyDescent="0.3">
      <c r="A32" t="s">
        <v>86</v>
      </c>
      <c r="B32" s="77">
        <v>1</v>
      </c>
      <c r="C32" t="s">
        <v>180</v>
      </c>
      <c r="D32" t="s">
        <v>39</v>
      </c>
      <c r="E32" t="s">
        <v>40</v>
      </c>
      <c r="F32" t="s">
        <v>121</v>
      </c>
      <c r="G32" s="77">
        <v>12</v>
      </c>
      <c r="H32" s="77">
        <v>1800</v>
      </c>
      <c r="I32" s="77">
        <v>35000</v>
      </c>
      <c r="J32" s="79">
        <f t="shared" si="3"/>
        <v>5.1428571428571428E-2</v>
      </c>
      <c r="K32" s="77">
        <v>3</v>
      </c>
      <c r="L32" s="66">
        <v>16</v>
      </c>
      <c r="M32">
        <f t="shared" si="4"/>
        <v>0.1875</v>
      </c>
      <c r="N32" s="77">
        <v>0</v>
      </c>
      <c r="O32" s="80">
        <v>92</v>
      </c>
      <c r="P32" s="80">
        <v>0</v>
      </c>
      <c r="Q32">
        <f t="shared" si="0"/>
        <v>0</v>
      </c>
      <c r="R32" s="77">
        <v>0</v>
      </c>
      <c r="S32" s="77">
        <v>0</v>
      </c>
      <c r="T32" s="77">
        <v>0</v>
      </c>
      <c r="U32">
        <f t="shared" si="1"/>
        <v>0</v>
      </c>
      <c r="V32" s="81">
        <v>0</v>
      </c>
      <c r="W32" s="2">
        <f t="shared" si="2"/>
        <v>600</v>
      </c>
      <c r="X32">
        <f t="shared" si="5"/>
        <v>0</v>
      </c>
      <c r="Y32" s="77">
        <v>6</v>
      </c>
      <c r="Z32" s="77">
        <v>9</v>
      </c>
      <c r="AA32" s="77">
        <v>0</v>
      </c>
      <c r="AB32" s="77">
        <v>0</v>
      </c>
      <c r="AC32" s="77">
        <v>0</v>
      </c>
      <c r="AD32" s="77">
        <v>0</v>
      </c>
    </row>
    <row r="33" spans="1:31" x14ac:dyDescent="0.3">
      <c r="A33" t="s">
        <v>65</v>
      </c>
      <c r="B33" s="77">
        <v>3</v>
      </c>
      <c r="C33" t="s">
        <v>201</v>
      </c>
      <c r="D33" t="s">
        <v>88</v>
      </c>
      <c r="E33" t="s">
        <v>33</v>
      </c>
      <c r="F33" t="s">
        <v>59</v>
      </c>
      <c r="G33" s="77">
        <v>6</v>
      </c>
      <c r="H33" s="77">
        <v>0</v>
      </c>
      <c r="I33" s="77">
        <v>60920.959999999999</v>
      </c>
      <c r="J33" s="79">
        <f t="shared" si="3"/>
        <v>0</v>
      </c>
      <c r="K33" s="77">
        <v>0</v>
      </c>
      <c r="L33" s="66">
        <v>13</v>
      </c>
      <c r="M33">
        <f t="shared" si="4"/>
        <v>0</v>
      </c>
      <c r="N33" s="77">
        <v>80</v>
      </c>
      <c r="O33" s="80">
        <v>79</v>
      </c>
      <c r="P33" s="80">
        <v>75</v>
      </c>
      <c r="Q33">
        <f t="shared" si="0"/>
        <v>-1.2499999999999956E-2</v>
      </c>
      <c r="R33" s="77">
        <v>100</v>
      </c>
      <c r="S33" s="77">
        <v>100</v>
      </c>
      <c r="T33" s="77">
        <v>18</v>
      </c>
      <c r="U33">
        <f t="shared" si="1"/>
        <v>-0.82000000000000006</v>
      </c>
      <c r="V33" s="81">
        <v>0</v>
      </c>
      <c r="W33" s="2">
        <f t="shared" si="2"/>
        <v>0</v>
      </c>
      <c r="X33">
        <f t="shared" si="5"/>
        <v>0</v>
      </c>
      <c r="Y33" s="77">
        <v>2</v>
      </c>
      <c r="Z33" s="77">
        <v>4</v>
      </c>
      <c r="AA33" s="77">
        <v>3</v>
      </c>
      <c r="AB33" s="77">
        <v>2</v>
      </c>
      <c r="AC33" s="77">
        <v>3</v>
      </c>
      <c r="AD33" s="77">
        <v>0</v>
      </c>
    </row>
    <row r="34" spans="1:31" x14ac:dyDescent="0.3">
      <c r="A34" t="s">
        <v>142</v>
      </c>
      <c r="B34" s="77">
        <v>1</v>
      </c>
      <c r="C34" t="s">
        <v>180</v>
      </c>
      <c r="D34" t="s">
        <v>143</v>
      </c>
      <c r="E34" t="s">
        <v>144</v>
      </c>
      <c r="F34" t="s">
        <v>145</v>
      </c>
      <c r="G34" s="77">
        <v>8</v>
      </c>
      <c r="H34" s="77">
        <v>1400</v>
      </c>
      <c r="I34" s="77">
        <v>7000</v>
      </c>
      <c r="J34" s="79">
        <f t="shared" si="3"/>
        <v>0.2</v>
      </c>
      <c r="K34" s="77">
        <v>1</v>
      </c>
      <c r="L34" s="66">
        <v>7</v>
      </c>
      <c r="M34">
        <f t="shared" si="4"/>
        <v>0.14285714285714285</v>
      </c>
      <c r="N34" s="77">
        <v>0</v>
      </c>
      <c r="O34" s="80">
        <v>0</v>
      </c>
      <c r="P34" s="80">
        <v>0</v>
      </c>
      <c r="Q34">
        <f t="shared" ref="Q34:Q59" si="6">IF(N34=0,0,(O34/N34)-1)</f>
        <v>0</v>
      </c>
      <c r="R34" s="77">
        <v>100</v>
      </c>
      <c r="S34" s="77">
        <v>0</v>
      </c>
      <c r="T34" s="77">
        <v>0</v>
      </c>
      <c r="U34">
        <f t="shared" ref="U34:U59" si="7">IF(S34=0,0,(T34/S34)-1)</f>
        <v>0</v>
      </c>
      <c r="V34" s="81">
        <v>0</v>
      </c>
      <c r="W34" s="2">
        <f t="shared" ref="W34:W59" si="8">IF(K34=0,0,H34/K34)</f>
        <v>1400</v>
      </c>
      <c r="X34">
        <f t="shared" si="5"/>
        <v>0</v>
      </c>
      <c r="Y34" s="77">
        <v>0</v>
      </c>
      <c r="Z34" s="77">
        <v>0</v>
      </c>
      <c r="AA34" s="77">
        <v>0</v>
      </c>
      <c r="AB34" s="77">
        <v>0</v>
      </c>
      <c r="AC34" s="77">
        <v>0</v>
      </c>
      <c r="AD34" s="77">
        <v>0</v>
      </c>
    </row>
    <row r="35" spans="1:31" x14ac:dyDescent="0.3">
      <c r="A35" t="s">
        <v>107</v>
      </c>
      <c r="B35" s="77">
        <v>4</v>
      </c>
      <c r="C35" t="s">
        <v>182</v>
      </c>
      <c r="D35" t="s">
        <v>44</v>
      </c>
      <c r="E35" t="s">
        <v>45</v>
      </c>
      <c r="F35" t="s">
        <v>108</v>
      </c>
      <c r="G35" s="77">
        <v>25</v>
      </c>
      <c r="H35" s="83">
        <v>11900</v>
      </c>
      <c r="I35" s="77">
        <v>170000</v>
      </c>
      <c r="J35" s="79">
        <f t="shared" si="3"/>
        <v>7.0000000000000007E-2</v>
      </c>
      <c r="K35" s="77">
        <v>5</v>
      </c>
      <c r="L35" s="66">
        <v>60</v>
      </c>
      <c r="M35">
        <f t="shared" si="4"/>
        <v>8.3333333333333329E-2</v>
      </c>
      <c r="N35" s="77">
        <v>0</v>
      </c>
      <c r="O35" s="80">
        <v>82</v>
      </c>
      <c r="P35" s="80">
        <v>75</v>
      </c>
      <c r="Q35">
        <f t="shared" si="6"/>
        <v>0</v>
      </c>
      <c r="R35" s="77">
        <v>0</v>
      </c>
      <c r="S35" s="77">
        <v>90</v>
      </c>
      <c r="T35" s="77">
        <v>50</v>
      </c>
      <c r="U35">
        <f t="shared" si="7"/>
        <v>-0.44444444444444442</v>
      </c>
      <c r="V35" s="81">
        <v>2621.3661363636365</v>
      </c>
      <c r="W35" s="2">
        <f t="shared" si="8"/>
        <v>2380</v>
      </c>
      <c r="X35">
        <f t="shared" si="5"/>
        <v>-9.2076468454902693E-2</v>
      </c>
      <c r="Y35" s="77">
        <v>22</v>
      </c>
      <c r="Z35" s="77">
        <v>45</v>
      </c>
      <c r="AA35" s="77">
        <v>3</v>
      </c>
      <c r="AB35" s="77">
        <v>1</v>
      </c>
      <c r="AC35" s="77">
        <v>3</v>
      </c>
      <c r="AD35" s="77">
        <v>5</v>
      </c>
    </row>
    <row r="36" spans="1:31" x14ac:dyDescent="0.3">
      <c r="A36" t="s">
        <v>89</v>
      </c>
      <c r="B36" s="77">
        <v>1</v>
      </c>
      <c r="C36" t="s">
        <v>200</v>
      </c>
      <c r="D36" t="s">
        <v>27</v>
      </c>
      <c r="E36" t="s">
        <v>33</v>
      </c>
      <c r="F36" t="s">
        <v>124</v>
      </c>
      <c r="G36" s="77">
        <v>4</v>
      </c>
      <c r="H36" s="77">
        <v>0</v>
      </c>
      <c r="I36" s="77">
        <v>13418.75</v>
      </c>
      <c r="J36" s="79">
        <f t="shared" si="3"/>
        <v>0</v>
      </c>
      <c r="K36" s="77">
        <v>0</v>
      </c>
      <c r="L36" s="66">
        <v>25</v>
      </c>
      <c r="M36">
        <f t="shared" si="4"/>
        <v>0</v>
      </c>
      <c r="N36" s="77">
        <v>0</v>
      </c>
      <c r="O36" s="80">
        <v>52</v>
      </c>
      <c r="P36" s="80">
        <v>0</v>
      </c>
      <c r="Q36">
        <f t="shared" si="6"/>
        <v>0</v>
      </c>
      <c r="R36" s="77">
        <v>0</v>
      </c>
      <c r="S36" s="77">
        <v>100</v>
      </c>
      <c r="T36" s="77">
        <v>0</v>
      </c>
      <c r="U36">
        <f t="shared" si="7"/>
        <v>-1</v>
      </c>
      <c r="V36" s="81">
        <v>0</v>
      </c>
      <c r="W36" s="2">
        <f t="shared" si="8"/>
        <v>0</v>
      </c>
      <c r="X36">
        <f t="shared" si="5"/>
        <v>0</v>
      </c>
      <c r="Y36" s="77">
        <v>4</v>
      </c>
      <c r="Z36" s="77">
        <v>8</v>
      </c>
      <c r="AA36" s="77">
        <v>1</v>
      </c>
      <c r="AB36" s="77">
        <v>0</v>
      </c>
      <c r="AC36" s="77">
        <v>1</v>
      </c>
      <c r="AD36" s="77">
        <v>1</v>
      </c>
      <c r="AE36" s="49" t="s">
        <v>229</v>
      </c>
    </row>
    <row r="37" spans="1:31" x14ac:dyDescent="0.3">
      <c r="A37" t="s">
        <v>127</v>
      </c>
      <c r="B37" s="77">
        <v>4</v>
      </c>
      <c r="C37" t="s">
        <v>179</v>
      </c>
      <c r="D37" t="s">
        <v>39</v>
      </c>
      <c r="E37" t="s">
        <v>40</v>
      </c>
      <c r="F37" t="s">
        <v>152</v>
      </c>
      <c r="G37" s="77">
        <v>16</v>
      </c>
      <c r="H37" s="77">
        <v>46360</v>
      </c>
      <c r="I37" s="77">
        <v>208910</v>
      </c>
      <c r="J37" s="79">
        <f t="shared" si="3"/>
        <v>0.22191374276004022</v>
      </c>
      <c r="K37" s="77">
        <v>4</v>
      </c>
      <c r="L37" s="66">
        <v>12</v>
      </c>
      <c r="M37">
        <f t="shared" si="4"/>
        <v>0.33333333333333331</v>
      </c>
      <c r="N37" s="77">
        <v>0</v>
      </c>
      <c r="O37" s="80">
        <v>100</v>
      </c>
      <c r="P37" s="80">
        <v>70</v>
      </c>
      <c r="Q37">
        <f t="shared" si="6"/>
        <v>0</v>
      </c>
      <c r="R37" s="77">
        <v>100</v>
      </c>
      <c r="S37" s="77">
        <v>50</v>
      </c>
      <c r="T37" s="77">
        <v>15</v>
      </c>
      <c r="U37">
        <f t="shared" si="7"/>
        <v>-0.7</v>
      </c>
      <c r="V37" s="81">
        <v>2487.8571428571427</v>
      </c>
      <c r="W37" s="2">
        <f t="shared" si="8"/>
        <v>11590</v>
      </c>
      <c r="X37">
        <f t="shared" si="5"/>
        <v>3.6586276198679304</v>
      </c>
      <c r="Y37" s="77">
        <v>11</v>
      </c>
      <c r="Z37" s="77">
        <v>13</v>
      </c>
      <c r="AA37" s="77">
        <v>1</v>
      </c>
      <c r="AB37" s="77">
        <v>1</v>
      </c>
      <c r="AC37" s="77">
        <v>1</v>
      </c>
      <c r="AD37" s="77">
        <v>0</v>
      </c>
      <c r="AE37" s="49" t="s">
        <v>230</v>
      </c>
    </row>
    <row r="38" spans="1:31" x14ac:dyDescent="0.3">
      <c r="A38" t="s">
        <v>122</v>
      </c>
      <c r="B38" s="77">
        <v>3</v>
      </c>
      <c r="C38" t="s">
        <v>180</v>
      </c>
      <c r="D38" t="s">
        <v>44</v>
      </c>
      <c r="E38" t="s">
        <v>45</v>
      </c>
      <c r="F38" t="s">
        <v>28</v>
      </c>
      <c r="G38" s="77">
        <v>13</v>
      </c>
      <c r="H38" s="77">
        <v>154</v>
      </c>
      <c r="I38" s="77">
        <v>35349.75</v>
      </c>
      <c r="J38" s="79">
        <f t="shared" si="3"/>
        <v>4.3564664530866557E-3</v>
      </c>
      <c r="K38" s="77">
        <v>2</v>
      </c>
      <c r="L38" s="66">
        <v>14</v>
      </c>
      <c r="M38">
        <f t="shared" si="4"/>
        <v>0.14285714285714285</v>
      </c>
      <c r="N38" s="77">
        <v>0</v>
      </c>
      <c r="O38" s="80">
        <v>64</v>
      </c>
      <c r="P38" s="80">
        <v>75</v>
      </c>
      <c r="Q38">
        <f t="shared" si="6"/>
        <v>0</v>
      </c>
      <c r="R38" s="77">
        <v>0</v>
      </c>
      <c r="S38" s="77">
        <v>100</v>
      </c>
      <c r="T38" s="77">
        <v>30</v>
      </c>
      <c r="U38">
        <f t="shared" si="7"/>
        <v>-0.7</v>
      </c>
      <c r="V38" s="81">
        <v>0</v>
      </c>
      <c r="W38" s="2">
        <f t="shared" si="8"/>
        <v>77</v>
      </c>
      <c r="X38">
        <f t="shared" si="5"/>
        <v>0</v>
      </c>
      <c r="Y38" s="77">
        <v>4</v>
      </c>
      <c r="Z38" s="77">
        <v>4</v>
      </c>
      <c r="AA38" s="77">
        <v>0</v>
      </c>
      <c r="AB38" s="77">
        <v>1</v>
      </c>
      <c r="AC38" s="77">
        <v>0</v>
      </c>
      <c r="AD38" s="77">
        <v>0</v>
      </c>
    </row>
    <row r="39" spans="1:31" x14ac:dyDescent="0.3">
      <c r="A39" t="s">
        <v>90</v>
      </c>
      <c r="B39" s="77">
        <v>1</v>
      </c>
      <c r="C39" t="s">
        <v>180</v>
      </c>
      <c r="D39" t="s">
        <v>39</v>
      </c>
      <c r="E39" t="s">
        <v>91</v>
      </c>
      <c r="F39" t="s">
        <v>62</v>
      </c>
      <c r="G39" s="77">
        <v>10</v>
      </c>
      <c r="H39" s="77">
        <v>0</v>
      </c>
      <c r="I39" s="77">
        <v>1000</v>
      </c>
      <c r="J39" s="79">
        <f t="shared" si="3"/>
        <v>0</v>
      </c>
      <c r="K39" s="77">
        <v>0</v>
      </c>
      <c r="L39" s="66">
        <v>10</v>
      </c>
      <c r="M39">
        <f t="shared" si="4"/>
        <v>0</v>
      </c>
      <c r="N39" s="77">
        <v>0</v>
      </c>
      <c r="O39" s="80">
        <v>0</v>
      </c>
      <c r="P39" s="80">
        <v>0</v>
      </c>
      <c r="Q39">
        <f t="shared" si="6"/>
        <v>0</v>
      </c>
      <c r="R39" s="77">
        <v>0</v>
      </c>
      <c r="S39" s="77">
        <v>0</v>
      </c>
      <c r="T39" s="77">
        <v>0</v>
      </c>
      <c r="U39">
        <f t="shared" si="7"/>
        <v>0</v>
      </c>
      <c r="V39" s="81">
        <v>0</v>
      </c>
      <c r="W39" s="2">
        <f t="shared" si="8"/>
        <v>0</v>
      </c>
      <c r="X39">
        <f t="shared" si="5"/>
        <v>0</v>
      </c>
      <c r="Y39" s="77">
        <v>0</v>
      </c>
      <c r="Z39" s="77">
        <v>0</v>
      </c>
      <c r="AA39" s="77">
        <v>0</v>
      </c>
      <c r="AB39" s="77">
        <v>0</v>
      </c>
      <c r="AC39" s="77">
        <v>0</v>
      </c>
      <c r="AD39" s="77">
        <v>0</v>
      </c>
      <c r="AE39" s="49" t="s">
        <v>231</v>
      </c>
    </row>
    <row r="40" spans="1:31" x14ac:dyDescent="0.3">
      <c r="A40" t="s">
        <v>106</v>
      </c>
      <c r="B40" s="77">
        <v>1</v>
      </c>
      <c r="C40" t="s">
        <v>200</v>
      </c>
      <c r="D40" t="s">
        <v>27</v>
      </c>
      <c r="E40" t="s">
        <v>91</v>
      </c>
      <c r="F40" t="s">
        <v>52</v>
      </c>
      <c r="G40" s="77">
        <v>15</v>
      </c>
      <c r="H40" s="77">
        <v>0</v>
      </c>
      <c r="I40" s="77">
        <v>13875</v>
      </c>
      <c r="J40" s="79">
        <f t="shared" si="3"/>
        <v>0</v>
      </c>
      <c r="K40" s="77">
        <v>0</v>
      </c>
      <c r="L40" s="66">
        <v>20</v>
      </c>
      <c r="M40">
        <f t="shared" si="4"/>
        <v>0</v>
      </c>
      <c r="N40" s="77">
        <v>88</v>
      </c>
      <c r="O40" s="80">
        <v>81</v>
      </c>
      <c r="P40" s="80">
        <v>0</v>
      </c>
      <c r="Q40">
        <f t="shared" si="6"/>
        <v>-7.9545454545454586E-2</v>
      </c>
      <c r="R40" s="77">
        <v>1</v>
      </c>
      <c r="S40" s="77">
        <v>50</v>
      </c>
      <c r="T40" s="77">
        <v>0</v>
      </c>
      <c r="U40">
        <f t="shared" si="7"/>
        <v>-1</v>
      </c>
      <c r="V40" s="81">
        <v>0</v>
      </c>
      <c r="W40" s="2">
        <f t="shared" si="8"/>
        <v>0</v>
      </c>
      <c r="X40">
        <f t="shared" si="5"/>
        <v>0</v>
      </c>
      <c r="Y40" s="77">
        <v>8</v>
      </c>
      <c r="Z40" s="77">
        <v>8</v>
      </c>
      <c r="AA40" s="77">
        <v>1</v>
      </c>
      <c r="AB40" s="77">
        <v>0</v>
      </c>
      <c r="AC40" s="77">
        <v>1</v>
      </c>
      <c r="AD40" s="77">
        <v>0</v>
      </c>
    </row>
    <row r="41" spans="1:31" x14ac:dyDescent="0.3">
      <c r="A41" t="s">
        <v>110</v>
      </c>
      <c r="B41" s="77">
        <v>1</v>
      </c>
      <c r="C41" t="s">
        <v>201</v>
      </c>
      <c r="D41" t="s">
        <v>44</v>
      </c>
      <c r="E41" t="s">
        <v>45</v>
      </c>
      <c r="F41" t="s">
        <v>156</v>
      </c>
      <c r="G41" s="77">
        <v>14</v>
      </c>
      <c r="H41" s="77">
        <v>21725</v>
      </c>
      <c r="I41" s="77">
        <v>212571.3</v>
      </c>
      <c r="J41" s="79">
        <f t="shared" si="3"/>
        <v>0.10220100267533765</v>
      </c>
      <c r="K41" s="77">
        <v>5</v>
      </c>
      <c r="L41" s="66">
        <v>40</v>
      </c>
      <c r="M41">
        <f t="shared" si="4"/>
        <v>0.125</v>
      </c>
      <c r="N41" s="77">
        <v>0</v>
      </c>
      <c r="O41" s="80">
        <v>83</v>
      </c>
      <c r="P41" s="80">
        <v>75</v>
      </c>
      <c r="Q41">
        <f t="shared" si="6"/>
        <v>0</v>
      </c>
      <c r="R41" s="77">
        <v>0</v>
      </c>
      <c r="S41" s="77">
        <v>87</v>
      </c>
      <c r="T41" s="77">
        <v>65</v>
      </c>
      <c r="U41">
        <f t="shared" si="7"/>
        <v>-0.25287356321839083</v>
      </c>
      <c r="V41" s="81">
        <v>2365.5714285714298</v>
      </c>
      <c r="W41" s="2">
        <f t="shared" si="8"/>
        <v>4345</v>
      </c>
      <c r="X41">
        <f t="shared" si="5"/>
        <v>0.83676550516335424</v>
      </c>
      <c r="Y41" s="77">
        <v>25</v>
      </c>
      <c r="Z41" s="77">
        <v>38</v>
      </c>
      <c r="AA41" s="77">
        <v>6</v>
      </c>
      <c r="AB41" s="77">
        <v>4</v>
      </c>
      <c r="AC41" s="77">
        <v>3</v>
      </c>
      <c r="AD41" s="77">
        <v>4</v>
      </c>
    </row>
    <row r="42" spans="1:31" x14ac:dyDescent="0.3">
      <c r="A42" t="s">
        <v>32</v>
      </c>
      <c r="B42" s="77">
        <v>1</v>
      </c>
      <c r="C42" t="s">
        <v>201</v>
      </c>
      <c r="D42" t="s">
        <v>27</v>
      </c>
      <c r="E42" t="s">
        <v>33</v>
      </c>
      <c r="F42" t="s">
        <v>34</v>
      </c>
      <c r="G42" s="77">
        <v>7</v>
      </c>
      <c r="H42" s="77">
        <v>0</v>
      </c>
      <c r="I42" s="77">
        <v>10805</v>
      </c>
      <c r="J42" s="79">
        <f t="shared" si="3"/>
        <v>0</v>
      </c>
      <c r="K42" s="77">
        <v>0</v>
      </c>
      <c r="L42" s="66">
        <v>8</v>
      </c>
      <c r="M42">
        <f t="shared" si="4"/>
        <v>0</v>
      </c>
      <c r="N42" s="77">
        <v>60</v>
      </c>
      <c r="O42" s="80">
        <v>100</v>
      </c>
      <c r="P42" s="80">
        <v>0</v>
      </c>
      <c r="Q42">
        <f t="shared" si="6"/>
        <v>0.66666666666666674</v>
      </c>
      <c r="R42" s="77">
        <v>0</v>
      </c>
      <c r="S42" s="77">
        <v>0</v>
      </c>
      <c r="T42" s="77">
        <v>0</v>
      </c>
      <c r="U42">
        <f t="shared" si="7"/>
        <v>0</v>
      </c>
      <c r="V42" s="81">
        <v>0</v>
      </c>
      <c r="W42" s="2">
        <f t="shared" si="8"/>
        <v>0</v>
      </c>
      <c r="X42">
        <f t="shared" si="5"/>
        <v>0</v>
      </c>
      <c r="Y42" s="77">
        <v>0</v>
      </c>
      <c r="Z42" s="77">
        <v>0</v>
      </c>
      <c r="AA42" s="77">
        <v>0</v>
      </c>
      <c r="AB42" s="77">
        <v>0</v>
      </c>
      <c r="AC42" s="77">
        <v>0</v>
      </c>
      <c r="AD42" s="77">
        <v>0</v>
      </c>
    </row>
    <row r="43" spans="1:31" x14ac:dyDescent="0.3">
      <c r="A43" t="s">
        <v>150</v>
      </c>
      <c r="B43" s="77">
        <v>2</v>
      </c>
      <c r="C43" t="s">
        <v>180</v>
      </c>
      <c r="D43" t="s">
        <v>39</v>
      </c>
      <c r="E43" t="s">
        <v>40</v>
      </c>
      <c r="F43" t="s">
        <v>61</v>
      </c>
      <c r="G43" s="77">
        <v>22</v>
      </c>
      <c r="H43" s="77">
        <v>23100</v>
      </c>
      <c r="I43" s="77">
        <v>75000</v>
      </c>
      <c r="J43" s="79">
        <f t="shared" si="3"/>
        <v>0.308</v>
      </c>
      <c r="K43" s="77">
        <v>7</v>
      </c>
      <c r="L43" s="66">
        <v>17</v>
      </c>
      <c r="M43">
        <f t="shared" si="4"/>
        <v>0.41176470588235292</v>
      </c>
      <c r="N43" s="77">
        <v>0</v>
      </c>
      <c r="O43" s="80">
        <v>53</v>
      </c>
      <c r="P43" s="80">
        <v>75</v>
      </c>
      <c r="Q43">
        <f t="shared" si="6"/>
        <v>0</v>
      </c>
      <c r="R43" s="77">
        <v>0</v>
      </c>
      <c r="S43" s="77">
        <v>62</v>
      </c>
      <c r="T43" s="77">
        <v>100</v>
      </c>
      <c r="U43">
        <f t="shared" si="7"/>
        <v>0.61290322580645151</v>
      </c>
      <c r="V43" s="81">
        <v>6180</v>
      </c>
      <c r="W43" s="2">
        <f t="shared" si="8"/>
        <v>3300</v>
      </c>
      <c r="X43">
        <f t="shared" si="5"/>
        <v>-0.46601941747572817</v>
      </c>
      <c r="Y43" s="77">
        <v>14</v>
      </c>
      <c r="Z43" s="77">
        <v>15</v>
      </c>
      <c r="AA43" s="77">
        <v>1</v>
      </c>
      <c r="AB43" s="77">
        <v>4</v>
      </c>
      <c r="AC43" s="77">
        <v>2</v>
      </c>
      <c r="AD43" s="77">
        <v>1</v>
      </c>
      <c r="AE43" s="49" t="s">
        <v>232</v>
      </c>
    </row>
    <row r="44" spans="1:31" x14ac:dyDescent="0.3">
      <c r="A44" t="s">
        <v>71</v>
      </c>
      <c r="B44" s="77">
        <v>1</v>
      </c>
      <c r="C44" t="s">
        <v>180</v>
      </c>
      <c r="D44" t="s">
        <v>68</v>
      </c>
      <c r="E44" t="s">
        <v>69</v>
      </c>
      <c r="F44" t="s">
        <v>35</v>
      </c>
      <c r="G44" s="77">
        <v>9</v>
      </c>
      <c r="H44" s="77">
        <v>5700</v>
      </c>
      <c r="I44" s="77">
        <v>6000</v>
      </c>
      <c r="J44" s="79">
        <f t="shared" si="3"/>
        <v>0.95</v>
      </c>
      <c r="K44" s="77">
        <v>3</v>
      </c>
      <c r="L44" s="66">
        <v>8</v>
      </c>
      <c r="M44">
        <f t="shared" si="4"/>
        <v>0.375</v>
      </c>
      <c r="N44" s="77">
        <v>35</v>
      </c>
      <c r="O44" s="80">
        <v>0</v>
      </c>
      <c r="P44" s="80">
        <v>0</v>
      </c>
      <c r="Q44">
        <f t="shared" si="6"/>
        <v>-1</v>
      </c>
      <c r="R44" s="77">
        <v>8</v>
      </c>
      <c r="S44" s="77">
        <v>0</v>
      </c>
      <c r="T44" s="77">
        <v>0</v>
      </c>
      <c r="U44">
        <f t="shared" si="7"/>
        <v>0</v>
      </c>
      <c r="V44" s="81">
        <v>0</v>
      </c>
      <c r="W44" s="2">
        <f t="shared" si="8"/>
        <v>1900</v>
      </c>
      <c r="X44">
        <f t="shared" si="5"/>
        <v>0</v>
      </c>
      <c r="Y44" s="77">
        <v>0</v>
      </c>
      <c r="Z44" s="77">
        <v>0</v>
      </c>
      <c r="AA44" s="77">
        <v>1</v>
      </c>
      <c r="AB44" s="77">
        <v>0</v>
      </c>
      <c r="AC44" s="77">
        <v>1</v>
      </c>
      <c r="AD44" s="77">
        <v>0</v>
      </c>
    </row>
    <row r="45" spans="1:31" x14ac:dyDescent="0.3">
      <c r="A45" t="s">
        <v>84</v>
      </c>
      <c r="B45" s="77">
        <v>1</v>
      </c>
      <c r="C45" t="s">
        <v>180</v>
      </c>
      <c r="D45" t="s">
        <v>39</v>
      </c>
      <c r="E45" t="s">
        <v>40</v>
      </c>
      <c r="F45" t="s">
        <v>85</v>
      </c>
      <c r="G45" s="77">
        <v>10</v>
      </c>
      <c r="H45" s="77">
        <v>0</v>
      </c>
      <c r="I45" s="77">
        <v>10850</v>
      </c>
      <c r="J45" s="79">
        <f t="shared" si="3"/>
        <v>0</v>
      </c>
      <c r="K45" s="77">
        <v>0</v>
      </c>
      <c r="L45" s="66">
        <v>8</v>
      </c>
      <c r="M45">
        <f t="shared" si="4"/>
        <v>0</v>
      </c>
      <c r="N45" s="77">
        <v>89</v>
      </c>
      <c r="O45" s="80">
        <v>100</v>
      </c>
      <c r="P45" s="80">
        <v>75</v>
      </c>
      <c r="Q45">
        <f t="shared" si="6"/>
        <v>0.12359550561797761</v>
      </c>
      <c r="R45" s="77">
        <v>60</v>
      </c>
      <c r="S45" s="77">
        <v>0</v>
      </c>
      <c r="T45" s="77">
        <v>50</v>
      </c>
      <c r="U45">
        <f t="shared" si="7"/>
        <v>0</v>
      </c>
      <c r="V45" s="81">
        <v>773.75</v>
      </c>
      <c r="W45" s="2">
        <f t="shared" si="8"/>
        <v>0</v>
      </c>
      <c r="X45">
        <f t="shared" si="5"/>
        <v>-1</v>
      </c>
      <c r="Y45" s="77">
        <v>5</v>
      </c>
      <c r="Z45" s="77">
        <v>5</v>
      </c>
      <c r="AA45" s="77">
        <v>2</v>
      </c>
      <c r="AB45" s="77">
        <v>1</v>
      </c>
      <c r="AC45" s="77">
        <v>2</v>
      </c>
      <c r="AD45" s="77">
        <v>2</v>
      </c>
    </row>
    <row r="46" spans="1:31" x14ac:dyDescent="0.3">
      <c r="A46" t="s">
        <v>81</v>
      </c>
      <c r="B46" s="77">
        <v>1</v>
      </c>
      <c r="C46" t="s">
        <v>182</v>
      </c>
      <c r="D46" t="s">
        <v>27</v>
      </c>
      <c r="E46" t="s">
        <v>33</v>
      </c>
      <c r="F46" t="s">
        <v>82</v>
      </c>
      <c r="G46" s="77">
        <v>9</v>
      </c>
      <c r="H46" s="77">
        <v>600</v>
      </c>
      <c r="I46" s="77">
        <v>9000</v>
      </c>
      <c r="J46" s="79">
        <f t="shared" si="3"/>
        <v>6.6666666666666666E-2</v>
      </c>
      <c r="K46" s="77">
        <v>2</v>
      </c>
      <c r="L46" s="66">
        <v>14</v>
      </c>
      <c r="M46">
        <f t="shared" si="4"/>
        <v>0.14285714285714285</v>
      </c>
      <c r="N46" s="77">
        <v>82</v>
      </c>
      <c r="O46" s="80">
        <v>30</v>
      </c>
      <c r="P46" s="80">
        <v>66</v>
      </c>
      <c r="Q46">
        <f t="shared" si="6"/>
        <v>-0.63414634146341464</v>
      </c>
      <c r="R46" s="77">
        <v>0</v>
      </c>
      <c r="S46" s="77">
        <v>100</v>
      </c>
      <c r="T46" s="77">
        <v>50</v>
      </c>
      <c r="U46">
        <f t="shared" si="7"/>
        <v>-0.5</v>
      </c>
      <c r="V46" s="81">
        <v>0</v>
      </c>
      <c r="W46" s="2">
        <f t="shared" si="8"/>
        <v>300</v>
      </c>
      <c r="X46">
        <f t="shared" si="5"/>
        <v>0</v>
      </c>
      <c r="Y46" s="77">
        <v>2</v>
      </c>
      <c r="Z46" s="77">
        <v>2</v>
      </c>
      <c r="AA46" s="77">
        <v>0</v>
      </c>
      <c r="AB46" s="77">
        <v>2</v>
      </c>
      <c r="AC46" s="77">
        <v>0</v>
      </c>
      <c r="AD46" s="77">
        <v>0</v>
      </c>
      <c r="AE46" s="49" t="s">
        <v>233</v>
      </c>
    </row>
    <row r="47" spans="1:31" x14ac:dyDescent="0.3">
      <c r="A47" t="s">
        <v>53</v>
      </c>
      <c r="B47" s="77">
        <v>1</v>
      </c>
      <c r="C47" t="s">
        <v>180</v>
      </c>
      <c r="D47" t="s">
        <v>27</v>
      </c>
      <c r="E47" t="s">
        <v>45</v>
      </c>
      <c r="F47" t="s">
        <v>54</v>
      </c>
      <c r="G47" s="77">
        <v>6</v>
      </c>
      <c r="H47" s="77">
        <v>4300</v>
      </c>
      <c r="I47" s="77">
        <v>6600</v>
      </c>
      <c r="J47" s="79">
        <f t="shared" si="3"/>
        <v>0.65151515151515149</v>
      </c>
      <c r="K47" s="77">
        <v>2</v>
      </c>
      <c r="L47" s="66">
        <v>8</v>
      </c>
      <c r="M47">
        <f t="shared" si="4"/>
        <v>0.25</v>
      </c>
      <c r="N47" s="77">
        <v>0</v>
      </c>
      <c r="O47" s="80">
        <v>62</v>
      </c>
      <c r="P47" s="80">
        <v>60</v>
      </c>
      <c r="Q47">
        <f t="shared" si="6"/>
        <v>0</v>
      </c>
      <c r="R47" s="77">
        <v>0</v>
      </c>
      <c r="S47" s="77">
        <v>66</v>
      </c>
      <c r="T47" s="77">
        <v>50</v>
      </c>
      <c r="U47">
        <f t="shared" si="7"/>
        <v>-0.24242424242424243</v>
      </c>
      <c r="V47" s="81">
        <v>0</v>
      </c>
      <c r="W47" s="2">
        <f t="shared" si="8"/>
        <v>2150</v>
      </c>
      <c r="X47">
        <f t="shared" si="5"/>
        <v>0</v>
      </c>
      <c r="Y47" s="77">
        <v>11</v>
      </c>
      <c r="Z47" s="77">
        <v>17</v>
      </c>
      <c r="AA47" s="77">
        <v>2</v>
      </c>
      <c r="AB47" s="77">
        <v>2</v>
      </c>
      <c r="AC47" s="77">
        <v>2</v>
      </c>
      <c r="AD47" s="77">
        <v>5</v>
      </c>
    </row>
    <row r="48" spans="1:31" x14ac:dyDescent="0.3">
      <c r="A48" t="s">
        <v>109</v>
      </c>
      <c r="B48" s="77">
        <v>1</v>
      </c>
      <c r="C48" t="s">
        <v>202</v>
      </c>
      <c r="D48" t="s">
        <v>44</v>
      </c>
      <c r="E48" t="s">
        <v>45</v>
      </c>
      <c r="F48" t="s">
        <v>148</v>
      </c>
      <c r="G48" s="77">
        <v>6</v>
      </c>
      <c r="H48" s="77">
        <v>0</v>
      </c>
      <c r="I48" s="77">
        <v>20550</v>
      </c>
      <c r="J48" s="79">
        <f t="shared" si="3"/>
        <v>0</v>
      </c>
      <c r="K48" s="77">
        <v>0</v>
      </c>
      <c r="L48" s="66">
        <v>16</v>
      </c>
      <c r="M48">
        <f t="shared" si="4"/>
        <v>0</v>
      </c>
      <c r="N48" s="77">
        <v>69</v>
      </c>
      <c r="O48" s="80">
        <v>100</v>
      </c>
      <c r="P48" s="80">
        <v>75</v>
      </c>
      <c r="Q48">
        <f t="shared" si="6"/>
        <v>0.44927536231884058</v>
      </c>
      <c r="R48" s="77">
        <v>1</v>
      </c>
      <c r="S48" s="77">
        <v>50</v>
      </c>
      <c r="T48" s="77">
        <v>14</v>
      </c>
      <c r="U48">
        <f t="shared" si="7"/>
        <v>-0.72</v>
      </c>
      <c r="V48" s="81">
        <v>689.09090909090901</v>
      </c>
      <c r="W48" s="2">
        <f t="shared" si="8"/>
        <v>0</v>
      </c>
      <c r="X48">
        <f t="shared" si="5"/>
        <v>-1</v>
      </c>
      <c r="Y48" s="77">
        <v>11</v>
      </c>
      <c r="Z48" s="77">
        <v>17</v>
      </c>
      <c r="AA48" s="77">
        <v>2</v>
      </c>
      <c r="AB48" s="77">
        <v>2</v>
      </c>
      <c r="AC48" s="77">
        <v>2</v>
      </c>
      <c r="AD48" s="77">
        <v>3</v>
      </c>
      <c r="AE48" s="49" t="s">
        <v>234</v>
      </c>
    </row>
    <row r="49" spans="1:31" x14ac:dyDescent="0.3">
      <c r="A49" t="s">
        <v>102</v>
      </c>
      <c r="B49" s="77">
        <v>4</v>
      </c>
      <c r="C49" t="s">
        <v>201</v>
      </c>
      <c r="D49" t="s">
        <v>39</v>
      </c>
      <c r="E49" t="s">
        <v>40</v>
      </c>
      <c r="F49" t="s">
        <v>146</v>
      </c>
      <c r="G49" s="77">
        <v>24</v>
      </c>
      <c r="H49" s="77">
        <v>90995.18</v>
      </c>
      <c r="I49" s="77">
        <v>400000</v>
      </c>
      <c r="J49" s="79">
        <f t="shared" si="3"/>
        <v>0.22748794999999999</v>
      </c>
      <c r="K49" s="77">
        <v>19</v>
      </c>
      <c r="L49" s="66">
        <v>55</v>
      </c>
      <c r="M49">
        <f t="shared" si="4"/>
        <v>0.34545454545454546</v>
      </c>
      <c r="N49" s="77">
        <v>100</v>
      </c>
      <c r="O49" s="80">
        <v>90</v>
      </c>
      <c r="P49" s="80">
        <v>75</v>
      </c>
      <c r="Q49">
        <f t="shared" si="6"/>
        <v>-9.9999999999999978E-2</v>
      </c>
      <c r="R49" s="77">
        <v>0</v>
      </c>
      <c r="S49" s="77">
        <v>68</v>
      </c>
      <c r="T49" s="77">
        <v>80</v>
      </c>
      <c r="U49">
        <f t="shared" si="7"/>
        <v>0.17647058823529416</v>
      </c>
      <c r="V49" s="81">
        <v>6629.4120930232548</v>
      </c>
      <c r="W49" s="2">
        <f t="shared" si="8"/>
        <v>4789.2199999999993</v>
      </c>
      <c r="X49">
        <f t="shared" si="5"/>
        <v>-0.27757998253870209</v>
      </c>
      <c r="Y49" s="77">
        <v>54</v>
      </c>
      <c r="Z49" s="77">
        <v>55</v>
      </c>
      <c r="AA49" s="77">
        <v>10</v>
      </c>
      <c r="AB49" s="77">
        <v>5</v>
      </c>
      <c r="AC49" s="77">
        <v>6</v>
      </c>
      <c r="AD49" s="77">
        <v>3</v>
      </c>
      <c r="AE49" s="49" t="s">
        <v>235</v>
      </c>
    </row>
    <row r="50" spans="1:31" x14ac:dyDescent="0.3">
      <c r="A50" t="s">
        <v>113</v>
      </c>
      <c r="B50" s="77">
        <v>1</v>
      </c>
      <c r="C50" t="s">
        <v>180</v>
      </c>
      <c r="D50" t="s">
        <v>39</v>
      </c>
      <c r="E50" t="s">
        <v>40</v>
      </c>
      <c r="F50" t="s">
        <v>114</v>
      </c>
      <c r="G50" s="77">
        <v>10</v>
      </c>
      <c r="H50" s="77">
        <v>0</v>
      </c>
      <c r="I50" s="77">
        <v>11000</v>
      </c>
      <c r="J50" s="79">
        <f t="shared" si="3"/>
        <v>0</v>
      </c>
      <c r="K50" s="77">
        <v>0</v>
      </c>
      <c r="L50" s="66">
        <v>12</v>
      </c>
      <c r="M50">
        <f t="shared" si="4"/>
        <v>0</v>
      </c>
      <c r="N50" s="77">
        <v>0</v>
      </c>
      <c r="O50" s="80">
        <v>58</v>
      </c>
      <c r="P50" s="80">
        <v>75</v>
      </c>
      <c r="Q50">
        <f t="shared" si="6"/>
        <v>0</v>
      </c>
      <c r="R50" s="77">
        <v>0</v>
      </c>
      <c r="S50" s="77">
        <v>40</v>
      </c>
      <c r="T50" s="77">
        <v>18</v>
      </c>
      <c r="U50">
        <f t="shared" si="7"/>
        <v>-0.55000000000000004</v>
      </c>
      <c r="V50" s="81">
        <v>497.8125</v>
      </c>
      <c r="W50" s="2">
        <f t="shared" si="8"/>
        <v>0</v>
      </c>
      <c r="X50">
        <f t="shared" si="5"/>
        <v>-1</v>
      </c>
      <c r="Y50" s="77">
        <v>9</v>
      </c>
      <c r="Z50" s="77">
        <v>9</v>
      </c>
      <c r="AA50" s="77">
        <v>0</v>
      </c>
      <c r="AB50" s="77">
        <v>3</v>
      </c>
      <c r="AC50" s="77">
        <v>0</v>
      </c>
      <c r="AD50" s="77">
        <v>0</v>
      </c>
    </row>
    <row r="51" spans="1:31" x14ac:dyDescent="0.3">
      <c r="A51" t="s">
        <v>115</v>
      </c>
      <c r="B51" s="77">
        <v>1</v>
      </c>
      <c r="C51" t="s">
        <v>179</v>
      </c>
      <c r="D51" t="s">
        <v>39</v>
      </c>
      <c r="E51" t="s">
        <v>40</v>
      </c>
      <c r="F51" t="s">
        <v>80</v>
      </c>
      <c r="G51" s="77">
        <v>0</v>
      </c>
      <c r="H51" s="77">
        <v>0</v>
      </c>
      <c r="I51" s="77">
        <v>0</v>
      </c>
      <c r="J51" s="79">
        <f t="shared" si="3"/>
        <v>0</v>
      </c>
      <c r="K51" s="77">
        <v>0</v>
      </c>
      <c r="L51" s="66">
        <v>0</v>
      </c>
      <c r="M51">
        <f t="shared" si="4"/>
        <v>0</v>
      </c>
      <c r="N51" s="77">
        <v>100</v>
      </c>
      <c r="O51" s="80">
        <v>23</v>
      </c>
      <c r="P51" s="80">
        <v>70</v>
      </c>
      <c r="Q51">
        <f t="shared" si="6"/>
        <v>-0.77</v>
      </c>
      <c r="R51" s="77">
        <v>50</v>
      </c>
      <c r="S51" s="77">
        <v>0</v>
      </c>
      <c r="T51" s="77">
        <v>30</v>
      </c>
      <c r="U51">
        <f t="shared" si="7"/>
        <v>0</v>
      </c>
      <c r="V51" s="81">
        <v>461.53846153846155</v>
      </c>
      <c r="W51" s="2">
        <f t="shared" si="8"/>
        <v>0</v>
      </c>
      <c r="X51">
        <f t="shared" si="5"/>
        <v>-1</v>
      </c>
      <c r="Y51" s="77">
        <v>5</v>
      </c>
      <c r="Z51" s="77">
        <v>5</v>
      </c>
      <c r="AA51" s="77">
        <v>0</v>
      </c>
      <c r="AB51" s="77">
        <v>1</v>
      </c>
      <c r="AC51" s="77">
        <v>0</v>
      </c>
      <c r="AD51" s="77">
        <v>0</v>
      </c>
    </row>
    <row r="52" spans="1:31" x14ac:dyDescent="0.3">
      <c r="A52" t="s">
        <v>100</v>
      </c>
      <c r="B52" s="77">
        <v>3</v>
      </c>
      <c r="C52" t="s">
        <v>179</v>
      </c>
      <c r="D52" t="s">
        <v>27</v>
      </c>
      <c r="E52" t="s">
        <v>45</v>
      </c>
      <c r="F52" t="s">
        <v>128</v>
      </c>
      <c r="G52" s="77">
        <v>11</v>
      </c>
      <c r="H52" s="77">
        <v>0</v>
      </c>
      <c r="I52" s="77">
        <v>53000</v>
      </c>
      <c r="J52" s="79">
        <f t="shared" si="3"/>
        <v>0</v>
      </c>
      <c r="K52" s="77">
        <v>0</v>
      </c>
      <c r="L52" s="66">
        <v>15</v>
      </c>
      <c r="M52">
        <f t="shared" si="4"/>
        <v>0</v>
      </c>
      <c r="N52" s="77">
        <v>0</v>
      </c>
      <c r="O52" s="80">
        <v>83</v>
      </c>
      <c r="P52" s="80">
        <v>73</v>
      </c>
      <c r="Q52">
        <f t="shared" si="6"/>
        <v>0</v>
      </c>
      <c r="R52" s="77">
        <v>0</v>
      </c>
      <c r="S52" s="77">
        <v>100</v>
      </c>
      <c r="T52" s="77">
        <v>32</v>
      </c>
      <c r="U52">
        <f t="shared" si="7"/>
        <v>-0.67999999999999994</v>
      </c>
      <c r="V52" s="81">
        <v>1391.8780000000002</v>
      </c>
      <c r="W52" s="2">
        <f t="shared" si="8"/>
        <v>0</v>
      </c>
      <c r="X52">
        <f t="shared" si="5"/>
        <v>-1</v>
      </c>
      <c r="Y52" s="77">
        <v>5</v>
      </c>
      <c r="Z52" s="77">
        <v>6</v>
      </c>
      <c r="AA52" s="77">
        <v>4</v>
      </c>
      <c r="AB52" s="77">
        <v>2</v>
      </c>
      <c r="AC52" s="77">
        <v>4</v>
      </c>
      <c r="AD52" s="77">
        <v>6</v>
      </c>
    </row>
    <row r="53" spans="1:31" x14ac:dyDescent="0.3">
      <c r="A53" t="s">
        <v>67</v>
      </c>
      <c r="B53" s="77">
        <v>1</v>
      </c>
      <c r="C53" t="s">
        <v>180</v>
      </c>
      <c r="D53" t="s">
        <v>68</v>
      </c>
      <c r="E53" t="s">
        <v>69</v>
      </c>
      <c r="F53" t="s">
        <v>70</v>
      </c>
      <c r="G53" s="77">
        <v>11</v>
      </c>
      <c r="H53" s="77">
        <v>3420</v>
      </c>
      <c r="I53" s="77">
        <v>7000</v>
      </c>
      <c r="J53" s="79">
        <f t="shared" si="3"/>
        <v>0.48857142857142855</v>
      </c>
      <c r="K53" s="77">
        <v>1</v>
      </c>
      <c r="L53" s="66">
        <v>10</v>
      </c>
      <c r="M53">
        <f t="shared" si="4"/>
        <v>0.1</v>
      </c>
      <c r="N53" s="77">
        <v>0</v>
      </c>
      <c r="O53" s="80">
        <v>76</v>
      </c>
      <c r="P53" s="80">
        <v>75</v>
      </c>
      <c r="Q53">
        <f t="shared" si="6"/>
        <v>0</v>
      </c>
      <c r="R53" s="77">
        <v>0</v>
      </c>
      <c r="S53" s="77">
        <v>0</v>
      </c>
      <c r="T53" s="77">
        <v>30</v>
      </c>
      <c r="U53">
        <f t="shared" si="7"/>
        <v>0</v>
      </c>
      <c r="V53" s="81">
        <v>0</v>
      </c>
      <c r="W53" s="2">
        <f t="shared" si="8"/>
        <v>3420</v>
      </c>
      <c r="X53">
        <f t="shared" si="5"/>
        <v>0</v>
      </c>
      <c r="Y53" s="77">
        <v>5</v>
      </c>
      <c r="Z53" s="77">
        <v>7</v>
      </c>
      <c r="AA53" s="77">
        <v>0</v>
      </c>
      <c r="AB53" s="77">
        <v>3</v>
      </c>
      <c r="AC53" s="77">
        <v>0</v>
      </c>
      <c r="AD53" s="77">
        <v>0</v>
      </c>
    </row>
    <row r="54" spans="1:31" x14ac:dyDescent="0.3">
      <c r="A54" t="s">
        <v>153</v>
      </c>
      <c r="B54" s="77">
        <v>1</v>
      </c>
      <c r="C54" t="s">
        <v>181</v>
      </c>
      <c r="D54" t="s">
        <v>27</v>
      </c>
      <c r="E54" t="s">
        <v>45</v>
      </c>
      <c r="F54" t="s">
        <v>59</v>
      </c>
      <c r="G54" s="77">
        <v>14</v>
      </c>
      <c r="H54" s="77">
        <v>1102</v>
      </c>
      <c r="I54" s="77">
        <v>20000</v>
      </c>
      <c r="J54" s="79">
        <f t="shared" si="3"/>
        <v>5.5100000000000003E-2</v>
      </c>
      <c r="K54" s="77">
        <v>3</v>
      </c>
      <c r="L54" s="66">
        <v>18</v>
      </c>
      <c r="M54">
        <f t="shared" si="4"/>
        <v>0.16666666666666666</v>
      </c>
      <c r="N54" s="77">
        <v>0</v>
      </c>
      <c r="O54" s="80">
        <v>53</v>
      </c>
      <c r="P54" s="80">
        <v>75</v>
      </c>
      <c r="Q54">
        <f t="shared" si="6"/>
        <v>0</v>
      </c>
      <c r="R54" s="77">
        <v>0</v>
      </c>
      <c r="S54" s="77">
        <v>100</v>
      </c>
      <c r="T54" s="77">
        <v>5</v>
      </c>
      <c r="U54">
        <f t="shared" si="7"/>
        <v>-0.95</v>
      </c>
      <c r="V54" s="81">
        <v>548.40550000000007</v>
      </c>
      <c r="W54" s="2">
        <f t="shared" si="8"/>
        <v>367.33333333333331</v>
      </c>
      <c r="X54">
        <f t="shared" si="5"/>
        <v>-0.33017934113838521</v>
      </c>
      <c r="Y54" s="77">
        <v>9</v>
      </c>
      <c r="Z54" s="77">
        <v>21</v>
      </c>
      <c r="AA54" s="77">
        <v>1</v>
      </c>
      <c r="AB54" s="77">
        <v>1</v>
      </c>
      <c r="AC54" s="77">
        <v>1</v>
      </c>
      <c r="AD54" s="77">
        <v>3</v>
      </c>
    </row>
    <row r="55" spans="1:31" x14ac:dyDescent="0.3">
      <c r="A55" t="s">
        <v>137</v>
      </c>
      <c r="B55" s="77">
        <v>1</v>
      </c>
      <c r="C55" t="s">
        <v>180</v>
      </c>
      <c r="D55" t="s">
        <v>39</v>
      </c>
      <c r="E55" t="s">
        <v>40</v>
      </c>
      <c r="F55" t="s">
        <v>49</v>
      </c>
      <c r="G55" s="77">
        <v>14</v>
      </c>
      <c r="H55" s="77">
        <v>10500</v>
      </c>
      <c r="I55" s="77">
        <v>16000</v>
      </c>
      <c r="J55" s="79">
        <f t="shared" si="3"/>
        <v>0.65625</v>
      </c>
      <c r="K55" s="77">
        <v>4</v>
      </c>
      <c r="L55" s="66">
        <v>10</v>
      </c>
      <c r="M55">
        <f t="shared" si="4"/>
        <v>0.4</v>
      </c>
      <c r="N55" s="77">
        <v>0</v>
      </c>
      <c r="O55" s="80">
        <v>58</v>
      </c>
      <c r="P55" s="80">
        <v>75</v>
      </c>
      <c r="Q55">
        <f t="shared" si="6"/>
        <v>0</v>
      </c>
      <c r="R55" s="77">
        <v>0</v>
      </c>
      <c r="S55" s="77">
        <v>100</v>
      </c>
      <c r="T55" s="77">
        <v>20</v>
      </c>
      <c r="U55">
        <f t="shared" si="7"/>
        <v>-0.8</v>
      </c>
      <c r="V55" s="81">
        <v>1425.625</v>
      </c>
      <c r="W55" s="2">
        <f t="shared" si="8"/>
        <v>2625</v>
      </c>
      <c r="X55">
        <f t="shared" si="5"/>
        <v>0.84129767645769404</v>
      </c>
      <c r="Y55" s="77">
        <v>6</v>
      </c>
      <c r="Z55" s="77">
        <v>7</v>
      </c>
      <c r="AA55" s="77">
        <v>0</v>
      </c>
      <c r="AB55" s="77">
        <v>4</v>
      </c>
      <c r="AC55" s="77">
        <v>0</v>
      </c>
      <c r="AD55" s="77">
        <v>0</v>
      </c>
      <c r="AE55" s="49" t="s">
        <v>236</v>
      </c>
    </row>
    <row r="56" spans="1:31" x14ac:dyDescent="0.3">
      <c r="A56" t="s">
        <v>43</v>
      </c>
      <c r="B56" s="77">
        <v>1</v>
      </c>
      <c r="C56" t="s">
        <v>179</v>
      </c>
      <c r="D56" t="s">
        <v>44</v>
      </c>
      <c r="E56" t="s">
        <v>45</v>
      </c>
      <c r="F56" t="s">
        <v>46</v>
      </c>
      <c r="G56" s="77">
        <v>14</v>
      </c>
      <c r="H56" s="77">
        <v>883.5</v>
      </c>
      <c r="I56" s="77">
        <v>17883.45</v>
      </c>
      <c r="J56" s="79">
        <f t="shared" si="3"/>
        <v>4.9403219177507694E-2</v>
      </c>
      <c r="K56" s="77">
        <v>2</v>
      </c>
      <c r="L56" s="66">
        <v>12</v>
      </c>
      <c r="M56">
        <f t="shared" si="4"/>
        <v>0.16666666666666666</v>
      </c>
      <c r="N56" s="77">
        <v>0</v>
      </c>
      <c r="O56" s="80">
        <v>96</v>
      </c>
      <c r="P56" s="80">
        <v>75</v>
      </c>
      <c r="Q56">
        <f t="shared" si="6"/>
        <v>0</v>
      </c>
      <c r="R56" s="77">
        <v>0</v>
      </c>
      <c r="S56" s="77">
        <v>66</v>
      </c>
      <c r="T56" s="77">
        <v>21</v>
      </c>
      <c r="U56">
        <f t="shared" si="7"/>
        <v>-0.68181818181818188</v>
      </c>
      <c r="V56" s="81">
        <v>316.79374999999999</v>
      </c>
      <c r="W56" s="2">
        <f t="shared" si="8"/>
        <v>441.75</v>
      </c>
      <c r="X56">
        <f t="shared" si="5"/>
        <v>0.3944403890543926</v>
      </c>
      <c r="Y56" s="77">
        <v>18</v>
      </c>
      <c r="Z56" s="77">
        <v>22</v>
      </c>
      <c r="AA56" s="77">
        <v>4</v>
      </c>
      <c r="AB56" s="77">
        <v>3</v>
      </c>
      <c r="AC56" s="77">
        <v>1</v>
      </c>
      <c r="AD56" s="77">
        <v>0</v>
      </c>
      <c r="AE56" s="49" t="s">
        <v>237</v>
      </c>
    </row>
    <row r="57" spans="1:31" x14ac:dyDescent="0.3">
      <c r="A57" t="s">
        <v>112</v>
      </c>
      <c r="B57" s="77">
        <v>1</v>
      </c>
      <c r="C57" t="s">
        <v>201</v>
      </c>
      <c r="D57" t="s">
        <v>139</v>
      </c>
      <c r="E57" t="s">
        <v>140</v>
      </c>
      <c r="F57" t="s">
        <v>141</v>
      </c>
      <c r="G57" s="77">
        <v>4</v>
      </c>
      <c r="H57" s="77">
        <v>0</v>
      </c>
      <c r="I57" s="77">
        <v>30000</v>
      </c>
      <c r="J57" s="79">
        <f t="shared" si="3"/>
        <v>0</v>
      </c>
      <c r="K57" s="77">
        <v>0</v>
      </c>
      <c r="L57" s="66">
        <v>12</v>
      </c>
      <c r="M57">
        <f t="shared" si="4"/>
        <v>0</v>
      </c>
      <c r="N57" s="77">
        <v>70</v>
      </c>
      <c r="O57" s="80">
        <v>100</v>
      </c>
      <c r="P57" s="80">
        <v>50</v>
      </c>
      <c r="Q57">
        <f t="shared" si="6"/>
        <v>0.4285714285714286</v>
      </c>
      <c r="R57" s="77">
        <v>2</v>
      </c>
      <c r="S57" s="77">
        <v>0</v>
      </c>
      <c r="T57" s="77">
        <v>14</v>
      </c>
      <c r="U57">
        <f t="shared" si="7"/>
        <v>0</v>
      </c>
      <c r="V57" s="81">
        <v>1098.5714285714287</v>
      </c>
      <c r="W57" s="2">
        <f t="shared" si="8"/>
        <v>0</v>
      </c>
      <c r="X57">
        <f t="shared" si="5"/>
        <v>-1</v>
      </c>
      <c r="Y57" s="77">
        <v>5</v>
      </c>
      <c r="Z57" s="77">
        <v>5</v>
      </c>
      <c r="AA57" s="77">
        <v>0</v>
      </c>
      <c r="AB57" s="77">
        <v>1</v>
      </c>
      <c r="AC57" s="77">
        <v>0</v>
      </c>
      <c r="AD57" s="77">
        <v>0</v>
      </c>
    </row>
    <row r="58" spans="1:31" x14ac:dyDescent="0.3">
      <c r="A58" t="s">
        <v>135</v>
      </c>
      <c r="B58" s="77">
        <v>1</v>
      </c>
      <c r="C58" t="s">
        <v>201</v>
      </c>
      <c r="D58" t="s">
        <v>136</v>
      </c>
      <c r="E58" t="s">
        <v>69</v>
      </c>
      <c r="F58" t="s">
        <v>97</v>
      </c>
      <c r="G58" s="77">
        <v>9</v>
      </c>
      <c r="H58" s="77">
        <v>0</v>
      </c>
      <c r="I58" s="77">
        <v>8000</v>
      </c>
      <c r="J58" s="79">
        <f t="shared" si="3"/>
        <v>0</v>
      </c>
      <c r="K58" s="77">
        <v>0</v>
      </c>
      <c r="L58" s="66">
        <v>10</v>
      </c>
      <c r="M58">
        <f t="shared" si="4"/>
        <v>0</v>
      </c>
      <c r="N58" s="77">
        <v>0</v>
      </c>
      <c r="O58" s="80">
        <v>0</v>
      </c>
      <c r="P58" s="80">
        <v>0</v>
      </c>
      <c r="Q58">
        <f t="shared" si="6"/>
        <v>0</v>
      </c>
      <c r="R58" s="77">
        <v>0</v>
      </c>
      <c r="S58" s="77">
        <v>0</v>
      </c>
      <c r="T58" s="77">
        <v>0</v>
      </c>
      <c r="U58">
        <f t="shared" si="7"/>
        <v>0</v>
      </c>
      <c r="V58" s="81">
        <v>0</v>
      </c>
      <c r="W58" s="2">
        <f t="shared" si="8"/>
        <v>0</v>
      </c>
      <c r="X58">
        <f t="shared" si="5"/>
        <v>0</v>
      </c>
      <c r="Y58" s="77">
        <v>0</v>
      </c>
      <c r="Z58" s="77">
        <v>0</v>
      </c>
      <c r="AA58" s="77">
        <v>0</v>
      </c>
      <c r="AB58" s="77">
        <v>0</v>
      </c>
      <c r="AC58" s="77">
        <v>0</v>
      </c>
      <c r="AD58" s="77">
        <v>0</v>
      </c>
    </row>
    <row r="59" spans="1:31" x14ac:dyDescent="0.3">
      <c r="A59" t="s">
        <v>131</v>
      </c>
      <c r="B59" s="77">
        <v>3</v>
      </c>
      <c r="C59" t="s">
        <v>201</v>
      </c>
      <c r="D59" t="s">
        <v>151</v>
      </c>
      <c r="E59" t="s">
        <v>45</v>
      </c>
      <c r="F59" t="s">
        <v>125</v>
      </c>
      <c r="G59" s="77">
        <v>5</v>
      </c>
      <c r="H59" s="77">
        <v>1500</v>
      </c>
      <c r="I59" s="77">
        <v>13830.5</v>
      </c>
      <c r="J59" s="79">
        <f t="shared" si="3"/>
        <v>0.10845594880879217</v>
      </c>
      <c r="K59" s="77">
        <v>1</v>
      </c>
      <c r="L59" s="66">
        <v>8</v>
      </c>
      <c r="M59">
        <f t="shared" si="4"/>
        <v>0.125</v>
      </c>
      <c r="N59" s="77">
        <v>55</v>
      </c>
      <c r="O59" s="80">
        <v>88</v>
      </c>
      <c r="P59" s="80">
        <v>65</v>
      </c>
      <c r="Q59">
        <f t="shared" si="6"/>
        <v>0.60000000000000009</v>
      </c>
      <c r="R59" s="77">
        <v>0</v>
      </c>
      <c r="S59" s="77">
        <v>80</v>
      </c>
      <c r="T59" s="77">
        <v>1</v>
      </c>
      <c r="U59">
        <f t="shared" si="7"/>
        <v>-0.98750000000000004</v>
      </c>
      <c r="V59" s="81">
        <v>880.30272727272722</v>
      </c>
      <c r="W59" s="2">
        <f t="shared" si="8"/>
        <v>1500</v>
      </c>
      <c r="X59">
        <f t="shared" si="5"/>
        <v>0.70395927847135242</v>
      </c>
      <c r="Y59" s="77">
        <v>6</v>
      </c>
      <c r="Z59" s="77">
        <v>16</v>
      </c>
      <c r="AA59" s="77">
        <v>1</v>
      </c>
      <c r="AB59" s="77">
        <v>1</v>
      </c>
      <c r="AC59" s="77">
        <v>1</v>
      </c>
      <c r="AD59" s="77">
        <v>1</v>
      </c>
    </row>
    <row r="60" spans="1:31" x14ac:dyDescent="0.3">
      <c r="L60" s="66"/>
    </row>
  </sheetData>
  <sheetProtection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241" workbookViewId="0">
      <selection activeCell="E568" sqref="E568"/>
    </sheetView>
  </sheetViews>
  <sheetFormatPr defaultColWidth="8.83203125" defaultRowHeight="14" x14ac:dyDescent="0.3"/>
  <cols>
    <col min="1" max="1" width="34.83203125" style="3" customWidth="1"/>
    <col min="2" max="2" width="21.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8">
        <v>0</v>
      </c>
      <c r="D2" s="78">
        <v>0</v>
      </c>
      <c r="E2" s="78">
        <v>0</v>
      </c>
    </row>
    <row r="3" spans="1:5" x14ac:dyDescent="0.3">
      <c r="A3" s="45" t="s">
        <v>87</v>
      </c>
      <c r="B3" s="6" t="s">
        <v>159</v>
      </c>
      <c r="C3" s="78">
        <v>0</v>
      </c>
      <c r="D3" s="78">
        <v>0</v>
      </c>
      <c r="E3" s="78">
        <v>0</v>
      </c>
    </row>
    <row r="4" spans="1:5" x14ac:dyDescent="0.3">
      <c r="A4" s="45" t="s">
        <v>87</v>
      </c>
      <c r="B4" s="6" t="s">
        <v>160</v>
      </c>
      <c r="C4" s="78">
        <v>0</v>
      </c>
      <c r="D4" s="78">
        <v>0</v>
      </c>
      <c r="E4" s="78">
        <v>0</v>
      </c>
    </row>
    <row r="5" spans="1:5" x14ac:dyDescent="0.3">
      <c r="A5" s="45" t="s">
        <v>87</v>
      </c>
      <c r="B5" s="6" t="s">
        <v>161</v>
      </c>
      <c r="C5" s="78">
        <v>0</v>
      </c>
      <c r="D5" s="78">
        <v>0</v>
      </c>
      <c r="E5" s="78">
        <v>0</v>
      </c>
    </row>
    <row r="6" spans="1:5" x14ac:dyDescent="0.3">
      <c r="A6" s="45" t="s">
        <v>87</v>
      </c>
      <c r="B6" s="6" t="s">
        <v>162</v>
      </c>
      <c r="C6" s="78">
        <v>0</v>
      </c>
      <c r="D6" s="78">
        <v>0</v>
      </c>
      <c r="E6" s="78">
        <v>0</v>
      </c>
    </row>
    <row r="7" spans="1:5" x14ac:dyDescent="0.3">
      <c r="A7" s="45" t="s">
        <v>87</v>
      </c>
      <c r="B7" s="6" t="s">
        <v>163</v>
      </c>
      <c r="C7" s="78">
        <v>0</v>
      </c>
      <c r="D7" s="78">
        <v>0</v>
      </c>
      <c r="E7" s="78">
        <v>0</v>
      </c>
    </row>
    <row r="8" spans="1:5" x14ac:dyDescent="0.3">
      <c r="A8" s="45" t="s">
        <v>87</v>
      </c>
      <c r="B8" s="6" t="s">
        <v>164</v>
      </c>
      <c r="C8" s="78">
        <v>0</v>
      </c>
      <c r="D8" s="78">
        <v>0</v>
      </c>
      <c r="E8" s="78">
        <v>0</v>
      </c>
    </row>
    <row r="9" spans="1:5" x14ac:dyDescent="0.3">
      <c r="A9" s="45" t="s">
        <v>87</v>
      </c>
      <c r="B9" s="6" t="s">
        <v>165</v>
      </c>
      <c r="C9" s="78">
        <v>0</v>
      </c>
      <c r="D9" s="78">
        <v>0</v>
      </c>
      <c r="E9" s="78">
        <v>0</v>
      </c>
    </row>
    <row r="10" spans="1:5" x14ac:dyDescent="0.3">
      <c r="A10" s="45" t="s">
        <v>87</v>
      </c>
      <c r="B10" s="6" t="s">
        <v>166</v>
      </c>
      <c r="C10" s="78">
        <v>0</v>
      </c>
      <c r="D10" s="78">
        <v>0</v>
      </c>
      <c r="E10" s="78">
        <v>0</v>
      </c>
    </row>
    <row r="11" spans="1:5" x14ac:dyDescent="0.3">
      <c r="A11" s="45" t="s">
        <v>87</v>
      </c>
      <c r="B11" s="6" t="s">
        <v>167</v>
      </c>
      <c r="C11" s="78">
        <v>0</v>
      </c>
      <c r="D11" s="78">
        <v>0</v>
      </c>
      <c r="E11" s="78">
        <v>0</v>
      </c>
    </row>
    <row r="12" spans="1:5" x14ac:dyDescent="0.3">
      <c r="A12" s="45" t="s">
        <v>87</v>
      </c>
      <c r="B12" s="6" t="s">
        <v>168</v>
      </c>
      <c r="C12" s="78">
        <v>0</v>
      </c>
      <c r="D12" s="78">
        <v>0</v>
      </c>
      <c r="E12" s="78">
        <v>0</v>
      </c>
    </row>
    <row r="13" spans="1:5" x14ac:dyDescent="0.3">
      <c r="A13" s="45" t="s">
        <v>87</v>
      </c>
      <c r="B13" s="6" t="s">
        <v>169</v>
      </c>
      <c r="C13" s="78">
        <v>0</v>
      </c>
      <c r="D13" s="78">
        <v>0</v>
      </c>
      <c r="E13" s="78">
        <v>0</v>
      </c>
    </row>
    <row r="14" spans="1:5" x14ac:dyDescent="0.3">
      <c r="A14" s="45" t="s">
        <v>98</v>
      </c>
      <c r="B14" s="6" t="s">
        <v>158</v>
      </c>
      <c r="C14" s="78">
        <v>0</v>
      </c>
      <c r="D14" s="78">
        <v>0</v>
      </c>
      <c r="E14" s="78">
        <v>1</v>
      </c>
    </row>
    <row r="15" spans="1:5" x14ac:dyDescent="0.3">
      <c r="A15" s="45" t="s">
        <v>98</v>
      </c>
      <c r="B15" s="6" t="s">
        <v>159</v>
      </c>
      <c r="C15" s="78">
        <v>0</v>
      </c>
      <c r="D15" s="78">
        <v>0</v>
      </c>
      <c r="E15" s="78">
        <v>0</v>
      </c>
    </row>
    <row r="16" spans="1:5" x14ac:dyDescent="0.3">
      <c r="A16" s="45" t="s">
        <v>98</v>
      </c>
      <c r="B16" s="6" t="s">
        <v>160</v>
      </c>
      <c r="C16" s="78">
        <v>0</v>
      </c>
      <c r="D16" s="78">
        <v>0</v>
      </c>
      <c r="E16" s="78">
        <v>0</v>
      </c>
    </row>
    <row r="17" spans="1:5" x14ac:dyDescent="0.3">
      <c r="A17" s="45" t="s">
        <v>98</v>
      </c>
      <c r="B17" s="6" t="s">
        <v>161</v>
      </c>
      <c r="C17" s="78">
        <v>0</v>
      </c>
      <c r="D17" s="78">
        <v>0</v>
      </c>
      <c r="E17" s="78">
        <v>0</v>
      </c>
    </row>
    <row r="18" spans="1:5" x14ac:dyDescent="0.3">
      <c r="A18" s="45" t="s">
        <v>98</v>
      </c>
      <c r="B18" s="6" t="s">
        <v>162</v>
      </c>
      <c r="C18" s="78">
        <v>0</v>
      </c>
      <c r="D18" s="78">
        <v>0</v>
      </c>
      <c r="E18" s="78">
        <v>0</v>
      </c>
    </row>
    <row r="19" spans="1:5" x14ac:dyDescent="0.3">
      <c r="A19" s="45" t="s">
        <v>98</v>
      </c>
      <c r="B19" s="6" t="s">
        <v>163</v>
      </c>
      <c r="C19" s="78">
        <v>0</v>
      </c>
      <c r="D19" s="78">
        <v>0</v>
      </c>
      <c r="E19" s="78">
        <v>0</v>
      </c>
    </row>
    <row r="20" spans="1:5" x14ac:dyDescent="0.3">
      <c r="A20" s="45" t="s">
        <v>98</v>
      </c>
      <c r="B20" s="6" t="s">
        <v>164</v>
      </c>
      <c r="C20" s="78">
        <v>0</v>
      </c>
      <c r="D20" s="78">
        <v>0</v>
      </c>
      <c r="E20" s="78">
        <v>0</v>
      </c>
    </row>
    <row r="21" spans="1:5" x14ac:dyDescent="0.3">
      <c r="A21" s="45" t="s">
        <v>98</v>
      </c>
      <c r="B21" s="6" t="s">
        <v>165</v>
      </c>
      <c r="C21" s="78">
        <v>0</v>
      </c>
      <c r="D21" s="78">
        <v>0</v>
      </c>
      <c r="E21" s="78">
        <v>0</v>
      </c>
    </row>
    <row r="22" spans="1:5" x14ac:dyDescent="0.3">
      <c r="A22" s="45" t="s">
        <v>98</v>
      </c>
      <c r="B22" s="6" t="s">
        <v>166</v>
      </c>
      <c r="C22" s="78">
        <v>0</v>
      </c>
      <c r="D22" s="78">
        <v>0</v>
      </c>
      <c r="E22" s="78">
        <v>0</v>
      </c>
    </row>
    <row r="23" spans="1:5" x14ac:dyDescent="0.3">
      <c r="A23" s="45" t="s">
        <v>98</v>
      </c>
      <c r="B23" s="6" t="s">
        <v>167</v>
      </c>
      <c r="C23" s="78">
        <v>0</v>
      </c>
      <c r="D23" s="78">
        <v>0</v>
      </c>
      <c r="E23" s="78">
        <v>0</v>
      </c>
    </row>
    <row r="24" spans="1:5" x14ac:dyDescent="0.3">
      <c r="A24" s="45" t="s">
        <v>98</v>
      </c>
      <c r="B24" s="6" t="s">
        <v>168</v>
      </c>
      <c r="C24" s="78">
        <v>0</v>
      </c>
      <c r="D24" s="78">
        <v>0</v>
      </c>
      <c r="E24" s="78">
        <v>0</v>
      </c>
    </row>
    <row r="25" spans="1:5" x14ac:dyDescent="0.3">
      <c r="A25" s="45" t="s">
        <v>98</v>
      </c>
      <c r="B25" s="6" t="s">
        <v>169</v>
      </c>
      <c r="C25" s="78">
        <v>0</v>
      </c>
      <c r="D25" s="78">
        <v>0</v>
      </c>
      <c r="E25" s="78">
        <v>0</v>
      </c>
    </row>
    <row r="26" spans="1:5" x14ac:dyDescent="0.3">
      <c r="A26" s="45" t="s">
        <v>56</v>
      </c>
      <c r="B26" s="6" t="s">
        <v>158</v>
      </c>
      <c r="C26" s="78">
        <v>0</v>
      </c>
      <c r="D26" s="78">
        <v>0</v>
      </c>
      <c r="E26" s="78">
        <v>0</v>
      </c>
    </row>
    <row r="27" spans="1:5" x14ac:dyDescent="0.3">
      <c r="A27" s="45" t="s">
        <v>56</v>
      </c>
      <c r="B27" s="6" t="s">
        <v>159</v>
      </c>
      <c r="C27" s="78">
        <v>0</v>
      </c>
      <c r="D27" s="78">
        <v>0</v>
      </c>
      <c r="E27" s="78">
        <v>0</v>
      </c>
    </row>
    <row r="28" spans="1:5" x14ac:dyDescent="0.3">
      <c r="A28" s="45" t="s">
        <v>56</v>
      </c>
      <c r="B28" s="6" t="s">
        <v>160</v>
      </c>
      <c r="C28" s="78">
        <v>0</v>
      </c>
      <c r="D28" s="78">
        <v>0</v>
      </c>
      <c r="E28" s="78">
        <v>0</v>
      </c>
    </row>
    <row r="29" spans="1:5" x14ac:dyDescent="0.3">
      <c r="A29" s="45" t="s">
        <v>56</v>
      </c>
      <c r="B29" s="6" t="s">
        <v>161</v>
      </c>
      <c r="C29" s="78">
        <v>0</v>
      </c>
      <c r="D29" s="78">
        <v>0</v>
      </c>
      <c r="E29" s="78">
        <v>0</v>
      </c>
    </row>
    <row r="30" spans="1:5" x14ac:dyDescent="0.3">
      <c r="A30" s="45" t="s">
        <v>56</v>
      </c>
      <c r="B30" s="6" t="s">
        <v>162</v>
      </c>
      <c r="C30" s="78">
        <v>0</v>
      </c>
      <c r="D30" s="78">
        <v>0</v>
      </c>
      <c r="E30" s="78">
        <v>0</v>
      </c>
    </row>
    <row r="31" spans="1:5" x14ac:dyDescent="0.3">
      <c r="A31" s="45" t="s">
        <v>56</v>
      </c>
      <c r="B31" s="6" t="s">
        <v>163</v>
      </c>
      <c r="C31" s="78">
        <v>0</v>
      </c>
      <c r="D31" s="78">
        <v>0</v>
      </c>
      <c r="E31" s="78">
        <v>0</v>
      </c>
    </row>
    <row r="32" spans="1:5" x14ac:dyDescent="0.3">
      <c r="A32" s="45" t="s">
        <v>56</v>
      </c>
      <c r="B32" s="6" t="s">
        <v>164</v>
      </c>
      <c r="C32" s="78">
        <v>0</v>
      </c>
      <c r="D32" s="78">
        <v>0</v>
      </c>
      <c r="E32" s="78">
        <v>0</v>
      </c>
    </row>
    <row r="33" spans="1:5" x14ac:dyDescent="0.3">
      <c r="A33" s="45" t="s">
        <v>56</v>
      </c>
      <c r="B33" s="6" t="s">
        <v>165</v>
      </c>
      <c r="C33" s="78">
        <v>0</v>
      </c>
      <c r="D33" s="78">
        <v>0</v>
      </c>
      <c r="E33" s="78">
        <v>0</v>
      </c>
    </row>
    <row r="34" spans="1:5" x14ac:dyDescent="0.3">
      <c r="A34" s="45" t="s">
        <v>56</v>
      </c>
      <c r="B34" s="6" t="s">
        <v>166</v>
      </c>
      <c r="C34" s="78">
        <v>0</v>
      </c>
      <c r="D34" s="78">
        <v>0</v>
      </c>
      <c r="E34" s="78">
        <v>0</v>
      </c>
    </row>
    <row r="35" spans="1:5" x14ac:dyDescent="0.3">
      <c r="A35" s="45" t="s">
        <v>56</v>
      </c>
      <c r="B35" s="6" t="s">
        <v>167</v>
      </c>
      <c r="C35" s="78">
        <v>0</v>
      </c>
      <c r="D35" s="78">
        <v>0</v>
      </c>
      <c r="E35" s="78">
        <v>0</v>
      </c>
    </row>
    <row r="36" spans="1:5" x14ac:dyDescent="0.3">
      <c r="A36" s="45" t="s">
        <v>56</v>
      </c>
      <c r="B36" s="6" t="s">
        <v>168</v>
      </c>
      <c r="C36" s="78">
        <v>0</v>
      </c>
      <c r="D36" s="78">
        <v>0</v>
      </c>
      <c r="E36" s="78">
        <v>0</v>
      </c>
    </row>
    <row r="37" spans="1:5" x14ac:dyDescent="0.3">
      <c r="A37" s="45" t="s">
        <v>56</v>
      </c>
      <c r="B37" s="6" t="s">
        <v>169</v>
      </c>
      <c r="C37" s="78">
        <v>0</v>
      </c>
      <c r="D37" s="78">
        <v>0</v>
      </c>
      <c r="E37" s="78">
        <v>0</v>
      </c>
    </row>
    <row r="38" spans="1:5" x14ac:dyDescent="0.3">
      <c r="A38" s="45" t="s">
        <v>149</v>
      </c>
      <c r="B38" s="6" t="s">
        <v>158</v>
      </c>
      <c r="C38" s="78">
        <v>0</v>
      </c>
      <c r="D38" s="78">
        <v>0</v>
      </c>
      <c r="E38" s="78">
        <v>0</v>
      </c>
    </row>
    <row r="39" spans="1:5" x14ac:dyDescent="0.3">
      <c r="A39" s="45" t="s">
        <v>149</v>
      </c>
      <c r="B39" s="6" t="s">
        <v>159</v>
      </c>
      <c r="C39" s="78">
        <v>0</v>
      </c>
      <c r="D39" s="78">
        <v>0</v>
      </c>
      <c r="E39" s="78">
        <v>0</v>
      </c>
    </row>
    <row r="40" spans="1:5" x14ac:dyDescent="0.3">
      <c r="A40" s="45" t="s">
        <v>149</v>
      </c>
      <c r="B40" s="6" t="s">
        <v>160</v>
      </c>
      <c r="C40" s="78">
        <v>0</v>
      </c>
      <c r="D40" s="78">
        <v>0</v>
      </c>
      <c r="E40" s="78">
        <v>0</v>
      </c>
    </row>
    <row r="41" spans="1:5" x14ac:dyDescent="0.3">
      <c r="A41" s="45" t="s">
        <v>149</v>
      </c>
      <c r="B41" s="6" t="s">
        <v>161</v>
      </c>
      <c r="C41" s="78">
        <v>0</v>
      </c>
      <c r="D41" s="78">
        <v>0</v>
      </c>
      <c r="E41" s="78">
        <v>0</v>
      </c>
    </row>
    <row r="42" spans="1:5" x14ac:dyDescent="0.3">
      <c r="A42" s="45" t="s">
        <v>149</v>
      </c>
      <c r="B42" s="6" t="s">
        <v>162</v>
      </c>
      <c r="C42" s="78">
        <v>0</v>
      </c>
      <c r="D42" s="78">
        <v>0</v>
      </c>
      <c r="E42" s="78">
        <v>0</v>
      </c>
    </row>
    <row r="43" spans="1:5" x14ac:dyDescent="0.3">
      <c r="A43" s="45" t="s">
        <v>149</v>
      </c>
      <c r="B43" s="6" t="s">
        <v>163</v>
      </c>
      <c r="C43" s="78">
        <v>0</v>
      </c>
      <c r="D43" s="78">
        <v>0</v>
      </c>
      <c r="E43" s="78">
        <v>0</v>
      </c>
    </row>
    <row r="44" spans="1:5" x14ac:dyDescent="0.3">
      <c r="A44" s="45" t="s">
        <v>149</v>
      </c>
      <c r="B44" s="6" t="s">
        <v>164</v>
      </c>
      <c r="C44" s="78">
        <v>0</v>
      </c>
      <c r="D44" s="78">
        <v>0</v>
      </c>
      <c r="E44" s="78">
        <v>0</v>
      </c>
    </row>
    <row r="45" spans="1:5" x14ac:dyDescent="0.3">
      <c r="A45" s="45" t="s">
        <v>149</v>
      </c>
      <c r="B45" s="6" t="s">
        <v>165</v>
      </c>
      <c r="C45" s="78">
        <v>0</v>
      </c>
      <c r="D45" s="78">
        <v>0</v>
      </c>
      <c r="E45" s="78">
        <v>0</v>
      </c>
    </row>
    <row r="46" spans="1:5" x14ac:dyDescent="0.3">
      <c r="A46" s="45" t="s">
        <v>149</v>
      </c>
      <c r="B46" s="6" t="s">
        <v>166</v>
      </c>
      <c r="C46" s="78">
        <v>0</v>
      </c>
      <c r="D46" s="78">
        <v>0</v>
      </c>
      <c r="E46" s="78">
        <v>0</v>
      </c>
    </row>
    <row r="47" spans="1:5" x14ac:dyDescent="0.3">
      <c r="A47" s="45" t="s">
        <v>149</v>
      </c>
      <c r="B47" s="6" t="s">
        <v>167</v>
      </c>
      <c r="C47" s="78">
        <v>0</v>
      </c>
      <c r="D47" s="78">
        <v>0</v>
      </c>
      <c r="E47" s="78">
        <v>0</v>
      </c>
    </row>
    <row r="48" spans="1:5" x14ac:dyDescent="0.3">
      <c r="A48" s="45" t="s">
        <v>149</v>
      </c>
      <c r="B48" s="6" t="s">
        <v>168</v>
      </c>
      <c r="C48" s="78">
        <v>0</v>
      </c>
      <c r="D48" s="78">
        <v>0</v>
      </c>
      <c r="E48" s="78">
        <v>0</v>
      </c>
    </row>
    <row r="49" spans="1:5" x14ac:dyDescent="0.3">
      <c r="A49" s="45" t="s">
        <v>149</v>
      </c>
      <c r="B49" s="6" t="s">
        <v>169</v>
      </c>
      <c r="C49" s="78">
        <v>0</v>
      </c>
      <c r="D49" s="78">
        <v>0</v>
      </c>
      <c r="E49" s="78">
        <v>0</v>
      </c>
    </row>
    <row r="50" spans="1:5" x14ac:dyDescent="0.3">
      <c r="A50" s="45" t="s">
        <v>66</v>
      </c>
      <c r="B50" s="6" t="s">
        <v>158</v>
      </c>
      <c r="C50" s="78">
        <v>0</v>
      </c>
      <c r="D50" s="78">
        <v>0</v>
      </c>
      <c r="E50" s="78">
        <v>0</v>
      </c>
    </row>
    <row r="51" spans="1:5" x14ac:dyDescent="0.3">
      <c r="A51" s="45" t="s">
        <v>66</v>
      </c>
      <c r="B51" s="6" t="s">
        <v>159</v>
      </c>
      <c r="C51" s="78">
        <v>0</v>
      </c>
      <c r="D51" s="78">
        <v>0</v>
      </c>
      <c r="E51" s="78">
        <v>0</v>
      </c>
    </row>
    <row r="52" spans="1:5" x14ac:dyDescent="0.3">
      <c r="A52" s="45" t="s">
        <v>66</v>
      </c>
      <c r="B52" s="6" t="s">
        <v>160</v>
      </c>
      <c r="C52" s="78">
        <v>0</v>
      </c>
      <c r="D52" s="78">
        <v>0</v>
      </c>
      <c r="E52" s="78">
        <v>0</v>
      </c>
    </row>
    <row r="53" spans="1:5" x14ac:dyDescent="0.3">
      <c r="A53" s="45" t="s">
        <v>66</v>
      </c>
      <c r="B53" s="6" t="s">
        <v>161</v>
      </c>
      <c r="C53" s="78">
        <v>0</v>
      </c>
      <c r="D53" s="78">
        <v>0</v>
      </c>
      <c r="E53" s="78">
        <v>0</v>
      </c>
    </row>
    <row r="54" spans="1:5" x14ac:dyDescent="0.3">
      <c r="A54" s="45" t="s">
        <v>66</v>
      </c>
      <c r="B54" s="6" t="s">
        <v>162</v>
      </c>
      <c r="C54" s="78">
        <v>0</v>
      </c>
      <c r="D54" s="78">
        <v>0</v>
      </c>
      <c r="E54" s="78">
        <v>0</v>
      </c>
    </row>
    <row r="55" spans="1:5" x14ac:dyDescent="0.3">
      <c r="A55" s="45" t="s">
        <v>66</v>
      </c>
      <c r="B55" s="6" t="s">
        <v>163</v>
      </c>
      <c r="C55" s="78">
        <v>0</v>
      </c>
      <c r="D55" s="78">
        <v>0</v>
      </c>
      <c r="E55" s="78">
        <v>0</v>
      </c>
    </row>
    <row r="56" spans="1:5" x14ac:dyDescent="0.3">
      <c r="A56" s="45" t="s">
        <v>66</v>
      </c>
      <c r="B56" s="6" t="s">
        <v>164</v>
      </c>
      <c r="C56" s="78">
        <v>0</v>
      </c>
      <c r="D56" s="78">
        <v>0</v>
      </c>
      <c r="E56" s="78">
        <v>0</v>
      </c>
    </row>
    <row r="57" spans="1:5" x14ac:dyDescent="0.3">
      <c r="A57" s="45" t="s">
        <v>66</v>
      </c>
      <c r="B57" s="6" t="s">
        <v>165</v>
      </c>
      <c r="C57" s="78">
        <v>0</v>
      </c>
      <c r="D57" s="78">
        <v>0</v>
      </c>
      <c r="E57" s="78">
        <v>0</v>
      </c>
    </row>
    <row r="58" spans="1:5" x14ac:dyDescent="0.3">
      <c r="A58" s="45" t="s">
        <v>66</v>
      </c>
      <c r="B58" s="6" t="s">
        <v>166</v>
      </c>
      <c r="C58" s="78">
        <v>0</v>
      </c>
      <c r="D58" s="78">
        <v>0</v>
      </c>
      <c r="E58" s="78">
        <v>0</v>
      </c>
    </row>
    <row r="59" spans="1:5" x14ac:dyDescent="0.3">
      <c r="A59" s="45" t="s">
        <v>66</v>
      </c>
      <c r="B59" s="6" t="s">
        <v>167</v>
      </c>
      <c r="C59" s="78">
        <v>0</v>
      </c>
      <c r="D59" s="78">
        <v>0</v>
      </c>
      <c r="E59" s="78">
        <v>0</v>
      </c>
    </row>
    <row r="60" spans="1:5" x14ac:dyDescent="0.3">
      <c r="A60" s="45" t="s">
        <v>66</v>
      </c>
      <c r="B60" s="6" t="s">
        <v>168</v>
      </c>
      <c r="C60" s="78">
        <v>0</v>
      </c>
      <c r="D60" s="78">
        <v>0</v>
      </c>
      <c r="E60" s="78">
        <v>0</v>
      </c>
    </row>
    <row r="61" spans="1:5" x14ac:dyDescent="0.3">
      <c r="A61" s="45" t="s">
        <v>66</v>
      </c>
      <c r="B61" s="6" t="s">
        <v>169</v>
      </c>
      <c r="C61" s="78">
        <v>0</v>
      </c>
      <c r="D61" s="78">
        <v>0</v>
      </c>
      <c r="E61" s="78">
        <v>0</v>
      </c>
    </row>
    <row r="62" spans="1:5" x14ac:dyDescent="0.3">
      <c r="A62" s="45" t="s">
        <v>42</v>
      </c>
      <c r="B62" s="6" t="s">
        <v>158</v>
      </c>
      <c r="C62" s="78">
        <v>0</v>
      </c>
      <c r="D62" s="78">
        <v>0</v>
      </c>
      <c r="E62" s="78">
        <v>34</v>
      </c>
    </row>
    <row r="63" spans="1:5" x14ac:dyDescent="0.3">
      <c r="A63" s="45" t="s">
        <v>42</v>
      </c>
      <c r="B63" s="6" t="s">
        <v>159</v>
      </c>
      <c r="C63" s="78">
        <v>0</v>
      </c>
      <c r="D63" s="78">
        <v>0</v>
      </c>
      <c r="E63" s="78">
        <v>0</v>
      </c>
    </row>
    <row r="64" spans="1:5" x14ac:dyDescent="0.3">
      <c r="A64" s="45" t="s">
        <v>42</v>
      </c>
      <c r="B64" s="6" t="s">
        <v>160</v>
      </c>
      <c r="C64" s="78">
        <v>0</v>
      </c>
      <c r="D64" s="78">
        <v>0</v>
      </c>
      <c r="E64" s="78">
        <v>0</v>
      </c>
    </row>
    <row r="65" spans="1:5" x14ac:dyDescent="0.3">
      <c r="A65" s="45" t="s">
        <v>42</v>
      </c>
      <c r="B65" s="6" t="s">
        <v>161</v>
      </c>
      <c r="C65" s="78">
        <v>0</v>
      </c>
      <c r="D65" s="78">
        <v>0</v>
      </c>
      <c r="E65" s="78">
        <v>0</v>
      </c>
    </row>
    <row r="66" spans="1:5" x14ac:dyDescent="0.3">
      <c r="A66" s="45" t="s">
        <v>42</v>
      </c>
      <c r="B66" s="6" t="s">
        <v>162</v>
      </c>
      <c r="C66" s="78">
        <v>0</v>
      </c>
      <c r="D66" s="78">
        <v>0</v>
      </c>
      <c r="E66" s="78">
        <v>0</v>
      </c>
    </row>
    <row r="67" spans="1:5" x14ac:dyDescent="0.3">
      <c r="A67" s="45" t="s">
        <v>42</v>
      </c>
      <c r="B67" s="6" t="s">
        <v>163</v>
      </c>
      <c r="C67" s="78">
        <v>0</v>
      </c>
      <c r="D67" s="78">
        <v>0</v>
      </c>
      <c r="E67" s="78">
        <v>0</v>
      </c>
    </row>
    <row r="68" spans="1:5" x14ac:dyDescent="0.3">
      <c r="A68" s="45" t="s">
        <v>42</v>
      </c>
      <c r="B68" s="6" t="s">
        <v>164</v>
      </c>
      <c r="C68" s="78">
        <v>0</v>
      </c>
      <c r="D68" s="78">
        <v>0</v>
      </c>
      <c r="E68" s="78">
        <v>0</v>
      </c>
    </row>
    <row r="69" spans="1:5" x14ac:dyDescent="0.3">
      <c r="A69" s="45" t="s">
        <v>42</v>
      </c>
      <c r="B69" s="6" t="s">
        <v>165</v>
      </c>
      <c r="C69" s="78">
        <v>0</v>
      </c>
      <c r="D69" s="78">
        <v>0</v>
      </c>
      <c r="E69" s="78">
        <v>0</v>
      </c>
    </row>
    <row r="70" spans="1:5" x14ac:dyDescent="0.3">
      <c r="A70" s="45" t="s">
        <v>42</v>
      </c>
      <c r="B70" s="6" t="s">
        <v>166</v>
      </c>
      <c r="C70" s="78">
        <v>0</v>
      </c>
      <c r="D70" s="78">
        <v>0</v>
      </c>
      <c r="E70" s="78">
        <v>0</v>
      </c>
    </row>
    <row r="71" spans="1:5" x14ac:dyDescent="0.3">
      <c r="A71" s="45" t="s">
        <v>42</v>
      </c>
      <c r="B71" s="6" t="s">
        <v>167</v>
      </c>
      <c r="C71" s="78">
        <v>0</v>
      </c>
      <c r="D71" s="78">
        <v>0</v>
      </c>
      <c r="E71" s="78">
        <v>0</v>
      </c>
    </row>
    <row r="72" spans="1:5" x14ac:dyDescent="0.3">
      <c r="A72" s="45" t="s">
        <v>42</v>
      </c>
      <c r="B72" s="6" t="s">
        <v>168</v>
      </c>
      <c r="C72" s="78">
        <v>0</v>
      </c>
      <c r="D72" s="78">
        <v>0</v>
      </c>
      <c r="E72" s="78">
        <v>0</v>
      </c>
    </row>
    <row r="73" spans="1:5" x14ac:dyDescent="0.3">
      <c r="A73" s="45" t="s">
        <v>42</v>
      </c>
      <c r="B73" s="6" t="s">
        <v>169</v>
      </c>
      <c r="C73" s="78">
        <v>0</v>
      </c>
      <c r="D73" s="78">
        <v>0</v>
      </c>
      <c r="E73" s="78">
        <v>0</v>
      </c>
    </row>
    <row r="74" spans="1:5" x14ac:dyDescent="0.3">
      <c r="A74" s="45" t="s">
        <v>63</v>
      </c>
      <c r="B74" s="6" t="s">
        <v>158</v>
      </c>
      <c r="C74" s="78">
        <v>0</v>
      </c>
      <c r="D74" s="78">
        <v>0</v>
      </c>
      <c r="E74" s="78">
        <v>0</v>
      </c>
    </row>
    <row r="75" spans="1:5" x14ac:dyDescent="0.3">
      <c r="A75" s="45" t="s">
        <v>63</v>
      </c>
      <c r="B75" s="6" t="s">
        <v>159</v>
      </c>
      <c r="C75" s="78">
        <v>0</v>
      </c>
      <c r="D75" s="78">
        <v>0</v>
      </c>
      <c r="E75" s="78">
        <v>0</v>
      </c>
    </row>
    <row r="76" spans="1:5" x14ac:dyDescent="0.3">
      <c r="A76" s="45" t="s">
        <v>63</v>
      </c>
      <c r="B76" s="6" t="s">
        <v>160</v>
      </c>
      <c r="C76" s="78">
        <v>0</v>
      </c>
      <c r="D76" s="78">
        <v>0</v>
      </c>
      <c r="E76" s="78">
        <v>0</v>
      </c>
    </row>
    <row r="77" spans="1:5" x14ac:dyDescent="0.3">
      <c r="A77" s="45" t="s">
        <v>63</v>
      </c>
      <c r="B77" s="6" t="s">
        <v>161</v>
      </c>
      <c r="C77" s="78">
        <v>0</v>
      </c>
      <c r="D77" s="78">
        <v>0</v>
      </c>
      <c r="E77" s="78">
        <v>0</v>
      </c>
    </row>
    <row r="78" spans="1:5" x14ac:dyDescent="0.3">
      <c r="A78" s="45" t="s">
        <v>63</v>
      </c>
      <c r="B78" s="6" t="s">
        <v>162</v>
      </c>
      <c r="C78" s="78">
        <v>0</v>
      </c>
      <c r="D78" s="78">
        <v>0</v>
      </c>
      <c r="E78" s="78">
        <v>0</v>
      </c>
    </row>
    <row r="79" spans="1:5" x14ac:dyDescent="0.3">
      <c r="A79" s="45" t="s">
        <v>63</v>
      </c>
      <c r="B79" s="6" t="s">
        <v>163</v>
      </c>
      <c r="C79" s="78">
        <v>0</v>
      </c>
      <c r="D79" s="78">
        <v>0</v>
      </c>
      <c r="E79" s="78">
        <v>0</v>
      </c>
    </row>
    <row r="80" spans="1:5" x14ac:dyDescent="0.3">
      <c r="A80" s="45" t="s">
        <v>63</v>
      </c>
      <c r="B80" s="6" t="s">
        <v>164</v>
      </c>
      <c r="C80" s="78">
        <v>0</v>
      </c>
      <c r="D80" s="78">
        <v>0</v>
      </c>
      <c r="E80" s="78">
        <v>0</v>
      </c>
    </row>
    <row r="81" spans="1:5" x14ac:dyDescent="0.3">
      <c r="A81" s="45" t="s">
        <v>63</v>
      </c>
      <c r="B81" s="6" t="s">
        <v>165</v>
      </c>
      <c r="C81" s="78">
        <v>0</v>
      </c>
      <c r="D81" s="78">
        <v>0</v>
      </c>
      <c r="E81" s="78">
        <v>0</v>
      </c>
    </row>
    <row r="82" spans="1:5" x14ac:dyDescent="0.3">
      <c r="A82" s="45" t="s">
        <v>63</v>
      </c>
      <c r="B82" s="6" t="s">
        <v>166</v>
      </c>
      <c r="C82" s="78">
        <v>0</v>
      </c>
      <c r="D82" s="78">
        <v>0</v>
      </c>
      <c r="E82" s="78">
        <v>0</v>
      </c>
    </row>
    <row r="83" spans="1:5" x14ac:dyDescent="0.3">
      <c r="A83" s="45" t="s">
        <v>63</v>
      </c>
      <c r="B83" s="6" t="s">
        <v>167</v>
      </c>
      <c r="C83" s="78">
        <v>0</v>
      </c>
      <c r="D83" s="78">
        <v>0</v>
      </c>
      <c r="E83" s="78">
        <v>0</v>
      </c>
    </row>
    <row r="84" spans="1:5" x14ac:dyDescent="0.3">
      <c r="A84" s="45" t="s">
        <v>63</v>
      </c>
      <c r="B84" s="6" t="s">
        <v>168</v>
      </c>
      <c r="C84" s="78">
        <v>0</v>
      </c>
      <c r="D84" s="78">
        <v>0</v>
      </c>
      <c r="E84" s="78">
        <v>0</v>
      </c>
    </row>
    <row r="85" spans="1:5" x14ac:dyDescent="0.3">
      <c r="A85" s="45" t="s">
        <v>63</v>
      </c>
      <c r="B85" s="6" t="s">
        <v>169</v>
      </c>
      <c r="C85" s="78">
        <v>0</v>
      </c>
      <c r="D85" s="78">
        <v>0</v>
      </c>
      <c r="E85" s="78">
        <v>0</v>
      </c>
    </row>
    <row r="86" spans="1:5" x14ac:dyDescent="0.3">
      <c r="A86" s="45" t="s">
        <v>120</v>
      </c>
      <c r="B86" s="6" t="s">
        <v>158</v>
      </c>
      <c r="C86" s="78">
        <v>0</v>
      </c>
      <c r="D86" s="78">
        <v>0</v>
      </c>
      <c r="E86" s="78">
        <v>0</v>
      </c>
    </row>
    <row r="87" spans="1:5" x14ac:dyDescent="0.3">
      <c r="A87" s="45" t="s">
        <v>120</v>
      </c>
      <c r="B87" s="6" t="s">
        <v>159</v>
      </c>
      <c r="C87" s="78">
        <v>0</v>
      </c>
      <c r="D87" s="78">
        <v>0</v>
      </c>
      <c r="E87" s="78">
        <v>1</v>
      </c>
    </row>
    <row r="88" spans="1:5" x14ac:dyDescent="0.3">
      <c r="A88" s="45" t="s">
        <v>120</v>
      </c>
      <c r="B88" s="6" t="s">
        <v>160</v>
      </c>
      <c r="C88" s="78">
        <v>0</v>
      </c>
      <c r="D88" s="78">
        <v>0</v>
      </c>
      <c r="E88" s="78">
        <v>0</v>
      </c>
    </row>
    <row r="89" spans="1:5" x14ac:dyDescent="0.3">
      <c r="A89" s="45" t="s">
        <v>120</v>
      </c>
      <c r="B89" s="6" t="s">
        <v>161</v>
      </c>
      <c r="C89" s="78">
        <v>0</v>
      </c>
      <c r="D89" s="78">
        <v>0</v>
      </c>
      <c r="E89" s="78">
        <v>0</v>
      </c>
    </row>
    <row r="90" spans="1:5" x14ac:dyDescent="0.3">
      <c r="A90" s="45" t="s">
        <v>120</v>
      </c>
      <c r="B90" s="6" t="s">
        <v>162</v>
      </c>
      <c r="C90" s="78">
        <v>0</v>
      </c>
      <c r="D90" s="78">
        <v>0</v>
      </c>
      <c r="E90" s="78">
        <v>0</v>
      </c>
    </row>
    <row r="91" spans="1:5" x14ac:dyDescent="0.3">
      <c r="A91" s="45" t="s">
        <v>120</v>
      </c>
      <c r="B91" s="6" t="s">
        <v>163</v>
      </c>
      <c r="C91" s="78">
        <v>0</v>
      </c>
      <c r="D91" s="78">
        <v>0</v>
      </c>
      <c r="E91" s="78">
        <v>0</v>
      </c>
    </row>
    <row r="92" spans="1:5" x14ac:dyDescent="0.3">
      <c r="A92" s="45" t="s">
        <v>120</v>
      </c>
      <c r="B92" s="6" t="s">
        <v>164</v>
      </c>
      <c r="C92" s="78">
        <v>0</v>
      </c>
      <c r="D92" s="78">
        <v>0</v>
      </c>
      <c r="E92" s="78">
        <v>0</v>
      </c>
    </row>
    <row r="93" spans="1:5" x14ac:dyDescent="0.3">
      <c r="A93" s="45" t="s">
        <v>120</v>
      </c>
      <c r="B93" s="6" t="s">
        <v>165</v>
      </c>
      <c r="C93" s="78">
        <v>0</v>
      </c>
      <c r="D93" s="78">
        <v>0</v>
      </c>
      <c r="E93" s="78">
        <v>0</v>
      </c>
    </row>
    <row r="94" spans="1:5" x14ac:dyDescent="0.3">
      <c r="A94" s="45" t="s">
        <v>120</v>
      </c>
      <c r="B94" s="6" t="s">
        <v>166</v>
      </c>
      <c r="C94" s="78">
        <v>0</v>
      </c>
      <c r="D94" s="78">
        <v>0</v>
      </c>
      <c r="E94" s="78">
        <v>0</v>
      </c>
    </row>
    <row r="95" spans="1:5" x14ac:dyDescent="0.3">
      <c r="A95" s="45" t="s">
        <v>120</v>
      </c>
      <c r="B95" s="6" t="s">
        <v>167</v>
      </c>
      <c r="C95" s="78">
        <v>0</v>
      </c>
      <c r="D95" s="78">
        <v>0</v>
      </c>
      <c r="E95" s="78">
        <v>0</v>
      </c>
    </row>
    <row r="96" spans="1:5" x14ac:dyDescent="0.3">
      <c r="A96" s="45" t="s">
        <v>120</v>
      </c>
      <c r="B96" s="6" t="s">
        <v>168</v>
      </c>
      <c r="C96" s="78">
        <v>0</v>
      </c>
      <c r="D96" s="78">
        <v>0</v>
      </c>
      <c r="E96" s="78">
        <v>0</v>
      </c>
    </row>
    <row r="97" spans="1:5" x14ac:dyDescent="0.3">
      <c r="A97" s="45" t="s">
        <v>120</v>
      </c>
      <c r="B97" s="6" t="s">
        <v>169</v>
      </c>
      <c r="C97" s="78">
        <v>0</v>
      </c>
      <c r="D97" s="78">
        <v>0</v>
      </c>
      <c r="E97" s="78">
        <v>0</v>
      </c>
    </row>
    <row r="98" spans="1:5" x14ac:dyDescent="0.3">
      <c r="A98" s="45" t="s">
        <v>48</v>
      </c>
      <c r="B98" s="6" t="s">
        <v>158</v>
      </c>
      <c r="C98" s="78">
        <v>0</v>
      </c>
      <c r="D98" s="78">
        <v>0</v>
      </c>
      <c r="E98" s="78">
        <v>0</v>
      </c>
    </row>
    <row r="99" spans="1:5" x14ac:dyDescent="0.3">
      <c r="A99" s="45" t="s">
        <v>48</v>
      </c>
      <c r="B99" s="6" t="s">
        <v>159</v>
      </c>
      <c r="C99" s="78">
        <v>0</v>
      </c>
      <c r="D99" s="78">
        <v>0</v>
      </c>
      <c r="E99" s="78">
        <v>0</v>
      </c>
    </row>
    <row r="100" spans="1:5" x14ac:dyDescent="0.3">
      <c r="A100" s="45" t="s">
        <v>48</v>
      </c>
      <c r="B100" s="6" t="s">
        <v>160</v>
      </c>
      <c r="C100" s="78">
        <v>0</v>
      </c>
      <c r="D100" s="78">
        <v>0</v>
      </c>
      <c r="E100" s="78">
        <v>0</v>
      </c>
    </row>
    <row r="101" spans="1:5" x14ac:dyDescent="0.3">
      <c r="A101" s="45" t="s">
        <v>48</v>
      </c>
      <c r="B101" s="6" t="s">
        <v>161</v>
      </c>
      <c r="C101" s="78">
        <v>0</v>
      </c>
      <c r="D101" s="78">
        <v>0</v>
      </c>
      <c r="E101" s="78">
        <v>0</v>
      </c>
    </row>
    <row r="102" spans="1:5" x14ac:dyDescent="0.3">
      <c r="A102" s="45" t="s">
        <v>48</v>
      </c>
      <c r="B102" s="6" t="s">
        <v>162</v>
      </c>
      <c r="C102" s="78">
        <v>0</v>
      </c>
      <c r="D102" s="78">
        <v>0</v>
      </c>
      <c r="E102" s="78">
        <v>0</v>
      </c>
    </row>
    <row r="103" spans="1:5" x14ac:dyDescent="0.3">
      <c r="A103" s="45" t="s">
        <v>48</v>
      </c>
      <c r="B103" s="6" t="s">
        <v>163</v>
      </c>
      <c r="C103" s="78">
        <v>0</v>
      </c>
      <c r="D103" s="78">
        <v>0</v>
      </c>
      <c r="E103" s="78">
        <v>0</v>
      </c>
    </row>
    <row r="104" spans="1:5" x14ac:dyDescent="0.3">
      <c r="A104" s="45" t="s">
        <v>48</v>
      </c>
      <c r="B104" s="6" t="s">
        <v>164</v>
      </c>
      <c r="C104" s="78">
        <v>0</v>
      </c>
      <c r="D104" s="78">
        <v>0</v>
      </c>
      <c r="E104" s="78">
        <v>0</v>
      </c>
    </row>
    <row r="105" spans="1:5" x14ac:dyDescent="0.3">
      <c r="A105" s="45" t="s">
        <v>48</v>
      </c>
      <c r="B105" s="6" t="s">
        <v>165</v>
      </c>
      <c r="C105" s="78">
        <v>0</v>
      </c>
      <c r="D105" s="78">
        <v>0</v>
      </c>
      <c r="E105" s="78">
        <v>0</v>
      </c>
    </row>
    <row r="106" spans="1:5" x14ac:dyDescent="0.3">
      <c r="A106" s="45" t="s">
        <v>48</v>
      </c>
      <c r="B106" s="6" t="s">
        <v>166</v>
      </c>
      <c r="C106" s="78">
        <v>0</v>
      </c>
      <c r="D106" s="78">
        <v>0</v>
      </c>
      <c r="E106" s="78">
        <v>0</v>
      </c>
    </row>
    <row r="107" spans="1:5" x14ac:dyDescent="0.3">
      <c r="A107" s="45" t="s">
        <v>48</v>
      </c>
      <c r="B107" s="6" t="s">
        <v>167</v>
      </c>
      <c r="C107" s="78">
        <v>0</v>
      </c>
      <c r="D107" s="78">
        <v>0</v>
      </c>
      <c r="E107" s="78">
        <v>0</v>
      </c>
    </row>
    <row r="108" spans="1:5" x14ac:dyDescent="0.3">
      <c r="A108" s="45" t="s">
        <v>48</v>
      </c>
      <c r="B108" s="6" t="s">
        <v>168</v>
      </c>
      <c r="C108" s="78">
        <v>0</v>
      </c>
      <c r="D108" s="78">
        <v>0</v>
      </c>
      <c r="E108" s="78">
        <v>0</v>
      </c>
    </row>
    <row r="109" spans="1:5" x14ac:dyDescent="0.3">
      <c r="A109" s="45" t="s">
        <v>48</v>
      </c>
      <c r="B109" s="6" t="s">
        <v>169</v>
      </c>
      <c r="C109" s="78">
        <v>0</v>
      </c>
      <c r="D109" s="78">
        <v>0</v>
      </c>
      <c r="E109" s="78">
        <v>0</v>
      </c>
    </row>
    <row r="110" spans="1:5" x14ac:dyDescent="0.3">
      <c r="A110" s="45" t="s">
        <v>93</v>
      </c>
      <c r="B110" s="6" t="s">
        <v>158</v>
      </c>
      <c r="C110" s="78">
        <v>0</v>
      </c>
      <c r="D110" s="78">
        <v>0</v>
      </c>
      <c r="E110" s="78">
        <v>1</v>
      </c>
    </row>
    <row r="111" spans="1:5" x14ac:dyDescent="0.3">
      <c r="A111" s="45" t="s">
        <v>93</v>
      </c>
      <c r="B111" s="6" t="s">
        <v>159</v>
      </c>
      <c r="C111" s="78">
        <v>0</v>
      </c>
      <c r="D111" s="78">
        <v>0</v>
      </c>
      <c r="E111" s="78">
        <v>0</v>
      </c>
    </row>
    <row r="112" spans="1:5" x14ac:dyDescent="0.3">
      <c r="A112" s="45" t="s">
        <v>93</v>
      </c>
      <c r="B112" s="6" t="s">
        <v>160</v>
      </c>
      <c r="C112" s="78">
        <v>0</v>
      </c>
      <c r="D112" s="78">
        <v>0</v>
      </c>
      <c r="E112" s="78">
        <v>0</v>
      </c>
    </row>
    <row r="113" spans="1:5" x14ac:dyDescent="0.3">
      <c r="A113" s="45" t="s">
        <v>93</v>
      </c>
      <c r="B113" s="6" t="s">
        <v>161</v>
      </c>
      <c r="C113" s="78">
        <v>0</v>
      </c>
      <c r="D113" s="78">
        <v>0</v>
      </c>
      <c r="E113" s="78">
        <v>0</v>
      </c>
    </row>
    <row r="114" spans="1:5" x14ac:dyDescent="0.3">
      <c r="A114" s="45" t="s">
        <v>93</v>
      </c>
      <c r="B114" s="6" t="s">
        <v>162</v>
      </c>
      <c r="C114" s="78">
        <v>0</v>
      </c>
      <c r="D114" s="78">
        <v>0</v>
      </c>
      <c r="E114" s="78">
        <v>0</v>
      </c>
    </row>
    <row r="115" spans="1:5" x14ac:dyDescent="0.3">
      <c r="A115" s="45" t="s">
        <v>93</v>
      </c>
      <c r="B115" s="6" t="s">
        <v>163</v>
      </c>
      <c r="C115" s="78">
        <v>0</v>
      </c>
      <c r="D115" s="78">
        <v>0</v>
      </c>
      <c r="E115" s="78">
        <v>0</v>
      </c>
    </row>
    <row r="116" spans="1:5" x14ac:dyDescent="0.3">
      <c r="A116" s="45" t="s">
        <v>93</v>
      </c>
      <c r="B116" s="6" t="s">
        <v>164</v>
      </c>
      <c r="C116" s="78">
        <v>0</v>
      </c>
      <c r="D116" s="78">
        <v>0</v>
      </c>
      <c r="E116" s="78">
        <v>0</v>
      </c>
    </row>
    <row r="117" spans="1:5" x14ac:dyDescent="0.3">
      <c r="A117" s="45" t="s">
        <v>93</v>
      </c>
      <c r="B117" s="6" t="s">
        <v>165</v>
      </c>
      <c r="C117" s="78">
        <v>0</v>
      </c>
      <c r="D117" s="78">
        <v>0</v>
      </c>
      <c r="E117" s="78">
        <v>0</v>
      </c>
    </row>
    <row r="118" spans="1:5" x14ac:dyDescent="0.3">
      <c r="A118" s="45" t="s">
        <v>93</v>
      </c>
      <c r="B118" s="6" t="s">
        <v>166</v>
      </c>
      <c r="C118" s="78">
        <v>0</v>
      </c>
      <c r="D118" s="78">
        <v>0</v>
      </c>
      <c r="E118" s="78">
        <v>0</v>
      </c>
    </row>
    <row r="119" spans="1:5" x14ac:dyDescent="0.3">
      <c r="A119" s="45" t="s">
        <v>93</v>
      </c>
      <c r="B119" s="6" t="s">
        <v>167</v>
      </c>
      <c r="C119" s="78">
        <v>0</v>
      </c>
      <c r="D119" s="78">
        <v>0</v>
      </c>
      <c r="E119" s="78">
        <v>0</v>
      </c>
    </row>
    <row r="120" spans="1:5" x14ac:dyDescent="0.3">
      <c r="A120" s="45" t="s">
        <v>93</v>
      </c>
      <c r="B120" s="6" t="s">
        <v>168</v>
      </c>
      <c r="C120" s="78">
        <v>0</v>
      </c>
      <c r="D120" s="78">
        <v>0</v>
      </c>
      <c r="E120" s="78">
        <v>0</v>
      </c>
    </row>
    <row r="121" spans="1:5" x14ac:dyDescent="0.3">
      <c r="A121" s="45" t="s">
        <v>93</v>
      </c>
      <c r="B121" s="6" t="s">
        <v>169</v>
      </c>
      <c r="C121" s="78">
        <v>0</v>
      </c>
      <c r="D121" s="78">
        <v>0</v>
      </c>
      <c r="E121" s="78">
        <v>0</v>
      </c>
    </row>
    <row r="122" spans="1:5" x14ac:dyDescent="0.3">
      <c r="A122" s="45" t="s">
        <v>119</v>
      </c>
      <c r="B122" s="6" t="s">
        <v>158</v>
      </c>
      <c r="C122" s="78">
        <v>0</v>
      </c>
      <c r="D122" s="78">
        <v>0</v>
      </c>
      <c r="E122" s="78">
        <v>0</v>
      </c>
    </row>
    <row r="123" spans="1:5" x14ac:dyDescent="0.3">
      <c r="A123" s="45" t="s">
        <v>119</v>
      </c>
      <c r="B123" s="6" t="s">
        <v>159</v>
      </c>
      <c r="C123" s="78">
        <v>0</v>
      </c>
      <c r="D123" s="78">
        <v>0</v>
      </c>
      <c r="E123" s="78">
        <v>0</v>
      </c>
    </row>
    <row r="124" spans="1:5" x14ac:dyDescent="0.3">
      <c r="A124" s="45" t="s">
        <v>119</v>
      </c>
      <c r="B124" s="6" t="s">
        <v>160</v>
      </c>
      <c r="C124" s="78">
        <v>0</v>
      </c>
      <c r="D124" s="78">
        <v>0</v>
      </c>
      <c r="E124" s="78">
        <v>0</v>
      </c>
    </row>
    <row r="125" spans="1:5" x14ac:dyDescent="0.3">
      <c r="A125" s="45" t="s">
        <v>119</v>
      </c>
      <c r="B125" s="6" t="s">
        <v>161</v>
      </c>
      <c r="C125" s="78">
        <v>0</v>
      </c>
      <c r="D125" s="78">
        <v>0</v>
      </c>
      <c r="E125" s="78">
        <v>0</v>
      </c>
    </row>
    <row r="126" spans="1:5" x14ac:dyDescent="0.3">
      <c r="A126" s="45" t="s">
        <v>119</v>
      </c>
      <c r="B126" s="6" t="s">
        <v>162</v>
      </c>
      <c r="C126" s="78">
        <v>0</v>
      </c>
      <c r="D126" s="78">
        <v>0</v>
      </c>
      <c r="E126" s="78">
        <v>0</v>
      </c>
    </row>
    <row r="127" spans="1:5" x14ac:dyDescent="0.3">
      <c r="A127" s="45" t="s">
        <v>119</v>
      </c>
      <c r="B127" s="6" t="s">
        <v>163</v>
      </c>
      <c r="C127" s="78">
        <v>0</v>
      </c>
      <c r="D127" s="78">
        <v>0</v>
      </c>
      <c r="E127" s="78">
        <v>0</v>
      </c>
    </row>
    <row r="128" spans="1:5" x14ac:dyDescent="0.3">
      <c r="A128" s="45" t="s">
        <v>119</v>
      </c>
      <c r="B128" s="6" t="s">
        <v>164</v>
      </c>
      <c r="C128" s="78">
        <v>0</v>
      </c>
      <c r="D128" s="78">
        <v>0</v>
      </c>
      <c r="E128" s="78">
        <v>0</v>
      </c>
    </row>
    <row r="129" spans="1:5" x14ac:dyDescent="0.3">
      <c r="A129" s="45" t="s">
        <v>119</v>
      </c>
      <c r="B129" s="6" t="s">
        <v>165</v>
      </c>
      <c r="C129" s="78">
        <v>0</v>
      </c>
      <c r="D129" s="78">
        <v>0</v>
      </c>
      <c r="E129" s="78">
        <v>0</v>
      </c>
    </row>
    <row r="130" spans="1:5" x14ac:dyDescent="0.3">
      <c r="A130" s="45" t="s">
        <v>119</v>
      </c>
      <c r="B130" s="6" t="s">
        <v>166</v>
      </c>
      <c r="C130" s="78">
        <v>0</v>
      </c>
      <c r="D130" s="78">
        <v>0</v>
      </c>
      <c r="E130" s="78">
        <v>0</v>
      </c>
    </row>
    <row r="131" spans="1:5" x14ac:dyDescent="0.3">
      <c r="A131" s="45" t="s">
        <v>119</v>
      </c>
      <c r="B131" s="6" t="s">
        <v>167</v>
      </c>
      <c r="C131" s="78">
        <v>0</v>
      </c>
      <c r="D131" s="78">
        <v>0</v>
      </c>
      <c r="E131" s="78">
        <v>0</v>
      </c>
    </row>
    <row r="132" spans="1:5" x14ac:dyDescent="0.3">
      <c r="A132" s="45" t="s">
        <v>119</v>
      </c>
      <c r="B132" s="6" t="s">
        <v>168</v>
      </c>
      <c r="C132" s="78">
        <v>0</v>
      </c>
      <c r="D132" s="78">
        <v>0</v>
      </c>
      <c r="E132" s="78">
        <v>0</v>
      </c>
    </row>
    <row r="133" spans="1:5" x14ac:dyDescent="0.3">
      <c r="A133" s="45" t="s">
        <v>119</v>
      </c>
      <c r="B133" s="6" t="s">
        <v>169</v>
      </c>
      <c r="C133" s="78">
        <v>0</v>
      </c>
      <c r="D133" s="78">
        <v>0</v>
      </c>
      <c r="E133" s="78">
        <v>0</v>
      </c>
    </row>
    <row r="134" spans="1:5" x14ac:dyDescent="0.3">
      <c r="A134" s="45" t="s">
        <v>123</v>
      </c>
      <c r="B134" s="6" t="s">
        <v>158</v>
      </c>
      <c r="C134" s="78">
        <v>0</v>
      </c>
      <c r="D134" s="78">
        <v>0</v>
      </c>
      <c r="E134" s="78">
        <v>0</v>
      </c>
    </row>
    <row r="135" spans="1:5" x14ac:dyDescent="0.3">
      <c r="A135" s="45" t="s">
        <v>123</v>
      </c>
      <c r="B135" s="6" t="s">
        <v>159</v>
      </c>
      <c r="C135" s="78">
        <v>0</v>
      </c>
      <c r="D135" s="78">
        <v>0</v>
      </c>
      <c r="E135" s="78">
        <v>1</v>
      </c>
    </row>
    <row r="136" spans="1:5" x14ac:dyDescent="0.3">
      <c r="A136" s="45" t="s">
        <v>123</v>
      </c>
      <c r="B136" s="6" t="s">
        <v>160</v>
      </c>
      <c r="C136" s="78">
        <v>0</v>
      </c>
      <c r="D136" s="78">
        <v>0</v>
      </c>
      <c r="E136" s="78">
        <v>0</v>
      </c>
    </row>
    <row r="137" spans="1:5" x14ac:dyDescent="0.3">
      <c r="A137" s="45" t="s">
        <v>123</v>
      </c>
      <c r="B137" s="6" t="s">
        <v>161</v>
      </c>
      <c r="C137" s="78">
        <v>0</v>
      </c>
      <c r="D137" s="78">
        <v>0</v>
      </c>
      <c r="E137" s="78">
        <v>0</v>
      </c>
    </row>
    <row r="138" spans="1:5" x14ac:dyDescent="0.3">
      <c r="A138" s="45" t="s">
        <v>123</v>
      </c>
      <c r="B138" s="6" t="s">
        <v>162</v>
      </c>
      <c r="C138" s="78">
        <v>0</v>
      </c>
      <c r="D138" s="78">
        <v>0</v>
      </c>
      <c r="E138" s="78">
        <v>0</v>
      </c>
    </row>
    <row r="139" spans="1:5" x14ac:dyDescent="0.3">
      <c r="A139" s="45" t="s">
        <v>123</v>
      </c>
      <c r="B139" s="6" t="s">
        <v>163</v>
      </c>
      <c r="C139" s="78">
        <v>0</v>
      </c>
      <c r="D139" s="78">
        <v>0</v>
      </c>
      <c r="E139" s="78">
        <v>0</v>
      </c>
    </row>
    <row r="140" spans="1:5" x14ac:dyDescent="0.3">
      <c r="A140" s="45" t="s">
        <v>123</v>
      </c>
      <c r="B140" s="6" t="s">
        <v>164</v>
      </c>
      <c r="C140" s="78">
        <v>0</v>
      </c>
      <c r="D140" s="78">
        <v>0</v>
      </c>
      <c r="E140" s="78">
        <v>0</v>
      </c>
    </row>
    <row r="141" spans="1:5" x14ac:dyDescent="0.3">
      <c r="A141" s="45" t="s">
        <v>123</v>
      </c>
      <c r="B141" s="6" t="s">
        <v>165</v>
      </c>
      <c r="C141" s="78">
        <v>0</v>
      </c>
      <c r="D141" s="78">
        <v>0</v>
      </c>
      <c r="E141" s="78">
        <v>0</v>
      </c>
    </row>
    <row r="142" spans="1:5" x14ac:dyDescent="0.3">
      <c r="A142" s="45" t="s">
        <v>123</v>
      </c>
      <c r="B142" s="6" t="s">
        <v>166</v>
      </c>
      <c r="C142" s="78">
        <v>0</v>
      </c>
      <c r="D142" s="78">
        <v>0</v>
      </c>
      <c r="E142" s="78">
        <v>0</v>
      </c>
    </row>
    <row r="143" spans="1:5" x14ac:dyDescent="0.3">
      <c r="A143" s="45" t="s">
        <v>123</v>
      </c>
      <c r="B143" s="6" t="s">
        <v>167</v>
      </c>
      <c r="C143" s="78">
        <v>0</v>
      </c>
      <c r="D143" s="78">
        <v>0</v>
      </c>
      <c r="E143" s="78">
        <v>0</v>
      </c>
    </row>
    <row r="144" spans="1:5" x14ac:dyDescent="0.3">
      <c r="A144" s="45" t="s">
        <v>123</v>
      </c>
      <c r="B144" s="6" t="s">
        <v>168</v>
      </c>
      <c r="C144" s="78">
        <v>0</v>
      </c>
      <c r="D144" s="78">
        <v>0</v>
      </c>
      <c r="E144" s="78">
        <v>0</v>
      </c>
    </row>
    <row r="145" spans="1:5" x14ac:dyDescent="0.3">
      <c r="A145" s="45" t="s">
        <v>123</v>
      </c>
      <c r="B145" s="6" t="s">
        <v>169</v>
      </c>
      <c r="C145" s="78">
        <v>0</v>
      </c>
      <c r="D145" s="78">
        <v>0</v>
      </c>
      <c r="E145" s="78">
        <v>0</v>
      </c>
    </row>
    <row r="146" spans="1:5" x14ac:dyDescent="0.3">
      <c r="A146" s="45" t="s">
        <v>103</v>
      </c>
      <c r="B146" s="6" t="s">
        <v>158</v>
      </c>
      <c r="C146" s="78">
        <v>0</v>
      </c>
      <c r="D146" s="78">
        <v>0</v>
      </c>
      <c r="E146" s="78">
        <v>0</v>
      </c>
    </row>
    <row r="147" spans="1:5" x14ac:dyDescent="0.3">
      <c r="A147" s="45" t="s">
        <v>103</v>
      </c>
      <c r="B147" s="6" t="s">
        <v>159</v>
      </c>
      <c r="C147" s="78">
        <v>0</v>
      </c>
      <c r="D147" s="78">
        <v>0</v>
      </c>
      <c r="E147" s="78">
        <v>0</v>
      </c>
    </row>
    <row r="148" spans="1:5" x14ac:dyDescent="0.3">
      <c r="A148" s="45" t="s">
        <v>103</v>
      </c>
      <c r="B148" s="6" t="s">
        <v>160</v>
      </c>
      <c r="C148" s="78">
        <v>0</v>
      </c>
      <c r="D148" s="78">
        <v>0</v>
      </c>
      <c r="E148" s="78">
        <v>0</v>
      </c>
    </row>
    <row r="149" spans="1:5" x14ac:dyDescent="0.3">
      <c r="A149" s="45" t="s">
        <v>103</v>
      </c>
      <c r="B149" s="6" t="s">
        <v>161</v>
      </c>
      <c r="C149" s="78">
        <v>0</v>
      </c>
      <c r="D149" s="78">
        <v>0</v>
      </c>
      <c r="E149" s="78">
        <v>0</v>
      </c>
    </row>
    <row r="150" spans="1:5" x14ac:dyDescent="0.3">
      <c r="A150" s="45" t="s">
        <v>103</v>
      </c>
      <c r="B150" s="6" t="s">
        <v>162</v>
      </c>
      <c r="C150" s="78">
        <v>0</v>
      </c>
      <c r="D150" s="78">
        <v>0</v>
      </c>
      <c r="E150" s="78">
        <v>0</v>
      </c>
    </row>
    <row r="151" spans="1:5" x14ac:dyDescent="0.3">
      <c r="A151" s="45" t="s">
        <v>103</v>
      </c>
      <c r="B151" s="6" t="s">
        <v>163</v>
      </c>
      <c r="C151" s="78">
        <v>0</v>
      </c>
      <c r="D151" s="78">
        <v>0</v>
      </c>
      <c r="E151" s="78">
        <v>0</v>
      </c>
    </row>
    <row r="152" spans="1:5" x14ac:dyDescent="0.3">
      <c r="A152" s="45" t="s">
        <v>103</v>
      </c>
      <c r="B152" s="6" t="s">
        <v>164</v>
      </c>
      <c r="C152" s="78">
        <v>0</v>
      </c>
      <c r="D152" s="78">
        <v>0</v>
      </c>
      <c r="E152" s="78">
        <v>0</v>
      </c>
    </row>
    <row r="153" spans="1:5" x14ac:dyDescent="0.3">
      <c r="A153" s="45" t="s">
        <v>103</v>
      </c>
      <c r="B153" s="6" t="s">
        <v>165</v>
      </c>
      <c r="C153" s="78">
        <v>0</v>
      </c>
      <c r="D153" s="78">
        <v>0</v>
      </c>
      <c r="E153" s="78">
        <v>0</v>
      </c>
    </row>
    <row r="154" spans="1:5" x14ac:dyDescent="0.3">
      <c r="A154" s="45" t="s">
        <v>103</v>
      </c>
      <c r="B154" s="6" t="s">
        <v>166</v>
      </c>
      <c r="C154" s="78">
        <v>0</v>
      </c>
      <c r="D154" s="78">
        <v>0</v>
      </c>
      <c r="E154" s="78">
        <v>0</v>
      </c>
    </row>
    <row r="155" spans="1:5" x14ac:dyDescent="0.3">
      <c r="A155" s="45" t="s">
        <v>103</v>
      </c>
      <c r="B155" s="6" t="s">
        <v>167</v>
      </c>
      <c r="C155" s="78">
        <v>0</v>
      </c>
      <c r="D155" s="78">
        <v>0</v>
      </c>
      <c r="E155" s="78">
        <v>0</v>
      </c>
    </row>
    <row r="156" spans="1:5" x14ac:dyDescent="0.3">
      <c r="A156" s="45" t="s">
        <v>103</v>
      </c>
      <c r="B156" s="6" t="s">
        <v>168</v>
      </c>
      <c r="C156" s="78">
        <v>0</v>
      </c>
      <c r="D156" s="78">
        <v>0</v>
      </c>
      <c r="E156" s="78">
        <v>0</v>
      </c>
    </row>
    <row r="157" spans="1:5" x14ac:dyDescent="0.3">
      <c r="A157" s="45" t="s">
        <v>103</v>
      </c>
      <c r="B157" s="6" t="s">
        <v>169</v>
      </c>
      <c r="C157" s="78">
        <v>0</v>
      </c>
      <c r="D157" s="78">
        <v>0</v>
      </c>
      <c r="E157" s="78">
        <v>0</v>
      </c>
    </row>
    <row r="158" spans="1:5" x14ac:dyDescent="0.3">
      <c r="A158" s="45" t="s">
        <v>129</v>
      </c>
      <c r="B158" s="6" t="s">
        <v>158</v>
      </c>
      <c r="C158" s="78">
        <v>0</v>
      </c>
      <c r="D158" s="78">
        <v>0</v>
      </c>
      <c r="E158" s="78">
        <v>0</v>
      </c>
    </row>
    <row r="159" spans="1:5" x14ac:dyDescent="0.3">
      <c r="A159" s="45" t="s">
        <v>129</v>
      </c>
      <c r="B159" s="6" t="s">
        <v>159</v>
      </c>
      <c r="C159" s="78">
        <v>0</v>
      </c>
      <c r="D159" s="78">
        <v>0</v>
      </c>
      <c r="E159" s="78">
        <v>0</v>
      </c>
    </row>
    <row r="160" spans="1:5" x14ac:dyDescent="0.3">
      <c r="A160" s="45" t="s">
        <v>129</v>
      </c>
      <c r="B160" s="6" t="s">
        <v>160</v>
      </c>
      <c r="C160" s="78">
        <v>0</v>
      </c>
      <c r="D160" s="78">
        <v>0</v>
      </c>
      <c r="E160" s="78">
        <v>0</v>
      </c>
    </row>
    <row r="161" spans="1:5" x14ac:dyDescent="0.3">
      <c r="A161" s="45" t="s">
        <v>129</v>
      </c>
      <c r="B161" s="6" t="s">
        <v>161</v>
      </c>
      <c r="C161" s="78">
        <v>0</v>
      </c>
      <c r="D161" s="78">
        <v>0</v>
      </c>
      <c r="E161" s="78">
        <v>0</v>
      </c>
    </row>
    <row r="162" spans="1:5" x14ac:dyDescent="0.3">
      <c r="A162" s="45" t="s">
        <v>129</v>
      </c>
      <c r="B162" s="6" t="s">
        <v>162</v>
      </c>
      <c r="C162" s="78">
        <v>0</v>
      </c>
      <c r="D162" s="78">
        <v>0</v>
      </c>
      <c r="E162" s="78">
        <v>0</v>
      </c>
    </row>
    <row r="163" spans="1:5" x14ac:dyDescent="0.3">
      <c r="A163" s="45" t="s">
        <v>129</v>
      </c>
      <c r="B163" s="6" t="s">
        <v>163</v>
      </c>
      <c r="C163" s="78">
        <v>0</v>
      </c>
      <c r="D163" s="78">
        <v>0</v>
      </c>
      <c r="E163" s="78">
        <v>0</v>
      </c>
    </row>
    <row r="164" spans="1:5" x14ac:dyDescent="0.3">
      <c r="A164" s="45" t="s">
        <v>129</v>
      </c>
      <c r="B164" s="6" t="s">
        <v>164</v>
      </c>
      <c r="C164" s="78">
        <v>0</v>
      </c>
      <c r="D164" s="78">
        <v>0</v>
      </c>
      <c r="E164" s="78">
        <v>0</v>
      </c>
    </row>
    <row r="165" spans="1:5" x14ac:dyDescent="0.3">
      <c r="A165" s="45" t="s">
        <v>129</v>
      </c>
      <c r="B165" s="6" t="s">
        <v>165</v>
      </c>
      <c r="C165" s="78">
        <v>0</v>
      </c>
      <c r="D165" s="78">
        <v>0</v>
      </c>
      <c r="E165" s="78">
        <v>0</v>
      </c>
    </row>
    <row r="166" spans="1:5" x14ac:dyDescent="0.3">
      <c r="A166" s="45" t="s">
        <v>129</v>
      </c>
      <c r="B166" s="6" t="s">
        <v>166</v>
      </c>
      <c r="C166" s="78">
        <v>0</v>
      </c>
      <c r="D166" s="78">
        <v>0</v>
      </c>
      <c r="E166" s="78">
        <v>0</v>
      </c>
    </row>
    <row r="167" spans="1:5" x14ac:dyDescent="0.3">
      <c r="A167" s="45" t="s">
        <v>129</v>
      </c>
      <c r="B167" s="6" t="s">
        <v>167</v>
      </c>
      <c r="C167" s="78">
        <v>0</v>
      </c>
      <c r="D167" s="78">
        <v>0</v>
      </c>
      <c r="E167" s="78">
        <v>0</v>
      </c>
    </row>
    <row r="168" spans="1:5" x14ac:dyDescent="0.3">
      <c r="A168" s="45" t="s">
        <v>129</v>
      </c>
      <c r="B168" s="6" t="s">
        <v>168</v>
      </c>
      <c r="C168" s="78">
        <v>0</v>
      </c>
      <c r="D168" s="78">
        <v>0</v>
      </c>
      <c r="E168" s="78">
        <v>0</v>
      </c>
    </row>
    <row r="169" spans="1:5" x14ac:dyDescent="0.3">
      <c r="A169" s="45" t="s">
        <v>129</v>
      </c>
      <c r="B169" s="6" t="s">
        <v>169</v>
      </c>
      <c r="C169" s="78">
        <v>0</v>
      </c>
      <c r="D169" s="78">
        <v>0</v>
      </c>
      <c r="E169" s="78">
        <v>0</v>
      </c>
    </row>
    <row r="170" spans="1:5" x14ac:dyDescent="0.3">
      <c r="A170" s="45" t="s">
        <v>96</v>
      </c>
      <c r="B170" s="6" t="s">
        <v>158</v>
      </c>
      <c r="C170" s="78">
        <v>0</v>
      </c>
      <c r="D170" s="78">
        <v>0</v>
      </c>
      <c r="E170" s="78">
        <v>0</v>
      </c>
    </row>
    <row r="171" spans="1:5" x14ac:dyDescent="0.3">
      <c r="A171" s="45" t="s">
        <v>96</v>
      </c>
      <c r="B171" s="6" t="s">
        <v>159</v>
      </c>
      <c r="C171" s="78">
        <v>0</v>
      </c>
      <c r="D171" s="78">
        <v>0</v>
      </c>
      <c r="E171" s="78">
        <v>0</v>
      </c>
    </row>
    <row r="172" spans="1:5" x14ac:dyDescent="0.3">
      <c r="A172" s="45" t="s">
        <v>96</v>
      </c>
      <c r="B172" s="6" t="s">
        <v>160</v>
      </c>
      <c r="C172" s="78">
        <v>0</v>
      </c>
      <c r="D172" s="78">
        <v>0</v>
      </c>
      <c r="E172" s="78">
        <v>0</v>
      </c>
    </row>
    <row r="173" spans="1:5" x14ac:dyDescent="0.3">
      <c r="A173" s="45" t="s">
        <v>96</v>
      </c>
      <c r="B173" s="6" t="s">
        <v>161</v>
      </c>
      <c r="C173" s="78">
        <v>0</v>
      </c>
      <c r="D173" s="78">
        <v>0</v>
      </c>
      <c r="E173" s="78">
        <v>0</v>
      </c>
    </row>
    <row r="174" spans="1:5" x14ac:dyDescent="0.3">
      <c r="A174" s="45" t="s">
        <v>96</v>
      </c>
      <c r="B174" s="6" t="s">
        <v>162</v>
      </c>
      <c r="C174" s="78">
        <v>0</v>
      </c>
      <c r="D174" s="78">
        <v>0</v>
      </c>
      <c r="E174" s="78">
        <v>0</v>
      </c>
    </row>
    <row r="175" spans="1:5" x14ac:dyDescent="0.3">
      <c r="A175" s="45" t="s">
        <v>96</v>
      </c>
      <c r="B175" s="6" t="s">
        <v>163</v>
      </c>
      <c r="C175" s="78">
        <v>0</v>
      </c>
      <c r="D175" s="78">
        <v>0</v>
      </c>
      <c r="E175" s="78">
        <v>0</v>
      </c>
    </row>
    <row r="176" spans="1:5" x14ac:dyDescent="0.3">
      <c r="A176" s="45" t="s">
        <v>96</v>
      </c>
      <c r="B176" s="6" t="s">
        <v>164</v>
      </c>
      <c r="C176" s="78">
        <v>0</v>
      </c>
      <c r="D176" s="78">
        <v>0</v>
      </c>
      <c r="E176" s="78">
        <v>0</v>
      </c>
    </row>
    <row r="177" spans="1:5" x14ac:dyDescent="0.3">
      <c r="A177" s="45" t="s">
        <v>96</v>
      </c>
      <c r="B177" s="6" t="s">
        <v>165</v>
      </c>
      <c r="C177" s="78">
        <v>0</v>
      </c>
      <c r="D177" s="78">
        <v>0</v>
      </c>
      <c r="E177" s="78">
        <v>0</v>
      </c>
    </row>
    <row r="178" spans="1:5" x14ac:dyDescent="0.3">
      <c r="A178" s="45" t="s">
        <v>96</v>
      </c>
      <c r="B178" s="6" t="s">
        <v>166</v>
      </c>
      <c r="C178" s="78">
        <v>0</v>
      </c>
      <c r="D178" s="78">
        <v>0</v>
      </c>
      <c r="E178" s="78">
        <v>0</v>
      </c>
    </row>
    <row r="179" spans="1:5" x14ac:dyDescent="0.3">
      <c r="A179" s="45" t="s">
        <v>96</v>
      </c>
      <c r="B179" s="6" t="s">
        <v>167</v>
      </c>
      <c r="C179" s="78">
        <v>0</v>
      </c>
      <c r="D179" s="78">
        <v>0</v>
      </c>
      <c r="E179" s="78">
        <v>0</v>
      </c>
    </row>
    <row r="180" spans="1:5" x14ac:dyDescent="0.3">
      <c r="A180" s="45" t="s">
        <v>96</v>
      </c>
      <c r="B180" s="6" t="s">
        <v>168</v>
      </c>
      <c r="C180" s="78">
        <v>0</v>
      </c>
      <c r="D180" s="78">
        <v>0</v>
      </c>
      <c r="E180" s="78">
        <v>0</v>
      </c>
    </row>
    <row r="181" spans="1:5" x14ac:dyDescent="0.3">
      <c r="A181" s="45" t="s">
        <v>96</v>
      </c>
      <c r="B181" s="6" t="s">
        <v>169</v>
      </c>
      <c r="C181" s="78">
        <v>0</v>
      </c>
      <c r="D181" s="78">
        <v>0</v>
      </c>
      <c r="E181" s="78">
        <v>0</v>
      </c>
    </row>
    <row r="182" spans="1:5" x14ac:dyDescent="0.3">
      <c r="A182" s="45" t="s">
        <v>38</v>
      </c>
      <c r="B182" s="6" t="s">
        <v>158</v>
      </c>
      <c r="C182" s="78">
        <v>0</v>
      </c>
      <c r="D182" s="78">
        <v>0</v>
      </c>
      <c r="E182" s="78">
        <v>0</v>
      </c>
    </row>
    <row r="183" spans="1:5" x14ac:dyDescent="0.3">
      <c r="A183" s="45" t="s">
        <v>38</v>
      </c>
      <c r="B183" s="6" t="s">
        <v>159</v>
      </c>
      <c r="C183" s="78">
        <v>0</v>
      </c>
      <c r="D183" s="78">
        <v>0</v>
      </c>
      <c r="E183" s="78">
        <v>0</v>
      </c>
    </row>
    <row r="184" spans="1:5" x14ac:dyDescent="0.3">
      <c r="A184" s="45" t="s">
        <v>38</v>
      </c>
      <c r="B184" s="6" t="s">
        <v>160</v>
      </c>
      <c r="C184" s="78">
        <v>0</v>
      </c>
      <c r="D184" s="78">
        <v>0</v>
      </c>
      <c r="E184" s="78">
        <v>0</v>
      </c>
    </row>
    <row r="185" spans="1:5" x14ac:dyDescent="0.3">
      <c r="A185" s="45" t="s">
        <v>38</v>
      </c>
      <c r="B185" s="6" t="s">
        <v>161</v>
      </c>
      <c r="C185" s="78">
        <v>0</v>
      </c>
      <c r="D185" s="78">
        <v>0</v>
      </c>
      <c r="E185" s="78">
        <v>0</v>
      </c>
    </row>
    <row r="186" spans="1:5" x14ac:dyDescent="0.3">
      <c r="A186" s="45" t="s">
        <v>38</v>
      </c>
      <c r="B186" s="6" t="s">
        <v>162</v>
      </c>
      <c r="C186" s="78">
        <v>0</v>
      </c>
      <c r="D186" s="78">
        <v>0</v>
      </c>
      <c r="E186" s="78">
        <v>0</v>
      </c>
    </row>
    <row r="187" spans="1:5" x14ac:dyDescent="0.3">
      <c r="A187" s="45" t="s">
        <v>38</v>
      </c>
      <c r="B187" s="6" t="s">
        <v>163</v>
      </c>
      <c r="C187" s="78">
        <v>0</v>
      </c>
      <c r="D187" s="78">
        <v>0</v>
      </c>
      <c r="E187" s="78">
        <v>0</v>
      </c>
    </row>
    <row r="188" spans="1:5" x14ac:dyDescent="0.3">
      <c r="A188" s="45" t="s">
        <v>38</v>
      </c>
      <c r="B188" s="6" t="s">
        <v>164</v>
      </c>
      <c r="C188" s="78">
        <v>0</v>
      </c>
      <c r="D188" s="78">
        <v>0</v>
      </c>
      <c r="E188" s="78">
        <v>0</v>
      </c>
    </row>
    <row r="189" spans="1:5" x14ac:dyDescent="0.3">
      <c r="A189" s="45" t="s">
        <v>38</v>
      </c>
      <c r="B189" s="6" t="s">
        <v>165</v>
      </c>
      <c r="C189" s="78">
        <v>0</v>
      </c>
      <c r="D189" s="78">
        <v>0</v>
      </c>
      <c r="E189" s="78">
        <v>0</v>
      </c>
    </row>
    <row r="190" spans="1:5" x14ac:dyDescent="0.3">
      <c r="A190" s="45" t="s">
        <v>38</v>
      </c>
      <c r="B190" s="6" t="s">
        <v>166</v>
      </c>
      <c r="C190" s="78">
        <v>0</v>
      </c>
      <c r="D190" s="78">
        <v>0</v>
      </c>
      <c r="E190" s="78">
        <v>0</v>
      </c>
    </row>
    <row r="191" spans="1:5" x14ac:dyDescent="0.3">
      <c r="A191" s="45" t="s">
        <v>38</v>
      </c>
      <c r="B191" s="6" t="s">
        <v>167</v>
      </c>
      <c r="C191" s="78">
        <v>0</v>
      </c>
      <c r="D191" s="78">
        <v>0</v>
      </c>
      <c r="E191" s="78">
        <v>0</v>
      </c>
    </row>
    <row r="192" spans="1:5" x14ac:dyDescent="0.3">
      <c r="A192" s="45" t="s">
        <v>38</v>
      </c>
      <c r="B192" s="6" t="s">
        <v>168</v>
      </c>
      <c r="C192" s="78">
        <v>0</v>
      </c>
      <c r="D192" s="78">
        <v>0</v>
      </c>
      <c r="E192" s="78">
        <v>0</v>
      </c>
    </row>
    <row r="193" spans="1:5" x14ac:dyDescent="0.3">
      <c r="A193" s="45" t="s">
        <v>38</v>
      </c>
      <c r="B193" s="6" t="s">
        <v>169</v>
      </c>
      <c r="C193" s="78">
        <v>0</v>
      </c>
      <c r="D193" s="78">
        <v>0</v>
      </c>
      <c r="E193" s="78">
        <v>0</v>
      </c>
    </row>
    <row r="194" spans="1:5" x14ac:dyDescent="0.3">
      <c r="A194" s="45" t="s">
        <v>95</v>
      </c>
      <c r="B194" s="6" t="s">
        <v>158</v>
      </c>
      <c r="C194" s="78">
        <v>0</v>
      </c>
      <c r="D194" s="78">
        <v>0</v>
      </c>
      <c r="E194" s="78">
        <v>0</v>
      </c>
    </row>
    <row r="195" spans="1:5" x14ac:dyDescent="0.3">
      <c r="A195" s="45" t="s">
        <v>95</v>
      </c>
      <c r="B195" s="6" t="s">
        <v>159</v>
      </c>
      <c r="C195" s="78">
        <v>0</v>
      </c>
      <c r="D195" s="78">
        <v>0</v>
      </c>
      <c r="E195" s="78">
        <v>0</v>
      </c>
    </row>
    <row r="196" spans="1:5" x14ac:dyDescent="0.3">
      <c r="A196" s="45" t="s">
        <v>95</v>
      </c>
      <c r="B196" s="6" t="s">
        <v>160</v>
      </c>
      <c r="C196" s="78">
        <v>0</v>
      </c>
      <c r="D196" s="78">
        <v>0</v>
      </c>
      <c r="E196" s="78">
        <v>0</v>
      </c>
    </row>
    <row r="197" spans="1:5" x14ac:dyDescent="0.3">
      <c r="A197" s="45" t="s">
        <v>95</v>
      </c>
      <c r="B197" s="6" t="s">
        <v>161</v>
      </c>
      <c r="C197" s="78">
        <v>0</v>
      </c>
      <c r="D197" s="78">
        <v>0</v>
      </c>
      <c r="E197" s="78">
        <v>0</v>
      </c>
    </row>
    <row r="198" spans="1:5" x14ac:dyDescent="0.3">
      <c r="A198" s="45" t="s">
        <v>95</v>
      </c>
      <c r="B198" s="6" t="s">
        <v>162</v>
      </c>
      <c r="C198" s="78">
        <v>0</v>
      </c>
      <c r="D198" s="78">
        <v>0</v>
      </c>
      <c r="E198" s="78">
        <v>0</v>
      </c>
    </row>
    <row r="199" spans="1:5" x14ac:dyDescent="0.3">
      <c r="A199" s="45" t="s">
        <v>95</v>
      </c>
      <c r="B199" s="6" t="s">
        <v>163</v>
      </c>
      <c r="C199" s="78">
        <v>0</v>
      </c>
      <c r="D199" s="78">
        <v>0</v>
      </c>
      <c r="E199" s="78">
        <v>0</v>
      </c>
    </row>
    <row r="200" spans="1:5" x14ac:dyDescent="0.3">
      <c r="A200" s="45" t="s">
        <v>95</v>
      </c>
      <c r="B200" s="6" t="s">
        <v>164</v>
      </c>
      <c r="C200" s="78">
        <v>0</v>
      </c>
      <c r="D200" s="78">
        <v>0</v>
      </c>
      <c r="E200" s="78">
        <v>0</v>
      </c>
    </row>
    <row r="201" spans="1:5" x14ac:dyDescent="0.3">
      <c r="A201" s="45" t="s">
        <v>95</v>
      </c>
      <c r="B201" s="6" t="s">
        <v>165</v>
      </c>
      <c r="C201" s="78">
        <v>0</v>
      </c>
      <c r="D201" s="78">
        <v>0</v>
      </c>
      <c r="E201" s="78">
        <v>0</v>
      </c>
    </row>
    <row r="202" spans="1:5" x14ac:dyDescent="0.3">
      <c r="A202" s="45" t="s">
        <v>95</v>
      </c>
      <c r="B202" s="6" t="s">
        <v>166</v>
      </c>
      <c r="C202" s="78">
        <v>0</v>
      </c>
      <c r="D202" s="78">
        <v>0</v>
      </c>
      <c r="E202" s="78">
        <v>0</v>
      </c>
    </row>
    <row r="203" spans="1:5" x14ac:dyDescent="0.3">
      <c r="A203" s="45" t="s">
        <v>95</v>
      </c>
      <c r="B203" s="6" t="s">
        <v>167</v>
      </c>
      <c r="C203" s="78">
        <v>0</v>
      </c>
      <c r="D203" s="78">
        <v>0</v>
      </c>
      <c r="E203" s="78">
        <v>0</v>
      </c>
    </row>
    <row r="204" spans="1:5" x14ac:dyDescent="0.3">
      <c r="A204" s="45" t="s">
        <v>95</v>
      </c>
      <c r="B204" s="6" t="s">
        <v>168</v>
      </c>
      <c r="C204" s="78">
        <v>0</v>
      </c>
      <c r="D204" s="78">
        <v>0</v>
      </c>
      <c r="E204" s="78">
        <v>0</v>
      </c>
    </row>
    <row r="205" spans="1:5" x14ac:dyDescent="0.3">
      <c r="A205" s="45" t="s">
        <v>95</v>
      </c>
      <c r="B205" s="6" t="s">
        <v>169</v>
      </c>
      <c r="C205" s="78">
        <v>0</v>
      </c>
      <c r="D205" s="78">
        <v>0</v>
      </c>
      <c r="E205" s="78">
        <v>0</v>
      </c>
    </row>
    <row r="206" spans="1:5" x14ac:dyDescent="0.3">
      <c r="A206" s="45" t="s">
        <v>132</v>
      </c>
      <c r="B206" s="6" t="s">
        <v>158</v>
      </c>
      <c r="C206" s="78">
        <v>1</v>
      </c>
      <c r="D206" s="78">
        <v>0</v>
      </c>
      <c r="E206" s="78">
        <v>1</v>
      </c>
    </row>
    <row r="207" spans="1:5" x14ac:dyDescent="0.3">
      <c r="A207" s="45" t="s">
        <v>132</v>
      </c>
      <c r="B207" s="6" t="s">
        <v>159</v>
      </c>
      <c r="C207" s="78">
        <v>0</v>
      </c>
      <c r="D207" s="78">
        <v>0</v>
      </c>
      <c r="E207" s="78">
        <v>0</v>
      </c>
    </row>
    <row r="208" spans="1:5" x14ac:dyDescent="0.3">
      <c r="A208" s="45" t="s">
        <v>132</v>
      </c>
      <c r="B208" s="6" t="s">
        <v>160</v>
      </c>
      <c r="C208" s="78">
        <v>0</v>
      </c>
      <c r="D208" s="78">
        <v>0</v>
      </c>
      <c r="E208" s="78">
        <v>0</v>
      </c>
    </row>
    <row r="209" spans="1:5" x14ac:dyDescent="0.3">
      <c r="A209" s="45" t="s">
        <v>132</v>
      </c>
      <c r="B209" s="6" t="s">
        <v>161</v>
      </c>
      <c r="C209" s="78">
        <v>0</v>
      </c>
      <c r="D209" s="78">
        <v>0</v>
      </c>
      <c r="E209" s="78">
        <v>0</v>
      </c>
    </row>
    <row r="210" spans="1:5" x14ac:dyDescent="0.3">
      <c r="A210" s="45" t="s">
        <v>132</v>
      </c>
      <c r="B210" s="6" t="s">
        <v>162</v>
      </c>
      <c r="C210" s="78">
        <v>0</v>
      </c>
      <c r="D210" s="78">
        <v>0</v>
      </c>
      <c r="E210" s="78">
        <v>0</v>
      </c>
    </row>
    <row r="211" spans="1:5" x14ac:dyDescent="0.3">
      <c r="A211" s="45" t="s">
        <v>132</v>
      </c>
      <c r="B211" s="6" t="s">
        <v>163</v>
      </c>
      <c r="C211" s="78">
        <v>0</v>
      </c>
      <c r="D211" s="78">
        <v>0</v>
      </c>
      <c r="E211" s="78">
        <v>0</v>
      </c>
    </row>
    <row r="212" spans="1:5" x14ac:dyDescent="0.3">
      <c r="A212" s="45" t="s">
        <v>132</v>
      </c>
      <c r="B212" s="6" t="s">
        <v>164</v>
      </c>
      <c r="C212" s="78">
        <v>0</v>
      </c>
      <c r="D212" s="78">
        <v>0</v>
      </c>
      <c r="E212" s="78">
        <v>0</v>
      </c>
    </row>
    <row r="213" spans="1:5" x14ac:dyDescent="0.3">
      <c r="A213" s="45" t="s">
        <v>132</v>
      </c>
      <c r="B213" s="6" t="s">
        <v>165</v>
      </c>
      <c r="C213" s="78">
        <v>0</v>
      </c>
      <c r="D213" s="78">
        <v>0</v>
      </c>
      <c r="E213" s="78">
        <v>0</v>
      </c>
    </row>
    <row r="214" spans="1:5" x14ac:dyDescent="0.3">
      <c r="A214" s="45" t="s">
        <v>132</v>
      </c>
      <c r="B214" s="6" t="s">
        <v>166</v>
      </c>
      <c r="C214" s="78">
        <v>0</v>
      </c>
      <c r="D214" s="78">
        <v>0</v>
      </c>
      <c r="E214" s="78">
        <v>0</v>
      </c>
    </row>
    <row r="215" spans="1:5" x14ac:dyDescent="0.3">
      <c r="A215" s="45" t="s">
        <v>132</v>
      </c>
      <c r="B215" s="6" t="s">
        <v>167</v>
      </c>
      <c r="C215" s="78">
        <v>0</v>
      </c>
      <c r="D215" s="78">
        <v>0</v>
      </c>
      <c r="E215" s="78">
        <v>0</v>
      </c>
    </row>
    <row r="216" spans="1:5" x14ac:dyDescent="0.3">
      <c r="A216" s="45" t="s">
        <v>132</v>
      </c>
      <c r="B216" s="6" t="s">
        <v>168</v>
      </c>
      <c r="C216" s="78">
        <v>0</v>
      </c>
      <c r="D216" s="78">
        <v>0</v>
      </c>
      <c r="E216" s="78">
        <v>0</v>
      </c>
    </row>
    <row r="217" spans="1:5" x14ac:dyDescent="0.3">
      <c r="A217" s="45" t="s">
        <v>132</v>
      </c>
      <c r="B217" s="6" t="s">
        <v>169</v>
      </c>
      <c r="C217" s="78">
        <v>0</v>
      </c>
      <c r="D217" s="78">
        <v>0</v>
      </c>
      <c r="E217" s="78">
        <v>0</v>
      </c>
    </row>
    <row r="218" spans="1:5" x14ac:dyDescent="0.3">
      <c r="A218" s="45" t="s">
        <v>74</v>
      </c>
      <c r="B218" s="6" t="s">
        <v>158</v>
      </c>
      <c r="C218" s="78">
        <v>0</v>
      </c>
      <c r="D218" s="78">
        <v>0</v>
      </c>
      <c r="E218" s="78">
        <v>0</v>
      </c>
    </row>
    <row r="219" spans="1:5" x14ac:dyDescent="0.3">
      <c r="A219" s="45" t="s">
        <v>74</v>
      </c>
      <c r="B219" s="6" t="s">
        <v>159</v>
      </c>
      <c r="C219" s="78">
        <v>0</v>
      </c>
      <c r="D219" s="78">
        <v>0</v>
      </c>
      <c r="E219" s="78">
        <v>0</v>
      </c>
    </row>
    <row r="220" spans="1:5" x14ac:dyDescent="0.3">
      <c r="A220" s="45" t="s">
        <v>74</v>
      </c>
      <c r="B220" s="6" t="s">
        <v>160</v>
      </c>
      <c r="C220" s="78">
        <v>0</v>
      </c>
      <c r="D220" s="78">
        <v>0</v>
      </c>
      <c r="E220" s="78">
        <v>0</v>
      </c>
    </row>
    <row r="221" spans="1:5" x14ac:dyDescent="0.3">
      <c r="A221" s="45" t="s">
        <v>74</v>
      </c>
      <c r="B221" s="6" t="s">
        <v>161</v>
      </c>
      <c r="C221" s="78">
        <v>0</v>
      </c>
      <c r="D221" s="78">
        <v>0</v>
      </c>
      <c r="E221" s="78">
        <v>0</v>
      </c>
    </row>
    <row r="222" spans="1:5" x14ac:dyDescent="0.3">
      <c r="A222" s="45" t="s">
        <v>74</v>
      </c>
      <c r="B222" s="6" t="s">
        <v>162</v>
      </c>
      <c r="C222" s="78">
        <v>0</v>
      </c>
      <c r="D222" s="78">
        <v>0</v>
      </c>
      <c r="E222" s="78">
        <v>0</v>
      </c>
    </row>
    <row r="223" spans="1:5" x14ac:dyDescent="0.3">
      <c r="A223" s="45" t="s">
        <v>74</v>
      </c>
      <c r="B223" s="6" t="s">
        <v>163</v>
      </c>
      <c r="C223" s="78">
        <v>0</v>
      </c>
      <c r="D223" s="78">
        <v>0</v>
      </c>
      <c r="E223" s="78">
        <v>0</v>
      </c>
    </row>
    <row r="224" spans="1:5" x14ac:dyDescent="0.3">
      <c r="A224" s="45" t="s">
        <v>74</v>
      </c>
      <c r="B224" s="6" t="s">
        <v>164</v>
      </c>
      <c r="C224" s="78">
        <v>0</v>
      </c>
      <c r="D224" s="78">
        <v>0</v>
      </c>
      <c r="E224" s="78">
        <v>0</v>
      </c>
    </row>
    <row r="225" spans="1:5" x14ac:dyDescent="0.3">
      <c r="A225" s="45" t="s">
        <v>74</v>
      </c>
      <c r="B225" s="6" t="s">
        <v>165</v>
      </c>
      <c r="C225" s="78">
        <v>0</v>
      </c>
      <c r="D225" s="78">
        <v>0</v>
      </c>
      <c r="E225" s="78">
        <v>0</v>
      </c>
    </row>
    <row r="226" spans="1:5" x14ac:dyDescent="0.3">
      <c r="A226" s="45" t="s">
        <v>74</v>
      </c>
      <c r="B226" s="6" t="s">
        <v>166</v>
      </c>
      <c r="C226" s="78">
        <v>0</v>
      </c>
      <c r="D226" s="78">
        <v>0</v>
      </c>
      <c r="E226" s="78">
        <v>0</v>
      </c>
    </row>
    <row r="227" spans="1:5" x14ac:dyDescent="0.3">
      <c r="A227" s="45" t="s">
        <v>74</v>
      </c>
      <c r="B227" s="6" t="s">
        <v>167</v>
      </c>
      <c r="C227" s="78">
        <v>0</v>
      </c>
      <c r="D227" s="78">
        <v>0</v>
      </c>
      <c r="E227" s="78">
        <v>0</v>
      </c>
    </row>
    <row r="228" spans="1:5" x14ac:dyDescent="0.3">
      <c r="A228" s="45" t="s">
        <v>74</v>
      </c>
      <c r="B228" s="6" t="s">
        <v>168</v>
      </c>
      <c r="C228" s="78">
        <v>0</v>
      </c>
      <c r="D228" s="78">
        <v>0</v>
      </c>
      <c r="E228" s="78">
        <v>0</v>
      </c>
    </row>
    <row r="229" spans="1:5" x14ac:dyDescent="0.3">
      <c r="A229" s="45" t="s">
        <v>74</v>
      </c>
      <c r="B229" s="6" t="s">
        <v>169</v>
      </c>
      <c r="C229" s="78">
        <v>0</v>
      </c>
      <c r="D229" s="78">
        <v>0</v>
      </c>
      <c r="E229" s="78">
        <v>0</v>
      </c>
    </row>
    <row r="230" spans="1:5" x14ac:dyDescent="0.3">
      <c r="A230" s="45" t="s">
        <v>57</v>
      </c>
      <c r="B230" s="6" t="s">
        <v>158</v>
      </c>
      <c r="C230" s="78">
        <v>0</v>
      </c>
      <c r="D230" s="78">
        <v>0</v>
      </c>
      <c r="E230" s="78">
        <v>0</v>
      </c>
    </row>
    <row r="231" spans="1:5" x14ac:dyDescent="0.3">
      <c r="A231" s="45" t="s">
        <v>57</v>
      </c>
      <c r="B231" s="6" t="s">
        <v>159</v>
      </c>
      <c r="C231" s="78">
        <v>0</v>
      </c>
      <c r="D231" s="78">
        <v>0</v>
      </c>
      <c r="E231" s="78">
        <v>0</v>
      </c>
    </row>
    <row r="232" spans="1:5" x14ac:dyDescent="0.3">
      <c r="A232" s="45" t="s">
        <v>57</v>
      </c>
      <c r="B232" s="6" t="s">
        <v>160</v>
      </c>
      <c r="C232" s="78">
        <v>0</v>
      </c>
      <c r="D232" s="78">
        <v>0</v>
      </c>
      <c r="E232" s="78">
        <v>0</v>
      </c>
    </row>
    <row r="233" spans="1:5" x14ac:dyDescent="0.3">
      <c r="A233" s="45" t="s">
        <v>57</v>
      </c>
      <c r="B233" s="6" t="s">
        <v>161</v>
      </c>
      <c r="C233" s="78">
        <v>0</v>
      </c>
      <c r="D233" s="78">
        <v>0</v>
      </c>
      <c r="E233" s="78">
        <v>0</v>
      </c>
    </row>
    <row r="234" spans="1:5" x14ac:dyDescent="0.3">
      <c r="A234" s="45" t="s">
        <v>57</v>
      </c>
      <c r="B234" s="6" t="s">
        <v>162</v>
      </c>
      <c r="C234" s="78">
        <v>0</v>
      </c>
      <c r="D234" s="78">
        <v>0</v>
      </c>
      <c r="E234" s="78">
        <v>0</v>
      </c>
    </row>
    <row r="235" spans="1:5" x14ac:dyDescent="0.3">
      <c r="A235" s="45" t="s">
        <v>57</v>
      </c>
      <c r="B235" s="6" t="s">
        <v>163</v>
      </c>
      <c r="C235" s="78">
        <v>0</v>
      </c>
      <c r="D235" s="78">
        <v>0</v>
      </c>
      <c r="E235" s="78">
        <v>0</v>
      </c>
    </row>
    <row r="236" spans="1:5" x14ac:dyDescent="0.3">
      <c r="A236" s="45" t="s">
        <v>57</v>
      </c>
      <c r="B236" s="6" t="s">
        <v>164</v>
      </c>
      <c r="C236" s="78">
        <v>0</v>
      </c>
      <c r="D236" s="78">
        <v>0</v>
      </c>
      <c r="E236" s="78">
        <v>0</v>
      </c>
    </row>
    <row r="237" spans="1:5" x14ac:dyDescent="0.3">
      <c r="A237" s="45" t="s">
        <v>57</v>
      </c>
      <c r="B237" s="6" t="s">
        <v>165</v>
      </c>
      <c r="C237" s="78">
        <v>0</v>
      </c>
      <c r="D237" s="78">
        <v>0</v>
      </c>
      <c r="E237" s="78">
        <v>0</v>
      </c>
    </row>
    <row r="238" spans="1:5" x14ac:dyDescent="0.3">
      <c r="A238" s="45" t="s">
        <v>57</v>
      </c>
      <c r="B238" s="6" t="s">
        <v>166</v>
      </c>
      <c r="C238" s="78">
        <v>0</v>
      </c>
      <c r="D238" s="78">
        <v>0</v>
      </c>
      <c r="E238" s="78">
        <v>0</v>
      </c>
    </row>
    <row r="239" spans="1:5" x14ac:dyDescent="0.3">
      <c r="A239" s="45" t="s">
        <v>57</v>
      </c>
      <c r="B239" s="6" t="s">
        <v>167</v>
      </c>
      <c r="C239" s="78">
        <v>0</v>
      </c>
      <c r="D239" s="78">
        <v>0</v>
      </c>
      <c r="E239" s="78">
        <v>0</v>
      </c>
    </row>
    <row r="240" spans="1:5" x14ac:dyDescent="0.3">
      <c r="A240" s="45" t="s">
        <v>57</v>
      </c>
      <c r="B240" s="6" t="s">
        <v>168</v>
      </c>
      <c r="C240" s="78">
        <v>0</v>
      </c>
      <c r="D240" s="78">
        <v>0</v>
      </c>
      <c r="E240" s="78">
        <v>0</v>
      </c>
    </row>
    <row r="241" spans="1:5" x14ac:dyDescent="0.3">
      <c r="A241" s="45" t="s">
        <v>57</v>
      </c>
      <c r="B241" s="6" t="s">
        <v>169</v>
      </c>
      <c r="C241" s="78">
        <v>0</v>
      </c>
      <c r="D241" s="78">
        <v>0</v>
      </c>
      <c r="E241" s="78">
        <v>0</v>
      </c>
    </row>
    <row r="242" spans="1:5" x14ac:dyDescent="0.3">
      <c r="A242" s="45" t="s">
        <v>94</v>
      </c>
      <c r="B242" s="6" t="s">
        <v>158</v>
      </c>
      <c r="C242" s="78">
        <v>0</v>
      </c>
      <c r="D242" s="78">
        <v>0</v>
      </c>
      <c r="E242" s="78">
        <v>0</v>
      </c>
    </row>
    <row r="243" spans="1:5" x14ac:dyDescent="0.3">
      <c r="A243" s="45" t="s">
        <v>94</v>
      </c>
      <c r="B243" s="6" t="s">
        <v>159</v>
      </c>
      <c r="C243" s="78">
        <v>0</v>
      </c>
      <c r="D243" s="78">
        <v>0</v>
      </c>
      <c r="E243" s="78">
        <v>1</v>
      </c>
    </row>
    <row r="244" spans="1:5" x14ac:dyDescent="0.3">
      <c r="A244" s="45" t="s">
        <v>94</v>
      </c>
      <c r="B244" s="6" t="s">
        <v>160</v>
      </c>
      <c r="C244" s="78">
        <v>0</v>
      </c>
      <c r="D244" s="78">
        <v>0</v>
      </c>
      <c r="E244" s="78">
        <v>0</v>
      </c>
    </row>
    <row r="245" spans="1:5" x14ac:dyDescent="0.3">
      <c r="A245" s="45" t="s">
        <v>94</v>
      </c>
      <c r="B245" s="6" t="s">
        <v>161</v>
      </c>
      <c r="C245" s="78">
        <v>0</v>
      </c>
      <c r="D245" s="78">
        <v>0</v>
      </c>
      <c r="E245" s="78">
        <v>0</v>
      </c>
    </row>
    <row r="246" spans="1:5" x14ac:dyDescent="0.3">
      <c r="A246" s="45" t="s">
        <v>94</v>
      </c>
      <c r="B246" s="6" t="s">
        <v>162</v>
      </c>
      <c r="C246" s="78">
        <v>0</v>
      </c>
      <c r="D246" s="78">
        <v>0</v>
      </c>
      <c r="E246" s="78">
        <v>0</v>
      </c>
    </row>
    <row r="247" spans="1:5" x14ac:dyDescent="0.3">
      <c r="A247" s="45" t="s">
        <v>94</v>
      </c>
      <c r="B247" s="6" t="s">
        <v>163</v>
      </c>
      <c r="C247" s="78">
        <v>0</v>
      </c>
      <c r="D247" s="78">
        <v>0</v>
      </c>
      <c r="E247" s="78">
        <v>0</v>
      </c>
    </row>
    <row r="248" spans="1:5" x14ac:dyDescent="0.3">
      <c r="A248" s="45" t="s">
        <v>94</v>
      </c>
      <c r="B248" s="6" t="s">
        <v>164</v>
      </c>
      <c r="C248" s="78">
        <v>0</v>
      </c>
      <c r="D248" s="78">
        <v>0</v>
      </c>
      <c r="E248" s="78">
        <v>0</v>
      </c>
    </row>
    <row r="249" spans="1:5" x14ac:dyDescent="0.3">
      <c r="A249" s="45" t="s">
        <v>94</v>
      </c>
      <c r="B249" s="6" t="s">
        <v>165</v>
      </c>
      <c r="C249" s="78">
        <v>0</v>
      </c>
      <c r="D249" s="78">
        <v>0</v>
      </c>
      <c r="E249" s="78">
        <v>0</v>
      </c>
    </row>
    <row r="250" spans="1:5" x14ac:dyDescent="0.3">
      <c r="A250" s="45" t="s">
        <v>94</v>
      </c>
      <c r="B250" s="6" t="s">
        <v>166</v>
      </c>
      <c r="C250" s="78">
        <v>0</v>
      </c>
      <c r="D250" s="78">
        <v>0</v>
      </c>
      <c r="E250" s="78">
        <v>0</v>
      </c>
    </row>
    <row r="251" spans="1:5" x14ac:dyDescent="0.3">
      <c r="A251" s="45" t="s">
        <v>94</v>
      </c>
      <c r="B251" s="6" t="s">
        <v>167</v>
      </c>
      <c r="C251" s="78">
        <v>0</v>
      </c>
      <c r="D251" s="78">
        <v>0</v>
      </c>
      <c r="E251" s="78">
        <v>0</v>
      </c>
    </row>
    <row r="252" spans="1:5" x14ac:dyDescent="0.3">
      <c r="A252" s="45" t="s">
        <v>94</v>
      </c>
      <c r="B252" s="6" t="s">
        <v>168</v>
      </c>
      <c r="C252" s="78">
        <v>0</v>
      </c>
      <c r="D252" s="78">
        <v>0</v>
      </c>
      <c r="E252" s="78">
        <v>0</v>
      </c>
    </row>
    <row r="253" spans="1:5" x14ac:dyDescent="0.3">
      <c r="A253" s="45" t="s">
        <v>94</v>
      </c>
      <c r="B253" s="6" t="s">
        <v>169</v>
      </c>
      <c r="C253" s="78">
        <v>0</v>
      </c>
      <c r="D253" s="78">
        <v>0</v>
      </c>
      <c r="E253" s="78">
        <v>0</v>
      </c>
    </row>
    <row r="254" spans="1:5" x14ac:dyDescent="0.3">
      <c r="A254" s="45" t="s">
        <v>55</v>
      </c>
      <c r="B254" s="6" t="s">
        <v>158</v>
      </c>
      <c r="C254" s="78">
        <v>0</v>
      </c>
      <c r="D254" s="78">
        <v>0</v>
      </c>
      <c r="E254" s="78">
        <v>0</v>
      </c>
    </row>
    <row r="255" spans="1:5" x14ac:dyDescent="0.3">
      <c r="A255" s="45" t="s">
        <v>55</v>
      </c>
      <c r="B255" s="6" t="s">
        <v>159</v>
      </c>
      <c r="C255" s="78">
        <v>0</v>
      </c>
      <c r="D255" s="78">
        <v>0</v>
      </c>
      <c r="E255" s="78">
        <v>0</v>
      </c>
    </row>
    <row r="256" spans="1:5" x14ac:dyDescent="0.3">
      <c r="A256" s="45" t="s">
        <v>55</v>
      </c>
      <c r="B256" s="6" t="s">
        <v>160</v>
      </c>
      <c r="C256" s="78">
        <v>0</v>
      </c>
      <c r="D256" s="78">
        <v>0</v>
      </c>
      <c r="E256" s="78">
        <v>1</v>
      </c>
    </row>
    <row r="257" spans="1:5" x14ac:dyDescent="0.3">
      <c r="A257" s="45" t="s">
        <v>55</v>
      </c>
      <c r="B257" s="6" t="s">
        <v>161</v>
      </c>
      <c r="C257" s="78">
        <v>0</v>
      </c>
      <c r="D257" s="78">
        <v>0</v>
      </c>
      <c r="E257" s="78">
        <v>0</v>
      </c>
    </row>
    <row r="258" spans="1:5" x14ac:dyDescent="0.3">
      <c r="A258" s="45" t="s">
        <v>55</v>
      </c>
      <c r="B258" s="6" t="s">
        <v>162</v>
      </c>
      <c r="C258" s="78">
        <v>0</v>
      </c>
      <c r="D258" s="78">
        <v>0</v>
      </c>
      <c r="E258" s="78">
        <v>0</v>
      </c>
    </row>
    <row r="259" spans="1:5" x14ac:dyDescent="0.3">
      <c r="A259" s="45" t="s">
        <v>55</v>
      </c>
      <c r="B259" s="6" t="s">
        <v>163</v>
      </c>
      <c r="C259" s="78">
        <v>0</v>
      </c>
      <c r="D259" s="78">
        <v>0</v>
      </c>
      <c r="E259" s="78">
        <v>0</v>
      </c>
    </row>
    <row r="260" spans="1:5" x14ac:dyDescent="0.3">
      <c r="A260" s="45" t="s">
        <v>55</v>
      </c>
      <c r="B260" s="6" t="s">
        <v>164</v>
      </c>
      <c r="C260" s="78">
        <v>0</v>
      </c>
      <c r="D260" s="78">
        <v>0</v>
      </c>
      <c r="E260" s="78">
        <v>0</v>
      </c>
    </row>
    <row r="261" spans="1:5" x14ac:dyDescent="0.3">
      <c r="A261" s="45" t="s">
        <v>55</v>
      </c>
      <c r="B261" s="6" t="s">
        <v>165</v>
      </c>
      <c r="C261" s="78">
        <v>0</v>
      </c>
      <c r="D261" s="78">
        <v>0</v>
      </c>
      <c r="E261" s="78">
        <v>0</v>
      </c>
    </row>
    <row r="262" spans="1:5" x14ac:dyDescent="0.3">
      <c r="A262" s="45" t="s">
        <v>55</v>
      </c>
      <c r="B262" s="6" t="s">
        <v>166</v>
      </c>
      <c r="C262" s="78">
        <v>0</v>
      </c>
      <c r="D262" s="78">
        <v>0</v>
      </c>
      <c r="E262" s="78">
        <v>0</v>
      </c>
    </row>
    <row r="263" spans="1:5" x14ac:dyDescent="0.3">
      <c r="A263" s="45" t="s">
        <v>55</v>
      </c>
      <c r="B263" s="6" t="s">
        <v>167</v>
      </c>
      <c r="C263" s="78">
        <v>0</v>
      </c>
      <c r="D263" s="78">
        <v>0</v>
      </c>
      <c r="E263" s="78">
        <v>0</v>
      </c>
    </row>
    <row r="264" spans="1:5" x14ac:dyDescent="0.3">
      <c r="A264" s="45" t="s">
        <v>55</v>
      </c>
      <c r="B264" s="6" t="s">
        <v>168</v>
      </c>
      <c r="C264" s="78">
        <v>0</v>
      </c>
      <c r="D264" s="78">
        <v>0</v>
      </c>
      <c r="E264" s="78">
        <v>0</v>
      </c>
    </row>
    <row r="265" spans="1:5" x14ac:dyDescent="0.3">
      <c r="A265" s="45" t="s">
        <v>55</v>
      </c>
      <c r="B265" s="6" t="s">
        <v>169</v>
      </c>
      <c r="C265" s="78">
        <v>0</v>
      </c>
      <c r="D265" s="78">
        <v>0</v>
      </c>
      <c r="E265" s="78">
        <v>0</v>
      </c>
    </row>
    <row r="266" spans="1:5" x14ac:dyDescent="0.3">
      <c r="A266" s="45" t="s">
        <v>154</v>
      </c>
      <c r="B266" s="6" t="s">
        <v>158</v>
      </c>
      <c r="C266" s="78">
        <v>0</v>
      </c>
      <c r="D266" s="78">
        <v>0</v>
      </c>
      <c r="E266" s="78">
        <v>0</v>
      </c>
    </row>
    <row r="267" spans="1:5" x14ac:dyDescent="0.3">
      <c r="A267" s="45" t="s">
        <v>154</v>
      </c>
      <c r="B267" s="6" t="s">
        <v>159</v>
      </c>
      <c r="C267" s="78">
        <v>0</v>
      </c>
      <c r="D267" s="78">
        <v>0</v>
      </c>
      <c r="E267" s="78">
        <v>0</v>
      </c>
    </row>
    <row r="268" spans="1:5" x14ac:dyDescent="0.3">
      <c r="A268" s="45" t="s">
        <v>154</v>
      </c>
      <c r="B268" s="6" t="s">
        <v>160</v>
      </c>
      <c r="C268" s="78">
        <v>0</v>
      </c>
      <c r="D268" s="78">
        <v>0</v>
      </c>
      <c r="E268" s="78">
        <v>0</v>
      </c>
    </row>
    <row r="269" spans="1:5" x14ac:dyDescent="0.3">
      <c r="A269" s="45" t="s">
        <v>154</v>
      </c>
      <c r="B269" s="6" t="s">
        <v>161</v>
      </c>
      <c r="C269" s="78">
        <v>0</v>
      </c>
      <c r="D269" s="78">
        <v>0</v>
      </c>
      <c r="E269" s="78">
        <v>0</v>
      </c>
    </row>
    <row r="270" spans="1:5" x14ac:dyDescent="0.3">
      <c r="A270" s="45" t="s">
        <v>154</v>
      </c>
      <c r="B270" s="6" t="s">
        <v>162</v>
      </c>
      <c r="C270" s="78">
        <v>0</v>
      </c>
      <c r="D270" s="78">
        <v>0</v>
      </c>
      <c r="E270" s="78">
        <v>0</v>
      </c>
    </row>
    <row r="271" spans="1:5" x14ac:dyDescent="0.3">
      <c r="A271" s="45" t="s">
        <v>154</v>
      </c>
      <c r="B271" s="6" t="s">
        <v>163</v>
      </c>
      <c r="C271" s="78">
        <v>0</v>
      </c>
      <c r="D271" s="78">
        <v>0</v>
      </c>
      <c r="E271" s="78">
        <v>0</v>
      </c>
    </row>
    <row r="272" spans="1:5" x14ac:dyDescent="0.3">
      <c r="A272" s="45" t="s">
        <v>154</v>
      </c>
      <c r="B272" s="6" t="s">
        <v>164</v>
      </c>
      <c r="C272" s="78">
        <v>0</v>
      </c>
      <c r="D272" s="78">
        <v>0</v>
      </c>
      <c r="E272" s="78">
        <v>0</v>
      </c>
    </row>
    <row r="273" spans="1:5" x14ac:dyDescent="0.3">
      <c r="A273" s="45" t="s">
        <v>154</v>
      </c>
      <c r="B273" s="6" t="s">
        <v>165</v>
      </c>
      <c r="C273" s="78">
        <v>0</v>
      </c>
      <c r="D273" s="78">
        <v>0</v>
      </c>
      <c r="E273" s="78">
        <v>0</v>
      </c>
    </row>
    <row r="274" spans="1:5" x14ac:dyDescent="0.3">
      <c r="A274" s="45" t="s">
        <v>154</v>
      </c>
      <c r="B274" s="6" t="s">
        <v>166</v>
      </c>
      <c r="C274" s="78">
        <v>0</v>
      </c>
      <c r="D274" s="78">
        <v>0</v>
      </c>
      <c r="E274" s="78">
        <v>0</v>
      </c>
    </row>
    <row r="275" spans="1:5" x14ac:dyDescent="0.3">
      <c r="A275" s="45" t="s">
        <v>154</v>
      </c>
      <c r="B275" s="6" t="s">
        <v>167</v>
      </c>
      <c r="C275" s="78">
        <v>0</v>
      </c>
      <c r="D275" s="78">
        <v>0</v>
      </c>
      <c r="E275" s="78">
        <v>0</v>
      </c>
    </row>
    <row r="276" spans="1:5" x14ac:dyDescent="0.3">
      <c r="A276" s="45" t="s">
        <v>154</v>
      </c>
      <c r="B276" s="6" t="s">
        <v>168</v>
      </c>
      <c r="C276" s="78">
        <v>0</v>
      </c>
      <c r="D276" s="78">
        <v>0</v>
      </c>
      <c r="E276" s="78">
        <v>0</v>
      </c>
    </row>
    <row r="277" spans="1:5" x14ac:dyDescent="0.3">
      <c r="A277" s="45" t="s">
        <v>154</v>
      </c>
      <c r="B277" s="6" t="s">
        <v>169</v>
      </c>
      <c r="C277" s="78">
        <v>0</v>
      </c>
      <c r="D277" s="78">
        <v>0</v>
      </c>
      <c r="E277" s="78">
        <v>0</v>
      </c>
    </row>
    <row r="278" spans="1:5" x14ac:dyDescent="0.3">
      <c r="A278" s="45" t="s">
        <v>72</v>
      </c>
      <c r="B278" s="6" t="s">
        <v>158</v>
      </c>
      <c r="C278" s="78">
        <v>0</v>
      </c>
      <c r="D278" s="78">
        <v>0</v>
      </c>
      <c r="E278" s="78">
        <v>0</v>
      </c>
    </row>
    <row r="279" spans="1:5" x14ac:dyDescent="0.3">
      <c r="A279" s="45" t="s">
        <v>72</v>
      </c>
      <c r="B279" s="6" t="s">
        <v>159</v>
      </c>
      <c r="C279" s="78">
        <v>0</v>
      </c>
      <c r="D279" s="78">
        <v>0</v>
      </c>
      <c r="E279" s="78">
        <v>0</v>
      </c>
    </row>
    <row r="280" spans="1:5" x14ac:dyDescent="0.3">
      <c r="A280" s="45" t="s">
        <v>72</v>
      </c>
      <c r="B280" s="6" t="s">
        <v>160</v>
      </c>
      <c r="C280" s="78">
        <v>0</v>
      </c>
      <c r="D280" s="78">
        <v>0</v>
      </c>
      <c r="E280" s="78">
        <v>0</v>
      </c>
    </row>
    <row r="281" spans="1:5" x14ac:dyDescent="0.3">
      <c r="A281" s="45" t="s">
        <v>72</v>
      </c>
      <c r="B281" s="6" t="s">
        <v>161</v>
      </c>
      <c r="C281" s="78">
        <v>0</v>
      </c>
      <c r="D281" s="78">
        <v>0</v>
      </c>
      <c r="E281" s="78">
        <v>0</v>
      </c>
    </row>
    <row r="282" spans="1:5" x14ac:dyDescent="0.3">
      <c r="A282" s="45" t="s">
        <v>72</v>
      </c>
      <c r="B282" s="6" t="s">
        <v>162</v>
      </c>
      <c r="C282" s="78">
        <v>0</v>
      </c>
      <c r="D282" s="78">
        <v>0</v>
      </c>
      <c r="E282" s="78">
        <v>0</v>
      </c>
    </row>
    <row r="283" spans="1:5" x14ac:dyDescent="0.3">
      <c r="A283" s="45" t="s">
        <v>72</v>
      </c>
      <c r="B283" s="6" t="s">
        <v>163</v>
      </c>
      <c r="C283" s="78">
        <v>0</v>
      </c>
      <c r="D283" s="78">
        <v>0</v>
      </c>
      <c r="E283" s="78">
        <v>0</v>
      </c>
    </row>
    <row r="284" spans="1:5" x14ac:dyDescent="0.3">
      <c r="A284" s="45" t="s">
        <v>72</v>
      </c>
      <c r="B284" s="6" t="s">
        <v>164</v>
      </c>
      <c r="C284" s="78">
        <v>0</v>
      </c>
      <c r="D284" s="78">
        <v>0</v>
      </c>
      <c r="E284" s="78">
        <v>0</v>
      </c>
    </row>
    <row r="285" spans="1:5" x14ac:dyDescent="0.3">
      <c r="A285" s="45" t="s">
        <v>72</v>
      </c>
      <c r="B285" s="6" t="s">
        <v>165</v>
      </c>
      <c r="C285" s="78">
        <v>0</v>
      </c>
      <c r="D285" s="78">
        <v>0</v>
      </c>
      <c r="E285" s="78">
        <v>0</v>
      </c>
    </row>
    <row r="286" spans="1:5" x14ac:dyDescent="0.3">
      <c r="A286" s="45" t="s">
        <v>72</v>
      </c>
      <c r="B286" s="6" t="s">
        <v>166</v>
      </c>
      <c r="C286" s="78">
        <v>0</v>
      </c>
      <c r="D286" s="78">
        <v>0</v>
      </c>
      <c r="E286" s="78">
        <v>0</v>
      </c>
    </row>
    <row r="287" spans="1:5" x14ac:dyDescent="0.3">
      <c r="A287" s="45" t="s">
        <v>72</v>
      </c>
      <c r="B287" s="6" t="s">
        <v>167</v>
      </c>
      <c r="C287" s="78">
        <v>0</v>
      </c>
      <c r="D287" s="78">
        <v>0</v>
      </c>
      <c r="E287" s="78">
        <v>0</v>
      </c>
    </row>
    <row r="288" spans="1:5" x14ac:dyDescent="0.3">
      <c r="A288" s="45" t="s">
        <v>72</v>
      </c>
      <c r="B288" s="6" t="s">
        <v>168</v>
      </c>
      <c r="C288" s="78">
        <v>0</v>
      </c>
      <c r="D288" s="78">
        <v>0</v>
      </c>
      <c r="E288" s="78">
        <v>0</v>
      </c>
    </row>
    <row r="289" spans="1:5" x14ac:dyDescent="0.3">
      <c r="A289" s="45" t="s">
        <v>72</v>
      </c>
      <c r="B289" s="6" t="s">
        <v>169</v>
      </c>
      <c r="C289" s="78">
        <v>0</v>
      </c>
      <c r="D289" s="78">
        <v>0</v>
      </c>
      <c r="E289" s="78">
        <v>0</v>
      </c>
    </row>
    <row r="290" spans="1:5" x14ac:dyDescent="0.3">
      <c r="A290" s="45" t="s">
        <v>76</v>
      </c>
      <c r="B290" s="6" t="s">
        <v>158</v>
      </c>
      <c r="C290" s="78">
        <v>0</v>
      </c>
      <c r="D290" s="78">
        <v>0</v>
      </c>
      <c r="E290" s="78">
        <v>0</v>
      </c>
    </row>
    <row r="291" spans="1:5" x14ac:dyDescent="0.3">
      <c r="A291" s="45" t="s">
        <v>76</v>
      </c>
      <c r="B291" s="6" t="s">
        <v>159</v>
      </c>
      <c r="C291" s="78">
        <v>0</v>
      </c>
      <c r="D291" s="78">
        <v>0</v>
      </c>
      <c r="E291" s="78">
        <v>0</v>
      </c>
    </row>
    <row r="292" spans="1:5" x14ac:dyDescent="0.3">
      <c r="A292" s="45" t="s">
        <v>76</v>
      </c>
      <c r="B292" s="6" t="s">
        <v>160</v>
      </c>
      <c r="C292" s="78">
        <v>0</v>
      </c>
      <c r="D292" s="78">
        <v>0</v>
      </c>
      <c r="E292" s="78">
        <v>0</v>
      </c>
    </row>
    <row r="293" spans="1:5" x14ac:dyDescent="0.3">
      <c r="A293" s="45" t="s">
        <v>76</v>
      </c>
      <c r="B293" s="6" t="s">
        <v>161</v>
      </c>
      <c r="C293" s="78">
        <v>0</v>
      </c>
      <c r="D293" s="78">
        <v>0</v>
      </c>
      <c r="E293" s="78">
        <v>0</v>
      </c>
    </row>
    <row r="294" spans="1:5" x14ac:dyDescent="0.3">
      <c r="A294" s="45" t="s">
        <v>76</v>
      </c>
      <c r="B294" s="6" t="s">
        <v>162</v>
      </c>
      <c r="C294" s="78">
        <v>0</v>
      </c>
      <c r="D294" s="78">
        <v>0</v>
      </c>
      <c r="E294" s="78">
        <v>0</v>
      </c>
    </row>
    <row r="295" spans="1:5" x14ac:dyDescent="0.3">
      <c r="A295" s="45" t="s">
        <v>76</v>
      </c>
      <c r="B295" s="6" t="s">
        <v>163</v>
      </c>
      <c r="C295" s="78">
        <v>0</v>
      </c>
      <c r="D295" s="78">
        <v>0</v>
      </c>
      <c r="E295" s="78">
        <v>0</v>
      </c>
    </row>
    <row r="296" spans="1:5" x14ac:dyDescent="0.3">
      <c r="A296" s="45" t="s">
        <v>76</v>
      </c>
      <c r="B296" s="6" t="s">
        <v>164</v>
      </c>
      <c r="C296" s="78">
        <v>0</v>
      </c>
      <c r="D296" s="78">
        <v>0</v>
      </c>
      <c r="E296" s="78">
        <v>0</v>
      </c>
    </row>
    <row r="297" spans="1:5" x14ac:dyDescent="0.3">
      <c r="A297" s="45" t="s">
        <v>76</v>
      </c>
      <c r="B297" s="6" t="s">
        <v>165</v>
      </c>
      <c r="C297" s="78">
        <v>0</v>
      </c>
      <c r="D297" s="78">
        <v>0</v>
      </c>
      <c r="E297" s="78">
        <v>0</v>
      </c>
    </row>
    <row r="298" spans="1:5" x14ac:dyDescent="0.3">
      <c r="A298" s="45" t="s">
        <v>76</v>
      </c>
      <c r="B298" s="6" t="s">
        <v>166</v>
      </c>
      <c r="C298" s="78">
        <v>0</v>
      </c>
      <c r="D298" s="78">
        <v>0</v>
      </c>
      <c r="E298" s="78">
        <v>0</v>
      </c>
    </row>
    <row r="299" spans="1:5" x14ac:dyDescent="0.3">
      <c r="A299" s="45" t="s">
        <v>76</v>
      </c>
      <c r="B299" s="6" t="s">
        <v>167</v>
      </c>
      <c r="C299" s="78">
        <v>0</v>
      </c>
      <c r="D299" s="78">
        <v>0</v>
      </c>
      <c r="E299" s="78">
        <v>0</v>
      </c>
    </row>
    <row r="300" spans="1:5" x14ac:dyDescent="0.3">
      <c r="A300" s="45" t="s">
        <v>76</v>
      </c>
      <c r="B300" s="6" t="s">
        <v>168</v>
      </c>
      <c r="C300" s="78">
        <v>0</v>
      </c>
      <c r="D300" s="78">
        <v>0</v>
      </c>
      <c r="E300" s="78">
        <v>0</v>
      </c>
    </row>
    <row r="301" spans="1:5" x14ac:dyDescent="0.3">
      <c r="A301" s="45" t="s">
        <v>76</v>
      </c>
      <c r="B301" s="6" t="s">
        <v>169</v>
      </c>
      <c r="C301" s="78">
        <v>0</v>
      </c>
      <c r="D301" s="78">
        <v>0</v>
      </c>
      <c r="E301" s="78">
        <v>0</v>
      </c>
    </row>
    <row r="302" spans="1:5" x14ac:dyDescent="0.3">
      <c r="A302" s="45" t="s">
        <v>47</v>
      </c>
      <c r="B302" s="6" t="s">
        <v>158</v>
      </c>
      <c r="C302" s="78">
        <v>0</v>
      </c>
      <c r="D302" s="78">
        <v>0</v>
      </c>
      <c r="E302" s="78">
        <v>0</v>
      </c>
    </row>
    <row r="303" spans="1:5" x14ac:dyDescent="0.3">
      <c r="A303" s="45" t="s">
        <v>47</v>
      </c>
      <c r="B303" s="6" t="s">
        <v>159</v>
      </c>
      <c r="C303" s="78">
        <v>0</v>
      </c>
      <c r="D303" s="78">
        <v>0</v>
      </c>
      <c r="E303" s="78">
        <v>0</v>
      </c>
    </row>
    <row r="304" spans="1:5" x14ac:dyDescent="0.3">
      <c r="A304" s="45" t="s">
        <v>47</v>
      </c>
      <c r="B304" s="6" t="s">
        <v>160</v>
      </c>
      <c r="C304" s="78">
        <v>0</v>
      </c>
      <c r="D304" s="78">
        <v>0</v>
      </c>
      <c r="E304" s="78">
        <v>0</v>
      </c>
    </row>
    <row r="305" spans="1:5" x14ac:dyDescent="0.3">
      <c r="A305" s="45" t="s">
        <v>47</v>
      </c>
      <c r="B305" s="6" t="s">
        <v>161</v>
      </c>
      <c r="C305" s="78">
        <v>0</v>
      </c>
      <c r="D305" s="78">
        <v>0</v>
      </c>
      <c r="E305" s="78">
        <v>0</v>
      </c>
    </row>
    <row r="306" spans="1:5" x14ac:dyDescent="0.3">
      <c r="A306" s="45" t="s">
        <v>47</v>
      </c>
      <c r="B306" s="6" t="s">
        <v>162</v>
      </c>
      <c r="C306" s="78">
        <v>0</v>
      </c>
      <c r="D306" s="78">
        <v>0</v>
      </c>
      <c r="E306" s="78">
        <v>0</v>
      </c>
    </row>
    <row r="307" spans="1:5" x14ac:dyDescent="0.3">
      <c r="A307" s="45" t="s">
        <v>47</v>
      </c>
      <c r="B307" s="6" t="s">
        <v>163</v>
      </c>
      <c r="C307" s="78">
        <v>0</v>
      </c>
      <c r="D307" s="78">
        <v>0</v>
      </c>
      <c r="E307" s="78">
        <v>0</v>
      </c>
    </row>
    <row r="308" spans="1:5" x14ac:dyDescent="0.3">
      <c r="A308" s="45" t="s">
        <v>47</v>
      </c>
      <c r="B308" s="6" t="s">
        <v>164</v>
      </c>
      <c r="C308" s="78">
        <v>0</v>
      </c>
      <c r="D308" s="78">
        <v>0</v>
      </c>
      <c r="E308" s="78">
        <v>0</v>
      </c>
    </row>
    <row r="309" spans="1:5" x14ac:dyDescent="0.3">
      <c r="A309" s="45" t="s">
        <v>47</v>
      </c>
      <c r="B309" s="6" t="s">
        <v>165</v>
      </c>
      <c r="C309" s="78">
        <v>0</v>
      </c>
      <c r="D309" s="78">
        <v>0</v>
      </c>
      <c r="E309" s="78">
        <v>0</v>
      </c>
    </row>
    <row r="310" spans="1:5" x14ac:dyDescent="0.3">
      <c r="A310" s="45" t="s">
        <v>47</v>
      </c>
      <c r="B310" s="6" t="s">
        <v>166</v>
      </c>
      <c r="C310" s="78">
        <v>0</v>
      </c>
      <c r="D310" s="78">
        <v>0</v>
      </c>
      <c r="E310" s="78">
        <v>0</v>
      </c>
    </row>
    <row r="311" spans="1:5" x14ac:dyDescent="0.3">
      <c r="A311" s="45" t="s">
        <v>47</v>
      </c>
      <c r="B311" s="6" t="s">
        <v>167</v>
      </c>
      <c r="C311" s="78">
        <v>0</v>
      </c>
      <c r="D311" s="78">
        <v>0</v>
      </c>
      <c r="E311" s="78">
        <v>0</v>
      </c>
    </row>
    <row r="312" spans="1:5" x14ac:dyDescent="0.3">
      <c r="A312" s="45" t="s">
        <v>47</v>
      </c>
      <c r="B312" s="6" t="s">
        <v>168</v>
      </c>
      <c r="C312" s="78">
        <v>0</v>
      </c>
      <c r="D312" s="78">
        <v>0</v>
      </c>
      <c r="E312" s="78">
        <v>0</v>
      </c>
    </row>
    <row r="313" spans="1:5" x14ac:dyDescent="0.3">
      <c r="A313" s="45" t="s">
        <v>47</v>
      </c>
      <c r="B313" s="6" t="s">
        <v>169</v>
      </c>
      <c r="C313" s="78">
        <v>0</v>
      </c>
      <c r="D313" s="78">
        <v>0</v>
      </c>
      <c r="E313" s="78">
        <v>0</v>
      </c>
    </row>
    <row r="314" spans="1:5" x14ac:dyDescent="0.3">
      <c r="A314" s="45" t="s">
        <v>37</v>
      </c>
      <c r="B314" s="6" t="s">
        <v>158</v>
      </c>
      <c r="C314" s="78">
        <v>0</v>
      </c>
      <c r="D314" s="78">
        <v>0</v>
      </c>
      <c r="E314" s="78">
        <v>0</v>
      </c>
    </row>
    <row r="315" spans="1:5" x14ac:dyDescent="0.3">
      <c r="A315" s="45" t="s">
        <v>37</v>
      </c>
      <c r="B315" s="6" t="s">
        <v>159</v>
      </c>
      <c r="C315" s="78">
        <v>0</v>
      </c>
      <c r="D315" s="78">
        <v>0</v>
      </c>
      <c r="E315" s="78">
        <v>0</v>
      </c>
    </row>
    <row r="316" spans="1:5" x14ac:dyDescent="0.3">
      <c r="A316" s="45" t="s">
        <v>37</v>
      </c>
      <c r="B316" s="6" t="s">
        <v>160</v>
      </c>
      <c r="C316" s="78">
        <v>0</v>
      </c>
      <c r="D316" s="78">
        <v>0</v>
      </c>
      <c r="E316" s="78">
        <v>0</v>
      </c>
    </row>
    <row r="317" spans="1:5" x14ac:dyDescent="0.3">
      <c r="A317" s="45" t="s">
        <v>37</v>
      </c>
      <c r="B317" s="6" t="s">
        <v>161</v>
      </c>
      <c r="C317" s="78">
        <v>0</v>
      </c>
      <c r="D317" s="78">
        <v>0</v>
      </c>
      <c r="E317" s="78">
        <v>0</v>
      </c>
    </row>
    <row r="318" spans="1:5" x14ac:dyDescent="0.3">
      <c r="A318" s="45" t="s">
        <v>37</v>
      </c>
      <c r="B318" s="6" t="s">
        <v>162</v>
      </c>
      <c r="C318" s="78">
        <v>0</v>
      </c>
      <c r="D318" s="78">
        <v>0</v>
      </c>
      <c r="E318" s="78">
        <v>0</v>
      </c>
    </row>
    <row r="319" spans="1:5" x14ac:dyDescent="0.3">
      <c r="A319" s="45" t="s">
        <v>37</v>
      </c>
      <c r="B319" s="6" t="s">
        <v>163</v>
      </c>
      <c r="C319" s="78">
        <v>0</v>
      </c>
      <c r="D319" s="78">
        <v>0</v>
      </c>
      <c r="E319" s="78">
        <v>0</v>
      </c>
    </row>
    <row r="320" spans="1:5" x14ac:dyDescent="0.3">
      <c r="A320" s="45" t="s">
        <v>37</v>
      </c>
      <c r="B320" s="6" t="s">
        <v>164</v>
      </c>
      <c r="C320" s="78">
        <v>0</v>
      </c>
      <c r="D320" s="78">
        <v>0</v>
      </c>
      <c r="E320" s="78">
        <v>0</v>
      </c>
    </row>
    <row r="321" spans="1:5" x14ac:dyDescent="0.3">
      <c r="A321" s="45" t="s">
        <v>37</v>
      </c>
      <c r="B321" s="6" t="s">
        <v>165</v>
      </c>
      <c r="C321" s="78">
        <v>0</v>
      </c>
      <c r="D321" s="78">
        <v>0</v>
      </c>
      <c r="E321" s="78">
        <v>0</v>
      </c>
    </row>
    <row r="322" spans="1:5" x14ac:dyDescent="0.3">
      <c r="A322" s="45" t="s">
        <v>37</v>
      </c>
      <c r="B322" s="6" t="s">
        <v>166</v>
      </c>
      <c r="C322" s="78">
        <v>0</v>
      </c>
      <c r="D322" s="78">
        <v>0</v>
      </c>
      <c r="E322" s="78">
        <v>0</v>
      </c>
    </row>
    <row r="323" spans="1:5" x14ac:dyDescent="0.3">
      <c r="A323" s="45" t="s">
        <v>37</v>
      </c>
      <c r="B323" s="6" t="s">
        <v>167</v>
      </c>
      <c r="C323" s="78">
        <v>0</v>
      </c>
      <c r="D323" s="78">
        <v>0</v>
      </c>
      <c r="E323" s="78">
        <v>0</v>
      </c>
    </row>
    <row r="324" spans="1:5" x14ac:dyDescent="0.3">
      <c r="A324" s="45" t="s">
        <v>37</v>
      </c>
      <c r="B324" s="6" t="s">
        <v>168</v>
      </c>
      <c r="C324" s="78">
        <v>0</v>
      </c>
      <c r="D324" s="78">
        <v>0</v>
      </c>
      <c r="E324" s="78">
        <v>0</v>
      </c>
    </row>
    <row r="325" spans="1:5" x14ac:dyDescent="0.3">
      <c r="A325" s="45" t="s">
        <v>37</v>
      </c>
      <c r="B325" s="6" t="s">
        <v>169</v>
      </c>
      <c r="C325" s="78">
        <v>0</v>
      </c>
      <c r="D325" s="78">
        <v>0</v>
      </c>
      <c r="E325" s="78">
        <v>0</v>
      </c>
    </row>
    <row r="326" spans="1:5" x14ac:dyDescent="0.3">
      <c r="A326" s="45" t="s">
        <v>86</v>
      </c>
      <c r="B326" s="6" t="s">
        <v>158</v>
      </c>
      <c r="C326" s="78">
        <v>0</v>
      </c>
      <c r="D326" s="78">
        <v>0</v>
      </c>
      <c r="E326" s="78">
        <v>0</v>
      </c>
    </row>
    <row r="327" spans="1:5" x14ac:dyDescent="0.3">
      <c r="A327" s="45" t="s">
        <v>86</v>
      </c>
      <c r="B327" s="6" t="s">
        <v>159</v>
      </c>
      <c r="C327" s="78">
        <v>0</v>
      </c>
      <c r="D327" s="78">
        <v>0</v>
      </c>
      <c r="E327" s="78">
        <v>0</v>
      </c>
    </row>
    <row r="328" spans="1:5" x14ac:dyDescent="0.3">
      <c r="A328" s="45" t="s">
        <v>86</v>
      </c>
      <c r="B328" s="6" t="s">
        <v>160</v>
      </c>
      <c r="C328" s="78">
        <v>0</v>
      </c>
      <c r="D328" s="78">
        <v>0</v>
      </c>
      <c r="E328" s="78">
        <v>0</v>
      </c>
    </row>
    <row r="329" spans="1:5" x14ac:dyDescent="0.3">
      <c r="A329" s="45" t="s">
        <v>86</v>
      </c>
      <c r="B329" s="6" t="s">
        <v>161</v>
      </c>
      <c r="C329" s="78">
        <v>0</v>
      </c>
      <c r="D329" s="78">
        <v>0</v>
      </c>
      <c r="E329" s="78">
        <v>0</v>
      </c>
    </row>
    <row r="330" spans="1:5" x14ac:dyDescent="0.3">
      <c r="A330" s="45" t="s">
        <v>86</v>
      </c>
      <c r="B330" s="6" t="s">
        <v>162</v>
      </c>
      <c r="C330" s="78">
        <v>0</v>
      </c>
      <c r="D330" s="78">
        <v>0</v>
      </c>
      <c r="E330" s="78">
        <v>0</v>
      </c>
    </row>
    <row r="331" spans="1:5" x14ac:dyDescent="0.3">
      <c r="A331" s="45" t="s">
        <v>86</v>
      </c>
      <c r="B331" s="6" t="s">
        <v>163</v>
      </c>
      <c r="C331" s="78">
        <v>0</v>
      </c>
      <c r="D331" s="78">
        <v>0</v>
      </c>
      <c r="E331" s="78">
        <v>0</v>
      </c>
    </row>
    <row r="332" spans="1:5" x14ac:dyDescent="0.3">
      <c r="A332" s="45" t="s">
        <v>86</v>
      </c>
      <c r="B332" s="6" t="s">
        <v>164</v>
      </c>
      <c r="C332" s="78">
        <v>0</v>
      </c>
      <c r="D332" s="78">
        <v>0</v>
      </c>
      <c r="E332" s="78">
        <v>0</v>
      </c>
    </row>
    <row r="333" spans="1:5" x14ac:dyDescent="0.3">
      <c r="A333" s="45" t="s">
        <v>86</v>
      </c>
      <c r="B333" s="6" t="s">
        <v>165</v>
      </c>
      <c r="C333" s="78">
        <v>0</v>
      </c>
      <c r="D333" s="78">
        <v>0</v>
      </c>
      <c r="E333" s="78">
        <v>0</v>
      </c>
    </row>
    <row r="334" spans="1:5" x14ac:dyDescent="0.3">
      <c r="A334" s="45" t="s">
        <v>86</v>
      </c>
      <c r="B334" s="6" t="s">
        <v>166</v>
      </c>
      <c r="C334" s="78">
        <v>0</v>
      </c>
      <c r="D334" s="78">
        <v>0</v>
      </c>
      <c r="E334" s="78">
        <v>0</v>
      </c>
    </row>
    <row r="335" spans="1:5" x14ac:dyDescent="0.3">
      <c r="A335" s="45" t="s">
        <v>86</v>
      </c>
      <c r="B335" s="6" t="s">
        <v>167</v>
      </c>
      <c r="C335" s="78">
        <v>0</v>
      </c>
      <c r="D335" s="78">
        <v>0</v>
      </c>
      <c r="E335" s="78">
        <v>0</v>
      </c>
    </row>
    <row r="336" spans="1:5" x14ac:dyDescent="0.3">
      <c r="A336" s="45" t="s">
        <v>86</v>
      </c>
      <c r="B336" s="6" t="s">
        <v>168</v>
      </c>
      <c r="C336" s="78">
        <v>0</v>
      </c>
      <c r="D336" s="78">
        <v>0</v>
      </c>
      <c r="E336" s="78">
        <v>0</v>
      </c>
    </row>
    <row r="337" spans="1:5" x14ac:dyDescent="0.3">
      <c r="A337" s="45" t="s">
        <v>86</v>
      </c>
      <c r="B337" s="6" t="s">
        <v>169</v>
      </c>
      <c r="C337" s="78">
        <v>0</v>
      </c>
      <c r="D337" s="78">
        <v>0</v>
      </c>
      <c r="E337" s="78">
        <v>0</v>
      </c>
    </row>
    <row r="338" spans="1:5" x14ac:dyDescent="0.3">
      <c r="A338" s="45" t="s">
        <v>65</v>
      </c>
      <c r="B338" s="6" t="s">
        <v>158</v>
      </c>
      <c r="C338" s="78">
        <v>0</v>
      </c>
      <c r="D338" s="78">
        <v>0</v>
      </c>
      <c r="E338" s="78">
        <v>0</v>
      </c>
    </row>
    <row r="339" spans="1:5" x14ac:dyDescent="0.3">
      <c r="A339" s="45" t="s">
        <v>65</v>
      </c>
      <c r="B339" s="6" t="s">
        <v>159</v>
      </c>
      <c r="C339" s="78">
        <v>0</v>
      </c>
      <c r="D339" s="78">
        <v>0</v>
      </c>
      <c r="E339" s="78">
        <v>0</v>
      </c>
    </row>
    <row r="340" spans="1:5" x14ac:dyDescent="0.3">
      <c r="A340" s="45" t="s">
        <v>65</v>
      </c>
      <c r="B340" s="6" t="s">
        <v>160</v>
      </c>
      <c r="C340" s="78">
        <v>0</v>
      </c>
      <c r="D340" s="78">
        <v>0</v>
      </c>
      <c r="E340" s="78">
        <v>0</v>
      </c>
    </row>
    <row r="341" spans="1:5" x14ac:dyDescent="0.3">
      <c r="A341" s="45" t="s">
        <v>65</v>
      </c>
      <c r="B341" s="6" t="s">
        <v>161</v>
      </c>
      <c r="C341" s="78">
        <v>0</v>
      </c>
      <c r="D341" s="78">
        <v>0</v>
      </c>
      <c r="E341" s="78">
        <v>0</v>
      </c>
    </row>
    <row r="342" spans="1:5" x14ac:dyDescent="0.3">
      <c r="A342" s="45" t="s">
        <v>65</v>
      </c>
      <c r="B342" s="6" t="s">
        <v>162</v>
      </c>
      <c r="C342" s="78">
        <v>0</v>
      </c>
      <c r="D342" s="78">
        <v>0</v>
      </c>
      <c r="E342" s="78">
        <v>0</v>
      </c>
    </row>
    <row r="343" spans="1:5" x14ac:dyDescent="0.3">
      <c r="A343" s="45" t="s">
        <v>65</v>
      </c>
      <c r="B343" s="6" t="s">
        <v>163</v>
      </c>
      <c r="C343" s="78">
        <v>0</v>
      </c>
      <c r="D343" s="78">
        <v>0</v>
      </c>
      <c r="E343" s="78">
        <v>0</v>
      </c>
    </row>
    <row r="344" spans="1:5" x14ac:dyDescent="0.3">
      <c r="A344" s="45" t="s">
        <v>65</v>
      </c>
      <c r="B344" s="6" t="s">
        <v>164</v>
      </c>
      <c r="C344" s="78">
        <v>0</v>
      </c>
      <c r="D344" s="78">
        <v>0</v>
      </c>
      <c r="E344" s="78">
        <v>0</v>
      </c>
    </row>
    <row r="345" spans="1:5" x14ac:dyDescent="0.3">
      <c r="A345" s="45" t="s">
        <v>65</v>
      </c>
      <c r="B345" s="6" t="s">
        <v>165</v>
      </c>
      <c r="C345" s="78">
        <v>0</v>
      </c>
      <c r="D345" s="78">
        <v>0</v>
      </c>
      <c r="E345" s="78">
        <v>0</v>
      </c>
    </row>
    <row r="346" spans="1:5" x14ac:dyDescent="0.3">
      <c r="A346" s="45" t="s">
        <v>65</v>
      </c>
      <c r="B346" s="6" t="s">
        <v>166</v>
      </c>
      <c r="C346" s="78">
        <v>0</v>
      </c>
      <c r="D346" s="78">
        <v>0</v>
      </c>
      <c r="E346" s="78">
        <v>0</v>
      </c>
    </row>
    <row r="347" spans="1:5" x14ac:dyDescent="0.3">
      <c r="A347" s="45" t="s">
        <v>65</v>
      </c>
      <c r="B347" s="6" t="s">
        <v>167</v>
      </c>
      <c r="C347" s="78">
        <v>0</v>
      </c>
      <c r="D347" s="78">
        <v>0</v>
      </c>
      <c r="E347" s="78">
        <v>0</v>
      </c>
    </row>
    <row r="348" spans="1:5" x14ac:dyDescent="0.3">
      <c r="A348" s="45" t="s">
        <v>65</v>
      </c>
      <c r="B348" s="6" t="s">
        <v>168</v>
      </c>
      <c r="C348" s="78">
        <v>0</v>
      </c>
      <c r="D348" s="78">
        <v>0</v>
      </c>
      <c r="E348" s="78">
        <v>0</v>
      </c>
    </row>
    <row r="349" spans="1:5" x14ac:dyDescent="0.3">
      <c r="A349" s="45" t="s">
        <v>65</v>
      </c>
      <c r="B349" s="6" t="s">
        <v>169</v>
      </c>
      <c r="C349" s="78">
        <v>0</v>
      </c>
      <c r="D349" s="78">
        <v>0</v>
      </c>
      <c r="E349" s="78">
        <v>0</v>
      </c>
    </row>
    <row r="350" spans="1:5" x14ac:dyDescent="0.3">
      <c r="A350" s="45" t="s">
        <v>142</v>
      </c>
      <c r="B350" s="6" t="s">
        <v>158</v>
      </c>
      <c r="C350" s="78">
        <v>0</v>
      </c>
      <c r="D350" s="78">
        <v>0</v>
      </c>
      <c r="E350" s="78">
        <v>0</v>
      </c>
    </row>
    <row r="351" spans="1:5" x14ac:dyDescent="0.3">
      <c r="A351" s="45" t="s">
        <v>142</v>
      </c>
      <c r="B351" s="6" t="s">
        <v>159</v>
      </c>
      <c r="C351" s="78">
        <v>0</v>
      </c>
      <c r="D351" s="78">
        <v>0</v>
      </c>
      <c r="E351" s="78">
        <v>0</v>
      </c>
    </row>
    <row r="352" spans="1:5" x14ac:dyDescent="0.3">
      <c r="A352" s="45" t="s">
        <v>142</v>
      </c>
      <c r="B352" s="6" t="s">
        <v>160</v>
      </c>
      <c r="C352" s="78">
        <v>0</v>
      </c>
      <c r="D352" s="78">
        <v>0</v>
      </c>
      <c r="E352" s="78">
        <v>0</v>
      </c>
    </row>
    <row r="353" spans="1:5" x14ac:dyDescent="0.3">
      <c r="A353" s="45" t="s">
        <v>142</v>
      </c>
      <c r="B353" s="6" t="s">
        <v>161</v>
      </c>
      <c r="C353" s="78">
        <v>0</v>
      </c>
      <c r="D353" s="78">
        <v>0</v>
      </c>
      <c r="E353" s="78">
        <v>0</v>
      </c>
    </row>
    <row r="354" spans="1:5" x14ac:dyDescent="0.3">
      <c r="A354" s="45" t="s">
        <v>142</v>
      </c>
      <c r="B354" s="6" t="s">
        <v>162</v>
      </c>
      <c r="C354" s="78">
        <v>0</v>
      </c>
      <c r="D354" s="78">
        <v>0</v>
      </c>
      <c r="E354" s="78">
        <v>0</v>
      </c>
    </row>
    <row r="355" spans="1:5" x14ac:dyDescent="0.3">
      <c r="A355" s="45" t="s">
        <v>142</v>
      </c>
      <c r="B355" s="6" t="s">
        <v>163</v>
      </c>
      <c r="C355" s="78">
        <v>0</v>
      </c>
      <c r="D355" s="78">
        <v>0</v>
      </c>
      <c r="E355" s="78">
        <v>0</v>
      </c>
    </row>
    <row r="356" spans="1:5" x14ac:dyDescent="0.3">
      <c r="A356" s="45" t="s">
        <v>142</v>
      </c>
      <c r="B356" s="6" t="s">
        <v>164</v>
      </c>
      <c r="C356" s="78">
        <v>0</v>
      </c>
      <c r="D356" s="78">
        <v>0</v>
      </c>
      <c r="E356" s="78">
        <v>0</v>
      </c>
    </row>
    <row r="357" spans="1:5" x14ac:dyDescent="0.3">
      <c r="A357" s="45" t="s">
        <v>142</v>
      </c>
      <c r="B357" s="6" t="s">
        <v>165</v>
      </c>
      <c r="C357" s="78">
        <v>0</v>
      </c>
      <c r="D357" s="78">
        <v>0</v>
      </c>
      <c r="E357" s="78">
        <v>0</v>
      </c>
    </row>
    <row r="358" spans="1:5" x14ac:dyDescent="0.3">
      <c r="A358" s="45" t="s">
        <v>142</v>
      </c>
      <c r="B358" s="6" t="s">
        <v>166</v>
      </c>
      <c r="C358" s="78">
        <v>0</v>
      </c>
      <c r="D358" s="78">
        <v>0</v>
      </c>
      <c r="E358" s="78">
        <v>0</v>
      </c>
    </row>
    <row r="359" spans="1:5" x14ac:dyDescent="0.3">
      <c r="A359" s="45" t="s">
        <v>142</v>
      </c>
      <c r="B359" s="6" t="s">
        <v>167</v>
      </c>
      <c r="C359" s="78">
        <v>0</v>
      </c>
      <c r="D359" s="78">
        <v>0</v>
      </c>
      <c r="E359" s="78">
        <v>0</v>
      </c>
    </row>
    <row r="360" spans="1:5" x14ac:dyDescent="0.3">
      <c r="A360" s="45" t="s">
        <v>142</v>
      </c>
      <c r="B360" s="6" t="s">
        <v>168</v>
      </c>
      <c r="C360" s="78">
        <v>0</v>
      </c>
      <c r="D360" s="78">
        <v>0</v>
      </c>
      <c r="E360" s="78">
        <v>0</v>
      </c>
    </row>
    <row r="361" spans="1:5" x14ac:dyDescent="0.3">
      <c r="A361" s="45" t="s">
        <v>142</v>
      </c>
      <c r="B361" s="6" t="s">
        <v>169</v>
      </c>
      <c r="C361" s="78">
        <v>0</v>
      </c>
      <c r="D361" s="78">
        <v>0</v>
      </c>
      <c r="E361" s="78">
        <v>0</v>
      </c>
    </row>
    <row r="362" spans="1:5" x14ac:dyDescent="0.3">
      <c r="A362" s="45" t="s">
        <v>107</v>
      </c>
      <c r="B362" s="6" t="s">
        <v>158</v>
      </c>
      <c r="C362" s="78">
        <v>0</v>
      </c>
      <c r="D362" s="78">
        <v>0</v>
      </c>
      <c r="E362" s="78">
        <v>0</v>
      </c>
    </row>
    <row r="363" spans="1:5" x14ac:dyDescent="0.3">
      <c r="A363" s="45" t="s">
        <v>107</v>
      </c>
      <c r="B363" s="6" t="s">
        <v>159</v>
      </c>
      <c r="C363" s="78">
        <v>0</v>
      </c>
      <c r="D363" s="78">
        <v>0</v>
      </c>
      <c r="E363" s="78">
        <v>0</v>
      </c>
    </row>
    <row r="364" spans="1:5" x14ac:dyDescent="0.3">
      <c r="A364" s="45" t="s">
        <v>107</v>
      </c>
      <c r="B364" s="6" t="s">
        <v>160</v>
      </c>
      <c r="C364" s="78">
        <v>0</v>
      </c>
      <c r="D364" s="78">
        <v>0</v>
      </c>
      <c r="E364" s="78">
        <v>0</v>
      </c>
    </row>
    <row r="365" spans="1:5" x14ac:dyDescent="0.3">
      <c r="A365" s="45" t="s">
        <v>107</v>
      </c>
      <c r="B365" s="6" t="s">
        <v>161</v>
      </c>
      <c r="C365" s="78">
        <v>0</v>
      </c>
      <c r="D365" s="78">
        <v>0</v>
      </c>
      <c r="E365" s="78">
        <v>0</v>
      </c>
    </row>
    <row r="366" spans="1:5" x14ac:dyDescent="0.3">
      <c r="A366" s="45" t="s">
        <v>107</v>
      </c>
      <c r="B366" s="6" t="s">
        <v>162</v>
      </c>
      <c r="C366" s="78">
        <v>0</v>
      </c>
      <c r="D366" s="78">
        <v>0</v>
      </c>
      <c r="E366" s="78">
        <v>0</v>
      </c>
    </row>
    <row r="367" spans="1:5" x14ac:dyDescent="0.3">
      <c r="A367" s="45" t="s">
        <v>107</v>
      </c>
      <c r="B367" s="6" t="s">
        <v>163</v>
      </c>
      <c r="C367" s="78">
        <v>0</v>
      </c>
      <c r="D367" s="78">
        <v>0</v>
      </c>
      <c r="E367" s="78">
        <v>0</v>
      </c>
    </row>
    <row r="368" spans="1:5" x14ac:dyDescent="0.3">
      <c r="A368" s="45" t="s">
        <v>107</v>
      </c>
      <c r="B368" s="6" t="s">
        <v>164</v>
      </c>
      <c r="C368" s="78">
        <v>0</v>
      </c>
      <c r="D368" s="78">
        <v>0</v>
      </c>
      <c r="E368" s="78">
        <v>0</v>
      </c>
    </row>
    <row r="369" spans="1:5" x14ac:dyDescent="0.3">
      <c r="A369" s="45" t="s">
        <v>107</v>
      </c>
      <c r="B369" s="6" t="s">
        <v>165</v>
      </c>
      <c r="C369" s="78">
        <v>0</v>
      </c>
      <c r="D369" s="78">
        <v>0</v>
      </c>
      <c r="E369" s="78">
        <v>0</v>
      </c>
    </row>
    <row r="370" spans="1:5" x14ac:dyDescent="0.3">
      <c r="A370" s="45" t="s">
        <v>107</v>
      </c>
      <c r="B370" s="6" t="s">
        <v>166</v>
      </c>
      <c r="C370" s="78">
        <v>0</v>
      </c>
      <c r="D370" s="78">
        <v>0</v>
      </c>
      <c r="E370" s="78">
        <v>0</v>
      </c>
    </row>
    <row r="371" spans="1:5" x14ac:dyDescent="0.3">
      <c r="A371" s="45" t="s">
        <v>107</v>
      </c>
      <c r="B371" s="6" t="s">
        <v>167</v>
      </c>
      <c r="C371" s="78">
        <v>0</v>
      </c>
      <c r="D371" s="78">
        <v>0</v>
      </c>
      <c r="E371" s="78">
        <v>0</v>
      </c>
    </row>
    <row r="372" spans="1:5" x14ac:dyDescent="0.3">
      <c r="A372" s="45" t="s">
        <v>107</v>
      </c>
      <c r="B372" s="6" t="s">
        <v>168</v>
      </c>
      <c r="C372" s="78">
        <v>0</v>
      </c>
      <c r="D372" s="78">
        <v>0</v>
      </c>
      <c r="E372" s="78">
        <v>0</v>
      </c>
    </row>
    <row r="373" spans="1:5" x14ac:dyDescent="0.3">
      <c r="A373" s="45" t="s">
        <v>107</v>
      </c>
      <c r="B373" s="6" t="s">
        <v>169</v>
      </c>
      <c r="C373" s="78">
        <v>0</v>
      </c>
      <c r="D373" s="78">
        <v>0</v>
      </c>
      <c r="E373" s="78">
        <v>0</v>
      </c>
    </row>
    <row r="374" spans="1:5" x14ac:dyDescent="0.3">
      <c r="A374" s="45" t="s">
        <v>89</v>
      </c>
      <c r="B374" s="6" t="s">
        <v>158</v>
      </c>
      <c r="C374" s="78">
        <v>0</v>
      </c>
      <c r="D374" s="78">
        <v>0</v>
      </c>
      <c r="E374" s="78">
        <v>0</v>
      </c>
    </row>
    <row r="375" spans="1:5" x14ac:dyDescent="0.3">
      <c r="A375" s="45" t="s">
        <v>89</v>
      </c>
      <c r="B375" s="6" t="s">
        <v>159</v>
      </c>
      <c r="C375" s="78">
        <v>0</v>
      </c>
      <c r="D375" s="78">
        <v>0</v>
      </c>
      <c r="E375" s="78">
        <v>0</v>
      </c>
    </row>
    <row r="376" spans="1:5" x14ac:dyDescent="0.3">
      <c r="A376" s="45" t="s">
        <v>89</v>
      </c>
      <c r="B376" s="6" t="s">
        <v>160</v>
      </c>
      <c r="C376" s="78">
        <v>0</v>
      </c>
      <c r="D376" s="78">
        <v>0</v>
      </c>
      <c r="E376" s="78">
        <v>0</v>
      </c>
    </row>
    <row r="377" spans="1:5" x14ac:dyDescent="0.3">
      <c r="A377" s="45" t="s">
        <v>89</v>
      </c>
      <c r="B377" s="6" t="s">
        <v>161</v>
      </c>
      <c r="C377" s="78">
        <v>0</v>
      </c>
      <c r="D377" s="78">
        <v>0</v>
      </c>
      <c r="E377" s="78">
        <v>0</v>
      </c>
    </row>
    <row r="378" spans="1:5" x14ac:dyDescent="0.3">
      <c r="A378" s="45" t="s">
        <v>89</v>
      </c>
      <c r="B378" s="6" t="s">
        <v>162</v>
      </c>
      <c r="C378" s="78">
        <v>0</v>
      </c>
      <c r="D378" s="78">
        <v>0</v>
      </c>
      <c r="E378" s="78">
        <v>0</v>
      </c>
    </row>
    <row r="379" spans="1:5" x14ac:dyDescent="0.3">
      <c r="A379" s="45" t="s">
        <v>89</v>
      </c>
      <c r="B379" s="6" t="s">
        <v>163</v>
      </c>
      <c r="C379" s="78">
        <v>0</v>
      </c>
      <c r="D379" s="78">
        <v>0</v>
      </c>
      <c r="E379" s="78">
        <v>0</v>
      </c>
    </row>
    <row r="380" spans="1:5" x14ac:dyDescent="0.3">
      <c r="A380" s="45" t="s">
        <v>89</v>
      </c>
      <c r="B380" s="6" t="s">
        <v>164</v>
      </c>
      <c r="C380" s="78">
        <v>0</v>
      </c>
      <c r="D380" s="78">
        <v>0</v>
      </c>
      <c r="E380" s="78">
        <v>0</v>
      </c>
    </row>
    <row r="381" spans="1:5" x14ac:dyDescent="0.3">
      <c r="A381" s="45" t="s">
        <v>89</v>
      </c>
      <c r="B381" s="6" t="s">
        <v>165</v>
      </c>
      <c r="C381" s="78">
        <v>0</v>
      </c>
      <c r="D381" s="78">
        <v>0</v>
      </c>
      <c r="E381" s="78">
        <v>0</v>
      </c>
    </row>
    <row r="382" spans="1:5" x14ac:dyDescent="0.3">
      <c r="A382" s="45" t="s">
        <v>89</v>
      </c>
      <c r="B382" s="6" t="s">
        <v>166</v>
      </c>
      <c r="C382" s="78">
        <v>0</v>
      </c>
      <c r="D382" s="78">
        <v>0</v>
      </c>
      <c r="E382" s="78">
        <v>0</v>
      </c>
    </row>
    <row r="383" spans="1:5" x14ac:dyDescent="0.3">
      <c r="A383" s="45" t="s">
        <v>89</v>
      </c>
      <c r="B383" s="6" t="s">
        <v>167</v>
      </c>
      <c r="C383" s="78">
        <v>0</v>
      </c>
      <c r="D383" s="78">
        <v>0</v>
      </c>
      <c r="E383" s="78">
        <v>0</v>
      </c>
    </row>
    <row r="384" spans="1:5" x14ac:dyDescent="0.3">
      <c r="A384" s="45" t="s">
        <v>89</v>
      </c>
      <c r="B384" s="6" t="s">
        <v>168</v>
      </c>
      <c r="C384" s="78">
        <v>0</v>
      </c>
      <c r="D384" s="78">
        <v>0</v>
      </c>
      <c r="E384" s="78">
        <v>0</v>
      </c>
    </row>
    <row r="385" spans="1:5" x14ac:dyDescent="0.3">
      <c r="A385" s="45" t="s">
        <v>89</v>
      </c>
      <c r="B385" s="6" t="s">
        <v>169</v>
      </c>
      <c r="C385" s="78">
        <v>0</v>
      </c>
      <c r="D385" s="78">
        <v>0</v>
      </c>
      <c r="E385" s="78">
        <v>0</v>
      </c>
    </row>
    <row r="386" spans="1:5" x14ac:dyDescent="0.3">
      <c r="A386" s="45" t="s">
        <v>127</v>
      </c>
      <c r="B386" s="6" t="s">
        <v>158</v>
      </c>
      <c r="C386" s="78">
        <v>0</v>
      </c>
      <c r="D386" s="78">
        <v>0</v>
      </c>
      <c r="E386" s="78">
        <v>1</v>
      </c>
    </row>
    <row r="387" spans="1:5" x14ac:dyDescent="0.3">
      <c r="A387" s="45" t="s">
        <v>127</v>
      </c>
      <c r="B387" s="6" t="s">
        <v>159</v>
      </c>
      <c r="C387" s="78">
        <v>0</v>
      </c>
      <c r="D387" s="78">
        <v>0</v>
      </c>
      <c r="E387" s="78">
        <v>0</v>
      </c>
    </row>
    <row r="388" spans="1:5" x14ac:dyDescent="0.3">
      <c r="A388" s="45" t="s">
        <v>127</v>
      </c>
      <c r="B388" s="6" t="s">
        <v>160</v>
      </c>
      <c r="C388" s="78">
        <v>0</v>
      </c>
      <c r="D388" s="78">
        <v>0</v>
      </c>
      <c r="E388" s="78">
        <v>0</v>
      </c>
    </row>
    <row r="389" spans="1:5" x14ac:dyDescent="0.3">
      <c r="A389" s="45" t="s">
        <v>127</v>
      </c>
      <c r="B389" s="6" t="s">
        <v>161</v>
      </c>
      <c r="C389" s="78">
        <v>0</v>
      </c>
      <c r="D389" s="78">
        <v>0</v>
      </c>
      <c r="E389" s="78">
        <v>0</v>
      </c>
    </row>
    <row r="390" spans="1:5" x14ac:dyDescent="0.3">
      <c r="A390" s="45" t="s">
        <v>127</v>
      </c>
      <c r="B390" s="6" t="s">
        <v>162</v>
      </c>
      <c r="C390" s="78">
        <v>0</v>
      </c>
      <c r="D390" s="78">
        <v>0</v>
      </c>
      <c r="E390" s="78">
        <v>0</v>
      </c>
    </row>
    <row r="391" spans="1:5" x14ac:dyDescent="0.3">
      <c r="A391" s="45" t="s">
        <v>127</v>
      </c>
      <c r="B391" s="6" t="s">
        <v>163</v>
      </c>
      <c r="C391" s="78">
        <v>0</v>
      </c>
      <c r="D391" s="78">
        <v>0</v>
      </c>
      <c r="E391" s="78">
        <v>0</v>
      </c>
    </row>
    <row r="392" spans="1:5" x14ac:dyDescent="0.3">
      <c r="A392" s="45" t="s">
        <v>127</v>
      </c>
      <c r="B392" s="6" t="s">
        <v>164</v>
      </c>
      <c r="C392" s="78">
        <v>0</v>
      </c>
      <c r="D392" s="78">
        <v>0</v>
      </c>
      <c r="E392" s="78">
        <v>0</v>
      </c>
    </row>
    <row r="393" spans="1:5" x14ac:dyDescent="0.3">
      <c r="A393" s="45" t="s">
        <v>127</v>
      </c>
      <c r="B393" s="6" t="s">
        <v>165</v>
      </c>
      <c r="C393" s="78">
        <v>0</v>
      </c>
      <c r="D393" s="78">
        <v>0</v>
      </c>
      <c r="E393" s="78">
        <v>0</v>
      </c>
    </row>
    <row r="394" spans="1:5" x14ac:dyDescent="0.3">
      <c r="A394" s="45" t="s">
        <v>127</v>
      </c>
      <c r="B394" s="6" t="s">
        <v>166</v>
      </c>
      <c r="C394" s="78">
        <v>0</v>
      </c>
      <c r="D394" s="78">
        <v>0</v>
      </c>
      <c r="E394" s="78">
        <v>0</v>
      </c>
    </row>
    <row r="395" spans="1:5" x14ac:dyDescent="0.3">
      <c r="A395" s="45" t="s">
        <v>127</v>
      </c>
      <c r="B395" s="6" t="s">
        <v>167</v>
      </c>
      <c r="C395" s="78">
        <v>0</v>
      </c>
      <c r="D395" s="78">
        <v>0</v>
      </c>
      <c r="E395" s="78">
        <v>0</v>
      </c>
    </row>
    <row r="396" spans="1:5" x14ac:dyDescent="0.3">
      <c r="A396" s="45" t="s">
        <v>127</v>
      </c>
      <c r="B396" s="6" t="s">
        <v>168</v>
      </c>
      <c r="C396" s="78">
        <v>0</v>
      </c>
      <c r="D396" s="78">
        <v>0</v>
      </c>
      <c r="E396" s="78">
        <v>0</v>
      </c>
    </row>
    <row r="397" spans="1:5" x14ac:dyDescent="0.3">
      <c r="A397" s="45" t="s">
        <v>127</v>
      </c>
      <c r="B397" s="6" t="s">
        <v>169</v>
      </c>
      <c r="C397" s="78">
        <v>0</v>
      </c>
      <c r="D397" s="78">
        <v>0</v>
      </c>
      <c r="E397" s="78">
        <v>0</v>
      </c>
    </row>
    <row r="398" spans="1:5" x14ac:dyDescent="0.3">
      <c r="A398" s="45" t="s">
        <v>122</v>
      </c>
      <c r="B398" s="6" t="s">
        <v>158</v>
      </c>
      <c r="C398" s="78">
        <v>0</v>
      </c>
      <c r="D398" s="78">
        <v>0</v>
      </c>
      <c r="E398" s="78">
        <v>1</v>
      </c>
    </row>
    <row r="399" spans="1:5" x14ac:dyDescent="0.3">
      <c r="A399" s="45" t="s">
        <v>122</v>
      </c>
      <c r="B399" s="6" t="s">
        <v>159</v>
      </c>
      <c r="C399" s="78">
        <v>0</v>
      </c>
      <c r="D399" s="78">
        <v>0</v>
      </c>
      <c r="E399" s="78">
        <v>0</v>
      </c>
    </row>
    <row r="400" spans="1:5" x14ac:dyDescent="0.3">
      <c r="A400" s="45" t="s">
        <v>122</v>
      </c>
      <c r="B400" s="6" t="s">
        <v>160</v>
      </c>
      <c r="C400" s="78">
        <v>0</v>
      </c>
      <c r="D400" s="78">
        <v>0</v>
      </c>
      <c r="E400" s="78">
        <v>0</v>
      </c>
    </row>
    <row r="401" spans="1:5" x14ac:dyDescent="0.3">
      <c r="A401" s="45" t="s">
        <v>122</v>
      </c>
      <c r="B401" s="6" t="s">
        <v>161</v>
      </c>
      <c r="C401" s="78">
        <v>0</v>
      </c>
      <c r="D401" s="78">
        <v>0</v>
      </c>
      <c r="E401" s="78">
        <v>0</v>
      </c>
    </row>
    <row r="402" spans="1:5" x14ac:dyDescent="0.3">
      <c r="A402" s="45" t="s">
        <v>122</v>
      </c>
      <c r="B402" s="6" t="s">
        <v>162</v>
      </c>
      <c r="C402" s="78">
        <v>0</v>
      </c>
      <c r="D402" s="78">
        <v>0</v>
      </c>
      <c r="E402" s="78">
        <v>0</v>
      </c>
    </row>
    <row r="403" spans="1:5" x14ac:dyDescent="0.3">
      <c r="A403" s="45" t="s">
        <v>122</v>
      </c>
      <c r="B403" s="6" t="s">
        <v>163</v>
      </c>
      <c r="C403" s="78">
        <v>0</v>
      </c>
      <c r="D403" s="78">
        <v>0</v>
      </c>
      <c r="E403" s="78">
        <v>0</v>
      </c>
    </row>
    <row r="404" spans="1:5" x14ac:dyDescent="0.3">
      <c r="A404" s="45" t="s">
        <v>122</v>
      </c>
      <c r="B404" s="6" t="s">
        <v>164</v>
      </c>
      <c r="C404" s="78">
        <v>0</v>
      </c>
      <c r="D404" s="78">
        <v>0</v>
      </c>
      <c r="E404" s="78">
        <v>0</v>
      </c>
    </row>
    <row r="405" spans="1:5" x14ac:dyDescent="0.3">
      <c r="A405" s="45" t="s">
        <v>122</v>
      </c>
      <c r="B405" s="6" t="s">
        <v>165</v>
      </c>
      <c r="C405" s="78">
        <v>0</v>
      </c>
      <c r="D405" s="78">
        <v>0</v>
      </c>
      <c r="E405" s="78">
        <v>0</v>
      </c>
    </row>
    <row r="406" spans="1:5" x14ac:dyDescent="0.3">
      <c r="A406" s="45" t="s">
        <v>122</v>
      </c>
      <c r="B406" s="6" t="s">
        <v>166</v>
      </c>
      <c r="C406" s="78">
        <v>0</v>
      </c>
      <c r="D406" s="78">
        <v>0</v>
      </c>
      <c r="E406" s="78">
        <v>0</v>
      </c>
    </row>
    <row r="407" spans="1:5" x14ac:dyDescent="0.3">
      <c r="A407" s="45" t="s">
        <v>122</v>
      </c>
      <c r="B407" s="6" t="s">
        <v>167</v>
      </c>
      <c r="C407" s="78">
        <v>0</v>
      </c>
      <c r="D407" s="78">
        <v>0</v>
      </c>
      <c r="E407" s="78">
        <v>0</v>
      </c>
    </row>
    <row r="408" spans="1:5" x14ac:dyDescent="0.3">
      <c r="A408" s="45" t="s">
        <v>122</v>
      </c>
      <c r="B408" s="6" t="s">
        <v>168</v>
      </c>
      <c r="C408" s="78">
        <v>0</v>
      </c>
      <c r="D408" s="78">
        <v>0</v>
      </c>
      <c r="E408" s="78">
        <v>0</v>
      </c>
    </row>
    <row r="409" spans="1:5" x14ac:dyDescent="0.3">
      <c r="A409" s="45" t="s">
        <v>122</v>
      </c>
      <c r="B409" s="6" t="s">
        <v>169</v>
      </c>
      <c r="C409" s="78">
        <v>0</v>
      </c>
      <c r="D409" s="78">
        <v>0</v>
      </c>
      <c r="E409" s="78">
        <v>0</v>
      </c>
    </row>
    <row r="410" spans="1:5" x14ac:dyDescent="0.3">
      <c r="A410" s="45" t="s">
        <v>90</v>
      </c>
      <c r="B410" s="6" t="s">
        <v>158</v>
      </c>
      <c r="C410" s="78">
        <v>0</v>
      </c>
      <c r="D410" s="78">
        <v>0</v>
      </c>
      <c r="E410" s="78">
        <v>0</v>
      </c>
    </row>
    <row r="411" spans="1:5" x14ac:dyDescent="0.3">
      <c r="A411" s="45" t="s">
        <v>90</v>
      </c>
      <c r="B411" s="6" t="s">
        <v>159</v>
      </c>
      <c r="C411" s="78">
        <v>0</v>
      </c>
      <c r="D411" s="78">
        <v>0</v>
      </c>
      <c r="E411" s="78">
        <v>0</v>
      </c>
    </row>
    <row r="412" spans="1:5" x14ac:dyDescent="0.3">
      <c r="A412" s="45" t="s">
        <v>90</v>
      </c>
      <c r="B412" s="6" t="s">
        <v>160</v>
      </c>
      <c r="C412" s="78">
        <v>0</v>
      </c>
      <c r="D412" s="78">
        <v>0</v>
      </c>
      <c r="E412" s="78">
        <v>0</v>
      </c>
    </row>
    <row r="413" spans="1:5" x14ac:dyDescent="0.3">
      <c r="A413" s="45" t="s">
        <v>90</v>
      </c>
      <c r="B413" s="6" t="s">
        <v>161</v>
      </c>
      <c r="C413" s="78">
        <v>0</v>
      </c>
      <c r="D413" s="78">
        <v>0</v>
      </c>
      <c r="E413" s="78">
        <v>0</v>
      </c>
    </row>
    <row r="414" spans="1:5" x14ac:dyDescent="0.3">
      <c r="A414" s="45" t="s">
        <v>90</v>
      </c>
      <c r="B414" s="6" t="s">
        <v>162</v>
      </c>
      <c r="C414" s="78">
        <v>0</v>
      </c>
      <c r="D414" s="78">
        <v>0</v>
      </c>
      <c r="E414" s="78">
        <v>0</v>
      </c>
    </row>
    <row r="415" spans="1:5" x14ac:dyDescent="0.3">
      <c r="A415" s="45" t="s">
        <v>90</v>
      </c>
      <c r="B415" s="6" t="s">
        <v>163</v>
      </c>
      <c r="C415" s="78">
        <v>0</v>
      </c>
      <c r="D415" s="78">
        <v>0</v>
      </c>
      <c r="E415" s="78">
        <v>0</v>
      </c>
    </row>
    <row r="416" spans="1:5" x14ac:dyDescent="0.3">
      <c r="A416" s="45" t="s">
        <v>90</v>
      </c>
      <c r="B416" s="6" t="s">
        <v>164</v>
      </c>
      <c r="C416" s="78">
        <v>0</v>
      </c>
      <c r="D416" s="78">
        <v>0</v>
      </c>
      <c r="E416" s="78">
        <v>0</v>
      </c>
    </row>
    <row r="417" spans="1:5" x14ac:dyDescent="0.3">
      <c r="A417" s="45" t="s">
        <v>90</v>
      </c>
      <c r="B417" s="6" t="s">
        <v>165</v>
      </c>
      <c r="C417" s="78">
        <v>0</v>
      </c>
      <c r="D417" s="78">
        <v>0</v>
      </c>
      <c r="E417" s="78">
        <v>0</v>
      </c>
    </row>
    <row r="418" spans="1:5" x14ac:dyDescent="0.3">
      <c r="A418" s="45" t="s">
        <v>90</v>
      </c>
      <c r="B418" s="6" t="s">
        <v>166</v>
      </c>
      <c r="C418" s="78">
        <v>0</v>
      </c>
      <c r="D418" s="78">
        <v>0</v>
      </c>
      <c r="E418" s="78">
        <v>0</v>
      </c>
    </row>
    <row r="419" spans="1:5" x14ac:dyDescent="0.3">
      <c r="A419" s="45" t="s">
        <v>90</v>
      </c>
      <c r="B419" s="6" t="s">
        <v>167</v>
      </c>
      <c r="C419" s="78">
        <v>0</v>
      </c>
      <c r="D419" s="78">
        <v>0</v>
      </c>
      <c r="E419" s="78">
        <v>0</v>
      </c>
    </row>
    <row r="420" spans="1:5" x14ac:dyDescent="0.3">
      <c r="A420" s="45" t="s">
        <v>90</v>
      </c>
      <c r="B420" s="6" t="s">
        <v>168</v>
      </c>
      <c r="C420" s="78">
        <v>0</v>
      </c>
      <c r="D420" s="78">
        <v>0</v>
      </c>
      <c r="E420" s="78">
        <v>0</v>
      </c>
    </row>
    <row r="421" spans="1:5" x14ac:dyDescent="0.3">
      <c r="A421" s="45" t="s">
        <v>90</v>
      </c>
      <c r="B421" s="6" t="s">
        <v>169</v>
      </c>
      <c r="C421" s="78">
        <v>0</v>
      </c>
      <c r="D421" s="78">
        <v>0</v>
      </c>
      <c r="E421" s="78">
        <v>0</v>
      </c>
    </row>
    <row r="422" spans="1:5" x14ac:dyDescent="0.3">
      <c r="A422" s="45" t="s">
        <v>106</v>
      </c>
      <c r="B422" s="6" t="s">
        <v>158</v>
      </c>
      <c r="C422" s="78">
        <v>0</v>
      </c>
      <c r="D422" s="78">
        <v>0</v>
      </c>
      <c r="E422" s="78">
        <v>0</v>
      </c>
    </row>
    <row r="423" spans="1:5" x14ac:dyDescent="0.3">
      <c r="A423" s="45" t="s">
        <v>106</v>
      </c>
      <c r="B423" s="6" t="s">
        <v>159</v>
      </c>
      <c r="C423" s="78">
        <v>0</v>
      </c>
      <c r="D423" s="78">
        <v>0</v>
      </c>
      <c r="E423" s="78">
        <v>0</v>
      </c>
    </row>
    <row r="424" spans="1:5" x14ac:dyDescent="0.3">
      <c r="A424" s="45" t="s">
        <v>106</v>
      </c>
      <c r="B424" s="6" t="s">
        <v>160</v>
      </c>
      <c r="C424" s="78">
        <v>0</v>
      </c>
      <c r="D424" s="78">
        <v>0</v>
      </c>
      <c r="E424" s="78">
        <v>0</v>
      </c>
    </row>
    <row r="425" spans="1:5" x14ac:dyDescent="0.3">
      <c r="A425" s="45" t="s">
        <v>106</v>
      </c>
      <c r="B425" s="6" t="s">
        <v>161</v>
      </c>
      <c r="C425" s="78">
        <v>0</v>
      </c>
      <c r="D425" s="78">
        <v>0</v>
      </c>
      <c r="E425" s="78">
        <v>0</v>
      </c>
    </row>
    <row r="426" spans="1:5" x14ac:dyDescent="0.3">
      <c r="A426" s="45" t="s">
        <v>106</v>
      </c>
      <c r="B426" s="6" t="s">
        <v>162</v>
      </c>
      <c r="C426" s="78">
        <v>0</v>
      </c>
      <c r="D426" s="78">
        <v>0</v>
      </c>
      <c r="E426" s="78">
        <v>0</v>
      </c>
    </row>
    <row r="427" spans="1:5" x14ac:dyDescent="0.3">
      <c r="A427" s="45" t="s">
        <v>106</v>
      </c>
      <c r="B427" s="6" t="s">
        <v>163</v>
      </c>
      <c r="C427" s="78">
        <v>0</v>
      </c>
      <c r="D427" s="78">
        <v>0</v>
      </c>
      <c r="E427" s="78">
        <v>0</v>
      </c>
    </row>
    <row r="428" spans="1:5" x14ac:dyDescent="0.3">
      <c r="A428" s="45" t="s">
        <v>106</v>
      </c>
      <c r="B428" s="6" t="s">
        <v>164</v>
      </c>
      <c r="C428" s="78">
        <v>0</v>
      </c>
      <c r="D428" s="78">
        <v>0</v>
      </c>
      <c r="E428" s="78">
        <v>0</v>
      </c>
    </row>
    <row r="429" spans="1:5" x14ac:dyDescent="0.3">
      <c r="A429" s="45" t="s">
        <v>106</v>
      </c>
      <c r="B429" s="6" t="s">
        <v>165</v>
      </c>
      <c r="C429" s="78">
        <v>0</v>
      </c>
      <c r="D429" s="78">
        <v>0</v>
      </c>
      <c r="E429" s="78">
        <v>0</v>
      </c>
    </row>
    <row r="430" spans="1:5" x14ac:dyDescent="0.3">
      <c r="A430" s="45" t="s">
        <v>106</v>
      </c>
      <c r="B430" s="6" t="s">
        <v>166</v>
      </c>
      <c r="C430" s="78">
        <v>0</v>
      </c>
      <c r="D430" s="78">
        <v>0</v>
      </c>
      <c r="E430" s="78">
        <v>0</v>
      </c>
    </row>
    <row r="431" spans="1:5" x14ac:dyDescent="0.3">
      <c r="A431" s="45" t="s">
        <v>106</v>
      </c>
      <c r="B431" s="6" t="s">
        <v>167</v>
      </c>
      <c r="C431" s="78">
        <v>0</v>
      </c>
      <c r="D431" s="78">
        <v>0</v>
      </c>
      <c r="E431" s="78">
        <v>0</v>
      </c>
    </row>
    <row r="432" spans="1:5" x14ac:dyDescent="0.3">
      <c r="A432" s="45" t="s">
        <v>106</v>
      </c>
      <c r="B432" s="6" t="s">
        <v>168</v>
      </c>
      <c r="C432" s="78">
        <v>0</v>
      </c>
      <c r="D432" s="78">
        <v>0</v>
      </c>
      <c r="E432" s="78">
        <v>0</v>
      </c>
    </row>
    <row r="433" spans="1:5" x14ac:dyDescent="0.3">
      <c r="A433" s="45" t="s">
        <v>106</v>
      </c>
      <c r="B433" s="6" t="s">
        <v>169</v>
      </c>
      <c r="C433" s="78">
        <v>0</v>
      </c>
      <c r="D433" s="78">
        <v>0</v>
      </c>
      <c r="E433" s="78">
        <v>0</v>
      </c>
    </row>
    <row r="434" spans="1:5" x14ac:dyDescent="0.3">
      <c r="A434" s="45" t="s">
        <v>110</v>
      </c>
      <c r="B434" s="6" t="s">
        <v>158</v>
      </c>
      <c r="C434" s="78">
        <v>0</v>
      </c>
      <c r="D434" s="78">
        <v>0</v>
      </c>
      <c r="E434" s="78">
        <v>0</v>
      </c>
    </row>
    <row r="435" spans="1:5" x14ac:dyDescent="0.3">
      <c r="A435" s="45" t="s">
        <v>110</v>
      </c>
      <c r="B435" s="6" t="s">
        <v>159</v>
      </c>
      <c r="C435" s="78">
        <v>0</v>
      </c>
      <c r="D435" s="78">
        <v>0</v>
      </c>
      <c r="E435" s="78">
        <v>0</v>
      </c>
    </row>
    <row r="436" spans="1:5" x14ac:dyDescent="0.3">
      <c r="A436" s="45" t="s">
        <v>110</v>
      </c>
      <c r="B436" s="6" t="s">
        <v>160</v>
      </c>
      <c r="C436" s="78">
        <v>0</v>
      </c>
      <c r="D436" s="78">
        <v>0</v>
      </c>
      <c r="E436" s="78">
        <v>0</v>
      </c>
    </row>
    <row r="437" spans="1:5" x14ac:dyDescent="0.3">
      <c r="A437" s="45" t="s">
        <v>110</v>
      </c>
      <c r="B437" s="6" t="s">
        <v>161</v>
      </c>
      <c r="C437" s="78">
        <v>0</v>
      </c>
      <c r="D437" s="78">
        <v>0</v>
      </c>
      <c r="E437" s="78">
        <v>0</v>
      </c>
    </row>
    <row r="438" spans="1:5" x14ac:dyDescent="0.3">
      <c r="A438" s="45" t="s">
        <v>110</v>
      </c>
      <c r="B438" s="6" t="s">
        <v>162</v>
      </c>
      <c r="C438" s="78">
        <v>0</v>
      </c>
      <c r="D438" s="78">
        <v>0</v>
      </c>
      <c r="E438" s="78">
        <v>0</v>
      </c>
    </row>
    <row r="439" spans="1:5" x14ac:dyDescent="0.3">
      <c r="A439" s="45" t="s">
        <v>110</v>
      </c>
      <c r="B439" s="6" t="s">
        <v>163</v>
      </c>
      <c r="C439" s="78">
        <v>0</v>
      </c>
      <c r="D439" s="78">
        <v>0</v>
      </c>
      <c r="E439" s="78">
        <v>0</v>
      </c>
    </row>
    <row r="440" spans="1:5" x14ac:dyDescent="0.3">
      <c r="A440" s="45" t="s">
        <v>110</v>
      </c>
      <c r="B440" s="6" t="s">
        <v>164</v>
      </c>
      <c r="C440" s="78">
        <v>0</v>
      </c>
      <c r="D440" s="78">
        <v>0</v>
      </c>
      <c r="E440" s="78">
        <v>0</v>
      </c>
    </row>
    <row r="441" spans="1:5" x14ac:dyDescent="0.3">
      <c r="A441" s="45" t="s">
        <v>110</v>
      </c>
      <c r="B441" s="6" t="s">
        <v>165</v>
      </c>
      <c r="C441" s="78">
        <v>0</v>
      </c>
      <c r="D441" s="78">
        <v>0</v>
      </c>
      <c r="E441" s="78">
        <v>0</v>
      </c>
    </row>
    <row r="442" spans="1:5" x14ac:dyDescent="0.3">
      <c r="A442" s="45" t="s">
        <v>110</v>
      </c>
      <c r="B442" s="6" t="s">
        <v>166</v>
      </c>
      <c r="C442" s="78">
        <v>0</v>
      </c>
      <c r="D442" s="78">
        <v>0</v>
      </c>
      <c r="E442" s="78">
        <v>0</v>
      </c>
    </row>
    <row r="443" spans="1:5" x14ac:dyDescent="0.3">
      <c r="A443" s="45" t="s">
        <v>110</v>
      </c>
      <c r="B443" s="6" t="s">
        <v>167</v>
      </c>
      <c r="C443" s="78">
        <v>0</v>
      </c>
      <c r="D443" s="78">
        <v>0</v>
      </c>
      <c r="E443" s="78">
        <v>0</v>
      </c>
    </row>
    <row r="444" spans="1:5" x14ac:dyDescent="0.3">
      <c r="A444" s="45" t="s">
        <v>110</v>
      </c>
      <c r="B444" s="6" t="s">
        <v>168</v>
      </c>
      <c r="C444" s="78">
        <v>0</v>
      </c>
      <c r="D444" s="78">
        <v>0</v>
      </c>
      <c r="E444" s="78">
        <v>0</v>
      </c>
    </row>
    <row r="445" spans="1:5" x14ac:dyDescent="0.3">
      <c r="A445" s="45" t="s">
        <v>110</v>
      </c>
      <c r="B445" s="6" t="s">
        <v>169</v>
      </c>
      <c r="C445" s="78">
        <v>0</v>
      </c>
      <c r="D445" s="78">
        <v>0</v>
      </c>
      <c r="E445" s="78">
        <v>0</v>
      </c>
    </row>
    <row r="446" spans="1:5" x14ac:dyDescent="0.3">
      <c r="A446" s="45" t="s">
        <v>32</v>
      </c>
      <c r="B446" s="6" t="s">
        <v>158</v>
      </c>
      <c r="C446" s="78">
        <v>0</v>
      </c>
      <c r="D446" s="78">
        <v>0</v>
      </c>
      <c r="E446" s="78">
        <v>0</v>
      </c>
    </row>
    <row r="447" spans="1:5" x14ac:dyDescent="0.3">
      <c r="A447" s="45" t="s">
        <v>32</v>
      </c>
      <c r="B447" s="6" t="s">
        <v>159</v>
      </c>
      <c r="C447" s="78">
        <v>0</v>
      </c>
      <c r="D447" s="78">
        <v>0</v>
      </c>
      <c r="E447" s="78">
        <v>0</v>
      </c>
    </row>
    <row r="448" spans="1:5" x14ac:dyDescent="0.3">
      <c r="A448" s="45" t="s">
        <v>32</v>
      </c>
      <c r="B448" s="6" t="s">
        <v>160</v>
      </c>
      <c r="C448" s="78">
        <v>0</v>
      </c>
      <c r="D448" s="78">
        <v>0</v>
      </c>
      <c r="E448" s="78">
        <v>0</v>
      </c>
    </row>
    <row r="449" spans="1:5" x14ac:dyDescent="0.3">
      <c r="A449" s="45" t="s">
        <v>32</v>
      </c>
      <c r="B449" s="6" t="s">
        <v>161</v>
      </c>
      <c r="C449" s="78">
        <v>0</v>
      </c>
      <c r="D449" s="78">
        <v>0</v>
      </c>
      <c r="E449" s="78">
        <v>0</v>
      </c>
    </row>
    <row r="450" spans="1:5" x14ac:dyDescent="0.3">
      <c r="A450" s="45" t="s">
        <v>32</v>
      </c>
      <c r="B450" s="6" t="s">
        <v>162</v>
      </c>
      <c r="C450" s="78">
        <v>0</v>
      </c>
      <c r="D450" s="78">
        <v>0</v>
      </c>
      <c r="E450" s="78">
        <v>0</v>
      </c>
    </row>
    <row r="451" spans="1:5" x14ac:dyDescent="0.3">
      <c r="A451" s="45" t="s">
        <v>32</v>
      </c>
      <c r="B451" s="6" t="s">
        <v>163</v>
      </c>
      <c r="C451" s="78">
        <v>0</v>
      </c>
      <c r="D451" s="78">
        <v>0</v>
      </c>
      <c r="E451" s="78">
        <v>0</v>
      </c>
    </row>
    <row r="452" spans="1:5" x14ac:dyDescent="0.3">
      <c r="A452" s="45" t="s">
        <v>32</v>
      </c>
      <c r="B452" s="6" t="s">
        <v>164</v>
      </c>
      <c r="C452" s="78">
        <v>0</v>
      </c>
      <c r="D452" s="78">
        <v>0</v>
      </c>
      <c r="E452" s="78">
        <v>0</v>
      </c>
    </row>
    <row r="453" spans="1:5" x14ac:dyDescent="0.3">
      <c r="A453" s="45" t="s">
        <v>32</v>
      </c>
      <c r="B453" s="6" t="s">
        <v>165</v>
      </c>
      <c r="C453" s="78">
        <v>0</v>
      </c>
      <c r="D453" s="78">
        <v>0</v>
      </c>
      <c r="E453" s="78">
        <v>0</v>
      </c>
    </row>
    <row r="454" spans="1:5" x14ac:dyDescent="0.3">
      <c r="A454" s="45" t="s">
        <v>32</v>
      </c>
      <c r="B454" s="6" t="s">
        <v>166</v>
      </c>
      <c r="C454" s="78">
        <v>0</v>
      </c>
      <c r="D454" s="78">
        <v>0</v>
      </c>
      <c r="E454" s="78">
        <v>0</v>
      </c>
    </row>
    <row r="455" spans="1:5" x14ac:dyDescent="0.3">
      <c r="A455" s="45" t="s">
        <v>32</v>
      </c>
      <c r="B455" s="6" t="s">
        <v>167</v>
      </c>
      <c r="C455" s="78">
        <v>0</v>
      </c>
      <c r="D455" s="78">
        <v>0</v>
      </c>
      <c r="E455" s="78">
        <v>0</v>
      </c>
    </row>
    <row r="456" spans="1:5" x14ac:dyDescent="0.3">
      <c r="A456" s="45" t="s">
        <v>32</v>
      </c>
      <c r="B456" s="6" t="s">
        <v>168</v>
      </c>
      <c r="C456" s="78">
        <v>0</v>
      </c>
      <c r="D456" s="78">
        <v>0</v>
      </c>
      <c r="E456" s="78">
        <v>0</v>
      </c>
    </row>
    <row r="457" spans="1:5" x14ac:dyDescent="0.3">
      <c r="A457" s="45" t="s">
        <v>32</v>
      </c>
      <c r="B457" s="6" t="s">
        <v>169</v>
      </c>
      <c r="C457" s="78">
        <v>0</v>
      </c>
      <c r="D457" s="78">
        <v>0</v>
      </c>
      <c r="E457" s="78">
        <v>0</v>
      </c>
    </row>
    <row r="458" spans="1:5" x14ac:dyDescent="0.3">
      <c r="A458" s="45" t="s">
        <v>150</v>
      </c>
      <c r="B458" s="6" t="s">
        <v>158</v>
      </c>
      <c r="C458" s="78">
        <v>0</v>
      </c>
      <c r="D458" s="78">
        <v>0</v>
      </c>
      <c r="E458" s="78">
        <v>1</v>
      </c>
    </row>
    <row r="459" spans="1:5" x14ac:dyDescent="0.3">
      <c r="A459" s="45" t="s">
        <v>150</v>
      </c>
      <c r="B459" s="6" t="s">
        <v>159</v>
      </c>
      <c r="C459" s="78">
        <v>0</v>
      </c>
      <c r="D459" s="78">
        <v>0</v>
      </c>
      <c r="E459" s="78">
        <v>1</v>
      </c>
    </row>
    <row r="460" spans="1:5" x14ac:dyDescent="0.3">
      <c r="A460" s="45" t="s">
        <v>150</v>
      </c>
      <c r="B460" s="6" t="s">
        <v>160</v>
      </c>
      <c r="C460" s="78">
        <v>0</v>
      </c>
      <c r="D460" s="78">
        <v>0</v>
      </c>
      <c r="E460" s="78">
        <v>0</v>
      </c>
    </row>
    <row r="461" spans="1:5" x14ac:dyDescent="0.3">
      <c r="A461" s="45" t="s">
        <v>150</v>
      </c>
      <c r="B461" s="6" t="s">
        <v>161</v>
      </c>
      <c r="C461" s="78">
        <v>0</v>
      </c>
      <c r="D461" s="78">
        <v>0</v>
      </c>
      <c r="E461" s="78">
        <v>0</v>
      </c>
    </row>
    <row r="462" spans="1:5" x14ac:dyDescent="0.3">
      <c r="A462" s="45" t="s">
        <v>150</v>
      </c>
      <c r="B462" s="6" t="s">
        <v>162</v>
      </c>
      <c r="C462" s="78">
        <v>0</v>
      </c>
      <c r="D462" s="78">
        <v>0</v>
      </c>
      <c r="E462" s="78">
        <v>0</v>
      </c>
    </row>
    <row r="463" spans="1:5" x14ac:dyDescent="0.3">
      <c r="A463" s="45" t="s">
        <v>150</v>
      </c>
      <c r="B463" s="6" t="s">
        <v>163</v>
      </c>
      <c r="C463" s="78">
        <v>0</v>
      </c>
      <c r="D463" s="78">
        <v>0</v>
      </c>
      <c r="E463" s="78">
        <v>0</v>
      </c>
    </row>
    <row r="464" spans="1:5" x14ac:dyDescent="0.3">
      <c r="A464" s="45" t="s">
        <v>150</v>
      </c>
      <c r="B464" s="6" t="s">
        <v>164</v>
      </c>
      <c r="C464" s="78">
        <v>0</v>
      </c>
      <c r="D464" s="78">
        <v>0</v>
      </c>
      <c r="E464" s="78">
        <v>0</v>
      </c>
    </row>
    <row r="465" spans="1:5" x14ac:dyDescent="0.3">
      <c r="A465" s="45" t="s">
        <v>150</v>
      </c>
      <c r="B465" s="6" t="s">
        <v>165</v>
      </c>
      <c r="C465" s="78">
        <v>0</v>
      </c>
      <c r="D465" s="78">
        <v>0</v>
      </c>
      <c r="E465" s="78">
        <v>0</v>
      </c>
    </row>
    <row r="466" spans="1:5" x14ac:dyDescent="0.3">
      <c r="A466" s="45" t="s">
        <v>150</v>
      </c>
      <c r="B466" s="6" t="s">
        <v>166</v>
      </c>
      <c r="C466" s="78">
        <v>0</v>
      </c>
      <c r="D466" s="78">
        <v>0</v>
      </c>
      <c r="E466" s="78">
        <v>0</v>
      </c>
    </row>
    <row r="467" spans="1:5" x14ac:dyDescent="0.3">
      <c r="A467" s="45" t="s">
        <v>150</v>
      </c>
      <c r="B467" s="6" t="s">
        <v>167</v>
      </c>
      <c r="C467" s="78">
        <v>0</v>
      </c>
      <c r="D467" s="78">
        <v>0</v>
      </c>
      <c r="E467" s="78">
        <v>0</v>
      </c>
    </row>
    <row r="468" spans="1:5" x14ac:dyDescent="0.3">
      <c r="A468" s="45" t="s">
        <v>150</v>
      </c>
      <c r="B468" s="6" t="s">
        <v>168</v>
      </c>
      <c r="C468" s="78">
        <v>0</v>
      </c>
      <c r="D468" s="78">
        <v>0</v>
      </c>
      <c r="E468" s="78">
        <v>0</v>
      </c>
    </row>
    <row r="469" spans="1:5" x14ac:dyDescent="0.3">
      <c r="A469" s="45" t="s">
        <v>150</v>
      </c>
      <c r="B469" s="6" t="s">
        <v>169</v>
      </c>
      <c r="C469" s="78">
        <v>0</v>
      </c>
      <c r="D469" s="78">
        <v>0</v>
      </c>
      <c r="E469" s="78">
        <v>0</v>
      </c>
    </row>
    <row r="470" spans="1:5" x14ac:dyDescent="0.3">
      <c r="A470" s="45" t="s">
        <v>71</v>
      </c>
      <c r="B470" s="6" t="s">
        <v>158</v>
      </c>
      <c r="C470" s="78">
        <v>0</v>
      </c>
      <c r="D470" s="78">
        <v>0</v>
      </c>
      <c r="E470" s="78">
        <v>0</v>
      </c>
    </row>
    <row r="471" spans="1:5" x14ac:dyDescent="0.3">
      <c r="A471" s="45" t="s">
        <v>71</v>
      </c>
      <c r="B471" s="6" t="s">
        <v>159</v>
      </c>
      <c r="C471" s="78">
        <v>0</v>
      </c>
      <c r="D471" s="78">
        <v>0</v>
      </c>
      <c r="E471" s="78">
        <v>0</v>
      </c>
    </row>
    <row r="472" spans="1:5" x14ac:dyDescent="0.3">
      <c r="A472" s="45" t="s">
        <v>71</v>
      </c>
      <c r="B472" s="6" t="s">
        <v>160</v>
      </c>
      <c r="C472" s="78">
        <v>0</v>
      </c>
      <c r="D472" s="78">
        <v>0</v>
      </c>
      <c r="E472" s="78">
        <v>0</v>
      </c>
    </row>
    <row r="473" spans="1:5" x14ac:dyDescent="0.3">
      <c r="A473" s="45" t="s">
        <v>71</v>
      </c>
      <c r="B473" s="6" t="s">
        <v>161</v>
      </c>
      <c r="C473" s="78">
        <v>0</v>
      </c>
      <c r="D473" s="78">
        <v>0</v>
      </c>
      <c r="E473" s="78">
        <v>0</v>
      </c>
    </row>
    <row r="474" spans="1:5" x14ac:dyDescent="0.3">
      <c r="A474" s="45" t="s">
        <v>71</v>
      </c>
      <c r="B474" s="6" t="s">
        <v>162</v>
      </c>
      <c r="C474" s="78">
        <v>0</v>
      </c>
      <c r="D474" s="78">
        <v>0</v>
      </c>
      <c r="E474" s="78">
        <v>0</v>
      </c>
    </row>
    <row r="475" spans="1:5" x14ac:dyDescent="0.3">
      <c r="A475" s="45" t="s">
        <v>71</v>
      </c>
      <c r="B475" s="6" t="s">
        <v>163</v>
      </c>
      <c r="C475" s="78">
        <v>0</v>
      </c>
      <c r="D475" s="78">
        <v>0</v>
      </c>
      <c r="E475" s="78">
        <v>0</v>
      </c>
    </row>
    <row r="476" spans="1:5" x14ac:dyDescent="0.3">
      <c r="A476" s="45" t="s">
        <v>71</v>
      </c>
      <c r="B476" s="6" t="s">
        <v>164</v>
      </c>
      <c r="C476" s="78">
        <v>0</v>
      </c>
      <c r="D476" s="78">
        <v>0</v>
      </c>
      <c r="E476" s="78">
        <v>0</v>
      </c>
    </row>
    <row r="477" spans="1:5" x14ac:dyDescent="0.3">
      <c r="A477" s="45" t="s">
        <v>71</v>
      </c>
      <c r="B477" s="6" t="s">
        <v>165</v>
      </c>
      <c r="C477" s="78">
        <v>0</v>
      </c>
      <c r="D477" s="78">
        <v>0</v>
      </c>
      <c r="E477" s="78">
        <v>0</v>
      </c>
    </row>
    <row r="478" spans="1:5" x14ac:dyDescent="0.3">
      <c r="A478" s="45" t="s">
        <v>71</v>
      </c>
      <c r="B478" s="6" t="s">
        <v>166</v>
      </c>
      <c r="C478" s="78">
        <v>0</v>
      </c>
      <c r="D478" s="78">
        <v>0</v>
      </c>
      <c r="E478" s="78">
        <v>0</v>
      </c>
    </row>
    <row r="479" spans="1:5" x14ac:dyDescent="0.3">
      <c r="A479" s="45" t="s">
        <v>71</v>
      </c>
      <c r="B479" s="6" t="s">
        <v>167</v>
      </c>
      <c r="C479" s="78">
        <v>0</v>
      </c>
      <c r="D479" s="78">
        <v>0</v>
      </c>
      <c r="E479" s="78">
        <v>0</v>
      </c>
    </row>
    <row r="480" spans="1:5" x14ac:dyDescent="0.3">
      <c r="A480" s="45" t="s">
        <v>71</v>
      </c>
      <c r="B480" s="6" t="s">
        <v>168</v>
      </c>
      <c r="C480" s="78">
        <v>0</v>
      </c>
      <c r="D480" s="78">
        <v>0</v>
      </c>
      <c r="E480" s="78">
        <v>0</v>
      </c>
    </row>
    <row r="481" spans="1:5" x14ac:dyDescent="0.3">
      <c r="A481" s="45" t="s">
        <v>71</v>
      </c>
      <c r="B481" s="6" t="s">
        <v>169</v>
      </c>
      <c r="C481" s="78">
        <v>0</v>
      </c>
      <c r="D481" s="78">
        <v>0</v>
      </c>
      <c r="E481" s="78">
        <v>0</v>
      </c>
    </row>
    <row r="482" spans="1:5" x14ac:dyDescent="0.3">
      <c r="A482" s="45" t="s">
        <v>84</v>
      </c>
      <c r="B482" s="6" t="s">
        <v>158</v>
      </c>
      <c r="C482" s="78">
        <v>0</v>
      </c>
      <c r="D482" s="78">
        <v>0</v>
      </c>
      <c r="E482" s="78">
        <v>0</v>
      </c>
    </row>
    <row r="483" spans="1:5" x14ac:dyDescent="0.3">
      <c r="A483" s="45" t="s">
        <v>84</v>
      </c>
      <c r="B483" s="6" t="s">
        <v>159</v>
      </c>
      <c r="C483" s="78">
        <v>0</v>
      </c>
      <c r="D483" s="78">
        <v>0</v>
      </c>
      <c r="E483" s="78">
        <v>0</v>
      </c>
    </row>
    <row r="484" spans="1:5" x14ac:dyDescent="0.3">
      <c r="A484" s="45" t="s">
        <v>84</v>
      </c>
      <c r="B484" s="6" t="s">
        <v>160</v>
      </c>
      <c r="C484" s="78">
        <v>0</v>
      </c>
      <c r="D484" s="78">
        <v>0</v>
      </c>
      <c r="E484" s="78">
        <v>0</v>
      </c>
    </row>
    <row r="485" spans="1:5" x14ac:dyDescent="0.3">
      <c r="A485" s="45" t="s">
        <v>84</v>
      </c>
      <c r="B485" s="6" t="s">
        <v>161</v>
      </c>
      <c r="C485" s="78">
        <v>0</v>
      </c>
      <c r="D485" s="78">
        <v>0</v>
      </c>
      <c r="E485" s="78">
        <v>0</v>
      </c>
    </row>
    <row r="486" spans="1:5" x14ac:dyDescent="0.3">
      <c r="A486" s="45" t="s">
        <v>84</v>
      </c>
      <c r="B486" s="6" t="s">
        <v>162</v>
      </c>
      <c r="C486" s="78">
        <v>0</v>
      </c>
      <c r="D486" s="78">
        <v>0</v>
      </c>
      <c r="E486" s="78">
        <v>0</v>
      </c>
    </row>
    <row r="487" spans="1:5" x14ac:dyDescent="0.3">
      <c r="A487" s="45" t="s">
        <v>84</v>
      </c>
      <c r="B487" s="6" t="s">
        <v>163</v>
      </c>
      <c r="C487" s="78">
        <v>0</v>
      </c>
      <c r="D487" s="78">
        <v>0</v>
      </c>
      <c r="E487" s="78">
        <v>0</v>
      </c>
    </row>
    <row r="488" spans="1:5" x14ac:dyDescent="0.3">
      <c r="A488" s="45" t="s">
        <v>84</v>
      </c>
      <c r="B488" s="6" t="s">
        <v>164</v>
      </c>
      <c r="C488" s="78">
        <v>0</v>
      </c>
      <c r="D488" s="78">
        <v>0</v>
      </c>
      <c r="E488" s="78">
        <v>0</v>
      </c>
    </row>
    <row r="489" spans="1:5" x14ac:dyDescent="0.3">
      <c r="A489" s="45" t="s">
        <v>84</v>
      </c>
      <c r="B489" s="6" t="s">
        <v>165</v>
      </c>
      <c r="C489" s="78">
        <v>0</v>
      </c>
      <c r="D489" s="78">
        <v>0</v>
      </c>
      <c r="E489" s="78">
        <v>0</v>
      </c>
    </row>
    <row r="490" spans="1:5" x14ac:dyDescent="0.3">
      <c r="A490" s="45" t="s">
        <v>84</v>
      </c>
      <c r="B490" s="6" t="s">
        <v>166</v>
      </c>
      <c r="C490" s="78">
        <v>0</v>
      </c>
      <c r="D490" s="78">
        <v>0</v>
      </c>
      <c r="E490" s="78">
        <v>0</v>
      </c>
    </row>
    <row r="491" spans="1:5" x14ac:dyDescent="0.3">
      <c r="A491" s="45" t="s">
        <v>84</v>
      </c>
      <c r="B491" s="6" t="s">
        <v>167</v>
      </c>
      <c r="C491" s="78">
        <v>0</v>
      </c>
      <c r="D491" s="78">
        <v>0</v>
      </c>
      <c r="E491" s="78">
        <v>0</v>
      </c>
    </row>
    <row r="492" spans="1:5" x14ac:dyDescent="0.3">
      <c r="A492" s="45" t="s">
        <v>84</v>
      </c>
      <c r="B492" s="6" t="s">
        <v>168</v>
      </c>
      <c r="C492" s="78">
        <v>0</v>
      </c>
      <c r="D492" s="78">
        <v>0</v>
      </c>
      <c r="E492" s="78">
        <v>0</v>
      </c>
    </row>
    <row r="493" spans="1:5" x14ac:dyDescent="0.3">
      <c r="A493" s="45" t="s">
        <v>84</v>
      </c>
      <c r="B493" s="6" t="s">
        <v>169</v>
      </c>
      <c r="C493" s="78">
        <v>0</v>
      </c>
      <c r="D493" s="78">
        <v>0</v>
      </c>
      <c r="E493" s="78">
        <v>0</v>
      </c>
    </row>
    <row r="494" spans="1:5" x14ac:dyDescent="0.3">
      <c r="A494" s="45" t="s">
        <v>81</v>
      </c>
      <c r="B494" s="6" t="s">
        <v>158</v>
      </c>
      <c r="C494" s="78">
        <v>0</v>
      </c>
      <c r="D494" s="78">
        <v>0</v>
      </c>
      <c r="E494" s="78">
        <v>0</v>
      </c>
    </row>
    <row r="495" spans="1:5" x14ac:dyDescent="0.3">
      <c r="A495" s="45" t="s">
        <v>81</v>
      </c>
      <c r="B495" s="6" t="s">
        <v>159</v>
      </c>
      <c r="C495" s="78">
        <v>0</v>
      </c>
      <c r="D495" s="78">
        <v>0</v>
      </c>
      <c r="E495" s="78">
        <v>0</v>
      </c>
    </row>
    <row r="496" spans="1:5" x14ac:dyDescent="0.3">
      <c r="A496" s="45" t="s">
        <v>81</v>
      </c>
      <c r="B496" s="6" t="s">
        <v>160</v>
      </c>
      <c r="C496" s="78">
        <v>0</v>
      </c>
      <c r="D496" s="78">
        <v>0</v>
      </c>
      <c r="E496" s="78">
        <v>0</v>
      </c>
    </row>
    <row r="497" spans="1:5" x14ac:dyDescent="0.3">
      <c r="A497" s="45" t="s">
        <v>81</v>
      </c>
      <c r="B497" s="6" t="s">
        <v>161</v>
      </c>
      <c r="C497" s="78">
        <v>0</v>
      </c>
      <c r="D497" s="78">
        <v>0</v>
      </c>
      <c r="E497" s="78">
        <v>1</v>
      </c>
    </row>
    <row r="498" spans="1:5" x14ac:dyDescent="0.3">
      <c r="A498" s="45" t="s">
        <v>81</v>
      </c>
      <c r="B498" s="6" t="s">
        <v>162</v>
      </c>
      <c r="C498" s="78">
        <v>0</v>
      </c>
      <c r="D498" s="78">
        <v>0</v>
      </c>
      <c r="E498" s="78">
        <v>0</v>
      </c>
    </row>
    <row r="499" spans="1:5" x14ac:dyDescent="0.3">
      <c r="A499" s="45" t="s">
        <v>81</v>
      </c>
      <c r="B499" s="6" t="s">
        <v>163</v>
      </c>
      <c r="C499" s="78">
        <v>0</v>
      </c>
      <c r="D499" s="78">
        <v>0</v>
      </c>
      <c r="E499" s="78">
        <v>0</v>
      </c>
    </row>
    <row r="500" spans="1:5" x14ac:dyDescent="0.3">
      <c r="A500" s="45" t="s">
        <v>81</v>
      </c>
      <c r="B500" s="6" t="s">
        <v>164</v>
      </c>
      <c r="C500" s="78">
        <v>0</v>
      </c>
      <c r="D500" s="78">
        <v>0</v>
      </c>
      <c r="E500" s="78">
        <v>0</v>
      </c>
    </row>
    <row r="501" spans="1:5" x14ac:dyDescent="0.3">
      <c r="A501" s="45" t="s">
        <v>81</v>
      </c>
      <c r="B501" s="6" t="s">
        <v>165</v>
      </c>
      <c r="C501" s="78">
        <v>0</v>
      </c>
      <c r="D501" s="78">
        <v>0</v>
      </c>
      <c r="E501" s="78">
        <v>0</v>
      </c>
    </row>
    <row r="502" spans="1:5" x14ac:dyDescent="0.3">
      <c r="A502" s="45" t="s">
        <v>81</v>
      </c>
      <c r="B502" s="6" t="s">
        <v>166</v>
      </c>
      <c r="C502" s="78">
        <v>0</v>
      </c>
      <c r="D502" s="78">
        <v>0</v>
      </c>
      <c r="E502" s="78">
        <v>0</v>
      </c>
    </row>
    <row r="503" spans="1:5" x14ac:dyDescent="0.3">
      <c r="A503" s="45" t="s">
        <v>81</v>
      </c>
      <c r="B503" s="6" t="s">
        <v>167</v>
      </c>
      <c r="C503" s="78">
        <v>0</v>
      </c>
      <c r="D503" s="78">
        <v>0</v>
      </c>
      <c r="E503" s="78">
        <v>0</v>
      </c>
    </row>
    <row r="504" spans="1:5" x14ac:dyDescent="0.3">
      <c r="A504" s="45" t="s">
        <v>81</v>
      </c>
      <c r="B504" s="6" t="s">
        <v>168</v>
      </c>
      <c r="C504" s="78">
        <v>0</v>
      </c>
      <c r="D504" s="78">
        <v>0</v>
      </c>
      <c r="E504" s="78">
        <v>0</v>
      </c>
    </row>
    <row r="505" spans="1:5" x14ac:dyDescent="0.3">
      <c r="A505" s="45" t="s">
        <v>81</v>
      </c>
      <c r="B505" s="6" t="s">
        <v>169</v>
      </c>
      <c r="C505" s="78">
        <v>0</v>
      </c>
      <c r="D505" s="78">
        <v>0</v>
      </c>
      <c r="E505" s="78">
        <v>0</v>
      </c>
    </row>
    <row r="506" spans="1:5" x14ac:dyDescent="0.3">
      <c r="A506" s="45" t="s">
        <v>53</v>
      </c>
      <c r="B506" s="6" t="s">
        <v>158</v>
      </c>
      <c r="C506" s="78">
        <v>0</v>
      </c>
      <c r="D506" s="78">
        <v>0</v>
      </c>
      <c r="E506" s="78">
        <v>0</v>
      </c>
    </row>
    <row r="507" spans="1:5" x14ac:dyDescent="0.3">
      <c r="A507" s="45" t="s">
        <v>53</v>
      </c>
      <c r="B507" s="6" t="s">
        <v>159</v>
      </c>
      <c r="C507" s="78">
        <v>0</v>
      </c>
      <c r="D507" s="78">
        <v>0</v>
      </c>
      <c r="E507" s="78">
        <v>0</v>
      </c>
    </row>
    <row r="508" spans="1:5" x14ac:dyDescent="0.3">
      <c r="A508" s="45" t="s">
        <v>53</v>
      </c>
      <c r="B508" s="6" t="s">
        <v>160</v>
      </c>
      <c r="C508" s="78">
        <v>0</v>
      </c>
      <c r="D508" s="78">
        <v>0</v>
      </c>
      <c r="E508" s="78">
        <v>0</v>
      </c>
    </row>
    <row r="509" spans="1:5" x14ac:dyDescent="0.3">
      <c r="A509" s="45" t="s">
        <v>53</v>
      </c>
      <c r="B509" s="6" t="s">
        <v>161</v>
      </c>
      <c r="C509" s="78">
        <v>0</v>
      </c>
      <c r="D509" s="78">
        <v>0</v>
      </c>
      <c r="E509" s="78">
        <v>0</v>
      </c>
    </row>
    <row r="510" spans="1:5" x14ac:dyDescent="0.3">
      <c r="A510" s="45" t="s">
        <v>53</v>
      </c>
      <c r="B510" s="6" t="s">
        <v>162</v>
      </c>
      <c r="C510" s="78">
        <v>0</v>
      </c>
      <c r="D510" s="78">
        <v>0</v>
      </c>
      <c r="E510" s="78">
        <v>0</v>
      </c>
    </row>
    <row r="511" spans="1:5" x14ac:dyDescent="0.3">
      <c r="A511" s="45" t="s">
        <v>53</v>
      </c>
      <c r="B511" s="6" t="s">
        <v>163</v>
      </c>
      <c r="C511" s="78">
        <v>0</v>
      </c>
      <c r="D511" s="78">
        <v>0</v>
      </c>
      <c r="E511" s="78">
        <v>0</v>
      </c>
    </row>
    <row r="512" spans="1:5" x14ac:dyDescent="0.3">
      <c r="A512" s="45" t="s">
        <v>53</v>
      </c>
      <c r="B512" s="6" t="s">
        <v>164</v>
      </c>
      <c r="C512" s="78">
        <v>0</v>
      </c>
      <c r="D512" s="78">
        <v>0</v>
      </c>
      <c r="E512" s="78">
        <v>0</v>
      </c>
    </row>
    <row r="513" spans="1:5" x14ac:dyDescent="0.3">
      <c r="A513" s="45" t="s">
        <v>53</v>
      </c>
      <c r="B513" s="6" t="s">
        <v>165</v>
      </c>
      <c r="C513" s="78">
        <v>0</v>
      </c>
      <c r="D513" s="78">
        <v>0</v>
      </c>
      <c r="E513" s="78">
        <v>0</v>
      </c>
    </row>
    <row r="514" spans="1:5" x14ac:dyDescent="0.3">
      <c r="A514" s="45" t="s">
        <v>53</v>
      </c>
      <c r="B514" s="6" t="s">
        <v>166</v>
      </c>
      <c r="C514" s="78">
        <v>0</v>
      </c>
      <c r="D514" s="78">
        <v>0</v>
      </c>
      <c r="E514" s="78">
        <v>0</v>
      </c>
    </row>
    <row r="515" spans="1:5" x14ac:dyDescent="0.3">
      <c r="A515" s="45" t="s">
        <v>53</v>
      </c>
      <c r="B515" s="6" t="s">
        <v>167</v>
      </c>
      <c r="C515" s="78">
        <v>0</v>
      </c>
      <c r="D515" s="78">
        <v>0</v>
      </c>
      <c r="E515" s="78">
        <v>0</v>
      </c>
    </row>
    <row r="516" spans="1:5" x14ac:dyDescent="0.3">
      <c r="A516" s="45" t="s">
        <v>53</v>
      </c>
      <c r="B516" s="6" t="s">
        <v>168</v>
      </c>
      <c r="C516" s="78">
        <v>0</v>
      </c>
      <c r="D516" s="78">
        <v>0</v>
      </c>
      <c r="E516" s="78">
        <v>0</v>
      </c>
    </row>
    <row r="517" spans="1:5" x14ac:dyDescent="0.3">
      <c r="A517" s="45" t="s">
        <v>53</v>
      </c>
      <c r="B517" s="6" t="s">
        <v>169</v>
      </c>
      <c r="C517" s="78">
        <v>0</v>
      </c>
      <c r="D517" s="78">
        <v>0</v>
      </c>
      <c r="E517" s="78">
        <v>0</v>
      </c>
    </row>
    <row r="518" spans="1:5" x14ac:dyDescent="0.3">
      <c r="A518" s="45" t="s">
        <v>109</v>
      </c>
      <c r="B518" s="6" t="s">
        <v>158</v>
      </c>
      <c r="C518" s="78">
        <v>0</v>
      </c>
      <c r="D518" s="78">
        <v>0</v>
      </c>
      <c r="E518" s="78">
        <v>0</v>
      </c>
    </row>
    <row r="519" spans="1:5" x14ac:dyDescent="0.3">
      <c r="A519" s="45" t="s">
        <v>109</v>
      </c>
      <c r="B519" s="6" t="s">
        <v>159</v>
      </c>
      <c r="C519" s="78">
        <v>0</v>
      </c>
      <c r="D519" s="78">
        <v>0</v>
      </c>
      <c r="E519" s="78">
        <v>0</v>
      </c>
    </row>
    <row r="520" spans="1:5" x14ac:dyDescent="0.3">
      <c r="A520" s="45" t="s">
        <v>109</v>
      </c>
      <c r="B520" s="6" t="s">
        <v>160</v>
      </c>
      <c r="C520" s="78">
        <v>0</v>
      </c>
      <c r="D520" s="78">
        <v>0</v>
      </c>
      <c r="E520" s="78">
        <v>0</v>
      </c>
    </row>
    <row r="521" spans="1:5" x14ac:dyDescent="0.3">
      <c r="A521" s="45" t="s">
        <v>109</v>
      </c>
      <c r="B521" s="6" t="s">
        <v>161</v>
      </c>
      <c r="C521" s="78">
        <v>0</v>
      </c>
      <c r="D521" s="78">
        <v>0</v>
      </c>
      <c r="E521" s="78">
        <v>0</v>
      </c>
    </row>
    <row r="522" spans="1:5" x14ac:dyDescent="0.3">
      <c r="A522" s="45" t="s">
        <v>109</v>
      </c>
      <c r="B522" s="6" t="s">
        <v>162</v>
      </c>
      <c r="C522" s="78">
        <v>0</v>
      </c>
      <c r="D522" s="78">
        <v>0</v>
      </c>
      <c r="E522" s="78">
        <v>0</v>
      </c>
    </row>
    <row r="523" spans="1:5" x14ac:dyDescent="0.3">
      <c r="A523" s="45" t="s">
        <v>109</v>
      </c>
      <c r="B523" s="6" t="s">
        <v>163</v>
      </c>
      <c r="C523" s="78">
        <v>0</v>
      </c>
      <c r="D523" s="78">
        <v>0</v>
      </c>
      <c r="E523" s="78">
        <v>0</v>
      </c>
    </row>
    <row r="524" spans="1:5" x14ac:dyDescent="0.3">
      <c r="A524" s="45" t="s">
        <v>109</v>
      </c>
      <c r="B524" s="6" t="s">
        <v>164</v>
      </c>
      <c r="C524" s="78">
        <v>0</v>
      </c>
      <c r="D524" s="78">
        <v>0</v>
      </c>
      <c r="E524" s="78">
        <v>0</v>
      </c>
    </row>
    <row r="525" spans="1:5" x14ac:dyDescent="0.3">
      <c r="A525" s="45" t="s">
        <v>109</v>
      </c>
      <c r="B525" s="6" t="s">
        <v>165</v>
      </c>
      <c r="C525" s="78">
        <v>0</v>
      </c>
      <c r="D525" s="78">
        <v>0</v>
      </c>
      <c r="E525" s="78">
        <v>0</v>
      </c>
    </row>
    <row r="526" spans="1:5" x14ac:dyDescent="0.3">
      <c r="A526" s="45" t="s">
        <v>109</v>
      </c>
      <c r="B526" s="6" t="s">
        <v>166</v>
      </c>
      <c r="C526" s="78">
        <v>0</v>
      </c>
      <c r="D526" s="78">
        <v>0</v>
      </c>
      <c r="E526" s="78">
        <v>0</v>
      </c>
    </row>
    <row r="527" spans="1:5" x14ac:dyDescent="0.3">
      <c r="A527" s="45" t="s">
        <v>109</v>
      </c>
      <c r="B527" s="6" t="s">
        <v>167</v>
      </c>
      <c r="C527" s="78">
        <v>0</v>
      </c>
      <c r="D527" s="78">
        <v>0</v>
      </c>
      <c r="E527" s="78">
        <v>0</v>
      </c>
    </row>
    <row r="528" spans="1:5" x14ac:dyDescent="0.3">
      <c r="A528" s="45" t="s">
        <v>109</v>
      </c>
      <c r="B528" s="6" t="s">
        <v>168</v>
      </c>
      <c r="C528" s="78">
        <v>0</v>
      </c>
      <c r="D528" s="78">
        <v>0</v>
      </c>
      <c r="E528" s="78">
        <v>0</v>
      </c>
    </row>
    <row r="529" spans="1:5" x14ac:dyDescent="0.3">
      <c r="A529" s="45" t="s">
        <v>109</v>
      </c>
      <c r="B529" s="6" t="s">
        <v>169</v>
      </c>
      <c r="C529" s="78">
        <v>0</v>
      </c>
      <c r="D529" s="78">
        <v>0</v>
      </c>
      <c r="E529" s="78">
        <v>0</v>
      </c>
    </row>
    <row r="530" spans="1:5" x14ac:dyDescent="0.3">
      <c r="A530" s="45" t="s">
        <v>102</v>
      </c>
      <c r="B530" s="6" t="s">
        <v>158</v>
      </c>
      <c r="C530" s="78">
        <v>0</v>
      </c>
      <c r="D530" s="78">
        <v>0</v>
      </c>
      <c r="E530" s="78">
        <v>1</v>
      </c>
    </row>
    <row r="531" spans="1:5" x14ac:dyDescent="0.3">
      <c r="A531" s="45" t="s">
        <v>102</v>
      </c>
      <c r="B531" s="6" t="s">
        <v>159</v>
      </c>
      <c r="C531" s="78">
        <v>0</v>
      </c>
      <c r="D531" s="78">
        <v>0</v>
      </c>
      <c r="E531" s="78">
        <v>0</v>
      </c>
    </row>
    <row r="532" spans="1:5" x14ac:dyDescent="0.3">
      <c r="A532" s="45" t="s">
        <v>102</v>
      </c>
      <c r="B532" s="6" t="s">
        <v>160</v>
      </c>
      <c r="C532" s="78">
        <v>0</v>
      </c>
      <c r="D532" s="78">
        <v>0</v>
      </c>
      <c r="E532" s="78">
        <v>0</v>
      </c>
    </row>
    <row r="533" spans="1:5" x14ac:dyDescent="0.3">
      <c r="A533" s="45" t="s">
        <v>102</v>
      </c>
      <c r="B533" s="6" t="s">
        <v>161</v>
      </c>
      <c r="C533" s="78">
        <v>0</v>
      </c>
      <c r="D533" s="78">
        <v>0</v>
      </c>
      <c r="E533" s="78">
        <v>0</v>
      </c>
    </row>
    <row r="534" spans="1:5" x14ac:dyDescent="0.3">
      <c r="A534" s="45" t="s">
        <v>102</v>
      </c>
      <c r="B534" s="6" t="s">
        <v>162</v>
      </c>
      <c r="C534" s="78">
        <v>0</v>
      </c>
      <c r="D534" s="78">
        <v>0</v>
      </c>
      <c r="E534" s="78">
        <v>0</v>
      </c>
    </row>
    <row r="535" spans="1:5" x14ac:dyDescent="0.3">
      <c r="A535" s="45" t="s">
        <v>102</v>
      </c>
      <c r="B535" s="6" t="s">
        <v>163</v>
      </c>
      <c r="C535" s="78">
        <v>0</v>
      </c>
      <c r="D535" s="78">
        <v>0</v>
      </c>
      <c r="E535" s="78">
        <v>0</v>
      </c>
    </row>
    <row r="536" spans="1:5" x14ac:dyDescent="0.3">
      <c r="A536" s="45" t="s">
        <v>102</v>
      </c>
      <c r="B536" s="6" t="s">
        <v>164</v>
      </c>
      <c r="C536" s="78">
        <v>0</v>
      </c>
      <c r="D536" s="78">
        <v>0</v>
      </c>
      <c r="E536" s="78">
        <v>0</v>
      </c>
    </row>
    <row r="537" spans="1:5" x14ac:dyDescent="0.3">
      <c r="A537" s="45" t="s">
        <v>102</v>
      </c>
      <c r="B537" s="6" t="s">
        <v>165</v>
      </c>
      <c r="C537" s="78">
        <v>0</v>
      </c>
      <c r="D537" s="78">
        <v>0</v>
      </c>
      <c r="E537" s="78">
        <v>0</v>
      </c>
    </row>
    <row r="538" spans="1:5" x14ac:dyDescent="0.3">
      <c r="A538" s="45" t="s">
        <v>102</v>
      </c>
      <c r="B538" s="6" t="s">
        <v>166</v>
      </c>
      <c r="C538" s="78">
        <v>0</v>
      </c>
      <c r="D538" s="78">
        <v>0</v>
      </c>
      <c r="E538" s="78">
        <v>0</v>
      </c>
    </row>
    <row r="539" spans="1:5" x14ac:dyDescent="0.3">
      <c r="A539" s="45" t="s">
        <v>102</v>
      </c>
      <c r="B539" s="6" t="s">
        <v>167</v>
      </c>
      <c r="C539" s="78">
        <v>0</v>
      </c>
      <c r="D539" s="78">
        <v>0</v>
      </c>
      <c r="E539" s="78">
        <v>0</v>
      </c>
    </row>
    <row r="540" spans="1:5" x14ac:dyDescent="0.3">
      <c r="A540" s="45" t="s">
        <v>102</v>
      </c>
      <c r="B540" s="6" t="s">
        <v>168</v>
      </c>
      <c r="C540" s="78">
        <v>0</v>
      </c>
      <c r="D540" s="78">
        <v>0</v>
      </c>
      <c r="E540" s="78">
        <v>0</v>
      </c>
    </row>
    <row r="541" spans="1:5" x14ac:dyDescent="0.3">
      <c r="A541" s="45" t="s">
        <v>102</v>
      </c>
      <c r="B541" s="6" t="s">
        <v>169</v>
      </c>
      <c r="C541" s="78">
        <v>0</v>
      </c>
      <c r="D541" s="78">
        <v>0</v>
      </c>
      <c r="E541" s="78">
        <v>0</v>
      </c>
    </row>
    <row r="542" spans="1:5" x14ac:dyDescent="0.3">
      <c r="A542" s="45" t="s">
        <v>113</v>
      </c>
      <c r="B542" s="6" t="s">
        <v>158</v>
      </c>
      <c r="C542" s="78">
        <v>0</v>
      </c>
      <c r="D542" s="78">
        <v>0</v>
      </c>
      <c r="E542" s="78">
        <v>0</v>
      </c>
    </row>
    <row r="543" spans="1:5" x14ac:dyDescent="0.3">
      <c r="A543" s="45" t="s">
        <v>113</v>
      </c>
      <c r="B543" s="6" t="s">
        <v>159</v>
      </c>
      <c r="C543" s="78">
        <v>0</v>
      </c>
      <c r="D543" s="78">
        <v>0</v>
      </c>
      <c r="E543" s="78">
        <v>0</v>
      </c>
    </row>
    <row r="544" spans="1:5" x14ac:dyDescent="0.3">
      <c r="A544" s="45" t="s">
        <v>113</v>
      </c>
      <c r="B544" s="6" t="s">
        <v>160</v>
      </c>
      <c r="C544" s="78">
        <v>0</v>
      </c>
      <c r="D544" s="78">
        <v>0</v>
      </c>
      <c r="E544" s="78">
        <v>0</v>
      </c>
    </row>
    <row r="545" spans="1:5" x14ac:dyDescent="0.3">
      <c r="A545" s="45" t="s">
        <v>113</v>
      </c>
      <c r="B545" s="6" t="s">
        <v>161</v>
      </c>
      <c r="C545" s="78">
        <v>0</v>
      </c>
      <c r="D545" s="78">
        <v>0</v>
      </c>
      <c r="E545" s="78">
        <v>0</v>
      </c>
    </row>
    <row r="546" spans="1:5" x14ac:dyDescent="0.3">
      <c r="A546" s="45" t="s">
        <v>113</v>
      </c>
      <c r="B546" s="6" t="s">
        <v>162</v>
      </c>
      <c r="C546" s="78">
        <v>0</v>
      </c>
      <c r="D546" s="78">
        <v>0</v>
      </c>
      <c r="E546" s="78">
        <v>0</v>
      </c>
    </row>
    <row r="547" spans="1:5" x14ac:dyDescent="0.3">
      <c r="A547" s="45" t="s">
        <v>113</v>
      </c>
      <c r="B547" s="6" t="s">
        <v>163</v>
      </c>
      <c r="C547" s="78">
        <v>0</v>
      </c>
      <c r="D547" s="78">
        <v>0</v>
      </c>
      <c r="E547" s="78">
        <v>0</v>
      </c>
    </row>
    <row r="548" spans="1:5" x14ac:dyDescent="0.3">
      <c r="A548" s="45" t="s">
        <v>113</v>
      </c>
      <c r="B548" s="6" t="s">
        <v>164</v>
      </c>
      <c r="C548" s="78">
        <v>0</v>
      </c>
      <c r="D548" s="78">
        <v>0</v>
      </c>
      <c r="E548" s="78">
        <v>0</v>
      </c>
    </row>
    <row r="549" spans="1:5" x14ac:dyDescent="0.3">
      <c r="A549" s="45" t="s">
        <v>113</v>
      </c>
      <c r="B549" s="6" t="s">
        <v>165</v>
      </c>
      <c r="C549" s="78">
        <v>0</v>
      </c>
      <c r="D549" s="78">
        <v>0</v>
      </c>
      <c r="E549" s="78">
        <v>0</v>
      </c>
    </row>
    <row r="550" spans="1:5" x14ac:dyDescent="0.3">
      <c r="A550" s="45" t="s">
        <v>113</v>
      </c>
      <c r="B550" s="6" t="s">
        <v>166</v>
      </c>
      <c r="C550" s="78">
        <v>0</v>
      </c>
      <c r="D550" s="78">
        <v>0</v>
      </c>
      <c r="E550" s="78">
        <v>0</v>
      </c>
    </row>
    <row r="551" spans="1:5" x14ac:dyDescent="0.3">
      <c r="A551" s="45" t="s">
        <v>113</v>
      </c>
      <c r="B551" s="6" t="s">
        <v>167</v>
      </c>
      <c r="C551" s="78">
        <v>0</v>
      </c>
      <c r="D551" s="78">
        <v>0</v>
      </c>
      <c r="E551" s="78">
        <v>0</v>
      </c>
    </row>
    <row r="552" spans="1:5" x14ac:dyDescent="0.3">
      <c r="A552" s="45" t="s">
        <v>113</v>
      </c>
      <c r="B552" s="6" t="s">
        <v>168</v>
      </c>
      <c r="C552" s="78">
        <v>0</v>
      </c>
      <c r="D552" s="78">
        <v>0</v>
      </c>
      <c r="E552" s="78">
        <v>0</v>
      </c>
    </row>
    <row r="553" spans="1:5" x14ac:dyDescent="0.3">
      <c r="A553" s="45" t="s">
        <v>113</v>
      </c>
      <c r="B553" s="6" t="s">
        <v>169</v>
      </c>
      <c r="C553" s="78">
        <v>0</v>
      </c>
      <c r="D553" s="78">
        <v>0</v>
      </c>
      <c r="E553" s="78">
        <v>0</v>
      </c>
    </row>
    <row r="554" spans="1:5" x14ac:dyDescent="0.3">
      <c r="A554" s="45" t="s">
        <v>100</v>
      </c>
      <c r="B554" s="6" t="s">
        <v>158</v>
      </c>
      <c r="C554" s="78">
        <v>0</v>
      </c>
      <c r="D554" s="78">
        <v>0</v>
      </c>
      <c r="E554" s="78">
        <v>0</v>
      </c>
    </row>
    <row r="555" spans="1:5" x14ac:dyDescent="0.3">
      <c r="A555" s="45" t="s">
        <v>100</v>
      </c>
      <c r="B555" s="6" t="s">
        <v>159</v>
      </c>
      <c r="C555" s="78">
        <v>0</v>
      </c>
      <c r="D555" s="78">
        <v>0</v>
      </c>
      <c r="E555" s="78">
        <v>0</v>
      </c>
    </row>
    <row r="556" spans="1:5" x14ac:dyDescent="0.3">
      <c r="A556" s="45" t="s">
        <v>100</v>
      </c>
      <c r="B556" s="6" t="s">
        <v>160</v>
      </c>
      <c r="C556" s="78">
        <v>0</v>
      </c>
      <c r="D556" s="78">
        <v>0</v>
      </c>
      <c r="E556" s="78">
        <v>0</v>
      </c>
    </row>
    <row r="557" spans="1:5" x14ac:dyDescent="0.3">
      <c r="A557" s="45" t="s">
        <v>100</v>
      </c>
      <c r="B557" s="6" t="s">
        <v>161</v>
      </c>
      <c r="C557" s="78">
        <v>0</v>
      </c>
      <c r="D557" s="78">
        <v>0</v>
      </c>
      <c r="E557" s="78">
        <v>0</v>
      </c>
    </row>
    <row r="558" spans="1:5" x14ac:dyDescent="0.3">
      <c r="A558" s="45" t="s">
        <v>100</v>
      </c>
      <c r="B558" s="6" t="s">
        <v>162</v>
      </c>
      <c r="C558" s="78">
        <v>0</v>
      </c>
      <c r="D558" s="78">
        <v>0</v>
      </c>
      <c r="E558" s="78">
        <v>0</v>
      </c>
    </row>
    <row r="559" spans="1:5" x14ac:dyDescent="0.3">
      <c r="A559" s="45" t="s">
        <v>100</v>
      </c>
      <c r="B559" s="6" t="s">
        <v>163</v>
      </c>
      <c r="C559" s="78">
        <v>0</v>
      </c>
      <c r="D559" s="78">
        <v>0</v>
      </c>
      <c r="E559" s="78">
        <v>0</v>
      </c>
    </row>
    <row r="560" spans="1:5" x14ac:dyDescent="0.3">
      <c r="A560" s="45" t="s">
        <v>100</v>
      </c>
      <c r="B560" s="6" t="s">
        <v>164</v>
      </c>
      <c r="C560" s="78">
        <v>0</v>
      </c>
      <c r="D560" s="78">
        <v>0</v>
      </c>
      <c r="E560" s="78">
        <v>0</v>
      </c>
    </row>
    <row r="561" spans="1:5" x14ac:dyDescent="0.3">
      <c r="A561" s="45" t="s">
        <v>100</v>
      </c>
      <c r="B561" s="6" t="s">
        <v>165</v>
      </c>
      <c r="C561" s="78">
        <v>0</v>
      </c>
      <c r="D561" s="78">
        <v>0</v>
      </c>
      <c r="E561" s="78">
        <v>0</v>
      </c>
    </row>
    <row r="562" spans="1:5" x14ac:dyDescent="0.3">
      <c r="A562" s="45" t="s">
        <v>100</v>
      </c>
      <c r="B562" s="6" t="s">
        <v>166</v>
      </c>
      <c r="C562" s="78">
        <v>0</v>
      </c>
      <c r="D562" s="78">
        <v>0</v>
      </c>
      <c r="E562" s="78">
        <v>0</v>
      </c>
    </row>
    <row r="563" spans="1:5" x14ac:dyDescent="0.3">
      <c r="A563" s="45" t="s">
        <v>100</v>
      </c>
      <c r="B563" s="6" t="s">
        <v>167</v>
      </c>
      <c r="C563" s="78">
        <v>0</v>
      </c>
      <c r="D563" s="78">
        <v>0</v>
      </c>
      <c r="E563" s="78">
        <v>0</v>
      </c>
    </row>
    <row r="564" spans="1:5" x14ac:dyDescent="0.3">
      <c r="A564" s="45" t="s">
        <v>100</v>
      </c>
      <c r="B564" s="6" t="s">
        <v>168</v>
      </c>
      <c r="C564" s="78">
        <v>0</v>
      </c>
      <c r="D564" s="78">
        <v>0</v>
      </c>
      <c r="E564" s="78">
        <v>0</v>
      </c>
    </row>
    <row r="565" spans="1:5" x14ac:dyDescent="0.3">
      <c r="A565" s="45" t="s">
        <v>100</v>
      </c>
      <c r="B565" s="6" t="s">
        <v>169</v>
      </c>
      <c r="C565" s="78">
        <v>0</v>
      </c>
      <c r="D565" s="78">
        <v>0</v>
      </c>
      <c r="E565" s="78">
        <v>0</v>
      </c>
    </row>
    <row r="566" spans="1:5" x14ac:dyDescent="0.3">
      <c r="A566" s="45" t="s">
        <v>67</v>
      </c>
      <c r="B566" s="6" t="s">
        <v>158</v>
      </c>
      <c r="C566" s="78">
        <v>0</v>
      </c>
      <c r="D566" s="78">
        <v>0</v>
      </c>
      <c r="E566" s="78">
        <v>0</v>
      </c>
    </row>
    <row r="567" spans="1:5" x14ac:dyDescent="0.3">
      <c r="A567" s="45" t="s">
        <v>67</v>
      </c>
      <c r="B567" s="6" t="s">
        <v>159</v>
      </c>
      <c r="C567" s="78">
        <v>0</v>
      </c>
      <c r="D567" s="78">
        <v>0</v>
      </c>
      <c r="E567" s="78">
        <v>1</v>
      </c>
    </row>
    <row r="568" spans="1:5" x14ac:dyDescent="0.3">
      <c r="A568" s="45" t="s">
        <v>67</v>
      </c>
      <c r="B568" s="6" t="s">
        <v>160</v>
      </c>
      <c r="C568" s="78">
        <v>0</v>
      </c>
      <c r="D568" s="78">
        <v>0</v>
      </c>
      <c r="E568" s="78">
        <v>0</v>
      </c>
    </row>
    <row r="569" spans="1:5" x14ac:dyDescent="0.3">
      <c r="A569" s="45" t="s">
        <v>67</v>
      </c>
      <c r="B569" s="6" t="s">
        <v>161</v>
      </c>
      <c r="C569" s="78">
        <v>0</v>
      </c>
      <c r="D569" s="78">
        <v>0</v>
      </c>
      <c r="E569" s="78">
        <v>0</v>
      </c>
    </row>
    <row r="570" spans="1:5" x14ac:dyDescent="0.3">
      <c r="A570" s="45" t="s">
        <v>67</v>
      </c>
      <c r="B570" s="6" t="s">
        <v>162</v>
      </c>
      <c r="C570" s="78">
        <v>0</v>
      </c>
      <c r="D570" s="78">
        <v>0</v>
      </c>
      <c r="E570" s="78">
        <v>0</v>
      </c>
    </row>
    <row r="571" spans="1:5" x14ac:dyDescent="0.3">
      <c r="A571" s="45" t="s">
        <v>67</v>
      </c>
      <c r="B571" s="6" t="s">
        <v>163</v>
      </c>
      <c r="C571" s="78">
        <v>0</v>
      </c>
      <c r="D571" s="78">
        <v>0</v>
      </c>
      <c r="E571" s="78">
        <v>0</v>
      </c>
    </row>
    <row r="572" spans="1:5" x14ac:dyDescent="0.3">
      <c r="A572" s="45" t="s">
        <v>67</v>
      </c>
      <c r="B572" s="6" t="s">
        <v>164</v>
      </c>
      <c r="C572" s="78">
        <v>0</v>
      </c>
      <c r="D572" s="78">
        <v>0</v>
      </c>
      <c r="E572" s="78">
        <v>0</v>
      </c>
    </row>
    <row r="573" spans="1:5" x14ac:dyDescent="0.3">
      <c r="A573" s="45" t="s">
        <v>67</v>
      </c>
      <c r="B573" s="6" t="s">
        <v>165</v>
      </c>
      <c r="C573" s="78">
        <v>0</v>
      </c>
      <c r="D573" s="78">
        <v>0</v>
      </c>
      <c r="E573" s="78">
        <v>0</v>
      </c>
    </row>
    <row r="574" spans="1:5" x14ac:dyDescent="0.3">
      <c r="A574" s="45" t="s">
        <v>67</v>
      </c>
      <c r="B574" s="6" t="s">
        <v>166</v>
      </c>
      <c r="C574" s="78">
        <v>0</v>
      </c>
      <c r="D574" s="78">
        <v>0</v>
      </c>
      <c r="E574" s="78">
        <v>0</v>
      </c>
    </row>
    <row r="575" spans="1:5" x14ac:dyDescent="0.3">
      <c r="A575" s="45" t="s">
        <v>67</v>
      </c>
      <c r="B575" s="6" t="s">
        <v>167</v>
      </c>
      <c r="C575" s="78">
        <v>0</v>
      </c>
      <c r="D575" s="78">
        <v>0</v>
      </c>
      <c r="E575" s="78">
        <v>0</v>
      </c>
    </row>
    <row r="576" spans="1:5" x14ac:dyDescent="0.3">
      <c r="A576" s="45" t="s">
        <v>67</v>
      </c>
      <c r="B576" s="6" t="s">
        <v>168</v>
      </c>
      <c r="C576" s="78">
        <v>0</v>
      </c>
      <c r="D576" s="78">
        <v>0</v>
      </c>
      <c r="E576" s="78">
        <v>0</v>
      </c>
    </row>
    <row r="577" spans="1:5" x14ac:dyDescent="0.3">
      <c r="A577" s="45" t="s">
        <v>67</v>
      </c>
      <c r="B577" s="6" t="s">
        <v>169</v>
      </c>
      <c r="C577" s="78">
        <v>0</v>
      </c>
      <c r="D577" s="78">
        <v>0</v>
      </c>
      <c r="E577" s="78">
        <v>0</v>
      </c>
    </row>
    <row r="578" spans="1:5" x14ac:dyDescent="0.3">
      <c r="A578" s="45" t="s">
        <v>153</v>
      </c>
      <c r="B578" s="6" t="s">
        <v>158</v>
      </c>
      <c r="C578" s="78">
        <v>0</v>
      </c>
      <c r="D578" s="78">
        <v>0</v>
      </c>
      <c r="E578" s="78">
        <v>0</v>
      </c>
    </row>
    <row r="579" spans="1:5" x14ac:dyDescent="0.3">
      <c r="A579" s="45" t="s">
        <v>153</v>
      </c>
      <c r="B579" s="6" t="s">
        <v>159</v>
      </c>
      <c r="C579" s="78">
        <v>0</v>
      </c>
      <c r="D579" s="78">
        <v>0</v>
      </c>
      <c r="E579" s="78">
        <v>0</v>
      </c>
    </row>
    <row r="580" spans="1:5" x14ac:dyDescent="0.3">
      <c r="A580" s="45" t="s">
        <v>153</v>
      </c>
      <c r="B580" s="6" t="s">
        <v>160</v>
      </c>
      <c r="C580" s="78">
        <v>0</v>
      </c>
      <c r="D580" s="78">
        <v>0</v>
      </c>
      <c r="E580" s="78">
        <v>0</v>
      </c>
    </row>
    <row r="581" spans="1:5" x14ac:dyDescent="0.3">
      <c r="A581" s="45" t="s">
        <v>153</v>
      </c>
      <c r="B581" s="6" t="s">
        <v>161</v>
      </c>
      <c r="C581" s="78">
        <v>0</v>
      </c>
      <c r="D581" s="78">
        <v>0</v>
      </c>
      <c r="E581" s="78">
        <v>0</v>
      </c>
    </row>
    <row r="582" spans="1:5" x14ac:dyDescent="0.3">
      <c r="A582" s="45" t="s">
        <v>153</v>
      </c>
      <c r="B582" s="6" t="s">
        <v>162</v>
      </c>
      <c r="C582" s="78">
        <v>0</v>
      </c>
      <c r="D582" s="78">
        <v>0</v>
      </c>
      <c r="E582" s="78">
        <v>0</v>
      </c>
    </row>
    <row r="583" spans="1:5" x14ac:dyDescent="0.3">
      <c r="A583" s="45" t="s">
        <v>153</v>
      </c>
      <c r="B583" s="6" t="s">
        <v>163</v>
      </c>
      <c r="C583" s="78">
        <v>0</v>
      </c>
      <c r="D583" s="78">
        <v>0</v>
      </c>
      <c r="E583" s="78">
        <v>0</v>
      </c>
    </row>
    <row r="584" spans="1:5" x14ac:dyDescent="0.3">
      <c r="A584" s="45" t="s">
        <v>153</v>
      </c>
      <c r="B584" s="6" t="s">
        <v>164</v>
      </c>
      <c r="C584" s="78">
        <v>0</v>
      </c>
      <c r="D584" s="78">
        <v>0</v>
      </c>
      <c r="E584" s="78">
        <v>0</v>
      </c>
    </row>
    <row r="585" spans="1:5" x14ac:dyDescent="0.3">
      <c r="A585" s="45" t="s">
        <v>153</v>
      </c>
      <c r="B585" s="6" t="s">
        <v>165</v>
      </c>
      <c r="C585" s="78">
        <v>0</v>
      </c>
      <c r="D585" s="78">
        <v>0</v>
      </c>
      <c r="E585" s="78">
        <v>0</v>
      </c>
    </row>
    <row r="586" spans="1:5" x14ac:dyDescent="0.3">
      <c r="A586" s="45" t="s">
        <v>153</v>
      </c>
      <c r="B586" s="6" t="s">
        <v>166</v>
      </c>
      <c r="C586" s="78">
        <v>0</v>
      </c>
      <c r="D586" s="78">
        <v>0</v>
      </c>
      <c r="E586" s="78">
        <v>0</v>
      </c>
    </row>
    <row r="587" spans="1:5" x14ac:dyDescent="0.3">
      <c r="A587" s="45" t="s">
        <v>153</v>
      </c>
      <c r="B587" s="6" t="s">
        <v>167</v>
      </c>
      <c r="C587" s="78">
        <v>0</v>
      </c>
      <c r="D587" s="78">
        <v>0</v>
      </c>
      <c r="E587" s="78">
        <v>0</v>
      </c>
    </row>
    <row r="588" spans="1:5" x14ac:dyDescent="0.3">
      <c r="A588" s="45" t="s">
        <v>153</v>
      </c>
      <c r="B588" s="6" t="s">
        <v>168</v>
      </c>
      <c r="C588" s="78">
        <v>0</v>
      </c>
      <c r="D588" s="78">
        <v>0</v>
      </c>
      <c r="E588" s="78">
        <v>0</v>
      </c>
    </row>
    <row r="589" spans="1:5" x14ac:dyDescent="0.3">
      <c r="A589" s="45" t="s">
        <v>153</v>
      </c>
      <c r="B589" s="6" t="s">
        <v>169</v>
      </c>
      <c r="C589" s="78">
        <v>0</v>
      </c>
      <c r="D589" s="78">
        <v>0</v>
      </c>
      <c r="E589" s="78">
        <v>0</v>
      </c>
    </row>
    <row r="590" spans="1:5" x14ac:dyDescent="0.3">
      <c r="A590" s="45" t="s">
        <v>137</v>
      </c>
      <c r="B590" s="6" t="s">
        <v>158</v>
      </c>
      <c r="C590" s="78">
        <v>0</v>
      </c>
      <c r="D590" s="78">
        <v>0</v>
      </c>
      <c r="E590" s="78">
        <v>0</v>
      </c>
    </row>
    <row r="591" spans="1:5" x14ac:dyDescent="0.3">
      <c r="A591" s="45" t="s">
        <v>137</v>
      </c>
      <c r="B591" s="6" t="s">
        <v>159</v>
      </c>
      <c r="C591" s="78">
        <v>0</v>
      </c>
      <c r="D591" s="78">
        <v>0</v>
      </c>
      <c r="E591" s="78">
        <v>0</v>
      </c>
    </row>
    <row r="592" spans="1:5" x14ac:dyDescent="0.3">
      <c r="A592" s="45" t="s">
        <v>137</v>
      </c>
      <c r="B592" s="6" t="s">
        <v>160</v>
      </c>
      <c r="C592" s="78">
        <v>0</v>
      </c>
      <c r="D592" s="78">
        <v>0</v>
      </c>
      <c r="E592" s="78">
        <v>0</v>
      </c>
    </row>
    <row r="593" spans="1:5" x14ac:dyDescent="0.3">
      <c r="A593" s="45" t="s">
        <v>137</v>
      </c>
      <c r="B593" s="6" t="s">
        <v>161</v>
      </c>
      <c r="C593" s="78">
        <v>0</v>
      </c>
      <c r="D593" s="78">
        <v>0</v>
      </c>
      <c r="E593" s="78">
        <v>0</v>
      </c>
    </row>
    <row r="594" spans="1:5" x14ac:dyDescent="0.3">
      <c r="A594" s="45" t="s">
        <v>137</v>
      </c>
      <c r="B594" s="6" t="s">
        <v>162</v>
      </c>
      <c r="C594" s="78">
        <v>0</v>
      </c>
      <c r="D594" s="78">
        <v>0</v>
      </c>
      <c r="E594" s="78">
        <v>0</v>
      </c>
    </row>
    <row r="595" spans="1:5" x14ac:dyDescent="0.3">
      <c r="A595" s="45" t="s">
        <v>137</v>
      </c>
      <c r="B595" s="6" t="s">
        <v>163</v>
      </c>
      <c r="C595" s="78">
        <v>0</v>
      </c>
      <c r="D595" s="78">
        <v>0</v>
      </c>
      <c r="E595" s="78">
        <v>0</v>
      </c>
    </row>
    <row r="596" spans="1:5" x14ac:dyDescent="0.3">
      <c r="A596" s="45" t="s">
        <v>137</v>
      </c>
      <c r="B596" s="6" t="s">
        <v>164</v>
      </c>
      <c r="C596" s="78">
        <v>0</v>
      </c>
      <c r="D596" s="78">
        <v>0</v>
      </c>
      <c r="E596" s="78">
        <v>0</v>
      </c>
    </row>
    <row r="597" spans="1:5" x14ac:dyDescent="0.3">
      <c r="A597" s="45" t="s">
        <v>137</v>
      </c>
      <c r="B597" s="6" t="s">
        <v>165</v>
      </c>
      <c r="C597" s="78">
        <v>0</v>
      </c>
      <c r="D597" s="78">
        <v>0</v>
      </c>
      <c r="E597" s="78">
        <v>0</v>
      </c>
    </row>
    <row r="598" spans="1:5" x14ac:dyDescent="0.3">
      <c r="A598" s="45" t="s">
        <v>137</v>
      </c>
      <c r="B598" s="6" t="s">
        <v>166</v>
      </c>
      <c r="C598" s="78">
        <v>0</v>
      </c>
      <c r="D598" s="78">
        <v>0</v>
      </c>
      <c r="E598" s="78">
        <v>0</v>
      </c>
    </row>
    <row r="599" spans="1:5" x14ac:dyDescent="0.3">
      <c r="A599" s="45" t="s">
        <v>137</v>
      </c>
      <c r="B599" s="6" t="s">
        <v>167</v>
      </c>
      <c r="C599" s="78">
        <v>0</v>
      </c>
      <c r="D599" s="78">
        <v>0</v>
      </c>
      <c r="E599" s="78">
        <v>0</v>
      </c>
    </row>
    <row r="600" spans="1:5" x14ac:dyDescent="0.3">
      <c r="A600" s="45" t="s">
        <v>137</v>
      </c>
      <c r="B600" s="6" t="s">
        <v>168</v>
      </c>
      <c r="C600" s="78">
        <v>0</v>
      </c>
      <c r="D600" s="78">
        <v>0</v>
      </c>
      <c r="E600" s="78">
        <v>0</v>
      </c>
    </row>
    <row r="601" spans="1:5" x14ac:dyDescent="0.3">
      <c r="A601" s="45" t="s">
        <v>137</v>
      </c>
      <c r="B601" s="6" t="s">
        <v>169</v>
      </c>
      <c r="C601" s="78">
        <v>0</v>
      </c>
      <c r="D601" s="78">
        <v>0</v>
      </c>
      <c r="E601" s="78">
        <v>0</v>
      </c>
    </row>
    <row r="602" spans="1:5" x14ac:dyDescent="0.3">
      <c r="A602" s="45" t="s">
        <v>43</v>
      </c>
      <c r="B602" s="6" t="s">
        <v>158</v>
      </c>
      <c r="C602" s="78">
        <v>0</v>
      </c>
      <c r="D602" s="78">
        <v>0</v>
      </c>
      <c r="E602" s="78">
        <v>0</v>
      </c>
    </row>
    <row r="603" spans="1:5" x14ac:dyDescent="0.3">
      <c r="A603" s="45" t="s">
        <v>43</v>
      </c>
      <c r="B603" s="6" t="s">
        <v>159</v>
      </c>
      <c r="C603" s="78">
        <v>0</v>
      </c>
      <c r="D603" s="78">
        <v>0</v>
      </c>
      <c r="E603" s="78">
        <v>0</v>
      </c>
    </row>
    <row r="604" spans="1:5" x14ac:dyDescent="0.3">
      <c r="A604" s="45" t="s">
        <v>43</v>
      </c>
      <c r="B604" s="6" t="s">
        <v>160</v>
      </c>
      <c r="C604" s="78">
        <v>0</v>
      </c>
      <c r="D604" s="78">
        <v>0</v>
      </c>
      <c r="E604" s="78">
        <v>0</v>
      </c>
    </row>
    <row r="605" spans="1:5" x14ac:dyDescent="0.3">
      <c r="A605" s="45" t="s">
        <v>43</v>
      </c>
      <c r="B605" s="6" t="s">
        <v>161</v>
      </c>
      <c r="C605" s="78">
        <v>0</v>
      </c>
      <c r="D605" s="78">
        <v>0</v>
      </c>
      <c r="E605" s="78">
        <v>0</v>
      </c>
    </row>
    <row r="606" spans="1:5" x14ac:dyDescent="0.3">
      <c r="A606" s="45" t="s">
        <v>43</v>
      </c>
      <c r="B606" s="6" t="s">
        <v>162</v>
      </c>
      <c r="C606" s="78">
        <v>0</v>
      </c>
      <c r="D606" s="78">
        <v>0</v>
      </c>
      <c r="E606" s="78">
        <v>0</v>
      </c>
    </row>
    <row r="607" spans="1:5" x14ac:dyDescent="0.3">
      <c r="A607" s="45" t="s">
        <v>43</v>
      </c>
      <c r="B607" s="6" t="s">
        <v>163</v>
      </c>
      <c r="C607" s="78">
        <v>0</v>
      </c>
      <c r="D607" s="78">
        <v>0</v>
      </c>
      <c r="E607" s="78">
        <v>0</v>
      </c>
    </row>
    <row r="608" spans="1:5" x14ac:dyDescent="0.3">
      <c r="A608" s="45" t="s">
        <v>43</v>
      </c>
      <c r="B608" s="6" t="s">
        <v>164</v>
      </c>
      <c r="C608" s="78">
        <v>0</v>
      </c>
      <c r="D608" s="78">
        <v>0</v>
      </c>
      <c r="E608" s="78">
        <v>0</v>
      </c>
    </row>
    <row r="609" spans="1:5" x14ac:dyDescent="0.3">
      <c r="A609" s="45" t="s">
        <v>43</v>
      </c>
      <c r="B609" s="6" t="s">
        <v>165</v>
      </c>
      <c r="C609" s="78">
        <v>0</v>
      </c>
      <c r="D609" s="78">
        <v>0</v>
      </c>
      <c r="E609" s="78">
        <v>0</v>
      </c>
    </row>
    <row r="610" spans="1:5" x14ac:dyDescent="0.3">
      <c r="A610" s="45" t="s">
        <v>43</v>
      </c>
      <c r="B610" s="6" t="s">
        <v>166</v>
      </c>
      <c r="C610" s="78">
        <v>0</v>
      </c>
      <c r="D610" s="78">
        <v>0</v>
      </c>
      <c r="E610" s="78">
        <v>0</v>
      </c>
    </row>
    <row r="611" spans="1:5" x14ac:dyDescent="0.3">
      <c r="A611" s="45" t="s">
        <v>43</v>
      </c>
      <c r="B611" s="6" t="s">
        <v>167</v>
      </c>
      <c r="C611" s="78">
        <v>0</v>
      </c>
      <c r="D611" s="78">
        <v>0</v>
      </c>
      <c r="E611" s="78">
        <v>0</v>
      </c>
    </row>
    <row r="612" spans="1:5" x14ac:dyDescent="0.3">
      <c r="A612" s="45" t="s">
        <v>43</v>
      </c>
      <c r="B612" s="6" t="s">
        <v>168</v>
      </c>
      <c r="C612" s="78">
        <v>0</v>
      </c>
      <c r="D612" s="78">
        <v>0</v>
      </c>
      <c r="E612" s="78">
        <v>0</v>
      </c>
    </row>
    <row r="613" spans="1:5" x14ac:dyDescent="0.3">
      <c r="A613" s="45" t="s">
        <v>43</v>
      </c>
      <c r="B613" s="6" t="s">
        <v>169</v>
      </c>
      <c r="C613" s="78">
        <v>0</v>
      </c>
      <c r="D613" s="78">
        <v>0</v>
      </c>
      <c r="E613" s="78">
        <v>0</v>
      </c>
    </row>
    <row r="614" spans="1:5" x14ac:dyDescent="0.3">
      <c r="A614" s="45" t="s">
        <v>112</v>
      </c>
      <c r="B614" s="6" t="s">
        <v>158</v>
      </c>
      <c r="C614" s="78">
        <v>0</v>
      </c>
      <c r="D614" s="78">
        <v>0</v>
      </c>
      <c r="E614" s="78">
        <v>0</v>
      </c>
    </row>
    <row r="615" spans="1:5" x14ac:dyDescent="0.3">
      <c r="A615" s="45" t="s">
        <v>112</v>
      </c>
      <c r="B615" s="6" t="s">
        <v>159</v>
      </c>
      <c r="C615" s="78">
        <v>0</v>
      </c>
      <c r="D615" s="78">
        <v>0</v>
      </c>
      <c r="E615" s="78">
        <v>0</v>
      </c>
    </row>
    <row r="616" spans="1:5" x14ac:dyDescent="0.3">
      <c r="A616" s="45" t="s">
        <v>112</v>
      </c>
      <c r="B616" s="6" t="s">
        <v>160</v>
      </c>
      <c r="C616" s="78">
        <v>0</v>
      </c>
      <c r="D616" s="78">
        <v>0</v>
      </c>
      <c r="E616" s="78">
        <v>0</v>
      </c>
    </row>
    <row r="617" spans="1:5" x14ac:dyDescent="0.3">
      <c r="A617" s="45" t="s">
        <v>112</v>
      </c>
      <c r="B617" s="6" t="s">
        <v>161</v>
      </c>
      <c r="C617" s="78">
        <v>0</v>
      </c>
      <c r="D617" s="78">
        <v>0</v>
      </c>
      <c r="E617" s="78">
        <v>0</v>
      </c>
    </row>
    <row r="618" spans="1:5" x14ac:dyDescent="0.3">
      <c r="A618" s="45" t="s">
        <v>112</v>
      </c>
      <c r="B618" s="6" t="s">
        <v>162</v>
      </c>
      <c r="C618" s="78">
        <v>0</v>
      </c>
      <c r="D618" s="78">
        <v>0</v>
      </c>
      <c r="E618" s="78">
        <v>0</v>
      </c>
    </row>
    <row r="619" spans="1:5" x14ac:dyDescent="0.3">
      <c r="A619" s="45" t="s">
        <v>112</v>
      </c>
      <c r="B619" s="6" t="s">
        <v>163</v>
      </c>
      <c r="C619" s="78">
        <v>0</v>
      </c>
      <c r="D619" s="78">
        <v>0</v>
      </c>
      <c r="E619" s="78">
        <v>0</v>
      </c>
    </row>
    <row r="620" spans="1:5" x14ac:dyDescent="0.3">
      <c r="A620" s="45" t="s">
        <v>112</v>
      </c>
      <c r="B620" s="6" t="s">
        <v>164</v>
      </c>
      <c r="C620" s="78">
        <v>0</v>
      </c>
      <c r="D620" s="78">
        <v>0</v>
      </c>
      <c r="E620" s="78">
        <v>0</v>
      </c>
    </row>
    <row r="621" spans="1:5" x14ac:dyDescent="0.3">
      <c r="A621" s="45" t="s">
        <v>112</v>
      </c>
      <c r="B621" s="6" t="s">
        <v>165</v>
      </c>
      <c r="C621" s="78">
        <v>0</v>
      </c>
      <c r="D621" s="78">
        <v>0</v>
      </c>
      <c r="E621" s="78">
        <v>0</v>
      </c>
    </row>
    <row r="622" spans="1:5" x14ac:dyDescent="0.3">
      <c r="A622" s="45" t="s">
        <v>112</v>
      </c>
      <c r="B622" s="6" t="s">
        <v>166</v>
      </c>
      <c r="C622" s="78">
        <v>0</v>
      </c>
      <c r="D622" s="78">
        <v>0</v>
      </c>
      <c r="E622" s="78">
        <v>0</v>
      </c>
    </row>
    <row r="623" spans="1:5" x14ac:dyDescent="0.3">
      <c r="A623" s="45" t="s">
        <v>112</v>
      </c>
      <c r="B623" s="6" t="s">
        <v>167</v>
      </c>
      <c r="C623" s="78">
        <v>0</v>
      </c>
      <c r="D623" s="78">
        <v>0</v>
      </c>
      <c r="E623" s="78">
        <v>0</v>
      </c>
    </row>
    <row r="624" spans="1:5" x14ac:dyDescent="0.3">
      <c r="A624" s="45" t="s">
        <v>112</v>
      </c>
      <c r="B624" s="6" t="s">
        <v>168</v>
      </c>
      <c r="C624" s="78">
        <v>0</v>
      </c>
      <c r="D624" s="78">
        <v>0</v>
      </c>
      <c r="E624" s="78">
        <v>0</v>
      </c>
    </row>
    <row r="625" spans="1:5" x14ac:dyDescent="0.3">
      <c r="A625" s="45" t="s">
        <v>112</v>
      </c>
      <c r="B625" s="6" t="s">
        <v>169</v>
      </c>
      <c r="C625" s="78">
        <v>0</v>
      </c>
      <c r="D625" s="78">
        <v>0</v>
      </c>
      <c r="E625" s="78">
        <v>0</v>
      </c>
    </row>
    <row r="626" spans="1:5" x14ac:dyDescent="0.3">
      <c r="A626" s="45" t="s">
        <v>135</v>
      </c>
      <c r="B626" s="6" t="s">
        <v>158</v>
      </c>
      <c r="C626" s="78">
        <v>0</v>
      </c>
      <c r="D626" s="78">
        <v>0</v>
      </c>
      <c r="E626" s="78">
        <v>0</v>
      </c>
    </row>
    <row r="627" spans="1:5" x14ac:dyDescent="0.3">
      <c r="A627" s="45" t="s">
        <v>135</v>
      </c>
      <c r="B627" s="6" t="s">
        <v>159</v>
      </c>
      <c r="C627" s="78">
        <v>0</v>
      </c>
      <c r="D627" s="78">
        <v>0</v>
      </c>
      <c r="E627" s="78">
        <v>0</v>
      </c>
    </row>
    <row r="628" spans="1:5" x14ac:dyDescent="0.3">
      <c r="A628" s="45" t="s">
        <v>135</v>
      </c>
      <c r="B628" s="6" t="s">
        <v>160</v>
      </c>
      <c r="C628" s="78">
        <v>0</v>
      </c>
      <c r="D628" s="78">
        <v>0</v>
      </c>
      <c r="E628" s="78">
        <v>0</v>
      </c>
    </row>
    <row r="629" spans="1:5" x14ac:dyDescent="0.3">
      <c r="A629" s="45" t="s">
        <v>135</v>
      </c>
      <c r="B629" s="6" t="s">
        <v>161</v>
      </c>
      <c r="C629" s="78">
        <v>0</v>
      </c>
      <c r="D629" s="78">
        <v>0</v>
      </c>
      <c r="E629" s="78">
        <v>0</v>
      </c>
    </row>
    <row r="630" spans="1:5" x14ac:dyDescent="0.3">
      <c r="A630" s="45" t="s">
        <v>135</v>
      </c>
      <c r="B630" s="6" t="s">
        <v>162</v>
      </c>
      <c r="C630" s="78">
        <v>0</v>
      </c>
      <c r="D630" s="78">
        <v>0</v>
      </c>
      <c r="E630" s="78">
        <v>0</v>
      </c>
    </row>
    <row r="631" spans="1:5" x14ac:dyDescent="0.3">
      <c r="A631" s="45" t="s">
        <v>135</v>
      </c>
      <c r="B631" s="6" t="s">
        <v>163</v>
      </c>
      <c r="C631" s="78">
        <v>0</v>
      </c>
      <c r="D631" s="78">
        <v>0</v>
      </c>
      <c r="E631" s="78">
        <v>0</v>
      </c>
    </row>
    <row r="632" spans="1:5" x14ac:dyDescent="0.3">
      <c r="A632" s="45" t="s">
        <v>135</v>
      </c>
      <c r="B632" s="6" t="s">
        <v>164</v>
      </c>
      <c r="C632" s="78">
        <v>0</v>
      </c>
      <c r="D632" s="78">
        <v>0</v>
      </c>
      <c r="E632" s="78">
        <v>0</v>
      </c>
    </row>
    <row r="633" spans="1:5" x14ac:dyDescent="0.3">
      <c r="A633" s="45" t="s">
        <v>135</v>
      </c>
      <c r="B633" s="6" t="s">
        <v>165</v>
      </c>
      <c r="C633" s="78">
        <v>0</v>
      </c>
      <c r="D633" s="78">
        <v>0</v>
      </c>
      <c r="E633" s="78">
        <v>0</v>
      </c>
    </row>
    <row r="634" spans="1:5" x14ac:dyDescent="0.3">
      <c r="A634" s="45" t="s">
        <v>135</v>
      </c>
      <c r="B634" s="6" t="s">
        <v>166</v>
      </c>
      <c r="C634" s="78">
        <v>0</v>
      </c>
      <c r="D634" s="78">
        <v>0</v>
      </c>
      <c r="E634" s="78">
        <v>0</v>
      </c>
    </row>
    <row r="635" spans="1:5" x14ac:dyDescent="0.3">
      <c r="A635" s="45" t="s">
        <v>135</v>
      </c>
      <c r="B635" s="6" t="s">
        <v>167</v>
      </c>
      <c r="C635" s="78">
        <v>0</v>
      </c>
      <c r="D635" s="78">
        <v>0</v>
      </c>
      <c r="E635" s="78">
        <v>0</v>
      </c>
    </row>
    <row r="636" spans="1:5" x14ac:dyDescent="0.3">
      <c r="A636" s="45" t="s">
        <v>135</v>
      </c>
      <c r="B636" s="6" t="s">
        <v>168</v>
      </c>
      <c r="C636" s="78">
        <v>0</v>
      </c>
      <c r="D636" s="78">
        <v>0</v>
      </c>
      <c r="E636" s="78">
        <v>0</v>
      </c>
    </row>
    <row r="637" spans="1:5" x14ac:dyDescent="0.3">
      <c r="A637" s="45" t="s">
        <v>135</v>
      </c>
      <c r="B637" s="6" t="s">
        <v>169</v>
      </c>
      <c r="C637" s="78">
        <v>0</v>
      </c>
      <c r="D637" s="78">
        <v>0</v>
      </c>
      <c r="E637" s="78">
        <v>0</v>
      </c>
    </row>
    <row r="638" spans="1:5" x14ac:dyDescent="0.3">
      <c r="A638" s="45" t="s">
        <v>131</v>
      </c>
      <c r="B638" s="6" t="s">
        <v>158</v>
      </c>
      <c r="C638" s="78">
        <v>0</v>
      </c>
      <c r="D638" s="78">
        <v>0</v>
      </c>
      <c r="E638" s="78">
        <v>0</v>
      </c>
    </row>
    <row r="639" spans="1:5" x14ac:dyDescent="0.3">
      <c r="A639" s="45" t="s">
        <v>131</v>
      </c>
      <c r="B639" s="6" t="s">
        <v>159</v>
      </c>
      <c r="C639" s="78">
        <v>0</v>
      </c>
      <c r="D639" s="78">
        <v>0</v>
      </c>
      <c r="E639" s="78">
        <v>0</v>
      </c>
    </row>
    <row r="640" spans="1:5" x14ac:dyDescent="0.3">
      <c r="A640" s="45" t="s">
        <v>131</v>
      </c>
      <c r="B640" s="6" t="s">
        <v>160</v>
      </c>
      <c r="C640" s="78">
        <v>0</v>
      </c>
      <c r="D640" s="78">
        <v>0</v>
      </c>
      <c r="E640" s="78">
        <v>0</v>
      </c>
    </row>
    <row r="641" spans="1:5" x14ac:dyDescent="0.3">
      <c r="A641" s="45" t="s">
        <v>131</v>
      </c>
      <c r="B641" s="6" t="s">
        <v>161</v>
      </c>
      <c r="C641" s="78">
        <v>0</v>
      </c>
      <c r="D641" s="78">
        <v>0</v>
      </c>
      <c r="E641" s="78">
        <v>0</v>
      </c>
    </row>
    <row r="642" spans="1:5" x14ac:dyDescent="0.3">
      <c r="A642" s="45" t="s">
        <v>131</v>
      </c>
      <c r="B642" s="6" t="s">
        <v>162</v>
      </c>
      <c r="C642" s="78">
        <v>0</v>
      </c>
      <c r="D642" s="78">
        <v>0</v>
      </c>
      <c r="E642" s="78">
        <v>0</v>
      </c>
    </row>
    <row r="643" spans="1:5" x14ac:dyDescent="0.3">
      <c r="A643" s="45" t="s">
        <v>131</v>
      </c>
      <c r="B643" s="6" t="s">
        <v>163</v>
      </c>
      <c r="C643" s="78">
        <v>0</v>
      </c>
      <c r="D643" s="78">
        <v>0</v>
      </c>
      <c r="E643" s="78">
        <v>0</v>
      </c>
    </row>
    <row r="644" spans="1:5" x14ac:dyDescent="0.3">
      <c r="A644" s="45" t="s">
        <v>131</v>
      </c>
      <c r="B644" s="6" t="s">
        <v>164</v>
      </c>
      <c r="C644" s="78">
        <v>0</v>
      </c>
      <c r="D644" s="78">
        <v>0</v>
      </c>
      <c r="E644" s="78">
        <v>0</v>
      </c>
    </row>
    <row r="645" spans="1:5" x14ac:dyDescent="0.3">
      <c r="A645" s="45" t="s">
        <v>131</v>
      </c>
      <c r="B645" s="6" t="s">
        <v>165</v>
      </c>
      <c r="C645" s="78">
        <v>0</v>
      </c>
      <c r="D645" s="78">
        <v>0</v>
      </c>
      <c r="E645" s="78">
        <v>0</v>
      </c>
    </row>
    <row r="646" spans="1:5" x14ac:dyDescent="0.3">
      <c r="A646" s="45" t="s">
        <v>131</v>
      </c>
      <c r="B646" s="6" t="s">
        <v>166</v>
      </c>
      <c r="C646" s="78">
        <v>0</v>
      </c>
      <c r="D646" s="78">
        <v>0</v>
      </c>
      <c r="E646" s="78">
        <v>0</v>
      </c>
    </row>
    <row r="647" spans="1:5" x14ac:dyDescent="0.3">
      <c r="A647" s="45" t="s">
        <v>131</v>
      </c>
      <c r="B647" s="6" t="s">
        <v>167</v>
      </c>
      <c r="C647" s="78">
        <v>0</v>
      </c>
      <c r="D647" s="78">
        <v>0</v>
      </c>
      <c r="E647" s="78">
        <v>0</v>
      </c>
    </row>
    <row r="648" spans="1:5" x14ac:dyDescent="0.3">
      <c r="A648" s="45" t="s">
        <v>131</v>
      </c>
      <c r="B648" s="6" t="s">
        <v>168</v>
      </c>
      <c r="C648" s="78">
        <v>0</v>
      </c>
      <c r="D648" s="78">
        <v>0</v>
      </c>
      <c r="E648" s="78">
        <v>0</v>
      </c>
    </row>
    <row r="649" spans="1:5" x14ac:dyDescent="0.3">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64"/>
  <sheetViews>
    <sheetView topLeftCell="A139" workbookViewId="0">
      <selection activeCell="C5" sqref="C5"/>
    </sheetView>
  </sheetViews>
  <sheetFormatPr defaultRowHeight="14" x14ac:dyDescent="0.3"/>
  <cols>
    <col min="1" max="1" width="38.33203125" customWidth="1"/>
    <col min="2" max="2" width="19.58203125" bestFit="1" customWidth="1"/>
    <col min="4" max="4" width="12.75" customWidth="1"/>
    <col min="5" max="5" width="11.58203125" customWidth="1"/>
    <col min="6" max="6" width="13.08203125" customWidth="1"/>
  </cols>
  <sheetData>
    <row r="1" spans="1:10" ht="15.5" x14ac:dyDescent="0.3">
      <c r="A1" s="53" t="s">
        <v>0</v>
      </c>
      <c r="B1" s="54" t="s">
        <v>4</v>
      </c>
      <c r="C1" s="53" t="s">
        <v>14</v>
      </c>
      <c r="D1" s="53" t="s">
        <v>242</v>
      </c>
      <c r="E1" s="53" t="s">
        <v>243</v>
      </c>
      <c r="F1" s="53" t="s">
        <v>244</v>
      </c>
      <c r="G1" s="53" t="s">
        <v>245</v>
      </c>
      <c r="I1" t="s">
        <v>252</v>
      </c>
      <c r="J1" t="s">
        <v>257</v>
      </c>
    </row>
    <row r="2" spans="1:10" ht="15.5" x14ac:dyDescent="0.3">
      <c r="A2" s="41" t="s">
        <v>87</v>
      </c>
      <c r="B2" s="82">
        <v>1892</v>
      </c>
      <c r="C2" s="78"/>
      <c r="D2" s="3" t="str">
        <f>IF(AND(B2&gt;0,B2&lt;1000),C2,"")</f>
        <v/>
      </c>
      <c r="E2" s="3">
        <f>IF(AND(B2&gt;1000,B2&lt;2500),C2,"")</f>
        <v>0</v>
      </c>
      <c r="F2" s="3" t="str">
        <f>IF(AND(B2&gt;2500,B2&lt;5000),C2,"")</f>
        <v/>
      </c>
      <c r="G2" s="3" t="str">
        <f>IF(B2&gt;=5000,C2,"")</f>
        <v/>
      </c>
      <c r="I2" s="43" t="s">
        <v>253</v>
      </c>
      <c r="J2" s="2">
        <f>D164</f>
        <v>1.6764705882352942</v>
      </c>
    </row>
    <row r="3" spans="1:10" ht="15.5" x14ac:dyDescent="0.3">
      <c r="A3" s="41" t="s">
        <v>87</v>
      </c>
      <c r="B3" s="82">
        <v>4750</v>
      </c>
      <c r="C3" s="78"/>
      <c r="D3" s="3" t="str">
        <f t="shared" ref="D3:D18" si="0">IF(AND(B3&gt;0,B3&lt;1000),C3,"")</f>
        <v/>
      </c>
      <c r="E3" s="3" t="str">
        <f t="shared" ref="E3:E18" si="1">IF(AND(B3&gt;1000,B3&lt;2500),C3,"")</f>
        <v/>
      </c>
      <c r="F3" s="3">
        <f t="shared" ref="F3:F18" si="2">IF(AND(B3&gt;2500,B3&lt;5000),C3,"")</f>
        <v>0</v>
      </c>
      <c r="G3" s="3" t="str">
        <f t="shared" ref="G3:G18" si="3">IF(B3&gt;=5000,C3,"")</f>
        <v/>
      </c>
      <c r="I3" s="43" t="s">
        <v>254</v>
      </c>
      <c r="J3" s="2">
        <f>E164</f>
        <v>0.97368421052631582</v>
      </c>
    </row>
    <row r="4" spans="1:10" ht="15.5" x14ac:dyDescent="0.3">
      <c r="A4" s="41" t="s">
        <v>87</v>
      </c>
      <c r="B4" s="82">
        <v>855</v>
      </c>
      <c r="C4" s="78"/>
      <c r="D4" s="3">
        <f t="shared" si="0"/>
        <v>0</v>
      </c>
      <c r="E4" s="3" t="str">
        <f t="shared" si="1"/>
        <v/>
      </c>
      <c r="F4" s="3" t="str">
        <f t="shared" si="2"/>
        <v/>
      </c>
      <c r="G4" s="3" t="str">
        <f t="shared" si="3"/>
        <v/>
      </c>
      <c r="I4" s="43" t="s">
        <v>255</v>
      </c>
      <c r="J4" s="2">
        <f>F164</f>
        <v>1.1176470588235294</v>
      </c>
    </row>
    <row r="5" spans="1:10" ht="15.5" x14ac:dyDescent="0.3">
      <c r="A5" s="41" t="s">
        <v>98</v>
      </c>
      <c r="B5" s="82">
        <v>244</v>
      </c>
      <c r="C5" s="78">
        <v>9</v>
      </c>
      <c r="D5" s="3">
        <f t="shared" si="0"/>
        <v>9</v>
      </c>
      <c r="E5" s="3" t="str">
        <f t="shared" si="1"/>
        <v/>
      </c>
      <c r="F5" s="3" t="str">
        <f t="shared" si="2"/>
        <v/>
      </c>
      <c r="G5" s="3" t="str">
        <f t="shared" si="3"/>
        <v/>
      </c>
      <c r="I5" s="44" t="s">
        <v>256</v>
      </c>
      <c r="J5">
        <f>G164</f>
        <v>1.4166666666666667</v>
      </c>
    </row>
    <row r="6" spans="1:10" x14ac:dyDescent="0.3">
      <c r="A6" s="41" t="s">
        <v>98</v>
      </c>
      <c r="B6" s="82">
        <v>122</v>
      </c>
      <c r="C6" s="78"/>
      <c r="D6" s="3">
        <f t="shared" si="0"/>
        <v>0</v>
      </c>
      <c r="E6" s="3" t="str">
        <f t="shared" si="1"/>
        <v/>
      </c>
      <c r="F6" s="3" t="str">
        <f t="shared" si="2"/>
        <v/>
      </c>
      <c r="G6" s="3" t="str">
        <f t="shared" si="3"/>
        <v/>
      </c>
    </row>
    <row r="7" spans="1:10" x14ac:dyDescent="0.3">
      <c r="A7" s="41" t="s">
        <v>56</v>
      </c>
      <c r="B7" s="82">
        <v>900</v>
      </c>
      <c r="C7" s="78"/>
      <c r="D7" s="3">
        <f t="shared" si="0"/>
        <v>0</v>
      </c>
      <c r="E7" s="3" t="str">
        <f t="shared" si="1"/>
        <v/>
      </c>
      <c r="F7" s="3" t="str">
        <f t="shared" si="2"/>
        <v/>
      </c>
      <c r="G7" s="3" t="str">
        <f t="shared" si="3"/>
        <v/>
      </c>
    </row>
    <row r="8" spans="1:10" x14ac:dyDescent="0.3">
      <c r="A8" s="41" t="s">
        <v>56</v>
      </c>
      <c r="B8" s="82">
        <v>994.08</v>
      </c>
      <c r="C8" s="78"/>
      <c r="D8" s="3">
        <f t="shared" si="0"/>
        <v>0</v>
      </c>
      <c r="E8" s="3" t="str">
        <f t="shared" si="1"/>
        <v/>
      </c>
      <c r="F8" s="3" t="str">
        <f t="shared" si="2"/>
        <v/>
      </c>
      <c r="G8" s="3" t="str">
        <f t="shared" si="3"/>
        <v/>
      </c>
    </row>
    <row r="9" spans="1:10" x14ac:dyDescent="0.3">
      <c r="A9" s="41" t="s">
        <v>56</v>
      </c>
      <c r="B9" s="82">
        <v>2470</v>
      </c>
      <c r="C9" s="78" t="s">
        <v>27</v>
      </c>
      <c r="D9" s="3" t="str">
        <f t="shared" si="0"/>
        <v/>
      </c>
      <c r="E9" s="3" t="str">
        <f t="shared" si="1"/>
        <v/>
      </c>
      <c r="F9" s="3" t="str">
        <f t="shared" si="2"/>
        <v/>
      </c>
      <c r="G9" s="3" t="str">
        <f t="shared" si="3"/>
        <v/>
      </c>
    </row>
    <row r="10" spans="1:10" x14ac:dyDescent="0.3">
      <c r="A10" s="41" t="s">
        <v>56</v>
      </c>
      <c r="B10" s="82">
        <v>1454</v>
      </c>
      <c r="C10" s="78" t="s">
        <v>27</v>
      </c>
      <c r="D10" s="3" t="str">
        <f t="shared" si="0"/>
        <v/>
      </c>
      <c r="E10" s="3" t="str">
        <f t="shared" si="1"/>
        <v/>
      </c>
      <c r="F10" s="3" t="str">
        <f t="shared" si="2"/>
        <v/>
      </c>
      <c r="G10" s="3" t="str">
        <f t="shared" si="3"/>
        <v/>
      </c>
    </row>
    <row r="11" spans="1:10" x14ac:dyDescent="0.3">
      <c r="A11" s="41" t="s">
        <v>149</v>
      </c>
      <c r="B11" s="82">
        <v>1500</v>
      </c>
      <c r="C11" s="78"/>
      <c r="D11" s="3" t="str">
        <f t="shared" si="0"/>
        <v/>
      </c>
      <c r="E11" s="3">
        <f t="shared" si="1"/>
        <v>0</v>
      </c>
      <c r="F11" s="3" t="str">
        <f t="shared" si="2"/>
        <v/>
      </c>
      <c r="G11" s="3" t="str">
        <f t="shared" si="3"/>
        <v/>
      </c>
    </row>
    <row r="12" spans="1:10" x14ac:dyDescent="0.3">
      <c r="A12" s="41" t="s">
        <v>149</v>
      </c>
      <c r="B12" s="82">
        <v>3900</v>
      </c>
      <c r="C12" s="78"/>
      <c r="D12" s="3" t="str">
        <f t="shared" si="0"/>
        <v/>
      </c>
      <c r="E12" s="3" t="str">
        <f t="shared" si="1"/>
        <v/>
      </c>
      <c r="F12" s="3">
        <f t="shared" si="2"/>
        <v>0</v>
      </c>
      <c r="G12" s="3" t="str">
        <f t="shared" si="3"/>
        <v/>
      </c>
    </row>
    <row r="13" spans="1:10" x14ac:dyDescent="0.3">
      <c r="A13" s="41" t="s">
        <v>149</v>
      </c>
      <c r="B13" s="82">
        <v>1305</v>
      </c>
      <c r="C13" s="78"/>
      <c r="D13" s="3" t="str">
        <f t="shared" si="0"/>
        <v/>
      </c>
      <c r="E13" s="3">
        <f t="shared" si="1"/>
        <v>0</v>
      </c>
      <c r="F13" s="3" t="str">
        <f t="shared" si="2"/>
        <v/>
      </c>
      <c r="G13" s="3" t="str">
        <f t="shared" si="3"/>
        <v/>
      </c>
    </row>
    <row r="14" spans="1:10" x14ac:dyDescent="0.3">
      <c r="A14" s="41" t="s">
        <v>149</v>
      </c>
      <c r="B14" s="82">
        <v>3500</v>
      </c>
      <c r="C14" s="78"/>
      <c r="D14" s="3" t="str">
        <f t="shared" si="0"/>
        <v/>
      </c>
      <c r="E14" s="3" t="str">
        <f t="shared" si="1"/>
        <v/>
      </c>
      <c r="F14" s="3">
        <f t="shared" si="2"/>
        <v>0</v>
      </c>
      <c r="G14" s="3" t="str">
        <f t="shared" si="3"/>
        <v/>
      </c>
    </row>
    <row r="15" spans="1:10" x14ac:dyDescent="0.3">
      <c r="A15" s="41" t="s">
        <v>149</v>
      </c>
      <c r="B15" s="82">
        <v>968.8</v>
      </c>
      <c r="C15" s="78" t="s">
        <v>27</v>
      </c>
      <c r="D15" s="3" t="str">
        <f t="shared" si="0"/>
        <v/>
      </c>
      <c r="E15" s="3" t="str">
        <f t="shared" si="1"/>
        <v/>
      </c>
      <c r="F15" s="3" t="str">
        <f t="shared" si="2"/>
        <v/>
      </c>
      <c r="G15" s="3" t="str">
        <f t="shared" si="3"/>
        <v/>
      </c>
    </row>
    <row r="16" spans="1:10" x14ac:dyDescent="0.3">
      <c r="A16" s="41" t="s">
        <v>149</v>
      </c>
      <c r="B16" s="82">
        <v>3800</v>
      </c>
      <c r="C16" s="78" t="s">
        <v>27</v>
      </c>
      <c r="D16" s="3" t="str">
        <f t="shared" si="0"/>
        <v/>
      </c>
      <c r="E16" s="3" t="str">
        <f t="shared" si="1"/>
        <v/>
      </c>
      <c r="F16" s="3" t="str">
        <f t="shared" si="2"/>
        <v/>
      </c>
      <c r="G16" s="3" t="str">
        <f t="shared" si="3"/>
        <v/>
      </c>
    </row>
    <row r="17" spans="1:7" x14ac:dyDescent="0.3">
      <c r="A17" s="41" t="s">
        <v>66</v>
      </c>
      <c r="B17" s="82">
        <v>4500</v>
      </c>
      <c r="C17" s="78" t="s">
        <v>27</v>
      </c>
      <c r="D17" s="3" t="str">
        <f t="shared" si="0"/>
        <v/>
      </c>
      <c r="E17" s="3" t="str">
        <f t="shared" si="1"/>
        <v/>
      </c>
      <c r="F17" s="3" t="str">
        <f t="shared" si="2"/>
        <v/>
      </c>
      <c r="G17" s="3" t="str">
        <f t="shared" si="3"/>
        <v/>
      </c>
    </row>
    <row r="18" spans="1:7" x14ac:dyDescent="0.3">
      <c r="A18" s="41" t="s">
        <v>66</v>
      </c>
      <c r="B18" s="82">
        <v>700</v>
      </c>
      <c r="C18" s="78" t="s">
        <v>27</v>
      </c>
      <c r="D18" s="3" t="str">
        <f t="shared" si="0"/>
        <v/>
      </c>
      <c r="E18" s="3" t="str">
        <f t="shared" si="1"/>
        <v/>
      </c>
      <c r="F18" s="3" t="str">
        <f t="shared" si="2"/>
        <v/>
      </c>
      <c r="G18" s="3" t="str">
        <f t="shared" si="3"/>
        <v/>
      </c>
    </row>
    <row r="19" spans="1:7" x14ac:dyDescent="0.3">
      <c r="A19" s="41" t="s">
        <v>42</v>
      </c>
      <c r="B19" s="82">
        <v>2210</v>
      </c>
      <c r="C19" s="78" t="s">
        <v>27</v>
      </c>
      <c r="D19" s="3" t="str">
        <f t="shared" ref="D19:D39" si="4">IF(AND(B19&gt;0,B19&lt;1000),C19,"")</f>
        <v/>
      </c>
      <c r="E19" s="3" t="str">
        <f t="shared" ref="E19:E39" si="5">IF(AND(B19&gt;1000,B19&lt;2500),C19,"")</f>
        <v/>
      </c>
      <c r="F19" s="3" t="str">
        <f t="shared" ref="F19:F39" si="6">IF(AND(B19&gt;2500,B19&lt;5000),C19,"")</f>
        <v/>
      </c>
      <c r="G19" s="3" t="str">
        <f t="shared" ref="G19:G39" si="7">IF(B19&gt;=5000,C19,"")</f>
        <v/>
      </c>
    </row>
    <row r="20" spans="1:7" x14ac:dyDescent="0.3">
      <c r="A20" s="41" t="s">
        <v>42</v>
      </c>
      <c r="B20" s="82">
        <v>1775</v>
      </c>
      <c r="C20" s="78"/>
      <c r="D20" s="3" t="str">
        <f t="shared" si="4"/>
        <v/>
      </c>
      <c r="E20" s="3">
        <f t="shared" si="5"/>
        <v>0</v>
      </c>
      <c r="F20" s="3" t="str">
        <f t="shared" si="6"/>
        <v/>
      </c>
      <c r="G20" s="3" t="str">
        <f t="shared" si="7"/>
        <v/>
      </c>
    </row>
    <row r="21" spans="1:7" x14ac:dyDescent="0.3">
      <c r="A21" s="41" t="s">
        <v>42</v>
      </c>
      <c r="B21" s="82">
        <v>1200</v>
      </c>
      <c r="C21" s="78"/>
      <c r="D21" s="3" t="str">
        <f t="shared" si="4"/>
        <v/>
      </c>
      <c r="E21" s="3">
        <f t="shared" si="5"/>
        <v>0</v>
      </c>
      <c r="F21" s="3" t="str">
        <f t="shared" si="6"/>
        <v/>
      </c>
      <c r="G21" s="3" t="str">
        <f t="shared" si="7"/>
        <v/>
      </c>
    </row>
    <row r="22" spans="1:7" x14ac:dyDescent="0.3">
      <c r="A22" s="41" t="s">
        <v>42</v>
      </c>
      <c r="B22" s="82">
        <v>1880</v>
      </c>
      <c r="C22" s="78"/>
      <c r="D22" s="3" t="str">
        <f t="shared" si="4"/>
        <v/>
      </c>
      <c r="E22" s="3">
        <f t="shared" si="5"/>
        <v>0</v>
      </c>
      <c r="F22" s="3" t="str">
        <f t="shared" si="6"/>
        <v/>
      </c>
      <c r="G22" s="3" t="str">
        <f t="shared" si="7"/>
        <v/>
      </c>
    </row>
    <row r="23" spans="1:7" x14ac:dyDescent="0.3">
      <c r="A23" s="41" t="s">
        <v>42</v>
      </c>
      <c r="B23" s="82">
        <v>490</v>
      </c>
      <c r="C23" s="78"/>
      <c r="D23" s="3">
        <f t="shared" si="4"/>
        <v>0</v>
      </c>
      <c r="E23" s="3" t="str">
        <f t="shared" si="5"/>
        <v/>
      </c>
      <c r="F23" s="3" t="str">
        <f t="shared" si="6"/>
        <v/>
      </c>
      <c r="G23" s="3" t="str">
        <f t="shared" si="7"/>
        <v/>
      </c>
    </row>
    <row r="24" spans="1:7" x14ac:dyDescent="0.3">
      <c r="A24" s="41" t="s">
        <v>42</v>
      </c>
      <c r="B24" s="82">
        <v>1280</v>
      </c>
      <c r="C24" s="78" t="s">
        <v>27</v>
      </c>
      <c r="D24" s="3" t="str">
        <f t="shared" si="4"/>
        <v/>
      </c>
      <c r="E24" s="3" t="str">
        <f t="shared" si="5"/>
        <v/>
      </c>
      <c r="F24" s="3" t="str">
        <f t="shared" si="6"/>
        <v/>
      </c>
      <c r="G24" s="3" t="str">
        <f t="shared" si="7"/>
        <v/>
      </c>
    </row>
    <row r="25" spans="1:7" x14ac:dyDescent="0.3">
      <c r="A25" s="41" t="s">
        <v>42</v>
      </c>
      <c r="B25" s="82">
        <v>1135</v>
      </c>
      <c r="C25" s="78" t="s">
        <v>27</v>
      </c>
      <c r="D25" s="3" t="str">
        <f t="shared" si="4"/>
        <v/>
      </c>
      <c r="E25" s="3" t="str">
        <f t="shared" si="5"/>
        <v/>
      </c>
      <c r="F25" s="3" t="str">
        <f t="shared" si="6"/>
        <v/>
      </c>
      <c r="G25" s="3" t="str">
        <f t="shared" si="7"/>
        <v/>
      </c>
    </row>
    <row r="26" spans="1:7" x14ac:dyDescent="0.3">
      <c r="A26" s="41" t="s">
        <v>42</v>
      </c>
      <c r="B26" s="82">
        <v>1080</v>
      </c>
      <c r="C26" s="78"/>
      <c r="D26" s="3" t="str">
        <f t="shared" si="4"/>
        <v/>
      </c>
      <c r="E26" s="3">
        <f t="shared" si="5"/>
        <v>0</v>
      </c>
      <c r="F26" s="3" t="str">
        <f t="shared" si="6"/>
        <v/>
      </c>
      <c r="G26" s="3" t="str">
        <f t="shared" si="7"/>
        <v/>
      </c>
    </row>
    <row r="27" spans="1:7" x14ac:dyDescent="0.3">
      <c r="A27" s="41" t="s">
        <v>42</v>
      </c>
      <c r="B27" s="82">
        <v>1200</v>
      </c>
      <c r="C27" s="78"/>
      <c r="D27" s="3" t="str">
        <f t="shared" si="4"/>
        <v/>
      </c>
      <c r="E27" s="3">
        <f t="shared" si="5"/>
        <v>0</v>
      </c>
      <c r="F27" s="3" t="str">
        <f t="shared" si="6"/>
        <v/>
      </c>
      <c r="G27" s="3" t="str">
        <f t="shared" si="7"/>
        <v/>
      </c>
    </row>
    <row r="28" spans="1:7" x14ac:dyDescent="0.3">
      <c r="A28" s="41" t="s">
        <v>42</v>
      </c>
      <c r="B28" s="82">
        <v>1600</v>
      </c>
      <c r="C28" s="78"/>
      <c r="D28" s="3" t="str">
        <f t="shared" si="4"/>
        <v/>
      </c>
      <c r="E28" s="3">
        <f t="shared" si="5"/>
        <v>0</v>
      </c>
      <c r="F28" s="3" t="str">
        <f t="shared" si="6"/>
        <v/>
      </c>
      <c r="G28" s="3" t="str">
        <f t="shared" si="7"/>
        <v/>
      </c>
    </row>
    <row r="29" spans="1:7" x14ac:dyDescent="0.3">
      <c r="A29" s="41" t="s">
        <v>42</v>
      </c>
      <c r="B29" s="82">
        <v>1200</v>
      </c>
      <c r="C29" s="78"/>
      <c r="D29" s="3" t="str">
        <f t="shared" si="4"/>
        <v/>
      </c>
      <c r="E29" s="3">
        <f t="shared" si="5"/>
        <v>0</v>
      </c>
      <c r="F29" s="3" t="str">
        <f t="shared" si="6"/>
        <v/>
      </c>
      <c r="G29" s="3" t="str">
        <f t="shared" si="7"/>
        <v/>
      </c>
    </row>
    <row r="30" spans="1:7" x14ac:dyDescent="0.3">
      <c r="A30" s="41" t="s">
        <v>42</v>
      </c>
      <c r="B30" s="82">
        <v>900</v>
      </c>
      <c r="C30" s="78" t="s">
        <v>27</v>
      </c>
      <c r="D30" s="3" t="str">
        <f t="shared" si="4"/>
        <v/>
      </c>
      <c r="E30" s="3" t="str">
        <f t="shared" si="5"/>
        <v/>
      </c>
      <c r="F30" s="3" t="str">
        <f t="shared" si="6"/>
        <v/>
      </c>
      <c r="G30" s="3" t="str">
        <f t="shared" si="7"/>
        <v/>
      </c>
    </row>
    <row r="31" spans="1:7" x14ac:dyDescent="0.3">
      <c r="A31" s="41" t="s">
        <v>42</v>
      </c>
      <c r="B31" s="82">
        <v>1800</v>
      </c>
      <c r="C31" s="78" t="s">
        <v>27</v>
      </c>
      <c r="D31" s="3" t="str">
        <f t="shared" si="4"/>
        <v/>
      </c>
      <c r="E31" s="3" t="str">
        <f t="shared" si="5"/>
        <v/>
      </c>
      <c r="F31" s="3" t="str">
        <f t="shared" si="6"/>
        <v/>
      </c>
      <c r="G31" s="3" t="str">
        <f t="shared" si="7"/>
        <v/>
      </c>
    </row>
    <row r="32" spans="1:7" x14ac:dyDescent="0.3">
      <c r="A32" s="41" t="s">
        <v>42</v>
      </c>
      <c r="B32" s="82">
        <v>1200</v>
      </c>
      <c r="C32" s="78"/>
      <c r="D32" s="3" t="str">
        <f t="shared" si="4"/>
        <v/>
      </c>
      <c r="E32" s="3">
        <f t="shared" si="5"/>
        <v>0</v>
      </c>
      <c r="F32" s="3" t="str">
        <f t="shared" si="6"/>
        <v/>
      </c>
      <c r="G32" s="3" t="str">
        <f t="shared" si="7"/>
        <v/>
      </c>
    </row>
    <row r="33" spans="1:7" x14ac:dyDescent="0.3">
      <c r="A33" s="41" t="s">
        <v>42</v>
      </c>
      <c r="B33" s="82">
        <v>80</v>
      </c>
      <c r="C33" s="78"/>
      <c r="D33" s="3">
        <f t="shared" si="4"/>
        <v>0</v>
      </c>
      <c r="E33" s="3" t="str">
        <f t="shared" si="5"/>
        <v/>
      </c>
      <c r="F33" s="3" t="str">
        <f t="shared" si="6"/>
        <v/>
      </c>
      <c r="G33" s="3" t="str">
        <f t="shared" si="7"/>
        <v/>
      </c>
    </row>
    <row r="34" spans="1:7" x14ac:dyDescent="0.3">
      <c r="A34" s="41" t="s">
        <v>42</v>
      </c>
      <c r="B34" s="82">
        <v>1800</v>
      </c>
      <c r="C34" s="78"/>
      <c r="D34" s="3" t="str">
        <f t="shared" si="4"/>
        <v/>
      </c>
      <c r="E34" s="3">
        <f t="shared" si="5"/>
        <v>0</v>
      </c>
      <c r="F34" s="3" t="str">
        <f t="shared" si="6"/>
        <v/>
      </c>
      <c r="G34" s="3" t="str">
        <f t="shared" si="7"/>
        <v/>
      </c>
    </row>
    <row r="35" spans="1:7" x14ac:dyDescent="0.3">
      <c r="A35" s="41" t="s">
        <v>42</v>
      </c>
      <c r="B35" s="82">
        <v>2280</v>
      </c>
      <c r="C35" s="78"/>
      <c r="D35" s="3" t="str">
        <f t="shared" si="4"/>
        <v/>
      </c>
      <c r="E35" s="3">
        <f t="shared" si="5"/>
        <v>0</v>
      </c>
      <c r="F35" s="3" t="str">
        <f t="shared" si="6"/>
        <v/>
      </c>
      <c r="G35" s="3" t="str">
        <f t="shared" si="7"/>
        <v/>
      </c>
    </row>
    <row r="36" spans="1:7" x14ac:dyDescent="0.3">
      <c r="A36" s="41" t="s">
        <v>42</v>
      </c>
      <c r="B36" s="82">
        <v>80</v>
      </c>
      <c r="C36" s="78" t="s">
        <v>27</v>
      </c>
      <c r="D36" s="3" t="str">
        <f t="shared" si="4"/>
        <v/>
      </c>
      <c r="E36" s="3" t="str">
        <f t="shared" si="5"/>
        <v/>
      </c>
      <c r="F36" s="3" t="str">
        <f t="shared" si="6"/>
        <v/>
      </c>
      <c r="G36" s="3" t="str">
        <f t="shared" si="7"/>
        <v/>
      </c>
    </row>
    <row r="37" spans="1:7" x14ac:dyDescent="0.3">
      <c r="A37" s="41" t="s">
        <v>42</v>
      </c>
      <c r="B37" s="82">
        <v>650</v>
      </c>
      <c r="C37" s="78" t="s">
        <v>27</v>
      </c>
      <c r="D37" s="3" t="str">
        <f t="shared" si="4"/>
        <v/>
      </c>
      <c r="E37" s="3" t="str">
        <f t="shared" si="5"/>
        <v/>
      </c>
      <c r="F37" s="3" t="str">
        <f t="shared" si="6"/>
        <v/>
      </c>
      <c r="G37" s="3" t="str">
        <f t="shared" si="7"/>
        <v/>
      </c>
    </row>
    <row r="38" spans="1:7" x14ac:dyDescent="0.3">
      <c r="A38" s="41" t="s">
        <v>42</v>
      </c>
      <c r="B38" s="82">
        <v>1500</v>
      </c>
      <c r="C38" s="78"/>
      <c r="D38" s="3" t="str">
        <f t="shared" si="4"/>
        <v/>
      </c>
      <c r="E38" s="3">
        <f t="shared" si="5"/>
        <v>0</v>
      </c>
      <c r="F38" s="3" t="str">
        <f t="shared" si="6"/>
        <v/>
      </c>
      <c r="G38" s="3" t="str">
        <f t="shared" si="7"/>
        <v/>
      </c>
    </row>
    <row r="39" spans="1:7" x14ac:dyDescent="0.3">
      <c r="A39" s="41" t="s">
        <v>42</v>
      </c>
      <c r="B39" s="82">
        <v>1560</v>
      </c>
      <c r="C39" s="78"/>
      <c r="D39" s="3" t="str">
        <f t="shared" si="4"/>
        <v/>
      </c>
      <c r="E39" s="3">
        <f t="shared" si="5"/>
        <v>0</v>
      </c>
      <c r="F39" s="3" t="str">
        <f t="shared" si="6"/>
        <v/>
      </c>
      <c r="G39" s="3" t="str">
        <f t="shared" si="7"/>
        <v/>
      </c>
    </row>
    <row r="40" spans="1:7" x14ac:dyDescent="0.3">
      <c r="A40" s="41" t="s">
        <v>63</v>
      </c>
      <c r="B40" s="82">
        <v>600</v>
      </c>
      <c r="C40" s="78"/>
      <c r="D40" s="3">
        <f t="shared" ref="D40:D47" si="8">IF(AND(B40&gt;0,B40&lt;1000),C40,"")</f>
        <v>0</v>
      </c>
      <c r="E40" s="3" t="str">
        <f t="shared" ref="E40:E47" si="9">IF(AND(B40&gt;1000,B40&lt;2500),C40,"")</f>
        <v/>
      </c>
      <c r="F40" s="3" t="str">
        <f t="shared" ref="F40:F47" si="10">IF(AND(B40&gt;2500,B40&lt;5000),C40,"")</f>
        <v/>
      </c>
      <c r="G40" s="3" t="str">
        <f t="shared" ref="G40:G47" si="11">IF(B40&gt;=5000,C40,"")</f>
        <v/>
      </c>
    </row>
    <row r="41" spans="1:7" x14ac:dyDescent="0.3">
      <c r="A41" s="41" t="s">
        <v>120</v>
      </c>
      <c r="B41" s="82">
        <v>3000</v>
      </c>
      <c r="C41" s="78" t="s">
        <v>27</v>
      </c>
      <c r="D41" s="3" t="str">
        <f t="shared" si="8"/>
        <v/>
      </c>
      <c r="E41" s="3" t="str">
        <f t="shared" si="9"/>
        <v/>
      </c>
      <c r="F41" s="3" t="str">
        <f t="shared" si="10"/>
        <v/>
      </c>
      <c r="G41" s="3" t="str">
        <f t="shared" si="11"/>
        <v/>
      </c>
    </row>
    <row r="42" spans="1:7" x14ac:dyDescent="0.3">
      <c r="A42" s="41" t="s">
        <v>120</v>
      </c>
      <c r="B42" s="82">
        <v>1750</v>
      </c>
      <c r="C42" s="78">
        <v>10</v>
      </c>
      <c r="D42" s="3" t="str">
        <f t="shared" si="8"/>
        <v/>
      </c>
      <c r="E42" s="3">
        <f t="shared" si="9"/>
        <v>10</v>
      </c>
      <c r="F42" s="3" t="str">
        <f t="shared" si="10"/>
        <v/>
      </c>
      <c r="G42" s="3" t="str">
        <f t="shared" si="11"/>
        <v/>
      </c>
    </row>
    <row r="43" spans="1:7" x14ac:dyDescent="0.3">
      <c r="A43" s="41" t="s">
        <v>120</v>
      </c>
      <c r="B43" s="82">
        <v>1990</v>
      </c>
      <c r="C43" s="78"/>
      <c r="D43" s="3" t="str">
        <f t="shared" si="8"/>
        <v/>
      </c>
      <c r="E43" s="3">
        <f t="shared" si="9"/>
        <v>0</v>
      </c>
      <c r="F43" s="3" t="str">
        <f t="shared" si="10"/>
        <v/>
      </c>
      <c r="G43" s="3" t="str">
        <f t="shared" si="11"/>
        <v/>
      </c>
    </row>
    <row r="44" spans="1:7" x14ac:dyDescent="0.3">
      <c r="A44" s="41" t="s">
        <v>120</v>
      </c>
      <c r="B44" s="82">
        <v>3500</v>
      </c>
      <c r="C44" s="78"/>
      <c r="D44" s="3" t="str">
        <f t="shared" si="8"/>
        <v/>
      </c>
      <c r="E44" s="3" t="str">
        <f t="shared" si="9"/>
        <v/>
      </c>
      <c r="F44" s="3">
        <f t="shared" si="10"/>
        <v>0</v>
      </c>
      <c r="G44" s="3" t="str">
        <f t="shared" si="11"/>
        <v/>
      </c>
    </row>
    <row r="45" spans="1:7" x14ac:dyDescent="0.3">
      <c r="A45" s="41" t="s">
        <v>120</v>
      </c>
      <c r="B45" s="82">
        <v>3000</v>
      </c>
      <c r="C45" s="78"/>
      <c r="D45" s="3" t="str">
        <f t="shared" si="8"/>
        <v/>
      </c>
      <c r="E45" s="3" t="str">
        <f t="shared" si="9"/>
        <v/>
      </c>
      <c r="F45" s="3">
        <f t="shared" si="10"/>
        <v>0</v>
      </c>
      <c r="G45" s="3" t="str">
        <f t="shared" si="11"/>
        <v/>
      </c>
    </row>
    <row r="46" spans="1:7" x14ac:dyDescent="0.3">
      <c r="A46" s="41" t="s">
        <v>120</v>
      </c>
      <c r="B46" s="82">
        <v>1066.6600000000001</v>
      </c>
      <c r="C46" s="78" t="s">
        <v>27</v>
      </c>
      <c r="D46" s="3" t="str">
        <f t="shared" si="8"/>
        <v/>
      </c>
      <c r="E46" s="3" t="str">
        <f t="shared" si="9"/>
        <v/>
      </c>
      <c r="F46" s="3" t="str">
        <f t="shared" si="10"/>
        <v/>
      </c>
      <c r="G46" s="3" t="str">
        <f t="shared" si="11"/>
        <v/>
      </c>
    </row>
    <row r="47" spans="1:7" x14ac:dyDescent="0.3">
      <c r="A47" s="41" t="s">
        <v>120</v>
      </c>
      <c r="B47" s="82">
        <v>4750.25</v>
      </c>
      <c r="C47" s="78" t="s">
        <v>27</v>
      </c>
      <c r="D47" s="3" t="str">
        <f t="shared" si="8"/>
        <v/>
      </c>
      <c r="E47" s="3" t="str">
        <f t="shared" si="9"/>
        <v/>
      </c>
      <c r="F47" s="3" t="str">
        <f t="shared" si="10"/>
        <v/>
      </c>
      <c r="G47" s="3" t="str">
        <f t="shared" si="11"/>
        <v/>
      </c>
    </row>
    <row r="48" spans="1:7" x14ac:dyDescent="0.3">
      <c r="A48" s="41" t="s">
        <v>48</v>
      </c>
      <c r="B48" s="82">
        <v>270</v>
      </c>
      <c r="C48" s="78"/>
      <c r="D48" s="3">
        <f t="shared" ref="D48:D59" si="12">IF(AND(B48&gt;0,B48&lt;1000),C48,"")</f>
        <v>0</v>
      </c>
      <c r="E48" s="3" t="str">
        <f t="shared" ref="E48:E59" si="13">IF(AND(B48&gt;1000,B48&lt;2500),C48,"")</f>
        <v/>
      </c>
      <c r="F48" s="3" t="str">
        <f t="shared" ref="F48:F59" si="14">IF(AND(B48&gt;2500,B48&lt;5000),C48,"")</f>
        <v/>
      </c>
      <c r="G48" s="3" t="str">
        <f t="shared" ref="G48:G59" si="15">IF(B48&gt;=5000,C48,"")</f>
        <v/>
      </c>
    </row>
    <row r="49" spans="1:7" x14ac:dyDescent="0.3">
      <c r="A49" s="41" t="s">
        <v>48</v>
      </c>
      <c r="B49" s="82">
        <v>270</v>
      </c>
      <c r="C49" s="78"/>
      <c r="D49" s="3">
        <f t="shared" si="12"/>
        <v>0</v>
      </c>
      <c r="E49" s="3" t="str">
        <f t="shared" si="13"/>
        <v/>
      </c>
      <c r="F49" s="3" t="str">
        <f t="shared" si="14"/>
        <v/>
      </c>
      <c r="G49" s="3" t="str">
        <f t="shared" si="15"/>
        <v/>
      </c>
    </row>
    <row r="50" spans="1:7" x14ac:dyDescent="0.3">
      <c r="A50" s="41" t="s">
        <v>48</v>
      </c>
      <c r="B50" s="82">
        <v>270</v>
      </c>
      <c r="C50" s="78" t="s">
        <v>27</v>
      </c>
      <c r="D50" s="3" t="str">
        <f t="shared" si="12"/>
        <v/>
      </c>
      <c r="E50" s="3" t="str">
        <f t="shared" si="13"/>
        <v/>
      </c>
      <c r="F50" s="3" t="str">
        <f t="shared" si="14"/>
        <v/>
      </c>
      <c r="G50" s="3" t="str">
        <f t="shared" si="15"/>
        <v/>
      </c>
    </row>
    <row r="51" spans="1:7" x14ac:dyDescent="0.3">
      <c r="A51" s="41" t="s">
        <v>48</v>
      </c>
      <c r="B51" s="82">
        <v>270</v>
      </c>
      <c r="C51" s="78" t="s">
        <v>27</v>
      </c>
      <c r="D51" s="3" t="str">
        <f t="shared" si="12"/>
        <v/>
      </c>
      <c r="E51" s="3" t="str">
        <f t="shared" si="13"/>
        <v/>
      </c>
      <c r="F51" s="3" t="str">
        <f t="shared" si="14"/>
        <v/>
      </c>
      <c r="G51" s="3" t="str">
        <f t="shared" si="15"/>
        <v/>
      </c>
    </row>
    <row r="52" spans="1:7" x14ac:dyDescent="0.3">
      <c r="A52" s="41" t="s">
        <v>48</v>
      </c>
      <c r="B52" s="82">
        <v>1800</v>
      </c>
      <c r="C52" s="78"/>
      <c r="D52" s="3" t="str">
        <f t="shared" si="12"/>
        <v/>
      </c>
      <c r="E52" s="3">
        <f t="shared" si="13"/>
        <v>0</v>
      </c>
      <c r="F52" s="3" t="str">
        <f t="shared" si="14"/>
        <v/>
      </c>
      <c r="G52" s="3" t="str">
        <f t="shared" si="15"/>
        <v/>
      </c>
    </row>
    <row r="53" spans="1:7" x14ac:dyDescent="0.3">
      <c r="A53" s="41" t="s">
        <v>48</v>
      </c>
      <c r="B53" s="82">
        <v>1</v>
      </c>
      <c r="C53" s="78"/>
      <c r="D53" s="3">
        <f t="shared" si="12"/>
        <v>0</v>
      </c>
      <c r="E53" s="3" t="str">
        <f t="shared" si="13"/>
        <v/>
      </c>
      <c r="F53" s="3" t="str">
        <f t="shared" si="14"/>
        <v/>
      </c>
      <c r="G53" s="3" t="str">
        <f t="shared" si="15"/>
        <v/>
      </c>
    </row>
    <row r="54" spans="1:7" x14ac:dyDescent="0.3">
      <c r="A54" s="41" t="s">
        <v>48</v>
      </c>
      <c r="B54" s="82">
        <v>3492</v>
      </c>
      <c r="C54" s="78"/>
      <c r="D54" s="3" t="str">
        <f t="shared" si="12"/>
        <v/>
      </c>
      <c r="E54" s="3" t="str">
        <f t="shared" si="13"/>
        <v/>
      </c>
      <c r="F54" s="3">
        <f t="shared" si="14"/>
        <v>0</v>
      </c>
      <c r="G54" s="3" t="str">
        <f t="shared" si="15"/>
        <v/>
      </c>
    </row>
    <row r="55" spans="1:7" x14ac:dyDescent="0.3">
      <c r="A55" s="41" t="s">
        <v>48</v>
      </c>
      <c r="B55" s="82">
        <v>240</v>
      </c>
      <c r="C55" s="78"/>
      <c r="D55" s="3">
        <f t="shared" si="12"/>
        <v>0</v>
      </c>
      <c r="E55" s="3" t="str">
        <f t="shared" si="13"/>
        <v/>
      </c>
      <c r="F55" s="3" t="str">
        <f t="shared" si="14"/>
        <v/>
      </c>
      <c r="G55" s="3" t="str">
        <f t="shared" si="15"/>
        <v/>
      </c>
    </row>
    <row r="56" spans="1:7" x14ac:dyDescent="0.3">
      <c r="A56" s="41" t="s">
        <v>48</v>
      </c>
      <c r="B56" s="82">
        <v>1425</v>
      </c>
      <c r="C56" s="78" t="s">
        <v>27</v>
      </c>
      <c r="D56" s="3" t="str">
        <f t="shared" si="12"/>
        <v/>
      </c>
      <c r="E56" s="3" t="str">
        <f t="shared" si="13"/>
        <v/>
      </c>
      <c r="F56" s="3" t="str">
        <f t="shared" si="14"/>
        <v/>
      </c>
      <c r="G56" s="3" t="str">
        <f t="shared" si="15"/>
        <v/>
      </c>
    </row>
    <row r="57" spans="1:7" x14ac:dyDescent="0.3">
      <c r="A57" s="41" t="s">
        <v>48</v>
      </c>
      <c r="B57" s="82">
        <v>1250</v>
      </c>
      <c r="C57" s="78" t="s">
        <v>27</v>
      </c>
      <c r="D57" s="3" t="str">
        <f t="shared" si="12"/>
        <v/>
      </c>
      <c r="E57" s="3" t="str">
        <f t="shared" si="13"/>
        <v/>
      </c>
      <c r="F57" s="3" t="str">
        <f t="shared" si="14"/>
        <v/>
      </c>
      <c r="G57" s="3" t="str">
        <f t="shared" si="15"/>
        <v/>
      </c>
    </row>
    <row r="58" spans="1:7" x14ac:dyDescent="0.3">
      <c r="A58" s="41" t="s">
        <v>48</v>
      </c>
      <c r="B58" s="82">
        <v>240</v>
      </c>
      <c r="C58" s="78"/>
      <c r="D58" s="3">
        <f t="shared" si="12"/>
        <v>0</v>
      </c>
      <c r="E58" s="3" t="str">
        <f t="shared" si="13"/>
        <v/>
      </c>
      <c r="F58" s="3" t="str">
        <f t="shared" si="14"/>
        <v/>
      </c>
      <c r="G58" s="3" t="str">
        <f t="shared" si="15"/>
        <v/>
      </c>
    </row>
    <row r="59" spans="1:7" x14ac:dyDescent="0.3">
      <c r="A59" s="41" t="s">
        <v>93</v>
      </c>
      <c r="B59" s="82">
        <v>1040</v>
      </c>
      <c r="C59" s="78">
        <v>10</v>
      </c>
      <c r="D59" s="3" t="str">
        <f t="shared" si="12"/>
        <v/>
      </c>
      <c r="E59" s="3">
        <f t="shared" si="13"/>
        <v>10</v>
      </c>
      <c r="F59" s="3" t="str">
        <f t="shared" si="14"/>
        <v/>
      </c>
      <c r="G59" s="3" t="str">
        <f t="shared" si="15"/>
        <v/>
      </c>
    </row>
    <row r="60" spans="1:7" x14ac:dyDescent="0.3">
      <c r="A60" s="41" t="s">
        <v>123</v>
      </c>
      <c r="B60" s="82">
        <v>1175.8800000000001</v>
      </c>
      <c r="C60" s="78"/>
      <c r="D60" s="3" t="str">
        <f t="shared" ref="D60:D72" si="16">IF(AND(B60&gt;0,B60&lt;1000),C60,"")</f>
        <v/>
      </c>
      <c r="E60" s="3">
        <f t="shared" ref="E60:E72" si="17">IF(AND(B60&gt;1000,B60&lt;2500),C60,"")</f>
        <v>0</v>
      </c>
      <c r="F60" s="3" t="str">
        <f t="shared" ref="F60:F72" si="18">IF(AND(B60&gt;2500,B60&lt;5000),C60,"")</f>
        <v/>
      </c>
      <c r="G60" s="3" t="str">
        <f t="shared" ref="G60:G72" si="19">IF(B60&gt;=5000,C60,"")</f>
        <v/>
      </c>
    </row>
    <row r="61" spans="1:7" x14ac:dyDescent="0.3">
      <c r="A61" s="41" t="s">
        <v>123</v>
      </c>
      <c r="B61" s="82">
        <v>250</v>
      </c>
      <c r="C61" s="78"/>
      <c r="D61" s="3">
        <f t="shared" si="16"/>
        <v>0</v>
      </c>
      <c r="E61" s="3" t="str">
        <f t="shared" si="17"/>
        <v/>
      </c>
      <c r="F61" s="3" t="str">
        <f t="shared" si="18"/>
        <v/>
      </c>
      <c r="G61" s="3" t="str">
        <f t="shared" si="19"/>
        <v/>
      </c>
    </row>
    <row r="62" spans="1:7" x14ac:dyDescent="0.3">
      <c r="A62" s="41" t="s">
        <v>123</v>
      </c>
      <c r="B62" s="82">
        <v>100</v>
      </c>
      <c r="C62" s="78">
        <v>10</v>
      </c>
      <c r="D62" s="3">
        <f t="shared" si="16"/>
        <v>10</v>
      </c>
      <c r="E62" s="3" t="str">
        <f t="shared" si="17"/>
        <v/>
      </c>
      <c r="F62" s="3" t="str">
        <f t="shared" si="18"/>
        <v/>
      </c>
      <c r="G62" s="3" t="str">
        <f t="shared" si="19"/>
        <v/>
      </c>
    </row>
    <row r="63" spans="1:7" x14ac:dyDescent="0.3">
      <c r="A63" s="41" t="s">
        <v>123</v>
      </c>
      <c r="B63" s="82">
        <v>113</v>
      </c>
      <c r="C63" s="78"/>
      <c r="D63" s="3">
        <f t="shared" si="16"/>
        <v>0</v>
      </c>
      <c r="E63" s="3" t="str">
        <f t="shared" si="17"/>
        <v/>
      </c>
      <c r="F63" s="3" t="str">
        <f t="shared" si="18"/>
        <v/>
      </c>
      <c r="G63" s="3" t="str">
        <f t="shared" si="19"/>
        <v/>
      </c>
    </row>
    <row r="64" spans="1:7" x14ac:dyDescent="0.3">
      <c r="A64" s="41" t="s">
        <v>123</v>
      </c>
      <c r="B64" s="82">
        <v>950</v>
      </c>
      <c r="C64" s="78"/>
      <c r="D64" s="3">
        <f t="shared" si="16"/>
        <v>0</v>
      </c>
      <c r="E64" s="3" t="str">
        <f t="shared" si="17"/>
        <v/>
      </c>
      <c r="F64" s="3" t="str">
        <f t="shared" si="18"/>
        <v/>
      </c>
      <c r="G64" s="3" t="str">
        <f t="shared" si="19"/>
        <v/>
      </c>
    </row>
    <row r="65" spans="1:7" x14ac:dyDescent="0.3">
      <c r="A65" s="41" t="s">
        <v>123</v>
      </c>
      <c r="B65" s="82">
        <v>495</v>
      </c>
      <c r="C65" s="78"/>
      <c r="D65" s="3">
        <f t="shared" si="16"/>
        <v>0</v>
      </c>
      <c r="E65" s="3" t="str">
        <f t="shared" si="17"/>
        <v/>
      </c>
      <c r="F65" s="3" t="str">
        <f t="shared" si="18"/>
        <v/>
      </c>
      <c r="G65" s="3" t="str">
        <f t="shared" si="19"/>
        <v/>
      </c>
    </row>
    <row r="66" spans="1:7" x14ac:dyDescent="0.3">
      <c r="A66" s="41" t="s">
        <v>103</v>
      </c>
      <c r="B66" s="82">
        <v>5</v>
      </c>
      <c r="C66" s="78"/>
      <c r="D66" s="3">
        <f t="shared" si="16"/>
        <v>0</v>
      </c>
      <c r="E66" s="3" t="str">
        <f t="shared" si="17"/>
        <v/>
      </c>
      <c r="F66" s="3" t="str">
        <f t="shared" si="18"/>
        <v/>
      </c>
      <c r="G66" s="3" t="str">
        <f t="shared" si="19"/>
        <v/>
      </c>
    </row>
    <row r="67" spans="1:7" x14ac:dyDescent="0.3">
      <c r="A67" s="41" t="s">
        <v>103</v>
      </c>
      <c r="B67" s="82">
        <v>240</v>
      </c>
      <c r="C67" s="78"/>
      <c r="D67" s="3">
        <f t="shared" si="16"/>
        <v>0</v>
      </c>
      <c r="E67" s="3" t="str">
        <f t="shared" si="17"/>
        <v/>
      </c>
      <c r="F67" s="3" t="str">
        <f t="shared" si="18"/>
        <v/>
      </c>
      <c r="G67" s="3" t="str">
        <f t="shared" si="19"/>
        <v/>
      </c>
    </row>
    <row r="68" spans="1:7" x14ac:dyDescent="0.3">
      <c r="A68" s="41" t="s">
        <v>103</v>
      </c>
      <c r="B68" s="82">
        <v>30</v>
      </c>
      <c r="C68" s="78"/>
      <c r="D68" s="3">
        <f t="shared" si="16"/>
        <v>0</v>
      </c>
      <c r="E68" s="3" t="str">
        <f t="shared" si="17"/>
        <v/>
      </c>
      <c r="F68" s="3" t="str">
        <f t="shared" si="18"/>
        <v/>
      </c>
      <c r="G68" s="3" t="str">
        <f t="shared" si="19"/>
        <v/>
      </c>
    </row>
    <row r="69" spans="1:7" x14ac:dyDescent="0.3">
      <c r="A69" s="41" t="s">
        <v>129</v>
      </c>
      <c r="B69" s="82">
        <v>1400</v>
      </c>
      <c r="C69" s="78"/>
      <c r="D69" s="3" t="str">
        <f t="shared" si="16"/>
        <v/>
      </c>
      <c r="E69" s="3">
        <f t="shared" si="17"/>
        <v>0</v>
      </c>
      <c r="F69" s="3" t="str">
        <f t="shared" si="18"/>
        <v/>
      </c>
      <c r="G69" s="3" t="str">
        <f t="shared" si="19"/>
        <v/>
      </c>
    </row>
    <row r="70" spans="1:7" x14ac:dyDescent="0.3">
      <c r="A70" s="41" t="s">
        <v>96</v>
      </c>
      <c r="B70" s="82">
        <v>1900</v>
      </c>
      <c r="C70" s="78"/>
      <c r="D70" s="3" t="str">
        <f t="shared" si="16"/>
        <v/>
      </c>
      <c r="E70" s="3">
        <f t="shared" si="17"/>
        <v>0</v>
      </c>
      <c r="F70" s="3" t="str">
        <f t="shared" si="18"/>
        <v/>
      </c>
      <c r="G70" s="3" t="str">
        <f t="shared" si="19"/>
        <v/>
      </c>
    </row>
    <row r="71" spans="1:7" x14ac:dyDescent="0.3">
      <c r="A71" s="41" t="s">
        <v>96</v>
      </c>
      <c r="B71" s="82">
        <v>2375</v>
      </c>
      <c r="C71" s="78"/>
      <c r="D71" s="3" t="str">
        <f t="shared" si="16"/>
        <v/>
      </c>
      <c r="E71" s="3">
        <f t="shared" si="17"/>
        <v>0</v>
      </c>
      <c r="F71" s="3" t="str">
        <f t="shared" si="18"/>
        <v/>
      </c>
      <c r="G71" s="3" t="str">
        <f t="shared" si="19"/>
        <v/>
      </c>
    </row>
    <row r="72" spans="1:7" x14ac:dyDescent="0.3">
      <c r="A72" s="41" t="s">
        <v>96</v>
      </c>
      <c r="B72" s="82">
        <v>1600</v>
      </c>
      <c r="C72" s="78"/>
      <c r="D72" s="3" t="str">
        <f t="shared" si="16"/>
        <v/>
      </c>
      <c r="E72" s="3">
        <f t="shared" si="17"/>
        <v>0</v>
      </c>
      <c r="F72" s="3" t="str">
        <f t="shared" si="18"/>
        <v/>
      </c>
      <c r="G72" s="3" t="str">
        <f t="shared" si="19"/>
        <v/>
      </c>
    </row>
    <row r="73" spans="1:7" x14ac:dyDescent="0.3">
      <c r="A73" s="41" t="s">
        <v>38</v>
      </c>
      <c r="B73" s="82">
        <v>1710</v>
      </c>
      <c r="C73" s="78" t="s">
        <v>27</v>
      </c>
      <c r="D73" s="3" t="str">
        <f t="shared" ref="D73:D87" si="20">IF(AND(B73&gt;0,B73&lt;1000),C73,"")</f>
        <v/>
      </c>
      <c r="E73" s="3" t="str">
        <f t="shared" ref="E73:E87" si="21">IF(AND(B73&gt;1000,B73&lt;2500),C73,"")</f>
        <v/>
      </c>
      <c r="F73" s="3" t="str">
        <f t="shared" ref="F73:F87" si="22">IF(AND(B73&gt;2500,B73&lt;5000),C73,"")</f>
        <v/>
      </c>
      <c r="G73" s="3" t="str">
        <f t="shared" ref="G73:G87" si="23">IF(B73&gt;=5000,C73,"")</f>
        <v/>
      </c>
    </row>
    <row r="74" spans="1:7" x14ac:dyDescent="0.3">
      <c r="A74" s="41" t="s">
        <v>38</v>
      </c>
      <c r="B74" s="82">
        <v>90</v>
      </c>
      <c r="C74" s="78" t="s">
        <v>27</v>
      </c>
      <c r="D74" s="3" t="str">
        <f t="shared" si="20"/>
        <v/>
      </c>
      <c r="E74" s="3" t="str">
        <f t="shared" si="21"/>
        <v/>
      </c>
      <c r="F74" s="3" t="str">
        <f t="shared" si="22"/>
        <v/>
      </c>
      <c r="G74" s="3" t="str">
        <f t="shared" si="23"/>
        <v/>
      </c>
    </row>
    <row r="75" spans="1:7" x14ac:dyDescent="0.3">
      <c r="A75" s="41" t="s">
        <v>95</v>
      </c>
      <c r="B75" s="82">
        <v>950</v>
      </c>
      <c r="C75" s="78"/>
      <c r="D75" s="3">
        <f t="shared" si="20"/>
        <v>0</v>
      </c>
      <c r="E75" s="3" t="str">
        <f t="shared" si="21"/>
        <v/>
      </c>
      <c r="F75" s="3" t="str">
        <f t="shared" si="22"/>
        <v/>
      </c>
      <c r="G75" s="3" t="str">
        <f t="shared" si="23"/>
        <v/>
      </c>
    </row>
    <row r="76" spans="1:7" x14ac:dyDescent="0.3">
      <c r="A76" s="41" t="s">
        <v>95</v>
      </c>
      <c r="B76" s="82">
        <v>1662</v>
      </c>
      <c r="C76" s="78"/>
      <c r="D76" s="3" t="str">
        <f t="shared" si="20"/>
        <v/>
      </c>
      <c r="E76" s="3">
        <f t="shared" si="21"/>
        <v>0</v>
      </c>
      <c r="F76" s="3" t="str">
        <f t="shared" si="22"/>
        <v/>
      </c>
      <c r="G76" s="3" t="str">
        <f t="shared" si="23"/>
        <v/>
      </c>
    </row>
    <row r="77" spans="1:7" x14ac:dyDescent="0.3">
      <c r="A77" s="41" t="s">
        <v>95</v>
      </c>
      <c r="B77" s="82">
        <v>950</v>
      </c>
      <c r="C77" s="78"/>
      <c r="D77" s="3">
        <f t="shared" si="20"/>
        <v>0</v>
      </c>
      <c r="E77" s="3" t="str">
        <f t="shared" si="21"/>
        <v/>
      </c>
      <c r="F77" s="3" t="str">
        <f t="shared" si="22"/>
        <v/>
      </c>
      <c r="G77" s="3" t="str">
        <f t="shared" si="23"/>
        <v/>
      </c>
    </row>
    <row r="78" spans="1:7" x14ac:dyDescent="0.3">
      <c r="A78" s="41" t="s">
        <v>95</v>
      </c>
      <c r="B78" s="82">
        <v>495</v>
      </c>
      <c r="C78" s="78"/>
      <c r="D78" s="3">
        <f t="shared" si="20"/>
        <v>0</v>
      </c>
      <c r="E78" s="3" t="str">
        <f t="shared" si="21"/>
        <v/>
      </c>
      <c r="F78" s="3" t="str">
        <f t="shared" si="22"/>
        <v/>
      </c>
      <c r="G78" s="3" t="str">
        <f t="shared" si="23"/>
        <v/>
      </c>
    </row>
    <row r="79" spans="1:7" x14ac:dyDescent="0.3">
      <c r="A79" s="41" t="s">
        <v>95</v>
      </c>
      <c r="B79" s="82">
        <v>1750</v>
      </c>
      <c r="C79" s="78" t="s">
        <v>27</v>
      </c>
      <c r="D79" s="3" t="str">
        <f t="shared" si="20"/>
        <v/>
      </c>
      <c r="E79" s="3" t="str">
        <f t="shared" si="21"/>
        <v/>
      </c>
      <c r="F79" s="3" t="str">
        <f t="shared" si="22"/>
        <v/>
      </c>
      <c r="G79" s="3" t="str">
        <f t="shared" si="23"/>
        <v/>
      </c>
    </row>
    <row r="80" spans="1:7" x14ac:dyDescent="0.3">
      <c r="A80" s="41" t="s">
        <v>95</v>
      </c>
      <c r="B80" s="82">
        <v>2000</v>
      </c>
      <c r="C80" s="78" t="s">
        <v>27</v>
      </c>
      <c r="D80" s="3" t="str">
        <f t="shared" si="20"/>
        <v/>
      </c>
      <c r="E80" s="3" t="str">
        <f t="shared" si="21"/>
        <v/>
      </c>
      <c r="F80" s="3" t="str">
        <f t="shared" si="22"/>
        <v/>
      </c>
      <c r="G80" s="3" t="str">
        <f t="shared" si="23"/>
        <v/>
      </c>
    </row>
    <row r="81" spans="1:7" x14ac:dyDescent="0.3">
      <c r="A81" s="41" t="s">
        <v>132</v>
      </c>
      <c r="B81" s="82">
        <v>7400</v>
      </c>
      <c r="C81" s="78" t="s">
        <v>27</v>
      </c>
      <c r="D81" s="3" t="str">
        <f t="shared" si="20"/>
        <v/>
      </c>
      <c r="E81" s="3" t="str">
        <f t="shared" si="21"/>
        <v/>
      </c>
      <c r="F81" s="3" t="str">
        <f t="shared" si="22"/>
        <v/>
      </c>
      <c r="G81" s="3" t="str">
        <f t="shared" si="23"/>
        <v/>
      </c>
    </row>
    <row r="82" spans="1:7" x14ac:dyDescent="0.3">
      <c r="A82" s="41" t="s">
        <v>132</v>
      </c>
      <c r="B82" s="82">
        <v>4600</v>
      </c>
      <c r="C82" s="78"/>
      <c r="D82" s="3" t="str">
        <f t="shared" si="20"/>
        <v/>
      </c>
      <c r="E82" s="3" t="str">
        <f t="shared" si="21"/>
        <v/>
      </c>
      <c r="F82" s="3">
        <f t="shared" si="22"/>
        <v>0</v>
      </c>
      <c r="G82" s="3" t="str">
        <f t="shared" si="23"/>
        <v/>
      </c>
    </row>
    <row r="83" spans="1:7" x14ac:dyDescent="0.3">
      <c r="A83" s="41" t="s">
        <v>132</v>
      </c>
      <c r="B83" s="82">
        <v>7500</v>
      </c>
      <c r="C83" s="78"/>
      <c r="D83" s="3" t="str">
        <f t="shared" si="20"/>
        <v/>
      </c>
      <c r="E83" s="3" t="str">
        <f t="shared" si="21"/>
        <v/>
      </c>
      <c r="F83" s="3" t="str">
        <f t="shared" si="22"/>
        <v/>
      </c>
      <c r="G83" s="3">
        <f t="shared" si="23"/>
        <v>0</v>
      </c>
    </row>
    <row r="84" spans="1:7" x14ac:dyDescent="0.3">
      <c r="A84" s="41" t="s">
        <v>132</v>
      </c>
      <c r="B84" s="82">
        <v>6100</v>
      </c>
      <c r="C84" s="78"/>
      <c r="D84" s="3" t="str">
        <f t="shared" si="20"/>
        <v/>
      </c>
      <c r="E84" s="3" t="str">
        <f t="shared" si="21"/>
        <v/>
      </c>
      <c r="F84" s="3" t="str">
        <f t="shared" si="22"/>
        <v/>
      </c>
      <c r="G84" s="3">
        <f t="shared" si="23"/>
        <v>0</v>
      </c>
    </row>
    <row r="85" spans="1:7" x14ac:dyDescent="0.3">
      <c r="A85" s="41" t="s">
        <v>132</v>
      </c>
      <c r="B85" s="82">
        <v>4950</v>
      </c>
      <c r="C85" s="78">
        <v>9</v>
      </c>
      <c r="D85" s="3" t="str">
        <f t="shared" si="20"/>
        <v/>
      </c>
      <c r="E85" s="3" t="str">
        <f t="shared" si="21"/>
        <v/>
      </c>
      <c r="F85" s="3">
        <f t="shared" si="22"/>
        <v>9</v>
      </c>
      <c r="G85" s="3" t="str">
        <f t="shared" si="23"/>
        <v/>
      </c>
    </row>
    <row r="86" spans="1:7" x14ac:dyDescent="0.3">
      <c r="A86" s="41" t="s">
        <v>132</v>
      </c>
      <c r="B86" s="82">
        <v>6100</v>
      </c>
      <c r="C86" s="78">
        <v>6</v>
      </c>
      <c r="D86" s="3" t="str">
        <f t="shared" si="20"/>
        <v/>
      </c>
      <c r="E86" s="3" t="str">
        <f t="shared" si="21"/>
        <v/>
      </c>
      <c r="F86" s="3" t="str">
        <f t="shared" si="22"/>
        <v/>
      </c>
      <c r="G86" s="3">
        <f t="shared" si="23"/>
        <v>6</v>
      </c>
    </row>
    <row r="87" spans="1:7" x14ac:dyDescent="0.3">
      <c r="A87" s="41" t="s">
        <v>132</v>
      </c>
      <c r="B87" s="82">
        <v>14760</v>
      </c>
      <c r="C87" s="78" t="s">
        <v>27</v>
      </c>
      <c r="D87" s="3" t="str">
        <f t="shared" si="20"/>
        <v/>
      </c>
      <c r="E87" s="3" t="str">
        <f t="shared" si="21"/>
        <v/>
      </c>
      <c r="F87" s="3" t="str">
        <f t="shared" si="22"/>
        <v/>
      </c>
      <c r="G87" s="3" t="str">
        <f t="shared" si="23"/>
        <v/>
      </c>
    </row>
    <row r="88" spans="1:7" x14ac:dyDescent="0.3">
      <c r="A88" s="41" t="s">
        <v>57</v>
      </c>
      <c r="B88" s="82">
        <v>2700</v>
      </c>
      <c r="C88" s="78"/>
      <c r="D88" s="3" t="str">
        <f t="shared" ref="D88:D95" si="24">IF(AND(B88&gt;0,B88&lt;1000),C88,"")</f>
        <v/>
      </c>
      <c r="E88" s="3" t="str">
        <f t="shared" ref="E88:E95" si="25">IF(AND(B88&gt;1000,B88&lt;2500),C88,"")</f>
        <v/>
      </c>
      <c r="F88" s="3">
        <f t="shared" ref="F88:F95" si="26">IF(AND(B88&gt;2500,B88&lt;5000),C88,"")</f>
        <v>0</v>
      </c>
      <c r="G88" s="3" t="str">
        <f t="shared" ref="G88:G95" si="27">IF(B88&gt;=5000,C88,"")</f>
        <v/>
      </c>
    </row>
    <row r="89" spans="1:7" x14ac:dyDescent="0.3">
      <c r="A89" s="41" t="s">
        <v>94</v>
      </c>
      <c r="B89" s="82">
        <v>12600</v>
      </c>
      <c r="C89" s="78"/>
      <c r="D89" s="3" t="str">
        <f t="shared" si="24"/>
        <v/>
      </c>
      <c r="E89" s="3" t="str">
        <f t="shared" si="25"/>
        <v/>
      </c>
      <c r="F89" s="3" t="str">
        <f t="shared" si="26"/>
        <v/>
      </c>
      <c r="G89" s="3">
        <f t="shared" si="27"/>
        <v>0</v>
      </c>
    </row>
    <row r="90" spans="1:7" x14ac:dyDescent="0.3">
      <c r="A90" s="41" t="s">
        <v>94</v>
      </c>
      <c r="B90" s="82">
        <v>16800</v>
      </c>
      <c r="C90" s="78"/>
      <c r="D90" s="3" t="str">
        <f t="shared" si="24"/>
        <v/>
      </c>
      <c r="E90" s="3" t="str">
        <f t="shared" si="25"/>
        <v/>
      </c>
      <c r="F90" s="3" t="str">
        <f t="shared" si="26"/>
        <v/>
      </c>
      <c r="G90" s="3">
        <f t="shared" si="27"/>
        <v>0</v>
      </c>
    </row>
    <row r="91" spans="1:7" x14ac:dyDescent="0.3">
      <c r="A91" s="41" t="s">
        <v>94</v>
      </c>
      <c r="B91" s="82">
        <v>11682</v>
      </c>
      <c r="C91" s="78">
        <v>10</v>
      </c>
      <c r="D91" s="3" t="str">
        <f t="shared" si="24"/>
        <v/>
      </c>
      <c r="E91" s="3" t="str">
        <f t="shared" si="25"/>
        <v/>
      </c>
      <c r="F91" s="3" t="str">
        <f t="shared" si="26"/>
        <v/>
      </c>
      <c r="G91" s="3">
        <f t="shared" si="27"/>
        <v>10</v>
      </c>
    </row>
    <row r="92" spans="1:7" x14ac:dyDescent="0.3">
      <c r="A92" s="41" t="s">
        <v>94</v>
      </c>
      <c r="B92" s="82">
        <v>13500</v>
      </c>
      <c r="C92" s="78" t="s">
        <v>27</v>
      </c>
      <c r="D92" s="3" t="str">
        <f t="shared" si="24"/>
        <v/>
      </c>
      <c r="E92" s="3" t="str">
        <f t="shared" si="25"/>
        <v/>
      </c>
      <c r="F92" s="3" t="str">
        <f t="shared" si="26"/>
        <v/>
      </c>
      <c r="G92" s="3" t="str">
        <f t="shared" si="27"/>
        <v/>
      </c>
    </row>
    <row r="93" spans="1:7" x14ac:dyDescent="0.3">
      <c r="A93" s="41" t="s">
        <v>94</v>
      </c>
      <c r="B93" s="82">
        <v>34250</v>
      </c>
      <c r="C93" s="78"/>
      <c r="D93" s="3" t="str">
        <f t="shared" si="24"/>
        <v/>
      </c>
      <c r="E93" s="3" t="str">
        <f t="shared" si="25"/>
        <v/>
      </c>
      <c r="F93" s="3" t="str">
        <f t="shared" si="26"/>
        <v/>
      </c>
      <c r="G93" s="3">
        <f t="shared" si="27"/>
        <v>0</v>
      </c>
    </row>
    <row r="94" spans="1:7" x14ac:dyDescent="0.3">
      <c r="A94" s="41" t="s">
        <v>94</v>
      </c>
      <c r="B94" s="82">
        <v>33000</v>
      </c>
      <c r="C94" s="78"/>
      <c r="D94" s="3" t="str">
        <f t="shared" si="24"/>
        <v/>
      </c>
      <c r="E94" s="3" t="str">
        <f t="shared" si="25"/>
        <v/>
      </c>
      <c r="F94" s="3" t="str">
        <f t="shared" si="26"/>
        <v/>
      </c>
      <c r="G94" s="3">
        <f t="shared" si="27"/>
        <v>0</v>
      </c>
    </row>
    <row r="95" spans="1:7" x14ac:dyDescent="0.3">
      <c r="A95" s="41" t="s">
        <v>94</v>
      </c>
      <c r="B95" s="82">
        <v>12700</v>
      </c>
      <c r="C95" s="78"/>
      <c r="D95" s="3" t="str">
        <f t="shared" si="24"/>
        <v/>
      </c>
      <c r="E95" s="3" t="str">
        <f t="shared" si="25"/>
        <v/>
      </c>
      <c r="F95" s="3" t="str">
        <f t="shared" si="26"/>
        <v/>
      </c>
      <c r="G95" s="3">
        <f t="shared" si="27"/>
        <v>0</v>
      </c>
    </row>
    <row r="96" spans="1:7" x14ac:dyDescent="0.3">
      <c r="A96" s="41" t="s">
        <v>55</v>
      </c>
      <c r="B96" s="82">
        <v>80</v>
      </c>
      <c r="C96" s="78">
        <v>9</v>
      </c>
      <c r="D96" s="3">
        <f t="shared" ref="D96:D108" si="28">IF(AND(B96&gt;0,B96&lt;1000),C96,"")</f>
        <v>9</v>
      </c>
      <c r="E96" s="3" t="str">
        <f t="shared" ref="E96:E108" si="29">IF(AND(B96&gt;1000,B96&lt;2500),C96,"")</f>
        <v/>
      </c>
      <c r="F96" s="3" t="str">
        <f t="shared" ref="F96:F108" si="30">IF(AND(B96&gt;2500,B96&lt;5000),C96,"")</f>
        <v/>
      </c>
      <c r="G96" s="3" t="str">
        <f t="shared" ref="G96:G108" si="31">IF(B96&gt;=5000,C96,"")</f>
        <v/>
      </c>
    </row>
    <row r="97" spans="1:7" x14ac:dyDescent="0.3">
      <c r="A97" s="41" t="s">
        <v>72</v>
      </c>
      <c r="B97" s="82">
        <v>1855</v>
      </c>
      <c r="C97" s="78"/>
      <c r="D97" s="3" t="str">
        <f t="shared" si="28"/>
        <v/>
      </c>
      <c r="E97" s="3">
        <f t="shared" si="29"/>
        <v>0</v>
      </c>
      <c r="F97" s="3" t="str">
        <f t="shared" si="30"/>
        <v/>
      </c>
      <c r="G97" s="3" t="str">
        <f t="shared" si="31"/>
        <v/>
      </c>
    </row>
    <row r="98" spans="1:7" x14ac:dyDescent="0.3">
      <c r="A98" s="41" t="s">
        <v>72</v>
      </c>
      <c r="B98" s="82">
        <v>2655</v>
      </c>
      <c r="C98" s="78"/>
      <c r="D98" s="3" t="str">
        <f t="shared" si="28"/>
        <v/>
      </c>
      <c r="E98" s="3" t="str">
        <f t="shared" si="29"/>
        <v/>
      </c>
      <c r="F98" s="3">
        <f t="shared" si="30"/>
        <v>0</v>
      </c>
      <c r="G98" s="3" t="str">
        <f t="shared" si="31"/>
        <v/>
      </c>
    </row>
    <row r="99" spans="1:7" x14ac:dyDescent="0.3">
      <c r="A99" s="41" t="s">
        <v>76</v>
      </c>
      <c r="B99" s="82">
        <v>2500</v>
      </c>
      <c r="C99" s="78"/>
      <c r="D99" s="3" t="str">
        <f t="shared" si="28"/>
        <v/>
      </c>
      <c r="E99" s="3" t="str">
        <f t="shared" si="29"/>
        <v/>
      </c>
      <c r="F99" s="3" t="str">
        <f t="shared" si="30"/>
        <v/>
      </c>
      <c r="G99" s="3" t="str">
        <f t="shared" si="31"/>
        <v/>
      </c>
    </row>
    <row r="100" spans="1:7" x14ac:dyDescent="0.3">
      <c r="A100" s="41" t="s">
        <v>76</v>
      </c>
      <c r="B100" s="82">
        <v>1680</v>
      </c>
      <c r="C100" s="78" t="s">
        <v>27</v>
      </c>
      <c r="D100" s="3" t="str">
        <f t="shared" si="28"/>
        <v/>
      </c>
      <c r="E100" s="3" t="str">
        <f t="shared" si="29"/>
        <v/>
      </c>
      <c r="F100" s="3" t="str">
        <f t="shared" si="30"/>
        <v/>
      </c>
      <c r="G100" s="3" t="str">
        <f t="shared" si="31"/>
        <v/>
      </c>
    </row>
    <row r="101" spans="1:7" x14ac:dyDescent="0.3">
      <c r="A101" s="41" t="s">
        <v>76</v>
      </c>
      <c r="B101" s="82">
        <v>1</v>
      </c>
      <c r="C101" s="78" t="s">
        <v>27</v>
      </c>
      <c r="D101" s="3" t="str">
        <f t="shared" si="28"/>
        <v/>
      </c>
      <c r="E101" s="3" t="str">
        <f t="shared" si="29"/>
        <v/>
      </c>
      <c r="F101" s="3" t="str">
        <f t="shared" si="30"/>
        <v/>
      </c>
      <c r="G101" s="3" t="str">
        <f t="shared" si="31"/>
        <v/>
      </c>
    </row>
    <row r="102" spans="1:7" x14ac:dyDescent="0.3">
      <c r="A102" s="41" t="s">
        <v>76</v>
      </c>
      <c r="B102" s="82">
        <v>1819.8</v>
      </c>
      <c r="C102" s="78"/>
      <c r="D102" s="3" t="str">
        <f t="shared" si="28"/>
        <v/>
      </c>
      <c r="E102" s="3">
        <f t="shared" si="29"/>
        <v>0</v>
      </c>
      <c r="F102" s="3" t="str">
        <f t="shared" si="30"/>
        <v/>
      </c>
      <c r="G102" s="3" t="str">
        <f t="shared" si="31"/>
        <v/>
      </c>
    </row>
    <row r="103" spans="1:7" x14ac:dyDescent="0.3">
      <c r="A103" s="41" t="s">
        <v>76</v>
      </c>
      <c r="B103" s="82">
        <v>2744</v>
      </c>
      <c r="C103" s="78"/>
      <c r="D103" s="3" t="str">
        <f t="shared" si="28"/>
        <v/>
      </c>
      <c r="E103" s="3" t="str">
        <f t="shared" si="29"/>
        <v/>
      </c>
      <c r="F103" s="3">
        <f t="shared" si="30"/>
        <v>0</v>
      </c>
      <c r="G103" s="3" t="str">
        <f t="shared" si="31"/>
        <v/>
      </c>
    </row>
    <row r="104" spans="1:7" x14ac:dyDescent="0.3">
      <c r="A104" s="41" t="s">
        <v>76</v>
      </c>
      <c r="B104" s="82">
        <v>540</v>
      </c>
      <c r="C104" s="78"/>
      <c r="D104" s="3">
        <f t="shared" si="28"/>
        <v>0</v>
      </c>
      <c r="E104" s="3" t="str">
        <f t="shared" si="29"/>
        <v/>
      </c>
      <c r="F104" s="3" t="str">
        <f t="shared" si="30"/>
        <v/>
      </c>
      <c r="G104" s="3" t="str">
        <f t="shared" si="31"/>
        <v/>
      </c>
    </row>
    <row r="105" spans="1:7" x14ac:dyDescent="0.3">
      <c r="A105" s="41" t="s">
        <v>76</v>
      </c>
      <c r="B105" s="82">
        <v>1700</v>
      </c>
      <c r="C105" s="78"/>
      <c r="D105" s="3" t="str">
        <f t="shared" si="28"/>
        <v/>
      </c>
      <c r="E105" s="3">
        <f t="shared" si="29"/>
        <v>0</v>
      </c>
      <c r="F105" s="3" t="str">
        <f t="shared" si="30"/>
        <v/>
      </c>
      <c r="G105" s="3" t="str">
        <f t="shared" si="31"/>
        <v/>
      </c>
    </row>
    <row r="106" spans="1:7" x14ac:dyDescent="0.3">
      <c r="A106" s="41" t="s">
        <v>76</v>
      </c>
      <c r="B106" s="82">
        <v>545</v>
      </c>
      <c r="C106" s="78" t="s">
        <v>27</v>
      </c>
      <c r="D106" s="3" t="str">
        <f t="shared" si="28"/>
        <v/>
      </c>
      <c r="E106" s="3" t="str">
        <f t="shared" si="29"/>
        <v/>
      </c>
      <c r="F106" s="3" t="str">
        <f t="shared" si="30"/>
        <v/>
      </c>
      <c r="G106" s="3" t="str">
        <f t="shared" si="31"/>
        <v/>
      </c>
    </row>
    <row r="107" spans="1:7" x14ac:dyDescent="0.3">
      <c r="A107" s="41" t="s">
        <v>76</v>
      </c>
      <c r="B107" s="82">
        <v>1</v>
      </c>
      <c r="C107" s="78" t="s">
        <v>27</v>
      </c>
      <c r="D107" s="3" t="str">
        <f t="shared" si="28"/>
        <v/>
      </c>
      <c r="E107" s="3" t="str">
        <f t="shared" si="29"/>
        <v/>
      </c>
      <c r="F107" s="3" t="str">
        <f t="shared" si="30"/>
        <v/>
      </c>
      <c r="G107" s="3" t="str">
        <f t="shared" si="31"/>
        <v/>
      </c>
    </row>
    <row r="108" spans="1:7" x14ac:dyDescent="0.3">
      <c r="A108" s="41" t="s">
        <v>76</v>
      </c>
      <c r="B108" s="82">
        <v>1250</v>
      </c>
      <c r="C108" s="78"/>
      <c r="D108" s="3" t="str">
        <f t="shared" si="28"/>
        <v/>
      </c>
      <c r="E108" s="3">
        <f t="shared" si="29"/>
        <v>0</v>
      </c>
      <c r="F108" s="3" t="str">
        <f t="shared" si="30"/>
        <v/>
      </c>
      <c r="G108" s="3" t="str">
        <f t="shared" si="31"/>
        <v/>
      </c>
    </row>
    <row r="109" spans="1:7" x14ac:dyDescent="0.3">
      <c r="A109" s="41" t="s">
        <v>86</v>
      </c>
      <c r="B109" s="82">
        <v>1800</v>
      </c>
      <c r="C109" s="78">
        <v>8</v>
      </c>
      <c r="D109" s="3" t="str">
        <f t="shared" ref="D109:D114" si="32">IF(AND(B109&gt;0,B109&lt;1000),C109,"")</f>
        <v/>
      </c>
      <c r="E109" s="3">
        <f t="shared" ref="E109:E114" si="33">IF(AND(B109&gt;1000,B109&lt;2500),C109,"")</f>
        <v>8</v>
      </c>
      <c r="F109" s="3" t="str">
        <f t="shared" ref="F109:F114" si="34">IF(AND(B109&gt;2500,B109&lt;5000),C109,"")</f>
        <v/>
      </c>
      <c r="G109" s="3" t="str">
        <f t="shared" ref="G109:G114" si="35">IF(B109&gt;=5000,C109,"")</f>
        <v/>
      </c>
    </row>
    <row r="110" spans="1:7" x14ac:dyDescent="0.3">
      <c r="A110" s="41" t="s">
        <v>142</v>
      </c>
      <c r="B110" s="82">
        <v>1400</v>
      </c>
      <c r="C110" s="78"/>
      <c r="D110" s="3" t="str">
        <f t="shared" si="32"/>
        <v/>
      </c>
      <c r="E110" s="3">
        <f t="shared" si="33"/>
        <v>0</v>
      </c>
      <c r="F110" s="3" t="str">
        <f t="shared" si="34"/>
        <v/>
      </c>
      <c r="G110" s="3" t="str">
        <f t="shared" si="35"/>
        <v/>
      </c>
    </row>
    <row r="111" spans="1:7" x14ac:dyDescent="0.3">
      <c r="A111" s="41" t="s">
        <v>107</v>
      </c>
      <c r="B111" s="82">
        <v>1400</v>
      </c>
      <c r="C111" s="78"/>
      <c r="D111" s="3" t="str">
        <f t="shared" si="32"/>
        <v/>
      </c>
      <c r="E111" s="3">
        <f t="shared" si="33"/>
        <v>0</v>
      </c>
      <c r="F111" s="3" t="str">
        <f t="shared" si="34"/>
        <v/>
      </c>
      <c r="G111" s="3" t="str">
        <f t="shared" si="35"/>
        <v/>
      </c>
    </row>
    <row r="112" spans="1:7" x14ac:dyDescent="0.3">
      <c r="A112" s="41" t="s">
        <v>107</v>
      </c>
      <c r="B112" s="82">
        <v>6300</v>
      </c>
      <c r="C112" s="78" t="s">
        <v>27</v>
      </c>
      <c r="D112" s="3" t="str">
        <f t="shared" si="32"/>
        <v/>
      </c>
      <c r="E112" s="3" t="str">
        <f t="shared" si="33"/>
        <v/>
      </c>
      <c r="F112" s="3" t="str">
        <f t="shared" si="34"/>
        <v/>
      </c>
      <c r="G112" s="3" t="str">
        <f t="shared" si="35"/>
        <v/>
      </c>
    </row>
    <row r="113" spans="1:7" x14ac:dyDescent="0.3">
      <c r="A113" s="41" t="s">
        <v>107</v>
      </c>
      <c r="B113" s="82">
        <v>1700</v>
      </c>
      <c r="C113" s="78" t="s">
        <v>27</v>
      </c>
      <c r="D113" s="3" t="str">
        <f t="shared" si="32"/>
        <v/>
      </c>
      <c r="E113" s="3" t="str">
        <f t="shared" si="33"/>
        <v/>
      </c>
      <c r="F113" s="3" t="str">
        <f t="shared" si="34"/>
        <v/>
      </c>
      <c r="G113" s="3" t="str">
        <f t="shared" si="35"/>
        <v/>
      </c>
    </row>
    <row r="114" spans="1:7" x14ac:dyDescent="0.3">
      <c r="A114" s="41" t="s">
        <v>107</v>
      </c>
      <c r="B114" s="82">
        <v>3900</v>
      </c>
      <c r="C114" s="78"/>
      <c r="D114" s="3" t="str">
        <f t="shared" si="32"/>
        <v/>
      </c>
      <c r="E114" s="3" t="str">
        <f t="shared" si="33"/>
        <v/>
      </c>
      <c r="F114" s="3">
        <f t="shared" si="34"/>
        <v>0</v>
      </c>
      <c r="G114" s="3" t="str">
        <f t="shared" si="35"/>
        <v/>
      </c>
    </row>
    <row r="115" spans="1:7" x14ac:dyDescent="0.3">
      <c r="A115" s="41" t="s">
        <v>127</v>
      </c>
      <c r="B115" s="82">
        <v>19880</v>
      </c>
      <c r="C115" s="78"/>
      <c r="D115" s="3" t="str">
        <f t="shared" ref="D115:D128" si="36">IF(AND(B115&gt;0,B115&lt;1000),C115,"")</f>
        <v/>
      </c>
      <c r="E115" s="3" t="str">
        <f t="shared" ref="E115:E128" si="37">IF(AND(B115&gt;1000,B115&lt;2500),C115,"")</f>
        <v/>
      </c>
      <c r="F115" s="3" t="str">
        <f t="shared" ref="F115:F128" si="38">IF(AND(B115&gt;2500,B115&lt;5000),C115,"")</f>
        <v/>
      </c>
      <c r="G115" s="3">
        <f t="shared" ref="G115:G128" si="39">IF(B115&gt;=5000,C115,"")</f>
        <v>0</v>
      </c>
    </row>
    <row r="116" spans="1:7" x14ac:dyDescent="0.3">
      <c r="A116" s="41" t="s">
        <v>127</v>
      </c>
      <c r="B116" s="82">
        <v>9000</v>
      </c>
      <c r="C116" s="78">
        <v>9</v>
      </c>
      <c r="D116" s="3" t="str">
        <f t="shared" si="36"/>
        <v/>
      </c>
      <c r="E116" s="3" t="str">
        <f t="shared" si="37"/>
        <v/>
      </c>
      <c r="F116" s="3" t="str">
        <f t="shared" si="38"/>
        <v/>
      </c>
      <c r="G116" s="3">
        <f t="shared" si="39"/>
        <v>9</v>
      </c>
    </row>
    <row r="117" spans="1:7" x14ac:dyDescent="0.3">
      <c r="A117" s="41" t="s">
        <v>127</v>
      </c>
      <c r="B117" s="82">
        <v>4600</v>
      </c>
      <c r="C117" s="78"/>
      <c r="D117" s="3" t="str">
        <f t="shared" si="36"/>
        <v/>
      </c>
      <c r="E117" s="3" t="str">
        <f t="shared" si="37"/>
        <v/>
      </c>
      <c r="F117" s="3">
        <f t="shared" si="38"/>
        <v>0</v>
      </c>
      <c r="G117" s="3" t="str">
        <f t="shared" si="39"/>
        <v/>
      </c>
    </row>
    <row r="118" spans="1:7" x14ac:dyDescent="0.3">
      <c r="A118" s="41" t="s">
        <v>127</v>
      </c>
      <c r="B118" s="82">
        <v>12880</v>
      </c>
      <c r="C118" s="78"/>
      <c r="D118" s="3" t="str">
        <f t="shared" si="36"/>
        <v/>
      </c>
      <c r="E118" s="3" t="str">
        <f t="shared" si="37"/>
        <v/>
      </c>
      <c r="F118" s="3" t="str">
        <f t="shared" si="38"/>
        <v/>
      </c>
      <c r="G118" s="3">
        <f t="shared" si="39"/>
        <v>0</v>
      </c>
    </row>
    <row r="119" spans="1:7" x14ac:dyDescent="0.3">
      <c r="A119" s="41" t="s">
        <v>122</v>
      </c>
      <c r="B119" s="82">
        <v>10</v>
      </c>
      <c r="C119" s="78">
        <v>10</v>
      </c>
      <c r="D119" s="3">
        <f t="shared" si="36"/>
        <v>10</v>
      </c>
      <c r="E119" s="3" t="str">
        <f t="shared" si="37"/>
        <v/>
      </c>
      <c r="F119" s="3" t="str">
        <f t="shared" si="38"/>
        <v/>
      </c>
      <c r="G119" s="3" t="str">
        <f t="shared" si="39"/>
        <v/>
      </c>
    </row>
    <row r="120" spans="1:7" x14ac:dyDescent="0.3">
      <c r="A120" s="41" t="s">
        <v>106</v>
      </c>
      <c r="B120" s="82">
        <v>968</v>
      </c>
      <c r="C120" s="78" t="s">
        <v>27</v>
      </c>
      <c r="D120" s="3" t="str">
        <f t="shared" si="36"/>
        <v/>
      </c>
      <c r="E120" s="3" t="str">
        <f t="shared" si="37"/>
        <v/>
      </c>
      <c r="F120" s="3" t="str">
        <f t="shared" si="38"/>
        <v/>
      </c>
      <c r="G120" s="3" t="str">
        <f t="shared" si="39"/>
        <v/>
      </c>
    </row>
    <row r="121" spans="1:7" x14ac:dyDescent="0.3">
      <c r="A121" s="41" t="s">
        <v>110</v>
      </c>
      <c r="B121" s="82">
        <v>10515</v>
      </c>
      <c r="C121" s="78"/>
      <c r="D121" s="3" t="str">
        <f t="shared" si="36"/>
        <v/>
      </c>
      <c r="E121" s="3" t="str">
        <f t="shared" si="37"/>
        <v/>
      </c>
      <c r="F121" s="3" t="str">
        <f t="shared" si="38"/>
        <v/>
      </c>
      <c r="G121" s="3">
        <f t="shared" si="39"/>
        <v>0</v>
      </c>
    </row>
    <row r="122" spans="1:7" x14ac:dyDescent="0.3">
      <c r="A122" s="41" t="s">
        <v>110</v>
      </c>
      <c r="B122" s="82">
        <v>5810</v>
      </c>
      <c r="C122" s="78"/>
      <c r="D122" s="3" t="str">
        <f t="shared" si="36"/>
        <v/>
      </c>
      <c r="E122" s="3" t="str">
        <f t="shared" si="37"/>
        <v/>
      </c>
      <c r="F122" s="3" t="str">
        <f t="shared" si="38"/>
        <v/>
      </c>
      <c r="G122" s="3">
        <f t="shared" si="39"/>
        <v>0</v>
      </c>
    </row>
    <row r="123" spans="1:7" x14ac:dyDescent="0.3">
      <c r="A123" s="41" t="s">
        <v>110</v>
      </c>
      <c r="B123" s="82">
        <v>5400</v>
      </c>
      <c r="C123" s="78"/>
      <c r="D123" s="3" t="str">
        <f t="shared" si="36"/>
        <v/>
      </c>
      <c r="E123" s="3" t="str">
        <f t="shared" si="37"/>
        <v/>
      </c>
      <c r="F123" s="3" t="str">
        <f t="shared" si="38"/>
        <v/>
      </c>
      <c r="G123" s="3">
        <f t="shared" si="39"/>
        <v>0</v>
      </c>
    </row>
    <row r="124" spans="1:7" x14ac:dyDescent="0.3">
      <c r="A124" s="41" t="s">
        <v>150</v>
      </c>
      <c r="B124" s="82">
        <v>5400</v>
      </c>
      <c r="C124" s="78" t="s">
        <v>27</v>
      </c>
      <c r="D124" s="3" t="str">
        <f t="shared" si="36"/>
        <v/>
      </c>
      <c r="E124" s="3" t="str">
        <f t="shared" si="37"/>
        <v/>
      </c>
      <c r="F124" s="3" t="str">
        <f t="shared" si="38"/>
        <v/>
      </c>
      <c r="G124" s="3" t="str">
        <f t="shared" si="39"/>
        <v/>
      </c>
    </row>
    <row r="125" spans="1:7" x14ac:dyDescent="0.3">
      <c r="A125" s="41" t="s">
        <v>150</v>
      </c>
      <c r="B125" s="82">
        <v>1800</v>
      </c>
      <c r="C125" s="78"/>
      <c r="D125" s="3" t="str">
        <f t="shared" si="36"/>
        <v/>
      </c>
      <c r="E125" s="3">
        <f t="shared" si="37"/>
        <v>0</v>
      </c>
      <c r="F125" s="3" t="str">
        <f t="shared" si="38"/>
        <v/>
      </c>
      <c r="G125" s="3" t="str">
        <f t="shared" si="39"/>
        <v/>
      </c>
    </row>
    <row r="126" spans="1:7" x14ac:dyDescent="0.3">
      <c r="A126" s="41" t="s">
        <v>150</v>
      </c>
      <c r="B126" s="82">
        <v>6000</v>
      </c>
      <c r="C126" s="78"/>
      <c r="D126" s="3" t="str">
        <f t="shared" si="36"/>
        <v/>
      </c>
      <c r="E126" s="3" t="str">
        <f t="shared" si="37"/>
        <v/>
      </c>
      <c r="F126" s="3" t="str">
        <f t="shared" si="38"/>
        <v/>
      </c>
      <c r="G126" s="3">
        <f t="shared" si="39"/>
        <v>0</v>
      </c>
    </row>
    <row r="127" spans="1:7" x14ac:dyDescent="0.3">
      <c r="A127" s="41" t="s">
        <v>150</v>
      </c>
      <c r="B127" s="82">
        <v>2000</v>
      </c>
      <c r="C127" s="78">
        <v>9</v>
      </c>
      <c r="D127" s="3" t="str">
        <f t="shared" si="36"/>
        <v/>
      </c>
      <c r="E127" s="3">
        <f t="shared" si="37"/>
        <v>9</v>
      </c>
      <c r="F127" s="3" t="str">
        <f t="shared" si="38"/>
        <v/>
      </c>
      <c r="G127" s="3" t="str">
        <f t="shared" si="39"/>
        <v/>
      </c>
    </row>
    <row r="128" spans="1:7" x14ac:dyDescent="0.3">
      <c r="A128" s="41" t="s">
        <v>150</v>
      </c>
      <c r="B128" s="82">
        <v>750</v>
      </c>
      <c r="C128" s="78"/>
      <c r="D128" s="3">
        <f t="shared" si="36"/>
        <v>0</v>
      </c>
      <c r="E128" s="3" t="str">
        <f t="shared" si="37"/>
        <v/>
      </c>
      <c r="F128" s="3" t="str">
        <f t="shared" si="38"/>
        <v/>
      </c>
      <c r="G128" s="3" t="str">
        <f t="shared" si="39"/>
        <v/>
      </c>
    </row>
    <row r="129" spans="1:7" x14ac:dyDescent="0.3">
      <c r="A129" s="41" t="s">
        <v>150</v>
      </c>
      <c r="B129" s="82">
        <v>2150</v>
      </c>
      <c r="C129" s="78" t="s">
        <v>27</v>
      </c>
      <c r="D129" s="3" t="str">
        <f t="shared" ref="D129:D154" si="40">IF(AND(B129&gt;0,B129&lt;1000),C129,"")</f>
        <v/>
      </c>
      <c r="E129" s="3" t="str">
        <f t="shared" ref="E129:E154" si="41">IF(AND(B129&gt;1000,B129&lt;2500),C129,"")</f>
        <v/>
      </c>
      <c r="F129" s="3" t="str">
        <f t="shared" ref="F129:F154" si="42">IF(AND(B129&gt;2500,B129&lt;5000),C129,"")</f>
        <v/>
      </c>
      <c r="G129" s="3" t="str">
        <f t="shared" ref="G129:G154" si="43">IF(B129&gt;=5000,C129,"")</f>
        <v/>
      </c>
    </row>
    <row r="130" spans="1:7" x14ac:dyDescent="0.3">
      <c r="A130" s="41" t="s">
        <v>150</v>
      </c>
      <c r="B130" s="82">
        <v>5000</v>
      </c>
      <c r="C130" s="78" t="s">
        <v>27</v>
      </c>
      <c r="D130" s="3" t="str">
        <f t="shared" si="40"/>
        <v/>
      </c>
      <c r="E130" s="3" t="str">
        <f t="shared" si="41"/>
        <v/>
      </c>
      <c r="F130" s="3" t="str">
        <f t="shared" si="42"/>
        <v/>
      </c>
      <c r="G130" s="3" t="str">
        <f t="shared" si="43"/>
        <v/>
      </c>
    </row>
    <row r="131" spans="1:7" x14ac:dyDescent="0.3">
      <c r="A131" s="41" t="s">
        <v>71</v>
      </c>
      <c r="B131" s="82">
        <v>1400</v>
      </c>
      <c r="C131" s="78"/>
      <c r="D131" s="3" t="str">
        <f t="shared" si="40"/>
        <v/>
      </c>
      <c r="E131" s="3">
        <f t="shared" si="41"/>
        <v>0</v>
      </c>
      <c r="F131" s="3" t="str">
        <f t="shared" si="42"/>
        <v/>
      </c>
      <c r="G131" s="3" t="str">
        <f t="shared" si="43"/>
        <v/>
      </c>
    </row>
    <row r="132" spans="1:7" x14ac:dyDescent="0.3">
      <c r="A132" s="41" t="s">
        <v>81</v>
      </c>
      <c r="B132" s="82">
        <v>400</v>
      </c>
      <c r="C132" s="78"/>
      <c r="D132" s="3">
        <f t="shared" si="40"/>
        <v>0</v>
      </c>
      <c r="E132" s="3" t="str">
        <f t="shared" si="41"/>
        <v/>
      </c>
      <c r="F132" s="3" t="str">
        <f t="shared" si="42"/>
        <v/>
      </c>
      <c r="G132" s="3" t="str">
        <f t="shared" si="43"/>
        <v/>
      </c>
    </row>
    <row r="133" spans="1:7" x14ac:dyDescent="0.3">
      <c r="A133" s="41" t="s">
        <v>81</v>
      </c>
      <c r="B133" s="82">
        <v>200</v>
      </c>
      <c r="C133" s="78">
        <v>10</v>
      </c>
      <c r="D133" s="3">
        <f t="shared" si="40"/>
        <v>10</v>
      </c>
      <c r="E133" s="3" t="str">
        <f t="shared" si="41"/>
        <v/>
      </c>
      <c r="F133" s="3" t="str">
        <f t="shared" si="42"/>
        <v/>
      </c>
      <c r="G133" s="3" t="str">
        <f t="shared" si="43"/>
        <v/>
      </c>
    </row>
    <row r="134" spans="1:7" x14ac:dyDescent="0.3">
      <c r="A134" s="41" t="s">
        <v>53</v>
      </c>
      <c r="B134" s="82">
        <v>1300</v>
      </c>
      <c r="C134" s="78" t="s">
        <v>27</v>
      </c>
      <c r="D134" s="3" t="str">
        <f t="shared" si="40"/>
        <v/>
      </c>
      <c r="E134" s="3" t="str">
        <f t="shared" si="41"/>
        <v/>
      </c>
      <c r="F134" s="3" t="str">
        <f t="shared" si="42"/>
        <v/>
      </c>
      <c r="G134" s="3" t="str">
        <f t="shared" si="43"/>
        <v/>
      </c>
    </row>
    <row r="135" spans="1:7" x14ac:dyDescent="0.3">
      <c r="A135" s="41" t="s">
        <v>53</v>
      </c>
      <c r="B135" s="82">
        <v>3000</v>
      </c>
      <c r="C135" s="78"/>
      <c r="D135" s="3" t="str">
        <f t="shared" si="40"/>
        <v/>
      </c>
      <c r="E135" s="3" t="str">
        <f t="shared" si="41"/>
        <v/>
      </c>
      <c r="F135" s="3">
        <f t="shared" si="42"/>
        <v>0</v>
      </c>
      <c r="G135" s="3" t="str">
        <f t="shared" si="43"/>
        <v/>
      </c>
    </row>
    <row r="136" spans="1:7" x14ac:dyDescent="0.3">
      <c r="A136" s="41" t="s">
        <v>102</v>
      </c>
      <c r="B136" s="82">
        <v>6430.93</v>
      </c>
      <c r="C136" s="78" t="s">
        <v>27</v>
      </c>
      <c r="D136" s="3" t="str">
        <f t="shared" si="40"/>
        <v/>
      </c>
      <c r="E136" s="3" t="str">
        <f t="shared" si="41"/>
        <v/>
      </c>
      <c r="F136" s="3" t="str">
        <f t="shared" si="42"/>
        <v/>
      </c>
      <c r="G136" s="3" t="str">
        <f t="shared" si="43"/>
        <v/>
      </c>
    </row>
    <row r="137" spans="1:7" x14ac:dyDescent="0.3">
      <c r="A137" s="41" t="s">
        <v>102</v>
      </c>
      <c r="B137" s="82">
        <v>7000</v>
      </c>
      <c r="C137" s="78"/>
      <c r="D137" s="3" t="str">
        <f t="shared" si="40"/>
        <v/>
      </c>
      <c r="E137" s="3" t="str">
        <f t="shared" si="41"/>
        <v/>
      </c>
      <c r="F137" s="3" t="str">
        <f t="shared" si="42"/>
        <v/>
      </c>
      <c r="G137" s="3">
        <f t="shared" si="43"/>
        <v>0</v>
      </c>
    </row>
    <row r="138" spans="1:7" x14ac:dyDescent="0.3">
      <c r="A138" s="41" t="s">
        <v>102</v>
      </c>
      <c r="B138" s="82">
        <v>6930</v>
      </c>
      <c r="C138" s="78"/>
      <c r="D138" s="3" t="str">
        <f t="shared" si="40"/>
        <v/>
      </c>
      <c r="E138" s="3" t="str">
        <f t="shared" si="41"/>
        <v/>
      </c>
      <c r="F138" s="3" t="str">
        <f t="shared" si="42"/>
        <v/>
      </c>
      <c r="G138" s="3">
        <f t="shared" si="43"/>
        <v>0</v>
      </c>
    </row>
    <row r="139" spans="1:7" x14ac:dyDescent="0.3">
      <c r="A139" s="41" t="s">
        <v>102</v>
      </c>
      <c r="B139" s="82">
        <v>9427.81</v>
      </c>
      <c r="C139" s="78"/>
      <c r="D139" s="3" t="str">
        <f t="shared" si="40"/>
        <v/>
      </c>
      <c r="E139" s="3" t="str">
        <f t="shared" si="41"/>
        <v/>
      </c>
      <c r="F139" s="3" t="str">
        <f t="shared" si="42"/>
        <v/>
      </c>
      <c r="G139" s="3">
        <f t="shared" si="43"/>
        <v>0</v>
      </c>
    </row>
    <row r="140" spans="1:7" x14ac:dyDescent="0.3">
      <c r="A140" s="41" t="s">
        <v>102</v>
      </c>
      <c r="B140" s="82">
        <v>6300</v>
      </c>
      <c r="C140" s="78"/>
      <c r="D140" s="3" t="str">
        <f t="shared" si="40"/>
        <v/>
      </c>
      <c r="E140" s="3" t="str">
        <f t="shared" si="41"/>
        <v/>
      </c>
      <c r="F140" s="3" t="str">
        <f t="shared" si="42"/>
        <v/>
      </c>
      <c r="G140" s="3">
        <f t="shared" si="43"/>
        <v>0</v>
      </c>
    </row>
    <row r="141" spans="1:7" x14ac:dyDescent="0.3">
      <c r="A141" s="41" t="s">
        <v>102</v>
      </c>
      <c r="B141" s="82">
        <v>7000</v>
      </c>
      <c r="C141" s="78" t="s">
        <v>27</v>
      </c>
      <c r="D141" s="3" t="str">
        <f t="shared" si="40"/>
        <v/>
      </c>
      <c r="E141" s="3" t="str">
        <f t="shared" si="41"/>
        <v/>
      </c>
      <c r="F141" s="3" t="str">
        <f t="shared" si="42"/>
        <v/>
      </c>
      <c r="G141" s="3" t="str">
        <f t="shared" si="43"/>
        <v/>
      </c>
    </row>
    <row r="142" spans="1:7" x14ac:dyDescent="0.3">
      <c r="A142" s="41" t="s">
        <v>102</v>
      </c>
      <c r="B142" s="82">
        <v>4000</v>
      </c>
      <c r="C142" s="78" t="s">
        <v>27</v>
      </c>
      <c r="D142" s="3" t="str">
        <f t="shared" si="40"/>
        <v/>
      </c>
      <c r="E142" s="3" t="str">
        <f t="shared" si="41"/>
        <v/>
      </c>
      <c r="F142" s="3" t="str">
        <f t="shared" si="42"/>
        <v/>
      </c>
      <c r="G142" s="3" t="str">
        <f t="shared" si="43"/>
        <v/>
      </c>
    </row>
    <row r="143" spans="1:7" x14ac:dyDescent="0.3">
      <c r="A143" s="41" t="s">
        <v>102</v>
      </c>
      <c r="B143" s="82">
        <v>7000</v>
      </c>
      <c r="C143" s="78">
        <v>9</v>
      </c>
      <c r="D143" s="3" t="str">
        <f t="shared" si="40"/>
        <v/>
      </c>
      <c r="E143" s="3" t="str">
        <f t="shared" si="41"/>
        <v/>
      </c>
      <c r="F143" s="3" t="str">
        <f t="shared" si="42"/>
        <v/>
      </c>
      <c r="G143" s="3">
        <f t="shared" si="43"/>
        <v>9</v>
      </c>
    </row>
    <row r="144" spans="1:7" x14ac:dyDescent="0.3">
      <c r="A144" s="41" t="s">
        <v>102</v>
      </c>
      <c r="B144" s="82">
        <v>4210.5</v>
      </c>
      <c r="C144" s="78"/>
      <c r="D144" s="3" t="str">
        <f t="shared" si="40"/>
        <v/>
      </c>
      <c r="E144" s="3" t="str">
        <f t="shared" si="41"/>
        <v/>
      </c>
      <c r="F144" s="3">
        <f t="shared" si="42"/>
        <v>0</v>
      </c>
      <c r="G144" s="3" t="str">
        <f t="shared" si="43"/>
        <v/>
      </c>
    </row>
    <row r="145" spans="1:7" x14ac:dyDescent="0.3">
      <c r="A145" s="41" t="s">
        <v>102</v>
      </c>
      <c r="B145" s="82">
        <v>5263.2</v>
      </c>
      <c r="C145" s="78"/>
      <c r="D145" s="3" t="str">
        <f t="shared" si="40"/>
        <v/>
      </c>
      <c r="E145" s="3" t="str">
        <f t="shared" si="41"/>
        <v/>
      </c>
      <c r="F145" s="3" t="str">
        <f t="shared" si="42"/>
        <v/>
      </c>
      <c r="G145" s="3">
        <f t="shared" si="43"/>
        <v>0</v>
      </c>
    </row>
    <row r="146" spans="1:7" x14ac:dyDescent="0.3">
      <c r="A146" s="41" t="s">
        <v>102</v>
      </c>
      <c r="B146" s="82">
        <v>7764.47</v>
      </c>
      <c r="C146" s="78"/>
      <c r="D146" s="3" t="str">
        <f t="shared" si="40"/>
        <v/>
      </c>
      <c r="E146" s="3" t="str">
        <f t="shared" si="41"/>
        <v/>
      </c>
      <c r="F146" s="3" t="str">
        <f t="shared" si="42"/>
        <v/>
      </c>
      <c r="G146" s="3">
        <f t="shared" si="43"/>
        <v>0</v>
      </c>
    </row>
    <row r="147" spans="1:7" x14ac:dyDescent="0.3">
      <c r="A147" s="41" t="s">
        <v>102</v>
      </c>
      <c r="B147" s="82">
        <v>10290</v>
      </c>
      <c r="C147" s="78" t="s">
        <v>27</v>
      </c>
      <c r="D147" s="3" t="str">
        <f t="shared" si="40"/>
        <v/>
      </c>
      <c r="E147" s="3" t="str">
        <f t="shared" si="41"/>
        <v/>
      </c>
      <c r="F147" s="3" t="str">
        <f t="shared" si="42"/>
        <v/>
      </c>
      <c r="G147" s="3" t="str">
        <f t="shared" si="43"/>
        <v/>
      </c>
    </row>
    <row r="148" spans="1:7" x14ac:dyDescent="0.3">
      <c r="A148" s="41" t="s">
        <v>102</v>
      </c>
      <c r="B148" s="82">
        <v>210</v>
      </c>
      <c r="C148" s="78" t="s">
        <v>27</v>
      </c>
      <c r="D148" s="3" t="str">
        <f t="shared" si="40"/>
        <v/>
      </c>
      <c r="E148" s="3" t="str">
        <f t="shared" si="41"/>
        <v/>
      </c>
      <c r="F148" s="3" t="str">
        <f t="shared" si="42"/>
        <v/>
      </c>
      <c r="G148" s="3" t="str">
        <f t="shared" si="43"/>
        <v/>
      </c>
    </row>
    <row r="149" spans="1:7" x14ac:dyDescent="0.3">
      <c r="A149" s="41" t="s">
        <v>102</v>
      </c>
      <c r="B149" s="82">
        <v>1</v>
      </c>
      <c r="C149" s="78"/>
      <c r="D149" s="3">
        <f t="shared" si="40"/>
        <v>0</v>
      </c>
      <c r="E149" s="3" t="str">
        <f t="shared" si="41"/>
        <v/>
      </c>
      <c r="F149" s="3" t="str">
        <f t="shared" si="42"/>
        <v/>
      </c>
      <c r="G149" s="3" t="str">
        <f t="shared" si="43"/>
        <v/>
      </c>
    </row>
    <row r="150" spans="1:7" x14ac:dyDescent="0.3">
      <c r="A150" s="41" t="s">
        <v>102</v>
      </c>
      <c r="B150" s="82">
        <v>3825.27</v>
      </c>
      <c r="C150" s="78"/>
      <c r="D150" s="3" t="str">
        <f t="shared" si="40"/>
        <v/>
      </c>
      <c r="E150" s="3" t="str">
        <f t="shared" si="41"/>
        <v/>
      </c>
      <c r="F150" s="3">
        <f t="shared" si="42"/>
        <v>0</v>
      </c>
      <c r="G150" s="3" t="str">
        <f t="shared" si="43"/>
        <v/>
      </c>
    </row>
    <row r="151" spans="1:7" x14ac:dyDescent="0.3">
      <c r="A151" s="41" t="s">
        <v>102</v>
      </c>
      <c r="B151" s="82">
        <v>1</v>
      </c>
      <c r="C151" s="78"/>
      <c r="D151" s="3">
        <f t="shared" si="40"/>
        <v>0</v>
      </c>
      <c r="E151" s="3" t="str">
        <f t="shared" si="41"/>
        <v/>
      </c>
      <c r="F151" s="3" t="str">
        <f t="shared" si="42"/>
        <v/>
      </c>
      <c r="G151" s="3" t="str">
        <f t="shared" si="43"/>
        <v/>
      </c>
    </row>
    <row r="152" spans="1:7" x14ac:dyDescent="0.3">
      <c r="A152" s="41" t="s">
        <v>102</v>
      </c>
      <c r="B152" s="82">
        <v>2370</v>
      </c>
      <c r="C152" s="78"/>
      <c r="D152" s="3" t="str">
        <f t="shared" si="40"/>
        <v/>
      </c>
      <c r="E152" s="3">
        <f t="shared" si="41"/>
        <v>0</v>
      </c>
      <c r="F152" s="3" t="str">
        <f t="shared" si="42"/>
        <v/>
      </c>
      <c r="G152" s="3" t="str">
        <f t="shared" si="43"/>
        <v/>
      </c>
    </row>
    <row r="153" spans="1:7" x14ac:dyDescent="0.3">
      <c r="A153" s="41" t="s">
        <v>102</v>
      </c>
      <c r="B153" s="82">
        <v>1</v>
      </c>
      <c r="C153" s="78" t="s">
        <v>27</v>
      </c>
      <c r="D153" s="3" t="str">
        <f t="shared" si="40"/>
        <v/>
      </c>
      <c r="E153" s="3" t="str">
        <f t="shared" si="41"/>
        <v/>
      </c>
      <c r="F153" s="3" t="str">
        <f t="shared" si="42"/>
        <v/>
      </c>
      <c r="G153" s="3" t="str">
        <f t="shared" si="43"/>
        <v/>
      </c>
    </row>
    <row r="154" spans="1:7" x14ac:dyDescent="0.3">
      <c r="A154" s="41" t="s">
        <v>102</v>
      </c>
      <c r="B154" s="82">
        <v>2970</v>
      </c>
      <c r="C154" s="78" t="s">
        <v>27</v>
      </c>
      <c r="D154" s="3" t="str">
        <f t="shared" si="40"/>
        <v/>
      </c>
      <c r="E154" s="3" t="str">
        <f t="shared" si="41"/>
        <v/>
      </c>
      <c r="F154" s="3" t="str">
        <f t="shared" si="42"/>
        <v/>
      </c>
      <c r="G154" s="3" t="str">
        <f t="shared" si="43"/>
        <v/>
      </c>
    </row>
    <row r="155" spans="1:7" x14ac:dyDescent="0.3">
      <c r="A155" s="41" t="s">
        <v>67</v>
      </c>
      <c r="B155" s="82">
        <v>3420</v>
      </c>
      <c r="C155" s="78">
        <v>10</v>
      </c>
      <c r="D155" s="3" t="str">
        <f t="shared" ref="D155:D156" si="44">IF(AND(B155&gt;0,B155&lt;1000),C155,"")</f>
        <v/>
      </c>
      <c r="E155" s="3" t="str">
        <f t="shared" ref="E155:E156" si="45">IF(AND(B155&gt;1000,B155&lt;2500),C155,"")</f>
        <v/>
      </c>
      <c r="F155" s="3">
        <f t="shared" ref="F155:F156" si="46">IF(AND(B155&gt;2500,B155&lt;5000),C155,"")</f>
        <v>10</v>
      </c>
      <c r="G155" s="3" t="str">
        <f t="shared" ref="G155:G156" si="47">IF(B155&gt;=5000,C155,"")</f>
        <v/>
      </c>
    </row>
    <row r="156" spans="1:7" x14ac:dyDescent="0.3">
      <c r="A156" s="41" t="s">
        <v>153</v>
      </c>
      <c r="B156" s="82">
        <v>1102</v>
      </c>
      <c r="C156" s="78" t="s">
        <v>27</v>
      </c>
      <c r="D156" s="3" t="str">
        <f t="shared" si="44"/>
        <v/>
      </c>
      <c r="E156" s="3" t="str">
        <f t="shared" si="45"/>
        <v/>
      </c>
      <c r="F156" s="3" t="str">
        <f t="shared" si="46"/>
        <v/>
      </c>
      <c r="G156" s="3" t="str">
        <f t="shared" si="47"/>
        <v/>
      </c>
    </row>
    <row r="157" spans="1:7" x14ac:dyDescent="0.3">
      <c r="A157" s="41" t="s">
        <v>137</v>
      </c>
      <c r="B157" s="82">
        <v>1600</v>
      </c>
      <c r="C157" s="78"/>
      <c r="D157" s="3" t="str">
        <f t="shared" ref="D157:D163" si="48">IF(AND(B157&gt;0,B157&lt;1000),C157,"")</f>
        <v/>
      </c>
      <c r="E157" s="3">
        <f t="shared" ref="E157:E163" si="49">IF(AND(B157&gt;1000,B157&lt;2500),C157,"")</f>
        <v>0</v>
      </c>
      <c r="F157" s="3" t="str">
        <f t="shared" ref="F157:F163" si="50">IF(AND(B157&gt;2500,B157&lt;5000),C157,"")</f>
        <v/>
      </c>
      <c r="G157" s="3" t="str">
        <f t="shared" ref="G157:G163" si="51">IF(B157&gt;=5000,C157,"")</f>
        <v/>
      </c>
    </row>
    <row r="158" spans="1:7" x14ac:dyDescent="0.3">
      <c r="A158" s="41" t="s">
        <v>137</v>
      </c>
      <c r="B158" s="82">
        <v>2350</v>
      </c>
      <c r="C158" s="78" t="s">
        <v>27</v>
      </c>
      <c r="D158" s="3" t="str">
        <f t="shared" si="48"/>
        <v/>
      </c>
      <c r="E158" s="3" t="str">
        <f t="shared" si="49"/>
        <v/>
      </c>
      <c r="F158" s="3" t="str">
        <f t="shared" si="50"/>
        <v/>
      </c>
      <c r="G158" s="3" t="str">
        <f t="shared" si="51"/>
        <v/>
      </c>
    </row>
    <row r="159" spans="1:7" x14ac:dyDescent="0.3">
      <c r="A159" s="41" t="s">
        <v>137</v>
      </c>
      <c r="B159" s="82">
        <v>1500</v>
      </c>
      <c r="C159" s="78" t="s">
        <v>27</v>
      </c>
      <c r="D159" s="3" t="str">
        <f t="shared" si="48"/>
        <v/>
      </c>
      <c r="E159" s="3" t="str">
        <f t="shared" si="49"/>
        <v/>
      </c>
      <c r="F159" s="3" t="str">
        <f t="shared" si="50"/>
        <v/>
      </c>
      <c r="G159" s="3" t="str">
        <f t="shared" si="51"/>
        <v/>
      </c>
    </row>
    <row r="160" spans="1:7" x14ac:dyDescent="0.3">
      <c r="A160" s="41" t="s">
        <v>137</v>
      </c>
      <c r="B160" s="82">
        <v>5050</v>
      </c>
      <c r="C160" s="78"/>
      <c r="D160" s="3" t="str">
        <f t="shared" si="48"/>
        <v/>
      </c>
      <c r="E160" s="3" t="str">
        <f t="shared" si="49"/>
        <v/>
      </c>
      <c r="F160" s="3" t="str">
        <f t="shared" si="50"/>
        <v/>
      </c>
      <c r="G160" s="3">
        <f t="shared" si="51"/>
        <v>0</v>
      </c>
    </row>
    <row r="161" spans="1:7" x14ac:dyDescent="0.3">
      <c r="A161" s="41" t="s">
        <v>43</v>
      </c>
      <c r="B161" s="82">
        <v>600</v>
      </c>
      <c r="C161" s="78"/>
      <c r="D161" s="3">
        <f t="shared" si="48"/>
        <v>0</v>
      </c>
      <c r="E161" s="3" t="str">
        <f t="shared" si="49"/>
        <v/>
      </c>
      <c r="F161" s="3" t="str">
        <f t="shared" si="50"/>
        <v/>
      </c>
      <c r="G161" s="3" t="str">
        <f t="shared" si="51"/>
        <v/>
      </c>
    </row>
    <row r="162" spans="1:7" x14ac:dyDescent="0.3">
      <c r="A162" s="41" t="s">
        <v>43</v>
      </c>
      <c r="B162" s="82">
        <v>283.5</v>
      </c>
      <c r="C162" s="78">
        <v>9</v>
      </c>
      <c r="D162" s="3">
        <f t="shared" si="48"/>
        <v>9</v>
      </c>
      <c r="E162" s="3" t="str">
        <f t="shared" si="49"/>
        <v/>
      </c>
      <c r="F162" s="3" t="str">
        <f t="shared" si="50"/>
        <v/>
      </c>
      <c r="G162" s="3" t="str">
        <f t="shared" si="51"/>
        <v/>
      </c>
    </row>
    <row r="163" spans="1:7" x14ac:dyDescent="0.3">
      <c r="A163" s="41" t="s">
        <v>131</v>
      </c>
      <c r="B163" s="82">
        <v>1500</v>
      </c>
      <c r="C163" s="78"/>
      <c r="D163" s="3" t="str">
        <f t="shared" si="48"/>
        <v/>
      </c>
      <c r="E163" s="3">
        <f t="shared" si="49"/>
        <v>0</v>
      </c>
      <c r="F163" s="3" t="str">
        <f t="shared" si="50"/>
        <v/>
      </c>
      <c r="G163" s="3" t="str">
        <f t="shared" si="51"/>
        <v/>
      </c>
    </row>
    <row r="164" spans="1:7" x14ac:dyDescent="0.3">
      <c r="A164" s="55" t="s">
        <v>246</v>
      </c>
      <c r="B164" s="56"/>
      <c r="C164" s="55"/>
      <c r="D164" s="55">
        <f>AVERAGE(D2:D163)</f>
        <v>1.6764705882352942</v>
      </c>
      <c r="E164" s="55">
        <f>AVERAGE(E2:E163)</f>
        <v>0.97368421052631582</v>
      </c>
      <c r="F164" s="55">
        <f>AVERAGE(F2:F163)</f>
        <v>1.1176470588235294</v>
      </c>
      <c r="G164" s="55">
        <f>AVERAGE(G2:G163)</f>
        <v>1.4166666666666667</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2020-05-28T22:48:05Z</dcterms:modified>
</cp:coreProperties>
</file>